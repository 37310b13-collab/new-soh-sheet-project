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  <sheet name="T_SelfStock_Log" sheetId="21" state="hidden" r:id="rId21"/>
    <sheet name="T_TTAFStock_Log" sheetId="22" state="hidden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4" authorId="0" shapeId="0">
      <text>
        <t>MOQ(最小発注量)を入力してください（手書きでOK）</t>
      </text>
    </comment>
    <comment ref="C21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449" authorId="0" shapeId="0">
      <text>
        <t>MOQ(最小発注量)を入力してください（手書きでOK）</t>
      </text>
    </comment>
    <comment ref="C470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500" authorId="0" shapeId="0">
      <text>
        <t>MOQ(最小発注量)を入力してください（手書きでOK）</t>
      </text>
    </comment>
    <comment ref="C547" authorId="0" shapeId="0">
      <text>
        <t>MOQ(最小発注量)を入力してください（手書きでOK）</t>
      </text>
    </comment>
    <comment ref="C580" authorId="0" shapeId="0">
      <text>
        <t>MOQ(最小発注量)を入力してください（手書きでOK）</t>
      </text>
    </comment>
    <comment ref="C643" authorId="0" shapeId="0">
      <text>
        <t>MOQ(最小発注量)を入力してください（手書きでOK）</t>
      </text>
    </comment>
    <comment ref="C670" authorId="0" shapeId="0">
      <text>
        <t>MOQ(最小発注量)を入力してください（手書きでOK）</t>
      </text>
    </comment>
    <comment ref="C697" authorId="0" shapeId="0">
      <text>
        <t>MOQ(最小発注量)を入力してください（手書きでOK）</t>
      </text>
    </comment>
    <comment ref="C710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820" authorId="0" shapeId="0">
      <text>
        <t>MOQ(最小発注量)を入力してください（手書きでOK）</t>
      </text>
    </comment>
    <comment ref="C833" authorId="0" shapeId="0">
      <text>
        <t>MOQ(最小発注量)を入力してください（手書きでOK）</t>
      </text>
    </comment>
    <comment ref="C878" authorId="0" shapeId="0">
      <text>
        <t>MOQ(最小発注量)を入力してください（手書きでOK）</t>
      </text>
    </comment>
    <comment ref="C905" authorId="0" shapeId="0">
      <text>
        <t>MOQ(最小発注量)を入力してください（手書きでOK）</t>
      </text>
    </comment>
    <comment ref="C940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982" authorId="0" shapeId="0">
      <text>
        <t>MOQ(最小発注量)を入力してください（手書きでOK）</t>
      </text>
    </comment>
    <comment ref="C995" authorId="0" shapeId="0">
      <text>
        <t>MOQ(最小発注量)を入力してください（手書きでOK）</t>
      </text>
    </comment>
    <comment ref="C1006" authorId="0" shapeId="0">
      <text>
        <t>MOQ(最小発注量)を入力してください（手書きでOK）</t>
      </text>
    </comment>
    <comment ref="C1015" authorId="0" shapeId="0">
      <text>
        <t>MOQ(最小発注量)を入力してください（手書きでOK）</t>
      </text>
    </comment>
    <comment ref="C1024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2" authorId="0" shapeId="0">
      <text>
        <t>MOQ(最小発注量)を入力してください（手書きでOK）</t>
      </text>
    </comment>
    <comment ref="C1051" authorId="0" shapeId="0">
      <text>
        <t>MOQ(最小発注量)を入力してください（手書きでOK）</t>
      </text>
    </comment>
    <comment ref="C1060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42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45" headerRowCount="1">
  <autoFilter ref="A1:H245"/>
  <tableColumns count="8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5.xml><?xml version="1.0" encoding="utf-8"?>
<table xmlns="http://schemas.openxmlformats.org/spreadsheetml/2006/main" id="5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6.xml><?xml version="1.0" encoding="utf-8"?>
<table xmlns="http://schemas.openxmlformats.org/spreadsheetml/2006/main" id="6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7.xml><?xml version="1.0" encoding="utf-8"?>
<table xmlns="http://schemas.openxmlformats.org/spreadsheetml/2006/main" id="7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8.xml><?xml version="1.0" encoding="utf-8"?>
<table xmlns="http://schemas.openxmlformats.org/spreadsheetml/2006/main" id="8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9.xml><?xml version="1.0" encoding="utf-8"?>
<table xmlns="http://schemas.openxmlformats.org/spreadsheetml/2006/main" id="9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0.xml><?xml version="1.0" encoding="utf-8"?>
<table xmlns="http://schemas.openxmlformats.org/spreadsheetml/2006/main" id="10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1.xml><?xml version="1.0" encoding="utf-8"?>
<table xmlns="http://schemas.openxmlformats.org/spreadsheetml/2006/main" id="11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4.xml><?xml version="1.0" encoding="utf-8"?>
<table xmlns="http://schemas.openxmlformats.org/spreadsheetml/2006/main" id="14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Relationship Type="http://schemas.openxmlformats.org/officeDocument/2006/relationships/hyperlink" Target="#'T_SelfStock'!A1" TargetMode="External" Id="rId9" /><Relationship Type="http://schemas.openxmlformats.org/officeDocument/2006/relationships/hyperlink" Target="#'T_TTAFStock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1">
      <c r="A11" s="3" t="inlineStr">
        <is>
          <t>▶ T_SelfStock - 自社倉庫の在庫実績（材料×週。RefreshSelfStockで自動更新）</t>
        </is>
      </c>
    </row>
    <row r="12">
      <c r="A12" s="3" t="inlineStr">
        <is>
          <t>▶ T_TTAFStock - TTAF倉庫の在庫実績（材料×週。RefreshTTAFStockで自動更新）</t>
        </is>
      </c>
    </row>
    <row r="14">
      <c r="A14" t="inlineStr"/>
    </row>
    <row r="15">
      <c r="A15" t="inlineStr">
        <is>
          <t>このブックはPower BI等に読み込ませる中間テーブルではなく、これ自体が完成品です。</t>
        </is>
      </c>
    </row>
    <row r="16">
      <c r="A16" t="inlineStr">
        <is>
          <t>Dashboard と PO_Draft_* が最終的な閲覧・発注画面、それ以外は計算の土台です。</t>
        </is>
      </c>
    </row>
    <row r="17">
      <c r="A17" t="inlineStr"/>
    </row>
    <row r="18">
      <c r="A18" t="inlineStr">
        <is>
          <t>【週番号のルール】すべてExcelの数式で計算（Cal_WeeksのB1=AnchorYearを変えると全体が再計算）</t>
        </is>
      </c>
    </row>
    <row r="19">
      <c r="A19" t="inlineStr">
        <is>
          <t xml:space="preserve">  Week1=1月1日を含む月〜日の週。年が変わると再び1にリセットされます（2026-W52の次は2027-W01）。</t>
        </is>
      </c>
    </row>
    <row r="20">
      <c r="A20" t="inlineStr">
        <is>
          <t xml:space="preserve">  各シートの週見出しは3段: 1段目=月-年(Aug-26等) / 2段目=その週月曜の日付 / 3段目=週No。</t>
        </is>
      </c>
    </row>
    <row r="21">
      <c r="A21" t="inlineStr"/>
    </row>
    <row r="22">
      <c r="A22" t="inlineStr">
        <is>
          <t>【普段見るシート】</t>
        </is>
      </c>
    </row>
    <row r="23">
      <c r="A23" t="inlineStr">
        <is>
          <t xml:space="preserve">  Dashboard           : 原材料×週の在庫を2年分、横軸で見渡せるメイン画面（まずここ）。</t>
        </is>
      </c>
    </row>
    <row r="24">
      <c r="A24" t="inlineStr">
        <is>
          <t xml:space="preserve">                        自社在庫(実績)・TTAF在庫(実績)・実績週の列で内訳も確認できます。</t>
        </is>
      </c>
    </row>
    <row r="25">
      <c r="A25" t="inlineStr">
        <is>
          <t xml:space="preserve">                        基準在庫(下限/上限)を入力すると、各週のセルが赤(下限未満)/</t>
        </is>
      </c>
    </row>
    <row r="26">
      <c r="A26" t="inlineStr">
        <is>
          <t xml:space="preserve">                        緑(範囲内)/青(上限超)に自動で色分けされます。</t>
        </is>
      </c>
    </row>
    <row r="27">
      <c r="A27" t="inlineStr">
        <is>
          <t xml:space="preserve">                        C1に'W23'のように入力すると（現在年の週Noとして検索）、</t>
        </is>
      </c>
    </row>
    <row r="28">
      <c r="A28" t="inlineStr">
        <is>
          <t xml:space="preserve">                        該当する週の列が太枠でハイライトされます。VBA(JumpToSelectedWeek、</t>
        </is>
      </c>
    </row>
    <row r="29">
      <c r="A29" t="inlineStr">
        <is>
          <t xml:space="preserve">                        要ボタン設定・詳細はdocs/SOH_System_Guide.md)を導入していれば、</t>
        </is>
      </c>
    </row>
    <row r="30">
      <c r="A30" t="inlineStr">
        <is>
          <t xml:space="preserve">                        実績週のすぐ右にその週の列が来るよう自動でスクロールもされます。</t>
        </is>
      </c>
    </row>
    <row r="31">
      <c r="A31" t="inlineStr">
        <is>
          <t xml:space="preserve">  Material_Detail     : 材料ごとに「どの中間体が・何バッチ・いくら使うか」をブロック表示（トレーサビリティ）。</t>
        </is>
      </c>
    </row>
    <row r="32">
      <c r="A32" t="inlineStr">
        <is>
          <t xml:space="preserve">                        Dashboardと同様にC1に'W23'のように入力すると該当週が求まり、</t>
        </is>
      </c>
    </row>
    <row r="33">
      <c r="A33" t="inlineStr">
        <is>
          <t xml:space="preserve">                        VBA導入時はその週列のすぐ右に自動でスクロールします。</t>
        </is>
      </c>
    </row>
    <row r="34">
      <c r="A34" t="inlineStr">
        <is>
          <t xml:space="preserve">                        材料名の右のC列にMOQ(最小発注量)を手入力できます。</t>
        </is>
      </c>
    </row>
    <row r="35">
      <c r="A35" t="inlineStr">
        <is>
          <t xml:space="preserve">                        合計使用量の下にTTAF在庫実績・自社在庫実績・合計在庫(週末時点)の週次推移も表示されます。</t>
        </is>
      </c>
    </row>
    <row r="36">
      <c r="A36" t="inlineStr">
        <is>
          <t xml:space="preserve">                        HideInactiveIntermediatesマクロ(要ボタン設定)で、指定期間ずっと生産予定の無い</t>
        </is>
      </c>
    </row>
    <row r="37">
      <c r="A37" t="inlineStr">
        <is>
          <t xml:space="preserve">                        中間体の行を折りたためます（在庫関連の行は常に表示されたままです）。</t>
        </is>
      </c>
    </row>
    <row r="38">
      <c r="A38" t="inlineStr">
        <is>
          <t xml:space="preserve">  PO_Draft_*          : 要発注分を注文書ひな形に自動転記</t>
        </is>
      </c>
    </row>
    <row r="39">
      <c r="A39" t="inlineStr">
        <is>
          <t xml:space="preserve">  T_Shipments         : 発注・着荷の入力。TTAF供給材料については「TTAF倉庫への到着実績」を</t>
        </is>
      </c>
    </row>
    <row r="40">
      <c r="A40" t="inlineStr">
        <is>
          <t xml:space="preserve">                        表します(TTAFは仕入先であり倉庫でもあるため)。TTAF以外の材料は</t>
        </is>
      </c>
    </row>
    <row r="41">
      <c r="A41" t="inlineStr">
        <is>
          <t xml:space="preserve">                        従来通り弊社への入庫実績です。</t>
        </is>
      </c>
    </row>
    <row r="42">
      <c r="A42" t="inlineStr">
        <is>
          <t xml:space="preserve">  T_OpeningStock/T_StockCount : 入力用</t>
        </is>
      </c>
    </row>
    <row r="43">
      <c r="A43" t="inlineStr">
        <is>
          <t xml:space="preserve">  T_SelfStock/T_TTAFStock : 材料×週のグリッドで自社/TTAF在庫実績を表示（出力・閲覧用）。</t>
        </is>
      </c>
    </row>
    <row r="44">
      <c r="A44" t="inlineStr">
        <is>
          <t xml:space="preserve">                        RefreshSelfStock/RefreshTTAFStockで更新されます。手入力はしないでください</t>
        </is>
      </c>
    </row>
    <row r="45">
      <c r="A45" t="inlineStr">
        <is>
          <t xml:space="preserve">                        （生データは非表示のT_SelfStock_Log/T_TTAFStock_Logに安全に保存されています）。</t>
        </is>
      </c>
    </row>
    <row r="46">
      <c r="A46" t="inlineStr">
        <is>
          <t xml:space="preserve">                        TTAF在庫はCSA Reportが毎週届くたびに実績で上書きされる運用のため、</t>
        </is>
      </c>
    </row>
    <row r="47">
      <c r="A47" t="inlineStr">
        <is>
          <t xml:space="preserve">                        実績がまだ届いていない直近の週のGrid_Stockは、TTAF供給材料に限り</t>
        </is>
      </c>
    </row>
    <row r="48">
      <c r="A48" t="inlineStr">
        <is>
          <t xml:space="preserve">                        入庫を見込まず「前週-消費」だけで繋いでいます(TTAFへの入庫を</t>
        </is>
      </c>
    </row>
    <row r="49">
      <c r="A49" t="inlineStr">
        <is>
          <t xml:space="preserve">                        単純加算すると、TTAF倉庫側で既にカウント済みの在庫を二重計上して</t>
        </is>
      </c>
    </row>
    <row r="50">
      <c r="A50" t="inlineStr">
        <is>
          <t xml:space="preserve">                        しまうため)。</t>
        </is>
      </c>
    </row>
    <row r="51">
      <c r="A51" t="inlineStr"/>
    </row>
    <row r="52">
      <c r="A52" t="inlineStr">
        <is>
          <t xml:space="preserve">  M_RawMaterials・M_BOM・PP_Grid・Grid_Stock・その他非表示シートは内部計算用です。通常は開く必要はありません。</t>
        </is>
      </c>
    </row>
    <row r="53">
      <c r="A53" t="inlineStr"/>
    </row>
    <row r="54">
      <c r="A54" t="inlineStr">
        <is>
          <t>【重要】原単位・バッチ数・自社/TTAF在庫はPythonを使わず、Excel(VBA)マクロだけで更新できます。</t>
        </is>
      </c>
    </row>
    <row r="55">
      <c r="A55" t="inlineStr">
        <is>
          <t xml:space="preserve">  macros/RefreshData.bas を導入し、RefreshWeeklyBatches / RefreshBOM / RefreshSelfStock /</t>
        </is>
      </c>
    </row>
    <row r="56">
      <c r="A56" t="inlineStr">
        <is>
          <t xml:space="preserve">  RefreshTTAFStock を実行してください（対象ファイルを選ぶだけです。</t>
        </is>
      </c>
    </row>
    <row r="57">
      <c r="A57" t="inlineStr">
        <is>
          <t xml:space="preserve">  詳細はdocs/SOH_System_Guide.md、未検証のため要動作確認）。</t>
        </is>
      </c>
    </row>
    <row r="58">
      <c r="A58" t="inlineStr">
        <is>
          <t xml:space="preserve">  T_Shipments・T_OpeningStock・T_StockCount等には一切触れません。</t>
        </is>
      </c>
    </row>
    <row r="59">
      <c r="A59" t="inlineStr">
        <is>
          <t xml:space="preserve">  Material_Detailの中間体の行を隠す/戻すHideInactiveIntermediates / ShowAllIntermediatesは、</t>
        </is>
      </c>
    </row>
    <row r="60">
      <c r="A60" t="inlineStr">
        <is>
          <t xml:space="preserve">  ボタンへの割り当てが必要な一度だけの手動設定です（詳細はdocs/SOH_System_Guide.md）。</t>
        </is>
      </c>
    </row>
    <row r="61">
      <c r="A61" t="inlineStr"/>
    </row>
    <row r="62">
      <c r="A62" t="inlineStr">
        <is>
          <t>【毎月の運用】</t>
        </is>
      </c>
    </row>
    <row r="63">
      <c r="A63" t="inlineStr">
        <is>
          <t xml:space="preserve">  1. 「Powder &amp; Slurry &amp; Pgm Plan」の新しい月版でRefreshWeeklyBatchesを実行</t>
        </is>
      </c>
    </row>
    <row r="64">
      <c r="A64" t="inlineStr">
        <is>
          <t xml:space="preserve">  2. 「Usage from Production Engineering」が更新されていればRefreshBOMを実行</t>
        </is>
      </c>
    </row>
    <row r="65">
      <c r="A65" t="inlineStr">
        <is>
          <t xml:space="preserve">  3. 自社倉庫の現物確認を実施したらRefreshSelfStockを実行</t>
        </is>
      </c>
    </row>
    <row r="66">
      <c r="A66" t="inlineStr">
        <is>
          <t xml:space="preserve">  4. CSA Reportが毎週月曜に届いたらRefreshTTAFStockを実行し、T_Shipments のETA/着荷日/PO番号/発注日も更新</t>
        </is>
      </c>
    </row>
    <row r="67">
      <c r="A67" t="inlineStr">
        <is>
          <t xml:space="preserve">  5. 棚卸を実施したらT_StockCountに実測値を追記（Date列に実施日を入力。WeekIndex列は自動計算）</t>
        </is>
      </c>
    </row>
    <row r="68">
      <c r="A68" t="inlineStr">
        <is>
          <t xml:space="preserve">  6. Dashboardで赤色(基準在庫の下限未満)の週を確認し、PO_Draft_*から注文書を出力</t>
        </is>
      </c>
    </row>
    <row r="69">
      <c r="A69" t="inlineStr">
        <is>
          <t xml:space="preserve">  7. 月初は、前月最終週と当月頭のDashboardを見比べて在庫差異を確認（Plan Increase and Decrease /</t>
        </is>
      </c>
    </row>
    <row r="70">
      <c r="A70" t="inlineStr">
        <is>
          <t xml:space="preserve">     Inventory Releasesの報告フォーマットに転記）</t>
        </is>
      </c>
    </row>
    <row r="71">
      <c r="A71" t="inlineStr"/>
    </row>
    <row r="72">
      <c r="A72" t="inlineStr">
        <is>
          <t>【前提・要確認事項】詳細はdocs/SOH_System_Guide.mdを参照</t>
        </is>
      </c>
    </row>
    <row r="73">
      <c r="A73" t="inlineStr">
        <is>
          <t xml:space="preserve">  - M_RawMaterials の基準在庫(下限/上限)とLeadTime_Weeksは仮値(0)です。実際の水準に置き換えてください</t>
        </is>
      </c>
    </row>
    <row r="74">
      <c r="A74" t="inlineStr">
        <is>
          <t xml:space="preserve">    （Dashboardの週次セルの赤/緑/青の色分けに使われます）。</t>
        </is>
      </c>
    </row>
    <row r="75">
      <c r="A75" t="inlineStr">
        <is>
          <t xml:space="preserve">  - Categoryの割り当て(Chemical/Hazardous Chemical/Substrate)は入手データから機械的に推定した部分があります。要レビュー。</t>
        </is>
      </c>
    </row>
    <row r="76">
      <c r="A76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5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s="4" t="inlineStr">
        <is>
          <t>合計在庫(週末時点,kg)</t>
        </is>
      </c>
      <c r="D41">
        <f>'Grid_Stock'!B2</f>
        <v/>
      </c>
      <c r="E41">
        <f>'Grid_Stock'!C2</f>
        <v/>
      </c>
      <c r="F41">
        <f>'Grid_Stock'!D2</f>
        <v/>
      </c>
      <c r="G41">
        <f>'Grid_Stock'!E2</f>
        <v/>
      </c>
      <c r="H41">
        <f>'Grid_Stock'!F2</f>
        <v/>
      </c>
      <c r="I41">
        <f>'Grid_Stock'!G2</f>
        <v/>
      </c>
      <c r="J41">
        <f>'Grid_Stock'!H2</f>
        <v/>
      </c>
      <c r="K41">
        <f>'Grid_Stock'!I2</f>
        <v/>
      </c>
      <c r="L41">
        <f>'Grid_Stock'!J2</f>
        <v/>
      </c>
      <c r="M41">
        <f>'Grid_Stock'!K2</f>
        <v/>
      </c>
      <c r="N41">
        <f>'Grid_Stock'!L2</f>
        <v/>
      </c>
      <c r="O41">
        <f>'Grid_Stock'!M2</f>
        <v/>
      </c>
      <c r="P41">
        <f>'Grid_Stock'!N2</f>
        <v/>
      </c>
      <c r="Q41">
        <f>'Grid_Stock'!O2</f>
        <v/>
      </c>
      <c r="R41">
        <f>'Grid_Stock'!P2</f>
        <v/>
      </c>
      <c r="S41">
        <f>'Grid_Stock'!Q2</f>
        <v/>
      </c>
      <c r="T41">
        <f>'Grid_Stock'!R2</f>
        <v/>
      </c>
      <c r="U41">
        <f>'Grid_Stock'!S2</f>
        <v/>
      </c>
      <c r="V41">
        <f>'Grid_Stock'!T2</f>
        <v/>
      </c>
      <c r="W41">
        <f>'Grid_Stock'!U2</f>
        <v/>
      </c>
      <c r="X41">
        <f>'Grid_Stock'!V2</f>
        <v/>
      </c>
      <c r="Y41">
        <f>'Grid_Stock'!W2</f>
        <v/>
      </c>
      <c r="Z41">
        <f>'Grid_Stock'!X2</f>
        <v/>
      </c>
      <c r="AA41">
        <f>'Grid_Stock'!Y2</f>
        <v/>
      </c>
      <c r="AB41">
        <f>'Grid_Stock'!Z2</f>
        <v/>
      </c>
      <c r="AC41">
        <f>'Grid_Stock'!AA2</f>
        <v/>
      </c>
      <c r="AD41">
        <f>'Grid_Stock'!AB2</f>
        <v/>
      </c>
      <c r="AE41">
        <f>'Grid_Stock'!AC2</f>
        <v/>
      </c>
      <c r="AF41">
        <f>'Grid_Stock'!AD2</f>
        <v/>
      </c>
      <c r="AG41">
        <f>'Grid_Stock'!AE2</f>
        <v/>
      </c>
      <c r="AH41">
        <f>'Grid_Stock'!AF2</f>
        <v/>
      </c>
      <c r="AI41">
        <f>'Grid_Stock'!AG2</f>
        <v/>
      </c>
      <c r="AJ41">
        <f>'Grid_Stock'!AH2</f>
        <v/>
      </c>
      <c r="AK41">
        <f>'Grid_Stock'!AI2</f>
        <v/>
      </c>
      <c r="AL41">
        <f>'Grid_Stock'!AJ2</f>
        <v/>
      </c>
      <c r="AM41">
        <f>'Grid_Stock'!AK2</f>
        <v/>
      </c>
      <c r="AN41">
        <f>'Grid_Stock'!AL2</f>
        <v/>
      </c>
      <c r="AO41">
        <f>'Grid_Stock'!AM2</f>
        <v/>
      </c>
      <c r="AP41">
        <f>'Grid_Stock'!AN2</f>
        <v/>
      </c>
      <c r="AQ41">
        <f>'Grid_Stock'!AO2</f>
        <v/>
      </c>
      <c r="AR41">
        <f>'Grid_Stock'!AP2</f>
        <v/>
      </c>
      <c r="AS41">
        <f>'Grid_Stock'!AQ2</f>
        <v/>
      </c>
      <c r="AT41">
        <f>'Grid_Stock'!AR2</f>
        <v/>
      </c>
      <c r="AU41">
        <f>'Grid_Stock'!AS2</f>
        <v/>
      </c>
      <c r="AV41">
        <f>'Grid_Stock'!AT2</f>
        <v/>
      </c>
      <c r="AW41">
        <f>'Grid_Stock'!AU2</f>
        <v/>
      </c>
      <c r="AX41">
        <f>'Grid_Stock'!AV2</f>
        <v/>
      </c>
      <c r="AY41">
        <f>'Grid_Stock'!AW2</f>
        <v/>
      </c>
      <c r="AZ41">
        <f>'Grid_Stock'!AX2</f>
        <v/>
      </c>
      <c r="BA41">
        <f>'Grid_Stock'!AY2</f>
        <v/>
      </c>
      <c r="BB41">
        <f>'Grid_Stock'!AZ2</f>
        <v/>
      </c>
      <c r="BC41">
        <f>'Grid_Stock'!BA2</f>
        <v/>
      </c>
      <c r="BD41">
        <f>'Grid_Stock'!BB2</f>
        <v/>
      </c>
      <c r="BE41">
        <f>'Grid_Stock'!BC2</f>
        <v/>
      </c>
      <c r="BF41">
        <f>'Grid_Stock'!BD2</f>
        <v/>
      </c>
      <c r="BG41">
        <f>'Grid_Stock'!BE2</f>
        <v/>
      </c>
      <c r="BH41">
        <f>'Grid_Stock'!BF2</f>
        <v/>
      </c>
      <c r="BI41">
        <f>'Grid_Stock'!BG2</f>
        <v/>
      </c>
      <c r="BJ41">
        <f>'Grid_Stock'!BH2</f>
        <v/>
      </c>
      <c r="BK41">
        <f>'Grid_Stock'!BI2</f>
        <v/>
      </c>
      <c r="BL41">
        <f>'Grid_Stock'!BJ2</f>
        <v/>
      </c>
      <c r="BM41">
        <f>'Grid_Stock'!BK2</f>
        <v/>
      </c>
      <c r="BN41">
        <f>'Grid_Stock'!BL2</f>
        <v/>
      </c>
      <c r="BO41">
        <f>'Grid_Stock'!BM2</f>
        <v/>
      </c>
      <c r="BP41">
        <f>'Grid_Stock'!BN2</f>
        <v/>
      </c>
      <c r="BQ41">
        <f>'Grid_Stock'!BO2</f>
        <v/>
      </c>
      <c r="BR41">
        <f>'Grid_Stock'!BP2</f>
        <v/>
      </c>
      <c r="BS41">
        <f>'Grid_Stock'!BQ2</f>
        <v/>
      </c>
      <c r="BT41">
        <f>'Grid_Stock'!BR2</f>
        <v/>
      </c>
      <c r="BU41">
        <f>'Grid_Stock'!BS2</f>
        <v/>
      </c>
      <c r="BV41">
        <f>'Grid_Stock'!BT2</f>
        <v/>
      </c>
      <c r="BW41">
        <f>'Grid_Stock'!BU2</f>
        <v/>
      </c>
      <c r="BX41">
        <f>'Grid_Stock'!BV2</f>
        <v/>
      </c>
      <c r="BY41">
        <f>'Grid_Stock'!BW2</f>
        <v/>
      </c>
      <c r="BZ41">
        <f>'Grid_Stock'!BX2</f>
        <v/>
      </c>
      <c r="CA41">
        <f>'Grid_Stock'!BY2</f>
        <v/>
      </c>
      <c r="CB41">
        <f>'Grid_Stock'!BZ2</f>
        <v/>
      </c>
      <c r="CC41">
        <f>'Grid_Stock'!CA2</f>
        <v/>
      </c>
      <c r="CD41">
        <f>'Grid_Stock'!CB2</f>
        <v/>
      </c>
      <c r="CE41">
        <f>'Grid_Stock'!CC2</f>
        <v/>
      </c>
      <c r="CF41">
        <f>'Grid_Stock'!CD2</f>
        <v/>
      </c>
      <c r="CG41">
        <f>'Grid_Stock'!CE2</f>
        <v/>
      </c>
      <c r="CH41">
        <f>'Grid_Stock'!CF2</f>
        <v/>
      </c>
      <c r="CI41">
        <f>'Grid_Stock'!CG2</f>
        <v/>
      </c>
      <c r="CJ41">
        <f>'Grid_Stock'!CH2</f>
        <v/>
      </c>
      <c r="CK41">
        <f>'Grid_Stock'!CI2</f>
        <v/>
      </c>
      <c r="CL41">
        <f>'Grid_Stock'!CJ2</f>
        <v/>
      </c>
      <c r="CM41">
        <f>'Grid_Stock'!CK2</f>
        <v/>
      </c>
      <c r="CN41">
        <f>'Grid_Stock'!CL2</f>
        <v/>
      </c>
      <c r="CO41">
        <f>'Grid_Stock'!CM2</f>
        <v/>
      </c>
      <c r="CP41">
        <f>'Grid_Stock'!CN2</f>
        <v/>
      </c>
      <c r="CQ41">
        <f>'Grid_Stock'!CO2</f>
        <v/>
      </c>
      <c r="CR41">
        <f>'Grid_Stock'!CP2</f>
        <v/>
      </c>
      <c r="CS41">
        <f>'Grid_Stock'!CQ2</f>
        <v/>
      </c>
      <c r="CT41">
        <f>'Grid_Stock'!CR2</f>
        <v/>
      </c>
      <c r="CU41">
        <f>'Grid_Stock'!CS2</f>
        <v/>
      </c>
      <c r="CV41">
        <f>'Grid_Stock'!CT2</f>
        <v/>
      </c>
      <c r="CW41">
        <f>'Grid_Stock'!CU2</f>
        <v/>
      </c>
      <c r="CX41">
        <f>'Grid_Stock'!CV2</f>
        <v/>
      </c>
      <c r="CY41">
        <f>'Grid_Stock'!CW2</f>
        <v/>
      </c>
      <c r="CZ41">
        <f>'Grid_Stock'!CX2</f>
        <v/>
      </c>
      <c r="DA41">
        <f>'Grid_Stock'!CY2</f>
        <v/>
      </c>
      <c r="DB41">
        <f>'Grid_Stock'!CZ2</f>
        <v/>
      </c>
      <c r="DC41">
        <f>'Grid_Stock'!DA2</f>
        <v/>
      </c>
    </row>
    <row r="42">
      <c r="B42" s="16" t="inlineStr">
        <is>
          <t>（発注の目安はDashboardの基準在庫[下限/上限]と色分けを参照）</t>
        </is>
      </c>
    </row>
    <row r="44">
      <c r="A44" s="14" t="inlineStr">
        <is>
          <t>CHEM-1420</t>
        </is>
      </c>
      <c r="B44" s="14" t="inlineStr">
        <is>
          <t>HEC SE900</t>
        </is>
      </c>
      <c r="C44" s="15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  <c r="CL44" s="14" t="n"/>
      <c r="CM44" s="14" t="n"/>
      <c r="CN44" s="14" t="n"/>
      <c r="CO44" s="14" t="n"/>
      <c r="CP44" s="14" t="n"/>
      <c r="CQ44" s="14" t="n"/>
      <c r="CR44" s="14" t="n"/>
      <c r="CS44" s="14" t="n"/>
      <c r="CT44" s="14" t="n"/>
      <c r="CU44" s="14" t="n"/>
      <c r="CV44" s="14" t="n"/>
      <c r="CW44" s="14" t="n"/>
      <c r="CX44" s="14" t="n"/>
      <c r="CY44" s="14" t="n"/>
      <c r="CZ44" s="14" t="n"/>
      <c r="DA44" s="14" t="n"/>
      <c r="DB44" s="14" t="n"/>
      <c r="DC44" s="14" t="n"/>
    </row>
    <row r="45">
      <c r="B45" t="inlineStr">
        <is>
          <t>TSP-049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SUMIFS(M_BOM[RM_Qty_Per_Batch],M_BOM[Intermediate],$B45,M_BOM[Part Name],$A44)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TSP-050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SUMIFS(M_BOM[RM_Qty_Per_Batch],M_BOM[Intermediate],$B47,M_BOM[Part Name],$A44)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TSP-067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SUMIFS(M_BOM[RM_Qty_Per_Batch],M_BOM[Intermediate],$B49,M_BOM[Part Name],$A44)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TSP-069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SUMIFS(M_BOM[RM_Qty_Per_Batch],M_BOM[Intermediate],$B51,M_BOM[Part Name],$A44)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TSP-077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SUMIFS(M_BOM[RM_Qty_Per_Batch],M_BOM[Intermediate],$B53,M_BOM[Part Name],$A44)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TSP-078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SUMIFS(M_BOM[RM_Qty_Per_Batch],M_BOM[Intermediate],$B55,M_BOM[Part Name],$A44)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TSP-080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SUMIFS(M_BOM[RM_Qty_Per_Batch],M_BOM[Intermediate],$B57,M_BOM[Part Name],$A44)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TSP-089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Name],$A44)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TSP-104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SUMIFS(M_BOM[RM_Qty_Per_Batch],M_BOM[Intermediate],$B61,M_BOM[Part Name],$A44)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TSP-105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SUMIFS(M_BOM[RM_Qty_Per_Batch],M_BOM[Intermediate],$B63,M_BOM[Part Name],$A44)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TSP-199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SUMIFS(M_BOM[RM_Qty_Per_Batch],M_BOM[Intermediate],$B65,M_BOM[Part Name],$A44)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TSP-205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SUMIFS(M_BOM[RM_Qty_Per_Batch],M_BOM[Intermediate],$B67,M_BOM[Part Name],$A44)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TSP-206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SUMIFS(M_BOM[RM_Qty_Per_Batch],M_BOM[Intermediate],$B69,M_BOM[Part Name],$A44)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TSP-218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SUMIFS(M_BOM[RM_Qty_Per_Batch],M_BOM[Intermediate],$B71,M_BOM[Part Name],$A44)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TSP-219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SUMIFS(M_BOM[RM_Qty_Per_Batch],M_BOM[Intermediate],$B73,M_BOM[Part Name],$A44)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TSP-224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SUMIFS(M_BOM[RM_Qty_Per_Batch],M_BOM[Intermediate],$B75,M_BOM[Part Name],$A44)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TSP-225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SUMIFS(M_BOM[RM_Qty_Per_Batch],M_BOM[Intermediate],$B77,M_BOM[Part Name],$A44)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TSP-360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SUMIFS(M_BOM[RM_Qty_Per_Batch],M_BOM[Intermediate],$B79,M_BOM[Part Name],$A44)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TSP-367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SUMIFS(M_BOM[RM_Qty_Per_Batch],M_BOM[Intermediate],$B81,M_BOM[Part Name],$A44)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TSP-369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SUMIFS(M_BOM[RM_Qty_Per_Batch],M_BOM[Intermediate],$B83,M_BOM[Part Name],$A44)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TSP-390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SUMIFS(M_BOM[RM_Qty_Per_Batch],M_BOM[Intermediate],$B85,M_BOM[Part Name],$A44)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TSP-399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SUMIFS(M_BOM[RM_Qty_Per_Batch],M_BOM[Intermediate],$B87,M_BOM[Part Name],$A44)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TSP-402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Name],$A44)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TSP-403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SUMIFS(M_BOM[RM_Qty_Per_Batch],M_BOM[Intermediate],$B91,M_BOM[Part Name],$A44)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TSP-404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SUMIFS(M_BOM[RM_Qty_Per_Batch],M_BOM[Intermediate],$B93,M_BOM[Part Name],$A44)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TSP-405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SUMIFS(M_BOM[RM_Qty_Per_Batch],M_BOM[Intermediate],$B95,M_BOM[Part Name],$A44)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TSP-544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SUMIFS(M_BOM[RM_Qty_Per_Batch],M_BOM[Intermediate],$B97,M_BOM[Part Name],$A44)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TSP-558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SUMIFS(M_BOM[RM_Qty_Per_Batch],M_BOM[Intermediate],$B99,M_BOM[Part Name],$A44)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TSP-618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SUMIFS(M_BOM[RM_Qty_Per_Batch],M_BOM[Intermediate],$B101,M_BOM[Part Name],$A44)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TSP-620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SUMIFS(M_BOM[RM_Qty_Per_Batch],M_BOM[Intermediate],$B103,M_BOM[Part Name],$A44)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TSP-623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SUMIFS(M_BOM[RM_Qty_Per_Batch],M_BOM[Intermediate],$B105,M_BOM[Part Name],$A44)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TSP-655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SUMIFS(M_BOM[RM_Qty_Per_Batch],M_BOM[Intermediate],$B107,M_BOM[Part Name],$A44)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TSP-656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SUMIFS(M_BOM[RM_Qty_Per_Batch],M_BOM[Intermediate],$B109,M_BOM[Part Name],$A44)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TSP-668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Name],$A44)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TSP-669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SUMIFS(M_BOM[RM_Qty_Per_Batch],M_BOM[Intermediate],$B113,M_BOM[Part Name],$A44)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TSP-670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SUMIFS(M_BOM[RM_Qty_Per_Batch],M_BOM[Intermediate],$B115,M_BOM[Part Name],$A44)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TSP-699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SUMIFS(M_BOM[RM_Qty_Per_Batch],M_BOM[Intermediate],$B117,M_BOM[Part Name],$A44)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TSP-710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SUMIFS(M_BOM[RM_Qty_Per_Batch],M_BOM[Intermediate],$B119,M_BOM[Part Name],$A44)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TSP-828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SUMIFS(M_BOM[RM_Qty_Per_Batch],M_BOM[Intermediate],$B121,M_BOM[Part Name],$A44)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TSP-903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SUMIFS(M_BOM[RM_Qty_Per_Batch],M_BOM[Intermediate],$B123,M_BOM[Part Name],$A44)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TSP-924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SUMIFS(M_BOM[RM_Qty_Per_Batch],M_BOM[Intermediate],$B125,M_BOM[Part Name],$A44)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TSP-925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SUMIFS(M_BOM[RM_Qty_Per_Batch],M_BOM[Intermediate],$B127,M_BOM[Part Name],$A44)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TSP-927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SUMIFS(M_BOM[RM_Qty_Per_Batch],M_BOM[Intermediate],$B129,M_BOM[Part Name],$A44)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TSP-928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SUMIFS(M_BOM[RM_Qty_Per_Batch],M_BOM[Intermediate],$B131,M_BOM[Part Name],$A44)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TSP-929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SUMIFS(M_BOM[RM_Qty_Per_Batch],M_BOM[Intermediate],$B133,M_BOM[Part Name],$A44)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TSP-930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SUMIFS(M_BOM[RM_Qty_Per_Batch],M_BOM[Intermediate],$B135,M_BOM[Part Name],$A44)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TSP-934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SUMIFS(M_BOM[RM_Qty_Per_Batch],M_BOM[Intermediate],$B137,M_BOM[Part Name],$A44)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t="inlineStr">
        <is>
          <t>TSP-935</t>
        </is>
      </c>
      <c r="C139" t="inlineStr">
        <is>
          <t>No. of batches</t>
        </is>
      </c>
      <c r="D139">
        <f>IFERROR(INDEX(PP_Grid[#Data],$DD139,2),0)</f>
        <v/>
      </c>
      <c r="E139">
        <f>IFERROR(INDEX(PP_Grid[#Data],$DD139,3),0)</f>
        <v/>
      </c>
      <c r="F139">
        <f>IFERROR(INDEX(PP_Grid[#Data],$DD139,4),0)</f>
        <v/>
      </c>
      <c r="G139">
        <f>IFERROR(INDEX(PP_Grid[#Data],$DD139,5),0)</f>
        <v/>
      </c>
      <c r="H139">
        <f>IFERROR(INDEX(PP_Grid[#Data],$DD139,6),0)</f>
        <v/>
      </c>
      <c r="I139">
        <f>IFERROR(INDEX(PP_Grid[#Data],$DD139,7),0)</f>
        <v/>
      </c>
      <c r="J139">
        <f>IFERROR(INDEX(PP_Grid[#Data],$DD139,8),0)</f>
        <v/>
      </c>
      <c r="K139">
        <f>IFERROR(INDEX(PP_Grid[#Data],$DD139,9),0)</f>
        <v/>
      </c>
      <c r="L139">
        <f>IFERROR(INDEX(PP_Grid[#Data],$DD139,10),0)</f>
        <v/>
      </c>
      <c r="M139">
        <f>IFERROR(INDEX(PP_Grid[#Data],$DD139,11),0)</f>
        <v/>
      </c>
      <c r="N139">
        <f>IFERROR(INDEX(PP_Grid[#Data],$DD139,12),0)</f>
        <v/>
      </c>
      <c r="O139">
        <f>IFERROR(INDEX(PP_Grid[#Data],$DD139,13),0)</f>
        <v/>
      </c>
      <c r="P139">
        <f>IFERROR(INDEX(PP_Grid[#Data],$DD139,14),0)</f>
        <v/>
      </c>
      <c r="Q139">
        <f>IFERROR(INDEX(PP_Grid[#Data],$DD139,15),0)</f>
        <v/>
      </c>
      <c r="R139">
        <f>IFERROR(INDEX(PP_Grid[#Data],$DD139,16),0)</f>
        <v/>
      </c>
      <c r="S139">
        <f>IFERROR(INDEX(PP_Grid[#Data],$DD139,17),0)</f>
        <v/>
      </c>
      <c r="T139">
        <f>IFERROR(INDEX(PP_Grid[#Data],$DD139,18),0)</f>
        <v/>
      </c>
      <c r="U139">
        <f>IFERROR(INDEX(PP_Grid[#Data],$DD139,19),0)</f>
        <v/>
      </c>
      <c r="V139">
        <f>IFERROR(INDEX(PP_Grid[#Data],$DD139,20),0)</f>
        <v/>
      </c>
      <c r="W139">
        <f>IFERROR(INDEX(PP_Grid[#Data],$DD139,21),0)</f>
        <v/>
      </c>
      <c r="X139">
        <f>IFERROR(INDEX(PP_Grid[#Data],$DD139,22),0)</f>
        <v/>
      </c>
      <c r="Y139">
        <f>IFERROR(INDEX(PP_Grid[#Data],$DD139,23),0)</f>
        <v/>
      </c>
      <c r="Z139">
        <f>IFERROR(INDEX(PP_Grid[#Data],$DD139,24),0)</f>
        <v/>
      </c>
      <c r="AA139">
        <f>IFERROR(INDEX(PP_Grid[#Data],$DD139,25),0)</f>
        <v/>
      </c>
      <c r="AB139">
        <f>IFERROR(INDEX(PP_Grid[#Data],$DD139,26),0)</f>
        <v/>
      </c>
      <c r="AC139">
        <f>IFERROR(INDEX(PP_Grid[#Data],$DD139,27),0)</f>
        <v/>
      </c>
      <c r="AD139">
        <f>IFERROR(INDEX(PP_Grid[#Data],$DD139,28),0)</f>
        <v/>
      </c>
      <c r="AE139">
        <f>IFERROR(INDEX(PP_Grid[#Data],$DD139,29),0)</f>
        <v/>
      </c>
      <c r="AF139">
        <f>IFERROR(INDEX(PP_Grid[#Data],$DD139,30),0)</f>
        <v/>
      </c>
      <c r="AG139">
        <f>IFERROR(INDEX(PP_Grid[#Data],$DD139,31),0)</f>
        <v/>
      </c>
      <c r="AH139">
        <f>IFERROR(INDEX(PP_Grid[#Data],$DD139,32),0)</f>
        <v/>
      </c>
      <c r="AI139">
        <f>IFERROR(INDEX(PP_Grid[#Data],$DD139,33),0)</f>
        <v/>
      </c>
      <c r="AJ139">
        <f>IFERROR(INDEX(PP_Grid[#Data],$DD139,34),0)</f>
        <v/>
      </c>
      <c r="AK139">
        <f>IFERROR(INDEX(PP_Grid[#Data],$DD139,35),0)</f>
        <v/>
      </c>
      <c r="AL139">
        <f>IFERROR(INDEX(PP_Grid[#Data],$DD139,36),0)</f>
        <v/>
      </c>
      <c r="AM139">
        <f>IFERROR(INDEX(PP_Grid[#Data],$DD139,37),0)</f>
        <v/>
      </c>
      <c r="AN139">
        <f>IFERROR(INDEX(PP_Grid[#Data],$DD139,38),0)</f>
        <v/>
      </c>
      <c r="AO139">
        <f>IFERROR(INDEX(PP_Grid[#Data],$DD139,39),0)</f>
        <v/>
      </c>
      <c r="AP139">
        <f>IFERROR(INDEX(PP_Grid[#Data],$DD139,40),0)</f>
        <v/>
      </c>
      <c r="AQ139">
        <f>IFERROR(INDEX(PP_Grid[#Data],$DD139,41),0)</f>
        <v/>
      </c>
      <c r="AR139">
        <f>IFERROR(INDEX(PP_Grid[#Data],$DD139,42),0)</f>
        <v/>
      </c>
      <c r="AS139">
        <f>IFERROR(INDEX(PP_Grid[#Data],$DD139,43),0)</f>
        <v/>
      </c>
      <c r="AT139">
        <f>IFERROR(INDEX(PP_Grid[#Data],$DD139,44),0)</f>
        <v/>
      </c>
      <c r="AU139">
        <f>IFERROR(INDEX(PP_Grid[#Data],$DD139,45),0)</f>
        <v/>
      </c>
      <c r="AV139">
        <f>IFERROR(INDEX(PP_Grid[#Data],$DD139,46),0)</f>
        <v/>
      </c>
      <c r="AW139">
        <f>IFERROR(INDEX(PP_Grid[#Data],$DD139,47),0)</f>
        <v/>
      </c>
      <c r="AX139">
        <f>IFERROR(INDEX(PP_Grid[#Data],$DD139,48),0)</f>
        <v/>
      </c>
      <c r="AY139">
        <f>IFERROR(INDEX(PP_Grid[#Data],$DD139,49),0)</f>
        <v/>
      </c>
      <c r="AZ139">
        <f>IFERROR(INDEX(PP_Grid[#Data],$DD139,50),0)</f>
        <v/>
      </c>
      <c r="BA139">
        <f>IFERROR(INDEX(PP_Grid[#Data],$DD139,51),0)</f>
        <v/>
      </c>
      <c r="BB139">
        <f>IFERROR(INDEX(PP_Grid[#Data],$DD139,52),0)</f>
        <v/>
      </c>
      <c r="BC139">
        <f>IFERROR(INDEX(PP_Grid[#Data],$DD139,53),0)</f>
        <v/>
      </c>
      <c r="BD139">
        <f>IFERROR(INDEX(PP_Grid[#Data],$DD139,54),0)</f>
        <v/>
      </c>
      <c r="BE139">
        <f>IFERROR(INDEX(PP_Grid[#Data],$DD139,55),0)</f>
        <v/>
      </c>
      <c r="BF139">
        <f>IFERROR(INDEX(PP_Grid[#Data],$DD139,56),0)</f>
        <v/>
      </c>
      <c r="BG139">
        <f>IFERROR(INDEX(PP_Grid[#Data],$DD139,57),0)</f>
        <v/>
      </c>
      <c r="BH139">
        <f>IFERROR(INDEX(PP_Grid[#Data],$DD139,58),0)</f>
        <v/>
      </c>
      <c r="BI139">
        <f>IFERROR(INDEX(PP_Grid[#Data],$DD139,59),0)</f>
        <v/>
      </c>
      <c r="BJ139">
        <f>IFERROR(INDEX(PP_Grid[#Data],$DD139,60),0)</f>
        <v/>
      </c>
      <c r="BK139">
        <f>IFERROR(INDEX(PP_Grid[#Data],$DD139,61),0)</f>
        <v/>
      </c>
      <c r="BL139">
        <f>IFERROR(INDEX(PP_Grid[#Data],$DD139,62),0)</f>
        <v/>
      </c>
      <c r="BM139">
        <f>IFERROR(INDEX(PP_Grid[#Data],$DD139,63),0)</f>
        <v/>
      </c>
      <c r="BN139">
        <f>IFERROR(INDEX(PP_Grid[#Data],$DD139,64),0)</f>
        <v/>
      </c>
      <c r="BO139">
        <f>IFERROR(INDEX(PP_Grid[#Data],$DD139,65),0)</f>
        <v/>
      </c>
      <c r="BP139">
        <f>IFERROR(INDEX(PP_Grid[#Data],$DD139,66),0)</f>
        <v/>
      </c>
      <c r="BQ139">
        <f>IFERROR(INDEX(PP_Grid[#Data],$DD139,67),0)</f>
        <v/>
      </c>
      <c r="BR139">
        <f>IFERROR(INDEX(PP_Grid[#Data],$DD139,68),0)</f>
        <v/>
      </c>
      <c r="BS139">
        <f>IFERROR(INDEX(PP_Grid[#Data],$DD139,69),0)</f>
        <v/>
      </c>
      <c r="BT139">
        <f>IFERROR(INDEX(PP_Grid[#Data],$DD139,70),0)</f>
        <v/>
      </c>
      <c r="BU139">
        <f>IFERROR(INDEX(PP_Grid[#Data],$DD139,71),0)</f>
        <v/>
      </c>
      <c r="BV139">
        <f>IFERROR(INDEX(PP_Grid[#Data],$DD139,72),0)</f>
        <v/>
      </c>
      <c r="BW139">
        <f>IFERROR(INDEX(PP_Grid[#Data],$DD139,73),0)</f>
        <v/>
      </c>
      <c r="BX139">
        <f>IFERROR(INDEX(PP_Grid[#Data],$DD139,74),0)</f>
        <v/>
      </c>
      <c r="BY139">
        <f>IFERROR(INDEX(PP_Grid[#Data],$DD139,75),0)</f>
        <v/>
      </c>
      <c r="BZ139">
        <f>IFERROR(INDEX(PP_Grid[#Data],$DD139,76),0)</f>
        <v/>
      </c>
      <c r="CA139">
        <f>IFERROR(INDEX(PP_Grid[#Data],$DD139,77),0)</f>
        <v/>
      </c>
      <c r="CB139">
        <f>IFERROR(INDEX(PP_Grid[#Data],$DD139,78),0)</f>
        <v/>
      </c>
      <c r="CC139">
        <f>IFERROR(INDEX(PP_Grid[#Data],$DD139,79),0)</f>
        <v/>
      </c>
      <c r="CD139">
        <f>IFERROR(INDEX(PP_Grid[#Data],$DD139,80),0)</f>
        <v/>
      </c>
      <c r="CE139">
        <f>IFERROR(INDEX(PP_Grid[#Data],$DD139,81),0)</f>
        <v/>
      </c>
      <c r="CF139">
        <f>IFERROR(INDEX(PP_Grid[#Data],$DD139,82),0)</f>
        <v/>
      </c>
      <c r="CG139">
        <f>IFERROR(INDEX(PP_Grid[#Data],$DD139,83),0)</f>
        <v/>
      </c>
      <c r="CH139">
        <f>IFERROR(INDEX(PP_Grid[#Data],$DD139,84),0)</f>
        <v/>
      </c>
      <c r="CI139">
        <f>IFERROR(INDEX(PP_Grid[#Data],$DD139,85),0)</f>
        <v/>
      </c>
      <c r="CJ139">
        <f>IFERROR(INDEX(PP_Grid[#Data],$DD139,86),0)</f>
        <v/>
      </c>
      <c r="CK139">
        <f>IFERROR(INDEX(PP_Grid[#Data],$DD139,87),0)</f>
        <v/>
      </c>
      <c r="CL139">
        <f>IFERROR(INDEX(PP_Grid[#Data],$DD139,88),0)</f>
        <v/>
      </c>
      <c r="CM139">
        <f>IFERROR(INDEX(PP_Grid[#Data],$DD139,89),0)</f>
        <v/>
      </c>
      <c r="CN139">
        <f>IFERROR(INDEX(PP_Grid[#Data],$DD139,90),0)</f>
        <v/>
      </c>
      <c r="CO139">
        <f>IFERROR(INDEX(PP_Grid[#Data],$DD139,91),0)</f>
        <v/>
      </c>
      <c r="CP139">
        <f>IFERROR(INDEX(PP_Grid[#Data],$DD139,92),0)</f>
        <v/>
      </c>
      <c r="CQ139">
        <f>IFERROR(INDEX(PP_Grid[#Data],$DD139,93),0)</f>
        <v/>
      </c>
      <c r="CR139">
        <f>IFERROR(INDEX(PP_Grid[#Data],$DD139,94),0)</f>
        <v/>
      </c>
      <c r="CS139">
        <f>IFERROR(INDEX(PP_Grid[#Data],$DD139,95),0)</f>
        <v/>
      </c>
      <c r="CT139">
        <f>IFERROR(INDEX(PP_Grid[#Data],$DD139,96),0)</f>
        <v/>
      </c>
      <c r="CU139">
        <f>IFERROR(INDEX(PP_Grid[#Data],$DD139,97),0)</f>
        <v/>
      </c>
      <c r="CV139">
        <f>IFERROR(INDEX(PP_Grid[#Data],$DD139,98),0)</f>
        <v/>
      </c>
      <c r="CW139">
        <f>IFERROR(INDEX(PP_Grid[#Data],$DD139,99),0)</f>
        <v/>
      </c>
      <c r="CX139">
        <f>IFERROR(INDEX(PP_Grid[#Data],$DD139,100),0)</f>
        <v/>
      </c>
      <c r="CY139">
        <f>IFERROR(INDEX(PP_Grid[#Data],$DD139,101),0)</f>
        <v/>
      </c>
      <c r="CZ139">
        <f>IFERROR(INDEX(PP_Grid[#Data],$DD139,102),0)</f>
        <v/>
      </c>
      <c r="DA139">
        <f>IFERROR(INDEX(PP_Grid[#Data],$DD139,103),0)</f>
        <v/>
      </c>
      <c r="DB139">
        <f>IFERROR(INDEX(PP_Grid[#Data],$DD139,104),0)</f>
        <v/>
      </c>
      <c r="DC139">
        <f>IFERROR(INDEX(PP_Grid[#Data],$DD139,105),0)</f>
        <v/>
      </c>
      <c r="DD139" s="7">
        <f>IFERROR(MATCH($B139,PP_Grid[Intermediate],0),99999)</f>
        <v/>
      </c>
    </row>
    <row r="140">
      <c r="B140" t="inlineStr">
        <is>
          <t>使用量(kg)</t>
        </is>
      </c>
      <c r="C140">
        <f>SUMIFS(M_BOM[RM_Qty_Per_Batch],M_BOM[Intermediate],$B139,M_BOM[Part Name],$A44)</f>
        <v/>
      </c>
      <c r="D140">
        <f>$C140*D139</f>
        <v/>
      </c>
      <c r="E140">
        <f>$C140*E139</f>
        <v/>
      </c>
      <c r="F140">
        <f>$C140*F139</f>
        <v/>
      </c>
      <c r="G140">
        <f>$C140*G139</f>
        <v/>
      </c>
      <c r="H140">
        <f>$C140*H139</f>
        <v/>
      </c>
      <c r="I140">
        <f>$C140*I139</f>
        <v/>
      </c>
      <c r="J140">
        <f>$C140*J139</f>
        <v/>
      </c>
      <c r="K140">
        <f>$C140*K139</f>
        <v/>
      </c>
      <c r="L140">
        <f>$C140*L139</f>
        <v/>
      </c>
      <c r="M140">
        <f>$C140*M139</f>
        <v/>
      </c>
      <c r="N140">
        <f>$C140*N139</f>
        <v/>
      </c>
      <c r="O140">
        <f>$C140*O139</f>
        <v/>
      </c>
      <c r="P140">
        <f>$C140*P139</f>
        <v/>
      </c>
      <c r="Q140">
        <f>$C140*Q139</f>
        <v/>
      </c>
      <c r="R140">
        <f>$C140*R139</f>
        <v/>
      </c>
      <c r="S140">
        <f>$C140*S139</f>
        <v/>
      </c>
      <c r="T140">
        <f>$C140*T139</f>
        <v/>
      </c>
      <c r="U140">
        <f>$C140*U139</f>
        <v/>
      </c>
      <c r="V140">
        <f>$C140*V139</f>
        <v/>
      </c>
      <c r="W140">
        <f>$C140*W139</f>
        <v/>
      </c>
      <c r="X140">
        <f>$C140*X139</f>
        <v/>
      </c>
      <c r="Y140">
        <f>$C140*Y139</f>
        <v/>
      </c>
      <c r="Z140">
        <f>$C140*Z139</f>
        <v/>
      </c>
      <c r="AA140">
        <f>$C140*AA139</f>
        <v/>
      </c>
      <c r="AB140">
        <f>$C140*AB139</f>
        <v/>
      </c>
      <c r="AC140">
        <f>$C140*AC139</f>
        <v/>
      </c>
      <c r="AD140">
        <f>$C140*AD139</f>
        <v/>
      </c>
      <c r="AE140">
        <f>$C140*AE139</f>
        <v/>
      </c>
      <c r="AF140">
        <f>$C140*AF139</f>
        <v/>
      </c>
      <c r="AG140">
        <f>$C140*AG139</f>
        <v/>
      </c>
      <c r="AH140">
        <f>$C140*AH139</f>
        <v/>
      </c>
      <c r="AI140">
        <f>$C140*AI139</f>
        <v/>
      </c>
      <c r="AJ140">
        <f>$C140*AJ139</f>
        <v/>
      </c>
      <c r="AK140">
        <f>$C140*AK139</f>
        <v/>
      </c>
      <c r="AL140">
        <f>$C140*AL139</f>
        <v/>
      </c>
      <c r="AM140">
        <f>$C140*AM139</f>
        <v/>
      </c>
      <c r="AN140">
        <f>$C140*AN139</f>
        <v/>
      </c>
      <c r="AO140">
        <f>$C140*AO139</f>
        <v/>
      </c>
      <c r="AP140">
        <f>$C140*AP139</f>
        <v/>
      </c>
      <c r="AQ140">
        <f>$C140*AQ139</f>
        <v/>
      </c>
      <c r="AR140">
        <f>$C140*AR139</f>
        <v/>
      </c>
      <c r="AS140">
        <f>$C140*AS139</f>
        <v/>
      </c>
      <c r="AT140">
        <f>$C140*AT139</f>
        <v/>
      </c>
      <c r="AU140">
        <f>$C140*AU139</f>
        <v/>
      </c>
      <c r="AV140">
        <f>$C140*AV139</f>
        <v/>
      </c>
      <c r="AW140">
        <f>$C140*AW139</f>
        <v/>
      </c>
      <c r="AX140">
        <f>$C140*AX139</f>
        <v/>
      </c>
      <c r="AY140">
        <f>$C140*AY139</f>
        <v/>
      </c>
      <c r="AZ140">
        <f>$C140*AZ139</f>
        <v/>
      </c>
      <c r="BA140">
        <f>$C140*BA139</f>
        <v/>
      </c>
      <c r="BB140">
        <f>$C140*BB139</f>
        <v/>
      </c>
      <c r="BC140">
        <f>$C140*BC139</f>
        <v/>
      </c>
      <c r="BD140">
        <f>$C140*BD139</f>
        <v/>
      </c>
      <c r="BE140">
        <f>$C140*BE139</f>
        <v/>
      </c>
      <c r="BF140">
        <f>$C140*BF139</f>
        <v/>
      </c>
      <c r="BG140">
        <f>$C140*BG139</f>
        <v/>
      </c>
      <c r="BH140">
        <f>$C140*BH139</f>
        <v/>
      </c>
      <c r="BI140">
        <f>$C140*BI139</f>
        <v/>
      </c>
      <c r="BJ140">
        <f>$C140*BJ139</f>
        <v/>
      </c>
      <c r="BK140">
        <f>$C140*BK139</f>
        <v/>
      </c>
      <c r="BL140">
        <f>$C140*BL139</f>
        <v/>
      </c>
      <c r="BM140">
        <f>$C140*BM139</f>
        <v/>
      </c>
      <c r="BN140">
        <f>$C140*BN139</f>
        <v/>
      </c>
      <c r="BO140">
        <f>$C140*BO139</f>
        <v/>
      </c>
      <c r="BP140">
        <f>$C140*BP139</f>
        <v/>
      </c>
      <c r="BQ140">
        <f>$C140*BQ139</f>
        <v/>
      </c>
      <c r="BR140">
        <f>$C140*BR139</f>
        <v/>
      </c>
      <c r="BS140">
        <f>$C140*BS139</f>
        <v/>
      </c>
      <c r="BT140">
        <f>$C140*BT139</f>
        <v/>
      </c>
      <c r="BU140">
        <f>$C140*BU139</f>
        <v/>
      </c>
      <c r="BV140">
        <f>$C140*BV139</f>
        <v/>
      </c>
      <c r="BW140">
        <f>$C140*BW139</f>
        <v/>
      </c>
      <c r="BX140">
        <f>$C140*BX139</f>
        <v/>
      </c>
      <c r="BY140">
        <f>$C140*BY139</f>
        <v/>
      </c>
      <c r="BZ140">
        <f>$C140*BZ139</f>
        <v/>
      </c>
      <c r="CA140">
        <f>$C140*CA139</f>
        <v/>
      </c>
      <c r="CB140">
        <f>$C140*CB139</f>
        <v/>
      </c>
      <c r="CC140">
        <f>$C140*CC139</f>
        <v/>
      </c>
      <c r="CD140">
        <f>$C140*CD139</f>
        <v/>
      </c>
      <c r="CE140">
        <f>$C140*CE139</f>
        <v/>
      </c>
      <c r="CF140">
        <f>$C140*CF139</f>
        <v/>
      </c>
      <c r="CG140">
        <f>$C140*CG139</f>
        <v/>
      </c>
      <c r="CH140">
        <f>$C140*CH139</f>
        <v/>
      </c>
      <c r="CI140">
        <f>$C140*CI139</f>
        <v/>
      </c>
      <c r="CJ140">
        <f>$C140*CJ139</f>
        <v/>
      </c>
      <c r="CK140">
        <f>$C140*CK139</f>
        <v/>
      </c>
      <c r="CL140">
        <f>$C140*CL139</f>
        <v/>
      </c>
      <c r="CM140">
        <f>$C140*CM139</f>
        <v/>
      </c>
      <c r="CN140">
        <f>$C140*CN139</f>
        <v/>
      </c>
      <c r="CO140">
        <f>$C140*CO139</f>
        <v/>
      </c>
      <c r="CP140">
        <f>$C140*CP139</f>
        <v/>
      </c>
      <c r="CQ140">
        <f>$C140*CQ139</f>
        <v/>
      </c>
      <c r="CR140">
        <f>$C140*CR139</f>
        <v/>
      </c>
      <c r="CS140">
        <f>$C140*CS139</f>
        <v/>
      </c>
      <c r="CT140">
        <f>$C140*CT139</f>
        <v/>
      </c>
      <c r="CU140">
        <f>$C140*CU139</f>
        <v/>
      </c>
      <c r="CV140">
        <f>$C140*CV139</f>
        <v/>
      </c>
      <c r="CW140">
        <f>$C140*CW139</f>
        <v/>
      </c>
      <c r="CX140">
        <f>$C140*CX139</f>
        <v/>
      </c>
      <c r="CY140">
        <f>$C140*CY139</f>
        <v/>
      </c>
      <c r="CZ140">
        <f>$C140*CZ139</f>
        <v/>
      </c>
      <c r="DA140">
        <f>$C140*DA139</f>
        <v/>
      </c>
      <c r="DB140">
        <f>$C140*DB139</f>
        <v/>
      </c>
      <c r="DC140">
        <f>$C140*DC139</f>
        <v/>
      </c>
    </row>
    <row r="141">
      <c r="B141" t="inlineStr">
        <is>
          <t>TSP-936</t>
        </is>
      </c>
      <c r="C141" t="inlineStr">
        <is>
          <t>No. of batches</t>
        </is>
      </c>
      <c r="D141">
        <f>IFERROR(INDEX(PP_Grid[#Data],$DD141,2),0)</f>
        <v/>
      </c>
      <c r="E141">
        <f>IFERROR(INDEX(PP_Grid[#Data],$DD141,3),0)</f>
        <v/>
      </c>
      <c r="F141">
        <f>IFERROR(INDEX(PP_Grid[#Data],$DD141,4),0)</f>
        <v/>
      </c>
      <c r="G141">
        <f>IFERROR(INDEX(PP_Grid[#Data],$DD141,5),0)</f>
        <v/>
      </c>
      <c r="H141">
        <f>IFERROR(INDEX(PP_Grid[#Data],$DD141,6),0)</f>
        <v/>
      </c>
      <c r="I141">
        <f>IFERROR(INDEX(PP_Grid[#Data],$DD141,7),0)</f>
        <v/>
      </c>
      <c r="J141">
        <f>IFERROR(INDEX(PP_Grid[#Data],$DD141,8),0)</f>
        <v/>
      </c>
      <c r="K141">
        <f>IFERROR(INDEX(PP_Grid[#Data],$DD141,9),0)</f>
        <v/>
      </c>
      <c r="L141">
        <f>IFERROR(INDEX(PP_Grid[#Data],$DD141,10),0)</f>
        <v/>
      </c>
      <c r="M141">
        <f>IFERROR(INDEX(PP_Grid[#Data],$DD141,11),0)</f>
        <v/>
      </c>
      <c r="N141">
        <f>IFERROR(INDEX(PP_Grid[#Data],$DD141,12),0)</f>
        <v/>
      </c>
      <c r="O141">
        <f>IFERROR(INDEX(PP_Grid[#Data],$DD141,13),0)</f>
        <v/>
      </c>
      <c r="P141">
        <f>IFERROR(INDEX(PP_Grid[#Data],$DD141,14),0)</f>
        <v/>
      </c>
      <c r="Q141">
        <f>IFERROR(INDEX(PP_Grid[#Data],$DD141,15),0)</f>
        <v/>
      </c>
      <c r="R141">
        <f>IFERROR(INDEX(PP_Grid[#Data],$DD141,16),0)</f>
        <v/>
      </c>
      <c r="S141">
        <f>IFERROR(INDEX(PP_Grid[#Data],$DD141,17),0)</f>
        <v/>
      </c>
      <c r="T141">
        <f>IFERROR(INDEX(PP_Grid[#Data],$DD141,18),0)</f>
        <v/>
      </c>
      <c r="U141">
        <f>IFERROR(INDEX(PP_Grid[#Data],$DD141,19),0)</f>
        <v/>
      </c>
      <c r="V141">
        <f>IFERROR(INDEX(PP_Grid[#Data],$DD141,20),0)</f>
        <v/>
      </c>
      <c r="W141">
        <f>IFERROR(INDEX(PP_Grid[#Data],$DD141,21),0)</f>
        <v/>
      </c>
      <c r="X141">
        <f>IFERROR(INDEX(PP_Grid[#Data],$DD141,22),0)</f>
        <v/>
      </c>
      <c r="Y141">
        <f>IFERROR(INDEX(PP_Grid[#Data],$DD141,23),0)</f>
        <v/>
      </c>
      <c r="Z141">
        <f>IFERROR(INDEX(PP_Grid[#Data],$DD141,24),0)</f>
        <v/>
      </c>
      <c r="AA141">
        <f>IFERROR(INDEX(PP_Grid[#Data],$DD141,25),0)</f>
        <v/>
      </c>
      <c r="AB141">
        <f>IFERROR(INDEX(PP_Grid[#Data],$DD141,26),0)</f>
        <v/>
      </c>
      <c r="AC141">
        <f>IFERROR(INDEX(PP_Grid[#Data],$DD141,27),0)</f>
        <v/>
      </c>
      <c r="AD141">
        <f>IFERROR(INDEX(PP_Grid[#Data],$DD141,28),0)</f>
        <v/>
      </c>
      <c r="AE141">
        <f>IFERROR(INDEX(PP_Grid[#Data],$DD141,29),0)</f>
        <v/>
      </c>
      <c r="AF141">
        <f>IFERROR(INDEX(PP_Grid[#Data],$DD141,30),0)</f>
        <v/>
      </c>
      <c r="AG141">
        <f>IFERROR(INDEX(PP_Grid[#Data],$DD141,31),0)</f>
        <v/>
      </c>
      <c r="AH141">
        <f>IFERROR(INDEX(PP_Grid[#Data],$DD141,32),0)</f>
        <v/>
      </c>
      <c r="AI141">
        <f>IFERROR(INDEX(PP_Grid[#Data],$DD141,33),0)</f>
        <v/>
      </c>
      <c r="AJ141">
        <f>IFERROR(INDEX(PP_Grid[#Data],$DD141,34),0)</f>
        <v/>
      </c>
      <c r="AK141">
        <f>IFERROR(INDEX(PP_Grid[#Data],$DD141,35),0)</f>
        <v/>
      </c>
      <c r="AL141">
        <f>IFERROR(INDEX(PP_Grid[#Data],$DD141,36),0)</f>
        <v/>
      </c>
      <c r="AM141">
        <f>IFERROR(INDEX(PP_Grid[#Data],$DD141,37),0)</f>
        <v/>
      </c>
      <c r="AN141">
        <f>IFERROR(INDEX(PP_Grid[#Data],$DD141,38),0)</f>
        <v/>
      </c>
      <c r="AO141">
        <f>IFERROR(INDEX(PP_Grid[#Data],$DD141,39),0)</f>
        <v/>
      </c>
      <c r="AP141">
        <f>IFERROR(INDEX(PP_Grid[#Data],$DD141,40),0)</f>
        <v/>
      </c>
      <c r="AQ141">
        <f>IFERROR(INDEX(PP_Grid[#Data],$DD141,41),0)</f>
        <v/>
      </c>
      <c r="AR141">
        <f>IFERROR(INDEX(PP_Grid[#Data],$DD141,42),0)</f>
        <v/>
      </c>
      <c r="AS141">
        <f>IFERROR(INDEX(PP_Grid[#Data],$DD141,43),0)</f>
        <v/>
      </c>
      <c r="AT141">
        <f>IFERROR(INDEX(PP_Grid[#Data],$DD141,44),0)</f>
        <v/>
      </c>
      <c r="AU141">
        <f>IFERROR(INDEX(PP_Grid[#Data],$DD141,45),0)</f>
        <v/>
      </c>
      <c r="AV141">
        <f>IFERROR(INDEX(PP_Grid[#Data],$DD141,46),0)</f>
        <v/>
      </c>
      <c r="AW141">
        <f>IFERROR(INDEX(PP_Grid[#Data],$DD141,47),0)</f>
        <v/>
      </c>
      <c r="AX141">
        <f>IFERROR(INDEX(PP_Grid[#Data],$DD141,48),0)</f>
        <v/>
      </c>
      <c r="AY141">
        <f>IFERROR(INDEX(PP_Grid[#Data],$DD141,49),0)</f>
        <v/>
      </c>
      <c r="AZ141">
        <f>IFERROR(INDEX(PP_Grid[#Data],$DD141,50),0)</f>
        <v/>
      </c>
      <c r="BA141">
        <f>IFERROR(INDEX(PP_Grid[#Data],$DD141,51),0)</f>
        <v/>
      </c>
      <c r="BB141">
        <f>IFERROR(INDEX(PP_Grid[#Data],$DD141,52),0)</f>
        <v/>
      </c>
      <c r="BC141">
        <f>IFERROR(INDEX(PP_Grid[#Data],$DD141,53),0)</f>
        <v/>
      </c>
      <c r="BD141">
        <f>IFERROR(INDEX(PP_Grid[#Data],$DD141,54),0)</f>
        <v/>
      </c>
      <c r="BE141">
        <f>IFERROR(INDEX(PP_Grid[#Data],$DD141,55),0)</f>
        <v/>
      </c>
      <c r="BF141">
        <f>IFERROR(INDEX(PP_Grid[#Data],$DD141,56),0)</f>
        <v/>
      </c>
      <c r="BG141">
        <f>IFERROR(INDEX(PP_Grid[#Data],$DD141,57),0)</f>
        <v/>
      </c>
      <c r="BH141">
        <f>IFERROR(INDEX(PP_Grid[#Data],$DD141,58),0)</f>
        <v/>
      </c>
      <c r="BI141">
        <f>IFERROR(INDEX(PP_Grid[#Data],$DD141,59),0)</f>
        <v/>
      </c>
      <c r="BJ141">
        <f>IFERROR(INDEX(PP_Grid[#Data],$DD141,60),0)</f>
        <v/>
      </c>
      <c r="BK141">
        <f>IFERROR(INDEX(PP_Grid[#Data],$DD141,61),0)</f>
        <v/>
      </c>
      <c r="BL141">
        <f>IFERROR(INDEX(PP_Grid[#Data],$DD141,62),0)</f>
        <v/>
      </c>
      <c r="BM141">
        <f>IFERROR(INDEX(PP_Grid[#Data],$DD141,63),0)</f>
        <v/>
      </c>
      <c r="BN141">
        <f>IFERROR(INDEX(PP_Grid[#Data],$DD141,64),0)</f>
        <v/>
      </c>
      <c r="BO141">
        <f>IFERROR(INDEX(PP_Grid[#Data],$DD141,65),0)</f>
        <v/>
      </c>
      <c r="BP141">
        <f>IFERROR(INDEX(PP_Grid[#Data],$DD141,66),0)</f>
        <v/>
      </c>
      <c r="BQ141">
        <f>IFERROR(INDEX(PP_Grid[#Data],$DD141,67),0)</f>
        <v/>
      </c>
      <c r="BR141">
        <f>IFERROR(INDEX(PP_Grid[#Data],$DD141,68),0)</f>
        <v/>
      </c>
      <c r="BS141">
        <f>IFERROR(INDEX(PP_Grid[#Data],$DD141,69),0)</f>
        <v/>
      </c>
      <c r="BT141">
        <f>IFERROR(INDEX(PP_Grid[#Data],$DD141,70),0)</f>
        <v/>
      </c>
      <c r="BU141">
        <f>IFERROR(INDEX(PP_Grid[#Data],$DD141,71),0)</f>
        <v/>
      </c>
      <c r="BV141">
        <f>IFERROR(INDEX(PP_Grid[#Data],$DD141,72),0)</f>
        <v/>
      </c>
      <c r="BW141">
        <f>IFERROR(INDEX(PP_Grid[#Data],$DD141,73),0)</f>
        <v/>
      </c>
      <c r="BX141">
        <f>IFERROR(INDEX(PP_Grid[#Data],$DD141,74),0)</f>
        <v/>
      </c>
      <c r="BY141">
        <f>IFERROR(INDEX(PP_Grid[#Data],$DD141,75),0)</f>
        <v/>
      </c>
      <c r="BZ141">
        <f>IFERROR(INDEX(PP_Grid[#Data],$DD141,76),0)</f>
        <v/>
      </c>
      <c r="CA141">
        <f>IFERROR(INDEX(PP_Grid[#Data],$DD141,77),0)</f>
        <v/>
      </c>
      <c r="CB141">
        <f>IFERROR(INDEX(PP_Grid[#Data],$DD141,78),0)</f>
        <v/>
      </c>
      <c r="CC141">
        <f>IFERROR(INDEX(PP_Grid[#Data],$DD141,79),0)</f>
        <v/>
      </c>
      <c r="CD141">
        <f>IFERROR(INDEX(PP_Grid[#Data],$DD141,80),0)</f>
        <v/>
      </c>
      <c r="CE141">
        <f>IFERROR(INDEX(PP_Grid[#Data],$DD141,81),0)</f>
        <v/>
      </c>
      <c r="CF141">
        <f>IFERROR(INDEX(PP_Grid[#Data],$DD141,82),0)</f>
        <v/>
      </c>
      <c r="CG141">
        <f>IFERROR(INDEX(PP_Grid[#Data],$DD141,83),0)</f>
        <v/>
      </c>
      <c r="CH141">
        <f>IFERROR(INDEX(PP_Grid[#Data],$DD141,84),0)</f>
        <v/>
      </c>
      <c r="CI141">
        <f>IFERROR(INDEX(PP_Grid[#Data],$DD141,85),0)</f>
        <v/>
      </c>
      <c r="CJ141">
        <f>IFERROR(INDEX(PP_Grid[#Data],$DD141,86),0)</f>
        <v/>
      </c>
      <c r="CK141">
        <f>IFERROR(INDEX(PP_Grid[#Data],$DD141,87),0)</f>
        <v/>
      </c>
      <c r="CL141">
        <f>IFERROR(INDEX(PP_Grid[#Data],$DD141,88),0)</f>
        <v/>
      </c>
      <c r="CM141">
        <f>IFERROR(INDEX(PP_Grid[#Data],$DD141,89),0)</f>
        <v/>
      </c>
      <c r="CN141">
        <f>IFERROR(INDEX(PP_Grid[#Data],$DD141,90),0)</f>
        <v/>
      </c>
      <c r="CO141">
        <f>IFERROR(INDEX(PP_Grid[#Data],$DD141,91),0)</f>
        <v/>
      </c>
      <c r="CP141">
        <f>IFERROR(INDEX(PP_Grid[#Data],$DD141,92),0)</f>
        <v/>
      </c>
      <c r="CQ141">
        <f>IFERROR(INDEX(PP_Grid[#Data],$DD141,93),0)</f>
        <v/>
      </c>
      <c r="CR141">
        <f>IFERROR(INDEX(PP_Grid[#Data],$DD141,94),0)</f>
        <v/>
      </c>
      <c r="CS141">
        <f>IFERROR(INDEX(PP_Grid[#Data],$DD141,95),0)</f>
        <v/>
      </c>
      <c r="CT141">
        <f>IFERROR(INDEX(PP_Grid[#Data],$DD141,96),0)</f>
        <v/>
      </c>
      <c r="CU141">
        <f>IFERROR(INDEX(PP_Grid[#Data],$DD141,97),0)</f>
        <v/>
      </c>
      <c r="CV141">
        <f>IFERROR(INDEX(PP_Grid[#Data],$DD141,98),0)</f>
        <v/>
      </c>
      <c r="CW141">
        <f>IFERROR(INDEX(PP_Grid[#Data],$DD141,99),0)</f>
        <v/>
      </c>
      <c r="CX141">
        <f>IFERROR(INDEX(PP_Grid[#Data],$DD141,100),0)</f>
        <v/>
      </c>
      <c r="CY141">
        <f>IFERROR(INDEX(PP_Grid[#Data],$DD141,101),0)</f>
        <v/>
      </c>
      <c r="CZ141">
        <f>IFERROR(INDEX(PP_Grid[#Data],$DD141,102),0)</f>
        <v/>
      </c>
      <c r="DA141">
        <f>IFERROR(INDEX(PP_Grid[#Data],$DD141,103),0)</f>
        <v/>
      </c>
      <c r="DB141">
        <f>IFERROR(INDEX(PP_Grid[#Data],$DD141,104),0)</f>
        <v/>
      </c>
      <c r="DC141">
        <f>IFERROR(INDEX(PP_Grid[#Data],$DD141,105),0)</f>
        <v/>
      </c>
      <c r="DD141" s="7">
        <f>IFERROR(MATCH($B141,PP_Grid[Intermediate],0),99999)</f>
        <v/>
      </c>
    </row>
    <row r="142">
      <c r="B142" t="inlineStr">
        <is>
          <t>使用量(kg)</t>
        </is>
      </c>
      <c r="C142">
        <f>SUMIFS(M_BOM[RM_Qty_Per_Batch],M_BOM[Intermediate],$B141,M_BOM[Part Name],$A44)</f>
        <v/>
      </c>
      <c r="D142">
        <f>$C142*D141</f>
        <v/>
      </c>
      <c r="E142">
        <f>$C142*E141</f>
        <v/>
      </c>
      <c r="F142">
        <f>$C142*F141</f>
        <v/>
      </c>
      <c r="G142">
        <f>$C142*G141</f>
        <v/>
      </c>
      <c r="H142">
        <f>$C142*H141</f>
        <v/>
      </c>
      <c r="I142">
        <f>$C142*I141</f>
        <v/>
      </c>
      <c r="J142">
        <f>$C142*J141</f>
        <v/>
      </c>
      <c r="K142">
        <f>$C142*K141</f>
        <v/>
      </c>
      <c r="L142">
        <f>$C142*L141</f>
        <v/>
      </c>
      <c r="M142">
        <f>$C142*M141</f>
        <v/>
      </c>
      <c r="N142">
        <f>$C142*N141</f>
        <v/>
      </c>
      <c r="O142">
        <f>$C142*O141</f>
        <v/>
      </c>
      <c r="P142">
        <f>$C142*P141</f>
        <v/>
      </c>
      <c r="Q142">
        <f>$C142*Q141</f>
        <v/>
      </c>
      <c r="R142">
        <f>$C142*R141</f>
        <v/>
      </c>
      <c r="S142">
        <f>$C142*S141</f>
        <v/>
      </c>
      <c r="T142">
        <f>$C142*T141</f>
        <v/>
      </c>
      <c r="U142">
        <f>$C142*U141</f>
        <v/>
      </c>
      <c r="V142">
        <f>$C142*V141</f>
        <v/>
      </c>
      <c r="W142">
        <f>$C142*W141</f>
        <v/>
      </c>
      <c r="X142">
        <f>$C142*X141</f>
        <v/>
      </c>
      <c r="Y142">
        <f>$C142*Y141</f>
        <v/>
      </c>
      <c r="Z142">
        <f>$C142*Z141</f>
        <v/>
      </c>
      <c r="AA142">
        <f>$C142*AA141</f>
        <v/>
      </c>
      <c r="AB142">
        <f>$C142*AB141</f>
        <v/>
      </c>
      <c r="AC142">
        <f>$C142*AC141</f>
        <v/>
      </c>
      <c r="AD142">
        <f>$C142*AD141</f>
        <v/>
      </c>
      <c r="AE142">
        <f>$C142*AE141</f>
        <v/>
      </c>
      <c r="AF142">
        <f>$C142*AF141</f>
        <v/>
      </c>
      <c r="AG142">
        <f>$C142*AG141</f>
        <v/>
      </c>
      <c r="AH142">
        <f>$C142*AH141</f>
        <v/>
      </c>
      <c r="AI142">
        <f>$C142*AI141</f>
        <v/>
      </c>
      <c r="AJ142">
        <f>$C142*AJ141</f>
        <v/>
      </c>
      <c r="AK142">
        <f>$C142*AK141</f>
        <v/>
      </c>
      <c r="AL142">
        <f>$C142*AL141</f>
        <v/>
      </c>
      <c r="AM142">
        <f>$C142*AM141</f>
        <v/>
      </c>
      <c r="AN142">
        <f>$C142*AN141</f>
        <v/>
      </c>
      <c r="AO142">
        <f>$C142*AO141</f>
        <v/>
      </c>
      <c r="AP142">
        <f>$C142*AP141</f>
        <v/>
      </c>
      <c r="AQ142">
        <f>$C142*AQ141</f>
        <v/>
      </c>
      <c r="AR142">
        <f>$C142*AR141</f>
        <v/>
      </c>
      <c r="AS142">
        <f>$C142*AS141</f>
        <v/>
      </c>
      <c r="AT142">
        <f>$C142*AT141</f>
        <v/>
      </c>
      <c r="AU142">
        <f>$C142*AU141</f>
        <v/>
      </c>
      <c r="AV142">
        <f>$C142*AV141</f>
        <v/>
      </c>
      <c r="AW142">
        <f>$C142*AW141</f>
        <v/>
      </c>
      <c r="AX142">
        <f>$C142*AX141</f>
        <v/>
      </c>
      <c r="AY142">
        <f>$C142*AY141</f>
        <v/>
      </c>
      <c r="AZ142">
        <f>$C142*AZ141</f>
        <v/>
      </c>
      <c r="BA142">
        <f>$C142*BA141</f>
        <v/>
      </c>
      <c r="BB142">
        <f>$C142*BB141</f>
        <v/>
      </c>
      <c r="BC142">
        <f>$C142*BC141</f>
        <v/>
      </c>
      <c r="BD142">
        <f>$C142*BD141</f>
        <v/>
      </c>
      <c r="BE142">
        <f>$C142*BE141</f>
        <v/>
      </c>
      <c r="BF142">
        <f>$C142*BF141</f>
        <v/>
      </c>
      <c r="BG142">
        <f>$C142*BG141</f>
        <v/>
      </c>
      <c r="BH142">
        <f>$C142*BH141</f>
        <v/>
      </c>
      <c r="BI142">
        <f>$C142*BI141</f>
        <v/>
      </c>
      <c r="BJ142">
        <f>$C142*BJ141</f>
        <v/>
      </c>
      <c r="BK142">
        <f>$C142*BK141</f>
        <v/>
      </c>
      <c r="BL142">
        <f>$C142*BL141</f>
        <v/>
      </c>
      <c r="BM142">
        <f>$C142*BM141</f>
        <v/>
      </c>
      <c r="BN142">
        <f>$C142*BN141</f>
        <v/>
      </c>
      <c r="BO142">
        <f>$C142*BO141</f>
        <v/>
      </c>
      <c r="BP142">
        <f>$C142*BP141</f>
        <v/>
      </c>
      <c r="BQ142">
        <f>$C142*BQ141</f>
        <v/>
      </c>
      <c r="BR142">
        <f>$C142*BR141</f>
        <v/>
      </c>
      <c r="BS142">
        <f>$C142*BS141</f>
        <v/>
      </c>
      <c r="BT142">
        <f>$C142*BT141</f>
        <v/>
      </c>
      <c r="BU142">
        <f>$C142*BU141</f>
        <v/>
      </c>
      <c r="BV142">
        <f>$C142*BV141</f>
        <v/>
      </c>
      <c r="BW142">
        <f>$C142*BW141</f>
        <v/>
      </c>
      <c r="BX142">
        <f>$C142*BX141</f>
        <v/>
      </c>
      <c r="BY142">
        <f>$C142*BY141</f>
        <v/>
      </c>
      <c r="BZ142">
        <f>$C142*BZ141</f>
        <v/>
      </c>
      <c r="CA142">
        <f>$C142*CA141</f>
        <v/>
      </c>
      <c r="CB142">
        <f>$C142*CB141</f>
        <v/>
      </c>
      <c r="CC142">
        <f>$C142*CC141</f>
        <v/>
      </c>
      <c r="CD142">
        <f>$C142*CD141</f>
        <v/>
      </c>
      <c r="CE142">
        <f>$C142*CE141</f>
        <v/>
      </c>
      <c r="CF142">
        <f>$C142*CF141</f>
        <v/>
      </c>
      <c r="CG142">
        <f>$C142*CG141</f>
        <v/>
      </c>
      <c r="CH142">
        <f>$C142*CH141</f>
        <v/>
      </c>
      <c r="CI142">
        <f>$C142*CI141</f>
        <v/>
      </c>
      <c r="CJ142">
        <f>$C142*CJ141</f>
        <v/>
      </c>
      <c r="CK142">
        <f>$C142*CK141</f>
        <v/>
      </c>
      <c r="CL142">
        <f>$C142*CL141</f>
        <v/>
      </c>
      <c r="CM142">
        <f>$C142*CM141</f>
        <v/>
      </c>
      <c r="CN142">
        <f>$C142*CN141</f>
        <v/>
      </c>
      <c r="CO142">
        <f>$C142*CO141</f>
        <v/>
      </c>
      <c r="CP142">
        <f>$C142*CP141</f>
        <v/>
      </c>
      <c r="CQ142">
        <f>$C142*CQ141</f>
        <v/>
      </c>
      <c r="CR142">
        <f>$C142*CR141</f>
        <v/>
      </c>
      <c r="CS142">
        <f>$C142*CS141</f>
        <v/>
      </c>
      <c r="CT142">
        <f>$C142*CT141</f>
        <v/>
      </c>
      <c r="CU142">
        <f>$C142*CU141</f>
        <v/>
      </c>
      <c r="CV142">
        <f>$C142*CV141</f>
        <v/>
      </c>
      <c r="CW142">
        <f>$C142*CW141</f>
        <v/>
      </c>
      <c r="CX142">
        <f>$C142*CX141</f>
        <v/>
      </c>
      <c r="CY142">
        <f>$C142*CY141</f>
        <v/>
      </c>
      <c r="CZ142">
        <f>$C142*CZ141</f>
        <v/>
      </c>
      <c r="DA142">
        <f>$C142*DA141</f>
        <v/>
      </c>
      <c r="DB142">
        <f>$C142*DB141</f>
        <v/>
      </c>
      <c r="DC142">
        <f>$C142*DC141</f>
        <v/>
      </c>
    </row>
    <row r="143">
      <c r="B143" t="inlineStr">
        <is>
          <t>TSP-937</t>
        </is>
      </c>
      <c r="C143" t="inlineStr">
        <is>
          <t>No. of batches</t>
        </is>
      </c>
      <c r="D143">
        <f>IFERROR(INDEX(PP_Grid[#Data],$DD143,2),0)</f>
        <v/>
      </c>
      <c r="E143">
        <f>IFERROR(INDEX(PP_Grid[#Data],$DD143,3),0)</f>
        <v/>
      </c>
      <c r="F143">
        <f>IFERROR(INDEX(PP_Grid[#Data],$DD143,4),0)</f>
        <v/>
      </c>
      <c r="G143">
        <f>IFERROR(INDEX(PP_Grid[#Data],$DD143,5),0)</f>
        <v/>
      </c>
      <c r="H143">
        <f>IFERROR(INDEX(PP_Grid[#Data],$DD143,6),0)</f>
        <v/>
      </c>
      <c r="I143">
        <f>IFERROR(INDEX(PP_Grid[#Data],$DD143,7),0)</f>
        <v/>
      </c>
      <c r="J143">
        <f>IFERROR(INDEX(PP_Grid[#Data],$DD143,8),0)</f>
        <v/>
      </c>
      <c r="K143">
        <f>IFERROR(INDEX(PP_Grid[#Data],$DD143,9),0)</f>
        <v/>
      </c>
      <c r="L143">
        <f>IFERROR(INDEX(PP_Grid[#Data],$DD143,10),0)</f>
        <v/>
      </c>
      <c r="M143">
        <f>IFERROR(INDEX(PP_Grid[#Data],$DD143,11),0)</f>
        <v/>
      </c>
      <c r="N143">
        <f>IFERROR(INDEX(PP_Grid[#Data],$DD143,12),0)</f>
        <v/>
      </c>
      <c r="O143">
        <f>IFERROR(INDEX(PP_Grid[#Data],$DD143,13),0)</f>
        <v/>
      </c>
      <c r="P143">
        <f>IFERROR(INDEX(PP_Grid[#Data],$DD143,14),0)</f>
        <v/>
      </c>
      <c r="Q143">
        <f>IFERROR(INDEX(PP_Grid[#Data],$DD143,15),0)</f>
        <v/>
      </c>
      <c r="R143">
        <f>IFERROR(INDEX(PP_Grid[#Data],$DD143,16),0)</f>
        <v/>
      </c>
      <c r="S143">
        <f>IFERROR(INDEX(PP_Grid[#Data],$DD143,17),0)</f>
        <v/>
      </c>
      <c r="T143">
        <f>IFERROR(INDEX(PP_Grid[#Data],$DD143,18),0)</f>
        <v/>
      </c>
      <c r="U143">
        <f>IFERROR(INDEX(PP_Grid[#Data],$DD143,19),0)</f>
        <v/>
      </c>
      <c r="V143">
        <f>IFERROR(INDEX(PP_Grid[#Data],$DD143,20),0)</f>
        <v/>
      </c>
      <c r="W143">
        <f>IFERROR(INDEX(PP_Grid[#Data],$DD143,21),0)</f>
        <v/>
      </c>
      <c r="X143">
        <f>IFERROR(INDEX(PP_Grid[#Data],$DD143,22),0)</f>
        <v/>
      </c>
      <c r="Y143">
        <f>IFERROR(INDEX(PP_Grid[#Data],$DD143,23),0)</f>
        <v/>
      </c>
      <c r="Z143">
        <f>IFERROR(INDEX(PP_Grid[#Data],$DD143,24),0)</f>
        <v/>
      </c>
      <c r="AA143">
        <f>IFERROR(INDEX(PP_Grid[#Data],$DD143,25),0)</f>
        <v/>
      </c>
      <c r="AB143">
        <f>IFERROR(INDEX(PP_Grid[#Data],$DD143,26),0)</f>
        <v/>
      </c>
      <c r="AC143">
        <f>IFERROR(INDEX(PP_Grid[#Data],$DD143,27),0)</f>
        <v/>
      </c>
      <c r="AD143">
        <f>IFERROR(INDEX(PP_Grid[#Data],$DD143,28),0)</f>
        <v/>
      </c>
      <c r="AE143">
        <f>IFERROR(INDEX(PP_Grid[#Data],$DD143,29),0)</f>
        <v/>
      </c>
      <c r="AF143">
        <f>IFERROR(INDEX(PP_Grid[#Data],$DD143,30),0)</f>
        <v/>
      </c>
      <c r="AG143">
        <f>IFERROR(INDEX(PP_Grid[#Data],$DD143,31),0)</f>
        <v/>
      </c>
      <c r="AH143">
        <f>IFERROR(INDEX(PP_Grid[#Data],$DD143,32),0)</f>
        <v/>
      </c>
      <c r="AI143">
        <f>IFERROR(INDEX(PP_Grid[#Data],$DD143,33),0)</f>
        <v/>
      </c>
      <c r="AJ143">
        <f>IFERROR(INDEX(PP_Grid[#Data],$DD143,34),0)</f>
        <v/>
      </c>
      <c r="AK143">
        <f>IFERROR(INDEX(PP_Grid[#Data],$DD143,35),0)</f>
        <v/>
      </c>
      <c r="AL143">
        <f>IFERROR(INDEX(PP_Grid[#Data],$DD143,36),0)</f>
        <v/>
      </c>
      <c r="AM143">
        <f>IFERROR(INDEX(PP_Grid[#Data],$DD143,37),0)</f>
        <v/>
      </c>
      <c r="AN143">
        <f>IFERROR(INDEX(PP_Grid[#Data],$DD143,38),0)</f>
        <v/>
      </c>
      <c r="AO143">
        <f>IFERROR(INDEX(PP_Grid[#Data],$DD143,39),0)</f>
        <v/>
      </c>
      <c r="AP143">
        <f>IFERROR(INDEX(PP_Grid[#Data],$DD143,40),0)</f>
        <v/>
      </c>
      <c r="AQ143">
        <f>IFERROR(INDEX(PP_Grid[#Data],$DD143,41),0)</f>
        <v/>
      </c>
      <c r="AR143">
        <f>IFERROR(INDEX(PP_Grid[#Data],$DD143,42),0)</f>
        <v/>
      </c>
      <c r="AS143">
        <f>IFERROR(INDEX(PP_Grid[#Data],$DD143,43),0)</f>
        <v/>
      </c>
      <c r="AT143">
        <f>IFERROR(INDEX(PP_Grid[#Data],$DD143,44),0)</f>
        <v/>
      </c>
      <c r="AU143">
        <f>IFERROR(INDEX(PP_Grid[#Data],$DD143,45),0)</f>
        <v/>
      </c>
      <c r="AV143">
        <f>IFERROR(INDEX(PP_Grid[#Data],$DD143,46),0)</f>
        <v/>
      </c>
      <c r="AW143">
        <f>IFERROR(INDEX(PP_Grid[#Data],$DD143,47),0)</f>
        <v/>
      </c>
      <c r="AX143">
        <f>IFERROR(INDEX(PP_Grid[#Data],$DD143,48),0)</f>
        <v/>
      </c>
      <c r="AY143">
        <f>IFERROR(INDEX(PP_Grid[#Data],$DD143,49),0)</f>
        <v/>
      </c>
      <c r="AZ143">
        <f>IFERROR(INDEX(PP_Grid[#Data],$DD143,50),0)</f>
        <v/>
      </c>
      <c r="BA143">
        <f>IFERROR(INDEX(PP_Grid[#Data],$DD143,51),0)</f>
        <v/>
      </c>
      <c r="BB143">
        <f>IFERROR(INDEX(PP_Grid[#Data],$DD143,52),0)</f>
        <v/>
      </c>
      <c r="BC143">
        <f>IFERROR(INDEX(PP_Grid[#Data],$DD143,53),0)</f>
        <v/>
      </c>
      <c r="BD143">
        <f>IFERROR(INDEX(PP_Grid[#Data],$DD143,54),0)</f>
        <v/>
      </c>
      <c r="BE143">
        <f>IFERROR(INDEX(PP_Grid[#Data],$DD143,55),0)</f>
        <v/>
      </c>
      <c r="BF143">
        <f>IFERROR(INDEX(PP_Grid[#Data],$DD143,56),0)</f>
        <v/>
      </c>
      <c r="BG143">
        <f>IFERROR(INDEX(PP_Grid[#Data],$DD143,57),0)</f>
        <v/>
      </c>
      <c r="BH143">
        <f>IFERROR(INDEX(PP_Grid[#Data],$DD143,58),0)</f>
        <v/>
      </c>
      <c r="BI143">
        <f>IFERROR(INDEX(PP_Grid[#Data],$DD143,59),0)</f>
        <v/>
      </c>
      <c r="BJ143">
        <f>IFERROR(INDEX(PP_Grid[#Data],$DD143,60),0)</f>
        <v/>
      </c>
      <c r="BK143">
        <f>IFERROR(INDEX(PP_Grid[#Data],$DD143,61),0)</f>
        <v/>
      </c>
      <c r="BL143">
        <f>IFERROR(INDEX(PP_Grid[#Data],$DD143,62),0)</f>
        <v/>
      </c>
      <c r="BM143">
        <f>IFERROR(INDEX(PP_Grid[#Data],$DD143,63),0)</f>
        <v/>
      </c>
      <c r="BN143">
        <f>IFERROR(INDEX(PP_Grid[#Data],$DD143,64),0)</f>
        <v/>
      </c>
      <c r="BO143">
        <f>IFERROR(INDEX(PP_Grid[#Data],$DD143,65),0)</f>
        <v/>
      </c>
      <c r="BP143">
        <f>IFERROR(INDEX(PP_Grid[#Data],$DD143,66),0)</f>
        <v/>
      </c>
      <c r="BQ143">
        <f>IFERROR(INDEX(PP_Grid[#Data],$DD143,67),0)</f>
        <v/>
      </c>
      <c r="BR143">
        <f>IFERROR(INDEX(PP_Grid[#Data],$DD143,68),0)</f>
        <v/>
      </c>
      <c r="BS143">
        <f>IFERROR(INDEX(PP_Grid[#Data],$DD143,69),0)</f>
        <v/>
      </c>
      <c r="BT143">
        <f>IFERROR(INDEX(PP_Grid[#Data],$DD143,70),0)</f>
        <v/>
      </c>
      <c r="BU143">
        <f>IFERROR(INDEX(PP_Grid[#Data],$DD143,71),0)</f>
        <v/>
      </c>
      <c r="BV143">
        <f>IFERROR(INDEX(PP_Grid[#Data],$DD143,72),0)</f>
        <v/>
      </c>
      <c r="BW143">
        <f>IFERROR(INDEX(PP_Grid[#Data],$DD143,73),0)</f>
        <v/>
      </c>
      <c r="BX143">
        <f>IFERROR(INDEX(PP_Grid[#Data],$DD143,74),0)</f>
        <v/>
      </c>
      <c r="BY143">
        <f>IFERROR(INDEX(PP_Grid[#Data],$DD143,75),0)</f>
        <v/>
      </c>
      <c r="BZ143">
        <f>IFERROR(INDEX(PP_Grid[#Data],$DD143,76),0)</f>
        <v/>
      </c>
      <c r="CA143">
        <f>IFERROR(INDEX(PP_Grid[#Data],$DD143,77),0)</f>
        <v/>
      </c>
      <c r="CB143">
        <f>IFERROR(INDEX(PP_Grid[#Data],$DD143,78),0)</f>
        <v/>
      </c>
      <c r="CC143">
        <f>IFERROR(INDEX(PP_Grid[#Data],$DD143,79),0)</f>
        <v/>
      </c>
      <c r="CD143">
        <f>IFERROR(INDEX(PP_Grid[#Data],$DD143,80),0)</f>
        <v/>
      </c>
      <c r="CE143">
        <f>IFERROR(INDEX(PP_Grid[#Data],$DD143,81),0)</f>
        <v/>
      </c>
      <c r="CF143">
        <f>IFERROR(INDEX(PP_Grid[#Data],$DD143,82),0)</f>
        <v/>
      </c>
      <c r="CG143">
        <f>IFERROR(INDEX(PP_Grid[#Data],$DD143,83),0)</f>
        <v/>
      </c>
      <c r="CH143">
        <f>IFERROR(INDEX(PP_Grid[#Data],$DD143,84),0)</f>
        <v/>
      </c>
      <c r="CI143">
        <f>IFERROR(INDEX(PP_Grid[#Data],$DD143,85),0)</f>
        <v/>
      </c>
      <c r="CJ143">
        <f>IFERROR(INDEX(PP_Grid[#Data],$DD143,86),0)</f>
        <v/>
      </c>
      <c r="CK143">
        <f>IFERROR(INDEX(PP_Grid[#Data],$DD143,87),0)</f>
        <v/>
      </c>
      <c r="CL143">
        <f>IFERROR(INDEX(PP_Grid[#Data],$DD143,88),0)</f>
        <v/>
      </c>
      <c r="CM143">
        <f>IFERROR(INDEX(PP_Grid[#Data],$DD143,89),0)</f>
        <v/>
      </c>
      <c r="CN143">
        <f>IFERROR(INDEX(PP_Grid[#Data],$DD143,90),0)</f>
        <v/>
      </c>
      <c r="CO143">
        <f>IFERROR(INDEX(PP_Grid[#Data],$DD143,91),0)</f>
        <v/>
      </c>
      <c r="CP143">
        <f>IFERROR(INDEX(PP_Grid[#Data],$DD143,92),0)</f>
        <v/>
      </c>
      <c r="CQ143">
        <f>IFERROR(INDEX(PP_Grid[#Data],$DD143,93),0)</f>
        <v/>
      </c>
      <c r="CR143">
        <f>IFERROR(INDEX(PP_Grid[#Data],$DD143,94),0)</f>
        <v/>
      </c>
      <c r="CS143">
        <f>IFERROR(INDEX(PP_Grid[#Data],$DD143,95),0)</f>
        <v/>
      </c>
      <c r="CT143">
        <f>IFERROR(INDEX(PP_Grid[#Data],$DD143,96),0)</f>
        <v/>
      </c>
      <c r="CU143">
        <f>IFERROR(INDEX(PP_Grid[#Data],$DD143,97),0)</f>
        <v/>
      </c>
      <c r="CV143">
        <f>IFERROR(INDEX(PP_Grid[#Data],$DD143,98),0)</f>
        <v/>
      </c>
      <c r="CW143">
        <f>IFERROR(INDEX(PP_Grid[#Data],$DD143,99),0)</f>
        <v/>
      </c>
      <c r="CX143">
        <f>IFERROR(INDEX(PP_Grid[#Data],$DD143,100),0)</f>
        <v/>
      </c>
      <c r="CY143">
        <f>IFERROR(INDEX(PP_Grid[#Data],$DD143,101),0)</f>
        <v/>
      </c>
      <c r="CZ143">
        <f>IFERROR(INDEX(PP_Grid[#Data],$DD143,102),0)</f>
        <v/>
      </c>
      <c r="DA143">
        <f>IFERROR(INDEX(PP_Grid[#Data],$DD143,103),0)</f>
        <v/>
      </c>
      <c r="DB143">
        <f>IFERROR(INDEX(PP_Grid[#Data],$DD143,104),0)</f>
        <v/>
      </c>
      <c r="DC143">
        <f>IFERROR(INDEX(PP_Grid[#Data],$DD143,105),0)</f>
        <v/>
      </c>
      <c r="DD143" s="7">
        <f>IFERROR(MATCH($B143,PP_Grid[Intermediate],0),99999)</f>
        <v/>
      </c>
    </row>
    <row r="144">
      <c r="B144" t="inlineStr">
        <is>
          <t>使用量(kg)</t>
        </is>
      </c>
      <c r="C144">
        <f>SUMIFS(M_BOM[RM_Qty_Per_Batch],M_BOM[Intermediate],$B143,M_BOM[Part Name],$A44)</f>
        <v/>
      </c>
      <c r="D144">
        <f>$C144*D143</f>
        <v/>
      </c>
      <c r="E144">
        <f>$C144*E143</f>
        <v/>
      </c>
      <c r="F144">
        <f>$C144*F143</f>
        <v/>
      </c>
      <c r="G144">
        <f>$C144*G143</f>
        <v/>
      </c>
      <c r="H144">
        <f>$C144*H143</f>
        <v/>
      </c>
      <c r="I144">
        <f>$C144*I143</f>
        <v/>
      </c>
      <c r="J144">
        <f>$C144*J143</f>
        <v/>
      </c>
      <c r="K144">
        <f>$C144*K143</f>
        <v/>
      </c>
      <c r="L144">
        <f>$C144*L143</f>
        <v/>
      </c>
      <c r="M144">
        <f>$C144*M143</f>
        <v/>
      </c>
      <c r="N144">
        <f>$C144*N143</f>
        <v/>
      </c>
      <c r="O144">
        <f>$C144*O143</f>
        <v/>
      </c>
      <c r="P144">
        <f>$C144*P143</f>
        <v/>
      </c>
      <c r="Q144">
        <f>$C144*Q143</f>
        <v/>
      </c>
      <c r="R144">
        <f>$C144*R143</f>
        <v/>
      </c>
      <c r="S144">
        <f>$C144*S143</f>
        <v/>
      </c>
      <c r="T144">
        <f>$C144*T143</f>
        <v/>
      </c>
      <c r="U144">
        <f>$C144*U143</f>
        <v/>
      </c>
      <c r="V144">
        <f>$C144*V143</f>
        <v/>
      </c>
      <c r="W144">
        <f>$C144*W143</f>
        <v/>
      </c>
      <c r="X144">
        <f>$C144*X143</f>
        <v/>
      </c>
      <c r="Y144">
        <f>$C144*Y143</f>
        <v/>
      </c>
      <c r="Z144">
        <f>$C144*Z143</f>
        <v/>
      </c>
      <c r="AA144">
        <f>$C144*AA143</f>
        <v/>
      </c>
      <c r="AB144">
        <f>$C144*AB143</f>
        <v/>
      </c>
      <c r="AC144">
        <f>$C144*AC143</f>
        <v/>
      </c>
      <c r="AD144">
        <f>$C144*AD143</f>
        <v/>
      </c>
      <c r="AE144">
        <f>$C144*AE143</f>
        <v/>
      </c>
      <c r="AF144">
        <f>$C144*AF143</f>
        <v/>
      </c>
      <c r="AG144">
        <f>$C144*AG143</f>
        <v/>
      </c>
      <c r="AH144">
        <f>$C144*AH143</f>
        <v/>
      </c>
      <c r="AI144">
        <f>$C144*AI143</f>
        <v/>
      </c>
      <c r="AJ144">
        <f>$C144*AJ143</f>
        <v/>
      </c>
      <c r="AK144">
        <f>$C144*AK143</f>
        <v/>
      </c>
      <c r="AL144">
        <f>$C144*AL143</f>
        <v/>
      </c>
      <c r="AM144">
        <f>$C144*AM143</f>
        <v/>
      </c>
      <c r="AN144">
        <f>$C144*AN143</f>
        <v/>
      </c>
      <c r="AO144">
        <f>$C144*AO143</f>
        <v/>
      </c>
      <c r="AP144">
        <f>$C144*AP143</f>
        <v/>
      </c>
      <c r="AQ144">
        <f>$C144*AQ143</f>
        <v/>
      </c>
      <c r="AR144">
        <f>$C144*AR143</f>
        <v/>
      </c>
      <c r="AS144">
        <f>$C144*AS143</f>
        <v/>
      </c>
      <c r="AT144">
        <f>$C144*AT143</f>
        <v/>
      </c>
      <c r="AU144">
        <f>$C144*AU143</f>
        <v/>
      </c>
      <c r="AV144">
        <f>$C144*AV143</f>
        <v/>
      </c>
      <c r="AW144">
        <f>$C144*AW143</f>
        <v/>
      </c>
      <c r="AX144">
        <f>$C144*AX143</f>
        <v/>
      </c>
      <c r="AY144">
        <f>$C144*AY143</f>
        <v/>
      </c>
      <c r="AZ144">
        <f>$C144*AZ143</f>
        <v/>
      </c>
      <c r="BA144">
        <f>$C144*BA143</f>
        <v/>
      </c>
      <c r="BB144">
        <f>$C144*BB143</f>
        <v/>
      </c>
      <c r="BC144">
        <f>$C144*BC143</f>
        <v/>
      </c>
      <c r="BD144">
        <f>$C144*BD143</f>
        <v/>
      </c>
      <c r="BE144">
        <f>$C144*BE143</f>
        <v/>
      </c>
      <c r="BF144">
        <f>$C144*BF143</f>
        <v/>
      </c>
      <c r="BG144">
        <f>$C144*BG143</f>
        <v/>
      </c>
      <c r="BH144">
        <f>$C144*BH143</f>
        <v/>
      </c>
      <c r="BI144">
        <f>$C144*BI143</f>
        <v/>
      </c>
      <c r="BJ144">
        <f>$C144*BJ143</f>
        <v/>
      </c>
      <c r="BK144">
        <f>$C144*BK143</f>
        <v/>
      </c>
      <c r="BL144">
        <f>$C144*BL143</f>
        <v/>
      </c>
      <c r="BM144">
        <f>$C144*BM143</f>
        <v/>
      </c>
      <c r="BN144">
        <f>$C144*BN143</f>
        <v/>
      </c>
      <c r="BO144">
        <f>$C144*BO143</f>
        <v/>
      </c>
      <c r="BP144">
        <f>$C144*BP143</f>
        <v/>
      </c>
      <c r="BQ144">
        <f>$C144*BQ143</f>
        <v/>
      </c>
      <c r="BR144">
        <f>$C144*BR143</f>
        <v/>
      </c>
      <c r="BS144">
        <f>$C144*BS143</f>
        <v/>
      </c>
      <c r="BT144">
        <f>$C144*BT143</f>
        <v/>
      </c>
      <c r="BU144">
        <f>$C144*BU143</f>
        <v/>
      </c>
      <c r="BV144">
        <f>$C144*BV143</f>
        <v/>
      </c>
      <c r="BW144">
        <f>$C144*BW143</f>
        <v/>
      </c>
      <c r="BX144">
        <f>$C144*BX143</f>
        <v/>
      </c>
      <c r="BY144">
        <f>$C144*BY143</f>
        <v/>
      </c>
      <c r="BZ144">
        <f>$C144*BZ143</f>
        <v/>
      </c>
      <c r="CA144">
        <f>$C144*CA143</f>
        <v/>
      </c>
      <c r="CB144">
        <f>$C144*CB143</f>
        <v/>
      </c>
      <c r="CC144">
        <f>$C144*CC143</f>
        <v/>
      </c>
      <c r="CD144">
        <f>$C144*CD143</f>
        <v/>
      </c>
      <c r="CE144">
        <f>$C144*CE143</f>
        <v/>
      </c>
      <c r="CF144">
        <f>$C144*CF143</f>
        <v/>
      </c>
      <c r="CG144">
        <f>$C144*CG143</f>
        <v/>
      </c>
      <c r="CH144">
        <f>$C144*CH143</f>
        <v/>
      </c>
      <c r="CI144">
        <f>$C144*CI143</f>
        <v/>
      </c>
      <c r="CJ144">
        <f>$C144*CJ143</f>
        <v/>
      </c>
      <c r="CK144">
        <f>$C144*CK143</f>
        <v/>
      </c>
      <c r="CL144">
        <f>$C144*CL143</f>
        <v/>
      </c>
      <c r="CM144">
        <f>$C144*CM143</f>
        <v/>
      </c>
      <c r="CN144">
        <f>$C144*CN143</f>
        <v/>
      </c>
      <c r="CO144">
        <f>$C144*CO143</f>
        <v/>
      </c>
      <c r="CP144">
        <f>$C144*CP143</f>
        <v/>
      </c>
      <c r="CQ144">
        <f>$C144*CQ143</f>
        <v/>
      </c>
      <c r="CR144">
        <f>$C144*CR143</f>
        <v/>
      </c>
      <c r="CS144">
        <f>$C144*CS143</f>
        <v/>
      </c>
      <c r="CT144">
        <f>$C144*CT143</f>
        <v/>
      </c>
      <c r="CU144">
        <f>$C144*CU143</f>
        <v/>
      </c>
      <c r="CV144">
        <f>$C144*CV143</f>
        <v/>
      </c>
      <c r="CW144">
        <f>$C144*CW143</f>
        <v/>
      </c>
      <c r="CX144">
        <f>$C144*CX143</f>
        <v/>
      </c>
      <c r="CY144">
        <f>$C144*CY143</f>
        <v/>
      </c>
      <c r="CZ144">
        <f>$C144*CZ143</f>
        <v/>
      </c>
      <c r="DA144">
        <f>$C144*DA143</f>
        <v/>
      </c>
      <c r="DB144">
        <f>$C144*DB143</f>
        <v/>
      </c>
      <c r="DC144">
        <f>$C144*DC143</f>
        <v/>
      </c>
    </row>
    <row r="145">
      <c r="B145" t="inlineStr">
        <is>
          <t>TSP-959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7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t="inlineStr">
        <is>
          <t>TSP-966</t>
        </is>
      </c>
      <c r="C147" t="inlineStr">
        <is>
          <t>No. of batches</t>
        </is>
      </c>
      <c r="D147">
        <f>IFERROR(INDEX(PP_Grid[#Data],$DD147,2),0)</f>
        <v/>
      </c>
      <c r="E147">
        <f>IFERROR(INDEX(PP_Grid[#Data],$DD147,3),0)</f>
        <v/>
      </c>
      <c r="F147">
        <f>IFERROR(INDEX(PP_Grid[#Data],$DD147,4),0)</f>
        <v/>
      </c>
      <c r="G147">
        <f>IFERROR(INDEX(PP_Grid[#Data],$DD147,5),0)</f>
        <v/>
      </c>
      <c r="H147">
        <f>IFERROR(INDEX(PP_Grid[#Data],$DD147,6),0)</f>
        <v/>
      </c>
      <c r="I147">
        <f>IFERROR(INDEX(PP_Grid[#Data],$DD147,7),0)</f>
        <v/>
      </c>
      <c r="J147">
        <f>IFERROR(INDEX(PP_Grid[#Data],$DD147,8),0)</f>
        <v/>
      </c>
      <c r="K147">
        <f>IFERROR(INDEX(PP_Grid[#Data],$DD147,9),0)</f>
        <v/>
      </c>
      <c r="L147">
        <f>IFERROR(INDEX(PP_Grid[#Data],$DD147,10),0)</f>
        <v/>
      </c>
      <c r="M147">
        <f>IFERROR(INDEX(PP_Grid[#Data],$DD147,11),0)</f>
        <v/>
      </c>
      <c r="N147">
        <f>IFERROR(INDEX(PP_Grid[#Data],$DD147,12),0)</f>
        <v/>
      </c>
      <c r="O147">
        <f>IFERROR(INDEX(PP_Grid[#Data],$DD147,13),0)</f>
        <v/>
      </c>
      <c r="P147">
        <f>IFERROR(INDEX(PP_Grid[#Data],$DD147,14),0)</f>
        <v/>
      </c>
      <c r="Q147">
        <f>IFERROR(INDEX(PP_Grid[#Data],$DD147,15),0)</f>
        <v/>
      </c>
      <c r="R147">
        <f>IFERROR(INDEX(PP_Grid[#Data],$DD147,16),0)</f>
        <v/>
      </c>
      <c r="S147">
        <f>IFERROR(INDEX(PP_Grid[#Data],$DD147,17),0)</f>
        <v/>
      </c>
      <c r="T147">
        <f>IFERROR(INDEX(PP_Grid[#Data],$DD147,18),0)</f>
        <v/>
      </c>
      <c r="U147">
        <f>IFERROR(INDEX(PP_Grid[#Data],$DD147,19),0)</f>
        <v/>
      </c>
      <c r="V147">
        <f>IFERROR(INDEX(PP_Grid[#Data],$DD147,20),0)</f>
        <v/>
      </c>
      <c r="W147">
        <f>IFERROR(INDEX(PP_Grid[#Data],$DD147,21),0)</f>
        <v/>
      </c>
      <c r="X147">
        <f>IFERROR(INDEX(PP_Grid[#Data],$DD147,22),0)</f>
        <v/>
      </c>
      <c r="Y147">
        <f>IFERROR(INDEX(PP_Grid[#Data],$DD147,23),0)</f>
        <v/>
      </c>
      <c r="Z147">
        <f>IFERROR(INDEX(PP_Grid[#Data],$DD147,24),0)</f>
        <v/>
      </c>
      <c r="AA147">
        <f>IFERROR(INDEX(PP_Grid[#Data],$DD147,25),0)</f>
        <v/>
      </c>
      <c r="AB147">
        <f>IFERROR(INDEX(PP_Grid[#Data],$DD147,26),0)</f>
        <v/>
      </c>
      <c r="AC147">
        <f>IFERROR(INDEX(PP_Grid[#Data],$DD147,27),0)</f>
        <v/>
      </c>
      <c r="AD147">
        <f>IFERROR(INDEX(PP_Grid[#Data],$DD147,28),0)</f>
        <v/>
      </c>
      <c r="AE147">
        <f>IFERROR(INDEX(PP_Grid[#Data],$DD147,29),0)</f>
        <v/>
      </c>
      <c r="AF147">
        <f>IFERROR(INDEX(PP_Grid[#Data],$DD147,30),0)</f>
        <v/>
      </c>
      <c r="AG147">
        <f>IFERROR(INDEX(PP_Grid[#Data],$DD147,31),0)</f>
        <v/>
      </c>
      <c r="AH147">
        <f>IFERROR(INDEX(PP_Grid[#Data],$DD147,32),0)</f>
        <v/>
      </c>
      <c r="AI147">
        <f>IFERROR(INDEX(PP_Grid[#Data],$DD147,33),0)</f>
        <v/>
      </c>
      <c r="AJ147">
        <f>IFERROR(INDEX(PP_Grid[#Data],$DD147,34),0)</f>
        <v/>
      </c>
      <c r="AK147">
        <f>IFERROR(INDEX(PP_Grid[#Data],$DD147,35),0)</f>
        <v/>
      </c>
      <c r="AL147">
        <f>IFERROR(INDEX(PP_Grid[#Data],$DD147,36),0)</f>
        <v/>
      </c>
      <c r="AM147">
        <f>IFERROR(INDEX(PP_Grid[#Data],$DD147,37),0)</f>
        <v/>
      </c>
      <c r="AN147">
        <f>IFERROR(INDEX(PP_Grid[#Data],$DD147,38),0)</f>
        <v/>
      </c>
      <c r="AO147">
        <f>IFERROR(INDEX(PP_Grid[#Data],$DD147,39),0)</f>
        <v/>
      </c>
      <c r="AP147">
        <f>IFERROR(INDEX(PP_Grid[#Data],$DD147,40),0)</f>
        <v/>
      </c>
      <c r="AQ147">
        <f>IFERROR(INDEX(PP_Grid[#Data],$DD147,41),0)</f>
        <v/>
      </c>
      <c r="AR147">
        <f>IFERROR(INDEX(PP_Grid[#Data],$DD147,42),0)</f>
        <v/>
      </c>
      <c r="AS147">
        <f>IFERROR(INDEX(PP_Grid[#Data],$DD147,43),0)</f>
        <v/>
      </c>
      <c r="AT147">
        <f>IFERROR(INDEX(PP_Grid[#Data],$DD147,44),0)</f>
        <v/>
      </c>
      <c r="AU147">
        <f>IFERROR(INDEX(PP_Grid[#Data],$DD147,45),0)</f>
        <v/>
      </c>
      <c r="AV147">
        <f>IFERROR(INDEX(PP_Grid[#Data],$DD147,46),0)</f>
        <v/>
      </c>
      <c r="AW147">
        <f>IFERROR(INDEX(PP_Grid[#Data],$DD147,47),0)</f>
        <v/>
      </c>
      <c r="AX147">
        <f>IFERROR(INDEX(PP_Grid[#Data],$DD147,48),0)</f>
        <v/>
      </c>
      <c r="AY147">
        <f>IFERROR(INDEX(PP_Grid[#Data],$DD147,49),0)</f>
        <v/>
      </c>
      <c r="AZ147">
        <f>IFERROR(INDEX(PP_Grid[#Data],$DD147,50),0)</f>
        <v/>
      </c>
      <c r="BA147">
        <f>IFERROR(INDEX(PP_Grid[#Data],$DD147,51),0)</f>
        <v/>
      </c>
      <c r="BB147">
        <f>IFERROR(INDEX(PP_Grid[#Data],$DD147,52),0)</f>
        <v/>
      </c>
      <c r="BC147">
        <f>IFERROR(INDEX(PP_Grid[#Data],$DD147,53),0)</f>
        <v/>
      </c>
      <c r="BD147">
        <f>IFERROR(INDEX(PP_Grid[#Data],$DD147,54),0)</f>
        <v/>
      </c>
      <c r="BE147">
        <f>IFERROR(INDEX(PP_Grid[#Data],$DD147,55),0)</f>
        <v/>
      </c>
      <c r="BF147">
        <f>IFERROR(INDEX(PP_Grid[#Data],$DD147,56),0)</f>
        <v/>
      </c>
      <c r="BG147">
        <f>IFERROR(INDEX(PP_Grid[#Data],$DD147,57),0)</f>
        <v/>
      </c>
      <c r="BH147">
        <f>IFERROR(INDEX(PP_Grid[#Data],$DD147,58),0)</f>
        <v/>
      </c>
      <c r="BI147">
        <f>IFERROR(INDEX(PP_Grid[#Data],$DD147,59),0)</f>
        <v/>
      </c>
      <c r="BJ147">
        <f>IFERROR(INDEX(PP_Grid[#Data],$DD147,60),0)</f>
        <v/>
      </c>
      <c r="BK147">
        <f>IFERROR(INDEX(PP_Grid[#Data],$DD147,61),0)</f>
        <v/>
      </c>
      <c r="BL147">
        <f>IFERROR(INDEX(PP_Grid[#Data],$DD147,62),0)</f>
        <v/>
      </c>
      <c r="BM147">
        <f>IFERROR(INDEX(PP_Grid[#Data],$DD147,63),0)</f>
        <v/>
      </c>
      <c r="BN147">
        <f>IFERROR(INDEX(PP_Grid[#Data],$DD147,64),0)</f>
        <v/>
      </c>
      <c r="BO147">
        <f>IFERROR(INDEX(PP_Grid[#Data],$DD147,65),0)</f>
        <v/>
      </c>
      <c r="BP147">
        <f>IFERROR(INDEX(PP_Grid[#Data],$DD147,66),0)</f>
        <v/>
      </c>
      <c r="BQ147">
        <f>IFERROR(INDEX(PP_Grid[#Data],$DD147,67),0)</f>
        <v/>
      </c>
      <c r="BR147">
        <f>IFERROR(INDEX(PP_Grid[#Data],$DD147,68),0)</f>
        <v/>
      </c>
      <c r="BS147">
        <f>IFERROR(INDEX(PP_Grid[#Data],$DD147,69),0)</f>
        <v/>
      </c>
      <c r="BT147">
        <f>IFERROR(INDEX(PP_Grid[#Data],$DD147,70),0)</f>
        <v/>
      </c>
      <c r="BU147">
        <f>IFERROR(INDEX(PP_Grid[#Data],$DD147,71),0)</f>
        <v/>
      </c>
      <c r="BV147">
        <f>IFERROR(INDEX(PP_Grid[#Data],$DD147,72),0)</f>
        <v/>
      </c>
      <c r="BW147">
        <f>IFERROR(INDEX(PP_Grid[#Data],$DD147,73),0)</f>
        <v/>
      </c>
      <c r="BX147">
        <f>IFERROR(INDEX(PP_Grid[#Data],$DD147,74),0)</f>
        <v/>
      </c>
      <c r="BY147">
        <f>IFERROR(INDEX(PP_Grid[#Data],$DD147,75),0)</f>
        <v/>
      </c>
      <c r="BZ147">
        <f>IFERROR(INDEX(PP_Grid[#Data],$DD147,76),0)</f>
        <v/>
      </c>
      <c r="CA147">
        <f>IFERROR(INDEX(PP_Grid[#Data],$DD147,77),0)</f>
        <v/>
      </c>
      <c r="CB147">
        <f>IFERROR(INDEX(PP_Grid[#Data],$DD147,78),0)</f>
        <v/>
      </c>
      <c r="CC147">
        <f>IFERROR(INDEX(PP_Grid[#Data],$DD147,79),0)</f>
        <v/>
      </c>
      <c r="CD147">
        <f>IFERROR(INDEX(PP_Grid[#Data],$DD147,80),0)</f>
        <v/>
      </c>
      <c r="CE147">
        <f>IFERROR(INDEX(PP_Grid[#Data],$DD147,81),0)</f>
        <v/>
      </c>
      <c r="CF147">
        <f>IFERROR(INDEX(PP_Grid[#Data],$DD147,82),0)</f>
        <v/>
      </c>
      <c r="CG147">
        <f>IFERROR(INDEX(PP_Grid[#Data],$DD147,83),0)</f>
        <v/>
      </c>
      <c r="CH147">
        <f>IFERROR(INDEX(PP_Grid[#Data],$DD147,84),0)</f>
        <v/>
      </c>
      <c r="CI147">
        <f>IFERROR(INDEX(PP_Grid[#Data],$DD147,85),0)</f>
        <v/>
      </c>
      <c r="CJ147">
        <f>IFERROR(INDEX(PP_Grid[#Data],$DD147,86),0)</f>
        <v/>
      </c>
      <c r="CK147">
        <f>IFERROR(INDEX(PP_Grid[#Data],$DD147,87),0)</f>
        <v/>
      </c>
      <c r="CL147">
        <f>IFERROR(INDEX(PP_Grid[#Data],$DD147,88),0)</f>
        <v/>
      </c>
      <c r="CM147">
        <f>IFERROR(INDEX(PP_Grid[#Data],$DD147,89),0)</f>
        <v/>
      </c>
      <c r="CN147">
        <f>IFERROR(INDEX(PP_Grid[#Data],$DD147,90),0)</f>
        <v/>
      </c>
      <c r="CO147">
        <f>IFERROR(INDEX(PP_Grid[#Data],$DD147,91),0)</f>
        <v/>
      </c>
      <c r="CP147">
        <f>IFERROR(INDEX(PP_Grid[#Data],$DD147,92),0)</f>
        <v/>
      </c>
      <c r="CQ147">
        <f>IFERROR(INDEX(PP_Grid[#Data],$DD147,93),0)</f>
        <v/>
      </c>
      <c r="CR147">
        <f>IFERROR(INDEX(PP_Grid[#Data],$DD147,94),0)</f>
        <v/>
      </c>
      <c r="CS147">
        <f>IFERROR(INDEX(PP_Grid[#Data],$DD147,95),0)</f>
        <v/>
      </c>
      <c r="CT147">
        <f>IFERROR(INDEX(PP_Grid[#Data],$DD147,96),0)</f>
        <v/>
      </c>
      <c r="CU147">
        <f>IFERROR(INDEX(PP_Grid[#Data],$DD147,97),0)</f>
        <v/>
      </c>
      <c r="CV147">
        <f>IFERROR(INDEX(PP_Grid[#Data],$DD147,98),0)</f>
        <v/>
      </c>
      <c r="CW147">
        <f>IFERROR(INDEX(PP_Grid[#Data],$DD147,99),0)</f>
        <v/>
      </c>
      <c r="CX147">
        <f>IFERROR(INDEX(PP_Grid[#Data],$DD147,100),0)</f>
        <v/>
      </c>
      <c r="CY147">
        <f>IFERROR(INDEX(PP_Grid[#Data],$DD147,101),0)</f>
        <v/>
      </c>
      <c r="CZ147">
        <f>IFERROR(INDEX(PP_Grid[#Data],$DD147,102),0)</f>
        <v/>
      </c>
      <c r="DA147">
        <f>IFERROR(INDEX(PP_Grid[#Data],$DD147,103),0)</f>
        <v/>
      </c>
      <c r="DB147">
        <f>IFERROR(INDEX(PP_Grid[#Data],$DD147,104),0)</f>
        <v/>
      </c>
      <c r="DC147">
        <f>IFERROR(INDEX(PP_Grid[#Data],$DD147,105),0)</f>
        <v/>
      </c>
      <c r="DD147" s="7">
        <f>IFERROR(MATCH($B147,PP_Grid[Intermediate],0),99999)</f>
        <v/>
      </c>
    </row>
    <row r="148">
      <c r="B148" t="inlineStr">
        <is>
          <t>使用量(kg)</t>
        </is>
      </c>
      <c r="C148">
        <f>SUMIFS(M_BOM[RM_Qty_Per_Batch],M_BOM[Intermediate],$B147,M_BOM[Part Name],$A44)</f>
        <v/>
      </c>
      <c r="D148">
        <f>$C148*D147</f>
        <v/>
      </c>
      <c r="E148">
        <f>$C148*E147</f>
        <v/>
      </c>
      <c r="F148">
        <f>$C148*F147</f>
        <v/>
      </c>
      <c r="G148">
        <f>$C148*G147</f>
        <v/>
      </c>
      <c r="H148">
        <f>$C148*H147</f>
        <v/>
      </c>
      <c r="I148">
        <f>$C148*I147</f>
        <v/>
      </c>
      <c r="J148">
        <f>$C148*J147</f>
        <v/>
      </c>
      <c r="K148">
        <f>$C148*K147</f>
        <v/>
      </c>
      <c r="L148">
        <f>$C148*L147</f>
        <v/>
      </c>
      <c r="M148">
        <f>$C148*M147</f>
        <v/>
      </c>
      <c r="N148">
        <f>$C148*N147</f>
        <v/>
      </c>
      <c r="O148">
        <f>$C148*O147</f>
        <v/>
      </c>
      <c r="P148">
        <f>$C148*P147</f>
        <v/>
      </c>
      <c r="Q148">
        <f>$C148*Q147</f>
        <v/>
      </c>
      <c r="R148">
        <f>$C148*R147</f>
        <v/>
      </c>
      <c r="S148">
        <f>$C148*S147</f>
        <v/>
      </c>
      <c r="T148">
        <f>$C148*T147</f>
        <v/>
      </c>
      <c r="U148">
        <f>$C148*U147</f>
        <v/>
      </c>
      <c r="V148">
        <f>$C148*V147</f>
        <v/>
      </c>
      <c r="W148">
        <f>$C148*W147</f>
        <v/>
      </c>
      <c r="X148">
        <f>$C148*X147</f>
        <v/>
      </c>
      <c r="Y148">
        <f>$C148*Y147</f>
        <v/>
      </c>
      <c r="Z148">
        <f>$C148*Z147</f>
        <v/>
      </c>
      <c r="AA148">
        <f>$C148*AA147</f>
        <v/>
      </c>
      <c r="AB148">
        <f>$C148*AB147</f>
        <v/>
      </c>
      <c r="AC148">
        <f>$C148*AC147</f>
        <v/>
      </c>
      <c r="AD148">
        <f>$C148*AD147</f>
        <v/>
      </c>
      <c r="AE148">
        <f>$C148*AE147</f>
        <v/>
      </c>
      <c r="AF148">
        <f>$C148*AF147</f>
        <v/>
      </c>
      <c r="AG148">
        <f>$C148*AG147</f>
        <v/>
      </c>
      <c r="AH148">
        <f>$C148*AH147</f>
        <v/>
      </c>
      <c r="AI148">
        <f>$C148*AI147</f>
        <v/>
      </c>
      <c r="AJ148">
        <f>$C148*AJ147</f>
        <v/>
      </c>
      <c r="AK148">
        <f>$C148*AK147</f>
        <v/>
      </c>
      <c r="AL148">
        <f>$C148*AL147</f>
        <v/>
      </c>
      <c r="AM148">
        <f>$C148*AM147</f>
        <v/>
      </c>
      <c r="AN148">
        <f>$C148*AN147</f>
        <v/>
      </c>
      <c r="AO148">
        <f>$C148*AO147</f>
        <v/>
      </c>
      <c r="AP148">
        <f>$C148*AP147</f>
        <v/>
      </c>
      <c r="AQ148">
        <f>$C148*AQ147</f>
        <v/>
      </c>
      <c r="AR148">
        <f>$C148*AR147</f>
        <v/>
      </c>
      <c r="AS148">
        <f>$C148*AS147</f>
        <v/>
      </c>
      <c r="AT148">
        <f>$C148*AT147</f>
        <v/>
      </c>
      <c r="AU148">
        <f>$C148*AU147</f>
        <v/>
      </c>
      <c r="AV148">
        <f>$C148*AV147</f>
        <v/>
      </c>
      <c r="AW148">
        <f>$C148*AW147</f>
        <v/>
      </c>
      <c r="AX148">
        <f>$C148*AX147</f>
        <v/>
      </c>
      <c r="AY148">
        <f>$C148*AY147</f>
        <v/>
      </c>
      <c r="AZ148">
        <f>$C148*AZ147</f>
        <v/>
      </c>
      <c r="BA148">
        <f>$C148*BA147</f>
        <v/>
      </c>
      <c r="BB148">
        <f>$C148*BB147</f>
        <v/>
      </c>
      <c r="BC148">
        <f>$C148*BC147</f>
        <v/>
      </c>
      <c r="BD148">
        <f>$C148*BD147</f>
        <v/>
      </c>
      <c r="BE148">
        <f>$C148*BE147</f>
        <v/>
      </c>
      <c r="BF148">
        <f>$C148*BF147</f>
        <v/>
      </c>
      <c r="BG148">
        <f>$C148*BG147</f>
        <v/>
      </c>
      <c r="BH148">
        <f>$C148*BH147</f>
        <v/>
      </c>
      <c r="BI148">
        <f>$C148*BI147</f>
        <v/>
      </c>
      <c r="BJ148">
        <f>$C148*BJ147</f>
        <v/>
      </c>
      <c r="BK148">
        <f>$C148*BK147</f>
        <v/>
      </c>
      <c r="BL148">
        <f>$C148*BL147</f>
        <v/>
      </c>
      <c r="BM148">
        <f>$C148*BM147</f>
        <v/>
      </c>
      <c r="BN148">
        <f>$C148*BN147</f>
        <v/>
      </c>
      <c r="BO148">
        <f>$C148*BO147</f>
        <v/>
      </c>
      <c r="BP148">
        <f>$C148*BP147</f>
        <v/>
      </c>
      <c r="BQ148">
        <f>$C148*BQ147</f>
        <v/>
      </c>
      <c r="BR148">
        <f>$C148*BR147</f>
        <v/>
      </c>
      <c r="BS148">
        <f>$C148*BS147</f>
        <v/>
      </c>
      <c r="BT148">
        <f>$C148*BT147</f>
        <v/>
      </c>
      <c r="BU148">
        <f>$C148*BU147</f>
        <v/>
      </c>
      <c r="BV148">
        <f>$C148*BV147</f>
        <v/>
      </c>
      <c r="BW148">
        <f>$C148*BW147</f>
        <v/>
      </c>
      <c r="BX148">
        <f>$C148*BX147</f>
        <v/>
      </c>
      <c r="BY148">
        <f>$C148*BY147</f>
        <v/>
      </c>
      <c r="BZ148">
        <f>$C148*BZ147</f>
        <v/>
      </c>
      <c r="CA148">
        <f>$C148*CA147</f>
        <v/>
      </c>
      <c r="CB148">
        <f>$C148*CB147</f>
        <v/>
      </c>
      <c r="CC148">
        <f>$C148*CC147</f>
        <v/>
      </c>
      <c r="CD148">
        <f>$C148*CD147</f>
        <v/>
      </c>
      <c r="CE148">
        <f>$C148*CE147</f>
        <v/>
      </c>
      <c r="CF148">
        <f>$C148*CF147</f>
        <v/>
      </c>
      <c r="CG148">
        <f>$C148*CG147</f>
        <v/>
      </c>
      <c r="CH148">
        <f>$C148*CH147</f>
        <v/>
      </c>
      <c r="CI148">
        <f>$C148*CI147</f>
        <v/>
      </c>
      <c r="CJ148">
        <f>$C148*CJ147</f>
        <v/>
      </c>
      <c r="CK148">
        <f>$C148*CK147</f>
        <v/>
      </c>
      <c r="CL148">
        <f>$C148*CL147</f>
        <v/>
      </c>
      <c r="CM148">
        <f>$C148*CM147</f>
        <v/>
      </c>
      <c r="CN148">
        <f>$C148*CN147</f>
        <v/>
      </c>
      <c r="CO148">
        <f>$C148*CO147</f>
        <v/>
      </c>
      <c r="CP148">
        <f>$C148*CP147</f>
        <v/>
      </c>
      <c r="CQ148">
        <f>$C148*CQ147</f>
        <v/>
      </c>
      <c r="CR148">
        <f>$C148*CR147</f>
        <v/>
      </c>
      <c r="CS148">
        <f>$C148*CS147</f>
        <v/>
      </c>
      <c r="CT148">
        <f>$C148*CT147</f>
        <v/>
      </c>
      <c r="CU148">
        <f>$C148*CU147</f>
        <v/>
      </c>
      <c r="CV148">
        <f>$C148*CV147</f>
        <v/>
      </c>
      <c r="CW148">
        <f>$C148*CW147</f>
        <v/>
      </c>
      <c r="CX148">
        <f>$C148*CX147</f>
        <v/>
      </c>
      <c r="CY148">
        <f>$C148*CY147</f>
        <v/>
      </c>
      <c r="CZ148">
        <f>$C148*CZ147</f>
        <v/>
      </c>
      <c r="DA148">
        <f>$C148*DA147</f>
        <v/>
      </c>
      <c r="DB148">
        <f>$C148*DB147</f>
        <v/>
      </c>
      <c r="DC148">
        <f>$C148*DC147</f>
        <v/>
      </c>
    </row>
    <row r="149">
      <c r="B149" t="inlineStr">
        <is>
          <t>TVS-833</t>
        </is>
      </c>
      <c r="C149" t="inlineStr">
        <is>
          <t>No. of batches</t>
        </is>
      </c>
      <c r="D149">
        <f>IFERROR(INDEX(PP_Grid[#Data],$DD149,2),0)</f>
        <v/>
      </c>
      <c r="E149">
        <f>IFERROR(INDEX(PP_Grid[#Data],$DD149,3),0)</f>
        <v/>
      </c>
      <c r="F149">
        <f>IFERROR(INDEX(PP_Grid[#Data],$DD149,4),0)</f>
        <v/>
      </c>
      <c r="G149">
        <f>IFERROR(INDEX(PP_Grid[#Data],$DD149,5),0)</f>
        <v/>
      </c>
      <c r="H149">
        <f>IFERROR(INDEX(PP_Grid[#Data],$DD149,6),0)</f>
        <v/>
      </c>
      <c r="I149">
        <f>IFERROR(INDEX(PP_Grid[#Data],$DD149,7),0)</f>
        <v/>
      </c>
      <c r="J149">
        <f>IFERROR(INDEX(PP_Grid[#Data],$DD149,8),0)</f>
        <v/>
      </c>
      <c r="K149">
        <f>IFERROR(INDEX(PP_Grid[#Data],$DD149,9),0)</f>
        <v/>
      </c>
      <c r="L149">
        <f>IFERROR(INDEX(PP_Grid[#Data],$DD149,10),0)</f>
        <v/>
      </c>
      <c r="M149">
        <f>IFERROR(INDEX(PP_Grid[#Data],$DD149,11),0)</f>
        <v/>
      </c>
      <c r="N149">
        <f>IFERROR(INDEX(PP_Grid[#Data],$DD149,12),0)</f>
        <v/>
      </c>
      <c r="O149">
        <f>IFERROR(INDEX(PP_Grid[#Data],$DD149,13),0)</f>
        <v/>
      </c>
      <c r="P149">
        <f>IFERROR(INDEX(PP_Grid[#Data],$DD149,14),0)</f>
        <v/>
      </c>
      <c r="Q149">
        <f>IFERROR(INDEX(PP_Grid[#Data],$DD149,15),0)</f>
        <v/>
      </c>
      <c r="R149">
        <f>IFERROR(INDEX(PP_Grid[#Data],$DD149,16),0)</f>
        <v/>
      </c>
      <c r="S149">
        <f>IFERROR(INDEX(PP_Grid[#Data],$DD149,17),0)</f>
        <v/>
      </c>
      <c r="T149">
        <f>IFERROR(INDEX(PP_Grid[#Data],$DD149,18),0)</f>
        <v/>
      </c>
      <c r="U149">
        <f>IFERROR(INDEX(PP_Grid[#Data],$DD149,19),0)</f>
        <v/>
      </c>
      <c r="V149">
        <f>IFERROR(INDEX(PP_Grid[#Data],$DD149,20),0)</f>
        <v/>
      </c>
      <c r="W149">
        <f>IFERROR(INDEX(PP_Grid[#Data],$DD149,21),0)</f>
        <v/>
      </c>
      <c r="X149">
        <f>IFERROR(INDEX(PP_Grid[#Data],$DD149,22),0)</f>
        <v/>
      </c>
      <c r="Y149">
        <f>IFERROR(INDEX(PP_Grid[#Data],$DD149,23),0)</f>
        <v/>
      </c>
      <c r="Z149">
        <f>IFERROR(INDEX(PP_Grid[#Data],$DD149,24),0)</f>
        <v/>
      </c>
      <c r="AA149">
        <f>IFERROR(INDEX(PP_Grid[#Data],$DD149,25),0)</f>
        <v/>
      </c>
      <c r="AB149">
        <f>IFERROR(INDEX(PP_Grid[#Data],$DD149,26),0)</f>
        <v/>
      </c>
      <c r="AC149">
        <f>IFERROR(INDEX(PP_Grid[#Data],$DD149,27),0)</f>
        <v/>
      </c>
      <c r="AD149">
        <f>IFERROR(INDEX(PP_Grid[#Data],$DD149,28),0)</f>
        <v/>
      </c>
      <c r="AE149">
        <f>IFERROR(INDEX(PP_Grid[#Data],$DD149,29),0)</f>
        <v/>
      </c>
      <c r="AF149">
        <f>IFERROR(INDEX(PP_Grid[#Data],$DD149,30),0)</f>
        <v/>
      </c>
      <c r="AG149">
        <f>IFERROR(INDEX(PP_Grid[#Data],$DD149,31),0)</f>
        <v/>
      </c>
      <c r="AH149">
        <f>IFERROR(INDEX(PP_Grid[#Data],$DD149,32),0)</f>
        <v/>
      </c>
      <c r="AI149">
        <f>IFERROR(INDEX(PP_Grid[#Data],$DD149,33),0)</f>
        <v/>
      </c>
      <c r="AJ149">
        <f>IFERROR(INDEX(PP_Grid[#Data],$DD149,34),0)</f>
        <v/>
      </c>
      <c r="AK149">
        <f>IFERROR(INDEX(PP_Grid[#Data],$DD149,35),0)</f>
        <v/>
      </c>
      <c r="AL149">
        <f>IFERROR(INDEX(PP_Grid[#Data],$DD149,36),0)</f>
        <v/>
      </c>
      <c r="AM149">
        <f>IFERROR(INDEX(PP_Grid[#Data],$DD149,37),0)</f>
        <v/>
      </c>
      <c r="AN149">
        <f>IFERROR(INDEX(PP_Grid[#Data],$DD149,38),0)</f>
        <v/>
      </c>
      <c r="AO149">
        <f>IFERROR(INDEX(PP_Grid[#Data],$DD149,39),0)</f>
        <v/>
      </c>
      <c r="AP149">
        <f>IFERROR(INDEX(PP_Grid[#Data],$DD149,40),0)</f>
        <v/>
      </c>
      <c r="AQ149">
        <f>IFERROR(INDEX(PP_Grid[#Data],$DD149,41),0)</f>
        <v/>
      </c>
      <c r="AR149">
        <f>IFERROR(INDEX(PP_Grid[#Data],$DD149,42),0)</f>
        <v/>
      </c>
      <c r="AS149">
        <f>IFERROR(INDEX(PP_Grid[#Data],$DD149,43),0)</f>
        <v/>
      </c>
      <c r="AT149">
        <f>IFERROR(INDEX(PP_Grid[#Data],$DD149,44),0)</f>
        <v/>
      </c>
      <c r="AU149">
        <f>IFERROR(INDEX(PP_Grid[#Data],$DD149,45),0)</f>
        <v/>
      </c>
      <c r="AV149">
        <f>IFERROR(INDEX(PP_Grid[#Data],$DD149,46),0)</f>
        <v/>
      </c>
      <c r="AW149">
        <f>IFERROR(INDEX(PP_Grid[#Data],$DD149,47),0)</f>
        <v/>
      </c>
      <c r="AX149">
        <f>IFERROR(INDEX(PP_Grid[#Data],$DD149,48),0)</f>
        <v/>
      </c>
      <c r="AY149">
        <f>IFERROR(INDEX(PP_Grid[#Data],$DD149,49),0)</f>
        <v/>
      </c>
      <c r="AZ149">
        <f>IFERROR(INDEX(PP_Grid[#Data],$DD149,50),0)</f>
        <v/>
      </c>
      <c r="BA149">
        <f>IFERROR(INDEX(PP_Grid[#Data],$DD149,51),0)</f>
        <v/>
      </c>
      <c r="BB149">
        <f>IFERROR(INDEX(PP_Grid[#Data],$DD149,52),0)</f>
        <v/>
      </c>
      <c r="BC149">
        <f>IFERROR(INDEX(PP_Grid[#Data],$DD149,53),0)</f>
        <v/>
      </c>
      <c r="BD149">
        <f>IFERROR(INDEX(PP_Grid[#Data],$DD149,54),0)</f>
        <v/>
      </c>
      <c r="BE149">
        <f>IFERROR(INDEX(PP_Grid[#Data],$DD149,55),0)</f>
        <v/>
      </c>
      <c r="BF149">
        <f>IFERROR(INDEX(PP_Grid[#Data],$DD149,56),0)</f>
        <v/>
      </c>
      <c r="BG149">
        <f>IFERROR(INDEX(PP_Grid[#Data],$DD149,57),0)</f>
        <v/>
      </c>
      <c r="BH149">
        <f>IFERROR(INDEX(PP_Grid[#Data],$DD149,58),0)</f>
        <v/>
      </c>
      <c r="BI149">
        <f>IFERROR(INDEX(PP_Grid[#Data],$DD149,59),0)</f>
        <v/>
      </c>
      <c r="BJ149">
        <f>IFERROR(INDEX(PP_Grid[#Data],$DD149,60),0)</f>
        <v/>
      </c>
      <c r="BK149">
        <f>IFERROR(INDEX(PP_Grid[#Data],$DD149,61),0)</f>
        <v/>
      </c>
      <c r="BL149">
        <f>IFERROR(INDEX(PP_Grid[#Data],$DD149,62),0)</f>
        <v/>
      </c>
      <c r="BM149">
        <f>IFERROR(INDEX(PP_Grid[#Data],$DD149,63),0)</f>
        <v/>
      </c>
      <c r="BN149">
        <f>IFERROR(INDEX(PP_Grid[#Data],$DD149,64),0)</f>
        <v/>
      </c>
      <c r="BO149">
        <f>IFERROR(INDEX(PP_Grid[#Data],$DD149,65),0)</f>
        <v/>
      </c>
      <c r="BP149">
        <f>IFERROR(INDEX(PP_Grid[#Data],$DD149,66),0)</f>
        <v/>
      </c>
      <c r="BQ149">
        <f>IFERROR(INDEX(PP_Grid[#Data],$DD149,67),0)</f>
        <v/>
      </c>
      <c r="BR149">
        <f>IFERROR(INDEX(PP_Grid[#Data],$DD149,68),0)</f>
        <v/>
      </c>
      <c r="BS149">
        <f>IFERROR(INDEX(PP_Grid[#Data],$DD149,69),0)</f>
        <v/>
      </c>
      <c r="BT149">
        <f>IFERROR(INDEX(PP_Grid[#Data],$DD149,70),0)</f>
        <v/>
      </c>
      <c r="BU149">
        <f>IFERROR(INDEX(PP_Grid[#Data],$DD149,71),0)</f>
        <v/>
      </c>
      <c r="BV149">
        <f>IFERROR(INDEX(PP_Grid[#Data],$DD149,72),0)</f>
        <v/>
      </c>
      <c r="BW149">
        <f>IFERROR(INDEX(PP_Grid[#Data],$DD149,73),0)</f>
        <v/>
      </c>
      <c r="BX149">
        <f>IFERROR(INDEX(PP_Grid[#Data],$DD149,74),0)</f>
        <v/>
      </c>
      <c r="BY149">
        <f>IFERROR(INDEX(PP_Grid[#Data],$DD149,75),0)</f>
        <v/>
      </c>
      <c r="BZ149">
        <f>IFERROR(INDEX(PP_Grid[#Data],$DD149,76),0)</f>
        <v/>
      </c>
      <c r="CA149">
        <f>IFERROR(INDEX(PP_Grid[#Data],$DD149,77),0)</f>
        <v/>
      </c>
      <c r="CB149">
        <f>IFERROR(INDEX(PP_Grid[#Data],$DD149,78),0)</f>
        <v/>
      </c>
      <c r="CC149">
        <f>IFERROR(INDEX(PP_Grid[#Data],$DD149,79),0)</f>
        <v/>
      </c>
      <c r="CD149">
        <f>IFERROR(INDEX(PP_Grid[#Data],$DD149,80),0)</f>
        <v/>
      </c>
      <c r="CE149">
        <f>IFERROR(INDEX(PP_Grid[#Data],$DD149,81),0)</f>
        <v/>
      </c>
      <c r="CF149">
        <f>IFERROR(INDEX(PP_Grid[#Data],$DD149,82),0)</f>
        <v/>
      </c>
      <c r="CG149">
        <f>IFERROR(INDEX(PP_Grid[#Data],$DD149,83),0)</f>
        <v/>
      </c>
      <c r="CH149">
        <f>IFERROR(INDEX(PP_Grid[#Data],$DD149,84),0)</f>
        <v/>
      </c>
      <c r="CI149">
        <f>IFERROR(INDEX(PP_Grid[#Data],$DD149,85),0)</f>
        <v/>
      </c>
      <c r="CJ149">
        <f>IFERROR(INDEX(PP_Grid[#Data],$DD149,86),0)</f>
        <v/>
      </c>
      <c r="CK149">
        <f>IFERROR(INDEX(PP_Grid[#Data],$DD149,87),0)</f>
        <v/>
      </c>
      <c r="CL149">
        <f>IFERROR(INDEX(PP_Grid[#Data],$DD149,88),0)</f>
        <v/>
      </c>
      <c r="CM149">
        <f>IFERROR(INDEX(PP_Grid[#Data],$DD149,89),0)</f>
        <v/>
      </c>
      <c r="CN149">
        <f>IFERROR(INDEX(PP_Grid[#Data],$DD149,90),0)</f>
        <v/>
      </c>
      <c r="CO149">
        <f>IFERROR(INDEX(PP_Grid[#Data],$DD149,91),0)</f>
        <v/>
      </c>
      <c r="CP149">
        <f>IFERROR(INDEX(PP_Grid[#Data],$DD149,92),0)</f>
        <v/>
      </c>
      <c r="CQ149">
        <f>IFERROR(INDEX(PP_Grid[#Data],$DD149,93),0)</f>
        <v/>
      </c>
      <c r="CR149">
        <f>IFERROR(INDEX(PP_Grid[#Data],$DD149,94),0)</f>
        <v/>
      </c>
      <c r="CS149">
        <f>IFERROR(INDEX(PP_Grid[#Data],$DD149,95),0)</f>
        <v/>
      </c>
      <c r="CT149">
        <f>IFERROR(INDEX(PP_Grid[#Data],$DD149,96),0)</f>
        <v/>
      </c>
      <c r="CU149">
        <f>IFERROR(INDEX(PP_Grid[#Data],$DD149,97),0)</f>
        <v/>
      </c>
      <c r="CV149">
        <f>IFERROR(INDEX(PP_Grid[#Data],$DD149,98),0)</f>
        <v/>
      </c>
      <c r="CW149">
        <f>IFERROR(INDEX(PP_Grid[#Data],$DD149,99),0)</f>
        <v/>
      </c>
      <c r="CX149">
        <f>IFERROR(INDEX(PP_Grid[#Data],$DD149,100),0)</f>
        <v/>
      </c>
      <c r="CY149">
        <f>IFERROR(INDEX(PP_Grid[#Data],$DD149,101),0)</f>
        <v/>
      </c>
      <c r="CZ149">
        <f>IFERROR(INDEX(PP_Grid[#Data],$DD149,102),0)</f>
        <v/>
      </c>
      <c r="DA149">
        <f>IFERROR(INDEX(PP_Grid[#Data],$DD149,103),0)</f>
        <v/>
      </c>
      <c r="DB149">
        <f>IFERROR(INDEX(PP_Grid[#Data],$DD149,104),0)</f>
        <v/>
      </c>
      <c r="DC149">
        <f>IFERROR(INDEX(PP_Grid[#Data],$DD149,105),0)</f>
        <v/>
      </c>
      <c r="DD149" s="7">
        <f>IFERROR(MATCH($B149,PP_Grid[Intermediate],0),99999)</f>
        <v/>
      </c>
    </row>
    <row r="150">
      <c r="B150" t="inlineStr">
        <is>
          <t>使用量(kg)</t>
        </is>
      </c>
      <c r="C150">
        <f>SUMIFS(M_BOM[RM_Qty_Per_Batch],M_BOM[Intermediate],$B149,M_BOM[Part Name],$A44)</f>
        <v/>
      </c>
      <c r="D150">
        <f>$C150*D149</f>
        <v/>
      </c>
      <c r="E150">
        <f>$C150*E149</f>
        <v/>
      </c>
      <c r="F150">
        <f>$C150*F149</f>
        <v/>
      </c>
      <c r="G150">
        <f>$C150*G149</f>
        <v/>
      </c>
      <c r="H150">
        <f>$C150*H149</f>
        <v/>
      </c>
      <c r="I150">
        <f>$C150*I149</f>
        <v/>
      </c>
      <c r="J150">
        <f>$C150*J149</f>
        <v/>
      </c>
      <c r="K150">
        <f>$C150*K149</f>
        <v/>
      </c>
      <c r="L150">
        <f>$C150*L149</f>
        <v/>
      </c>
      <c r="M150">
        <f>$C150*M149</f>
        <v/>
      </c>
      <c r="N150">
        <f>$C150*N149</f>
        <v/>
      </c>
      <c r="O150">
        <f>$C150*O149</f>
        <v/>
      </c>
      <c r="P150">
        <f>$C150*P149</f>
        <v/>
      </c>
      <c r="Q150">
        <f>$C150*Q149</f>
        <v/>
      </c>
      <c r="R150">
        <f>$C150*R149</f>
        <v/>
      </c>
      <c r="S150">
        <f>$C150*S149</f>
        <v/>
      </c>
      <c r="T150">
        <f>$C150*T149</f>
        <v/>
      </c>
      <c r="U150">
        <f>$C150*U149</f>
        <v/>
      </c>
      <c r="V150">
        <f>$C150*V149</f>
        <v/>
      </c>
      <c r="W150">
        <f>$C150*W149</f>
        <v/>
      </c>
      <c r="X150">
        <f>$C150*X149</f>
        <v/>
      </c>
      <c r="Y150">
        <f>$C150*Y149</f>
        <v/>
      </c>
      <c r="Z150">
        <f>$C150*Z149</f>
        <v/>
      </c>
      <c r="AA150">
        <f>$C150*AA149</f>
        <v/>
      </c>
      <c r="AB150">
        <f>$C150*AB149</f>
        <v/>
      </c>
      <c r="AC150">
        <f>$C150*AC149</f>
        <v/>
      </c>
      <c r="AD150">
        <f>$C150*AD149</f>
        <v/>
      </c>
      <c r="AE150">
        <f>$C150*AE149</f>
        <v/>
      </c>
      <c r="AF150">
        <f>$C150*AF149</f>
        <v/>
      </c>
      <c r="AG150">
        <f>$C150*AG149</f>
        <v/>
      </c>
      <c r="AH150">
        <f>$C150*AH149</f>
        <v/>
      </c>
      <c r="AI150">
        <f>$C150*AI149</f>
        <v/>
      </c>
      <c r="AJ150">
        <f>$C150*AJ149</f>
        <v/>
      </c>
      <c r="AK150">
        <f>$C150*AK149</f>
        <v/>
      </c>
      <c r="AL150">
        <f>$C150*AL149</f>
        <v/>
      </c>
      <c r="AM150">
        <f>$C150*AM149</f>
        <v/>
      </c>
      <c r="AN150">
        <f>$C150*AN149</f>
        <v/>
      </c>
      <c r="AO150">
        <f>$C150*AO149</f>
        <v/>
      </c>
      <c r="AP150">
        <f>$C150*AP149</f>
        <v/>
      </c>
      <c r="AQ150">
        <f>$C150*AQ149</f>
        <v/>
      </c>
      <c r="AR150">
        <f>$C150*AR149</f>
        <v/>
      </c>
      <c r="AS150">
        <f>$C150*AS149</f>
        <v/>
      </c>
      <c r="AT150">
        <f>$C150*AT149</f>
        <v/>
      </c>
      <c r="AU150">
        <f>$C150*AU149</f>
        <v/>
      </c>
      <c r="AV150">
        <f>$C150*AV149</f>
        <v/>
      </c>
      <c r="AW150">
        <f>$C150*AW149</f>
        <v/>
      </c>
      <c r="AX150">
        <f>$C150*AX149</f>
        <v/>
      </c>
      <c r="AY150">
        <f>$C150*AY149</f>
        <v/>
      </c>
      <c r="AZ150">
        <f>$C150*AZ149</f>
        <v/>
      </c>
      <c r="BA150">
        <f>$C150*BA149</f>
        <v/>
      </c>
      <c r="BB150">
        <f>$C150*BB149</f>
        <v/>
      </c>
      <c r="BC150">
        <f>$C150*BC149</f>
        <v/>
      </c>
      <c r="BD150">
        <f>$C150*BD149</f>
        <v/>
      </c>
      <c r="BE150">
        <f>$C150*BE149</f>
        <v/>
      </c>
      <c r="BF150">
        <f>$C150*BF149</f>
        <v/>
      </c>
      <c r="BG150">
        <f>$C150*BG149</f>
        <v/>
      </c>
      <c r="BH150">
        <f>$C150*BH149</f>
        <v/>
      </c>
      <c r="BI150">
        <f>$C150*BI149</f>
        <v/>
      </c>
      <c r="BJ150">
        <f>$C150*BJ149</f>
        <v/>
      </c>
      <c r="BK150">
        <f>$C150*BK149</f>
        <v/>
      </c>
      <c r="BL150">
        <f>$C150*BL149</f>
        <v/>
      </c>
      <c r="BM150">
        <f>$C150*BM149</f>
        <v/>
      </c>
      <c r="BN150">
        <f>$C150*BN149</f>
        <v/>
      </c>
      <c r="BO150">
        <f>$C150*BO149</f>
        <v/>
      </c>
      <c r="BP150">
        <f>$C150*BP149</f>
        <v/>
      </c>
      <c r="BQ150">
        <f>$C150*BQ149</f>
        <v/>
      </c>
      <c r="BR150">
        <f>$C150*BR149</f>
        <v/>
      </c>
      <c r="BS150">
        <f>$C150*BS149</f>
        <v/>
      </c>
      <c r="BT150">
        <f>$C150*BT149</f>
        <v/>
      </c>
      <c r="BU150">
        <f>$C150*BU149</f>
        <v/>
      </c>
      <c r="BV150">
        <f>$C150*BV149</f>
        <v/>
      </c>
      <c r="BW150">
        <f>$C150*BW149</f>
        <v/>
      </c>
      <c r="BX150">
        <f>$C150*BX149</f>
        <v/>
      </c>
      <c r="BY150">
        <f>$C150*BY149</f>
        <v/>
      </c>
      <c r="BZ150">
        <f>$C150*BZ149</f>
        <v/>
      </c>
      <c r="CA150">
        <f>$C150*CA149</f>
        <v/>
      </c>
      <c r="CB150">
        <f>$C150*CB149</f>
        <v/>
      </c>
      <c r="CC150">
        <f>$C150*CC149</f>
        <v/>
      </c>
      <c r="CD150">
        <f>$C150*CD149</f>
        <v/>
      </c>
      <c r="CE150">
        <f>$C150*CE149</f>
        <v/>
      </c>
      <c r="CF150">
        <f>$C150*CF149</f>
        <v/>
      </c>
      <c r="CG150">
        <f>$C150*CG149</f>
        <v/>
      </c>
      <c r="CH150">
        <f>$C150*CH149</f>
        <v/>
      </c>
      <c r="CI150">
        <f>$C150*CI149</f>
        <v/>
      </c>
      <c r="CJ150">
        <f>$C150*CJ149</f>
        <v/>
      </c>
      <c r="CK150">
        <f>$C150*CK149</f>
        <v/>
      </c>
      <c r="CL150">
        <f>$C150*CL149</f>
        <v/>
      </c>
      <c r="CM150">
        <f>$C150*CM149</f>
        <v/>
      </c>
      <c r="CN150">
        <f>$C150*CN149</f>
        <v/>
      </c>
      <c r="CO150">
        <f>$C150*CO149</f>
        <v/>
      </c>
      <c r="CP150">
        <f>$C150*CP149</f>
        <v/>
      </c>
      <c r="CQ150">
        <f>$C150*CQ149</f>
        <v/>
      </c>
      <c r="CR150">
        <f>$C150*CR149</f>
        <v/>
      </c>
      <c r="CS150">
        <f>$C150*CS149</f>
        <v/>
      </c>
      <c r="CT150">
        <f>$C150*CT149</f>
        <v/>
      </c>
      <c r="CU150">
        <f>$C150*CU149</f>
        <v/>
      </c>
      <c r="CV150">
        <f>$C150*CV149</f>
        <v/>
      </c>
      <c r="CW150">
        <f>$C150*CW149</f>
        <v/>
      </c>
      <c r="CX150">
        <f>$C150*CX149</f>
        <v/>
      </c>
      <c r="CY150">
        <f>$C150*CY149</f>
        <v/>
      </c>
      <c r="CZ150">
        <f>$C150*CZ149</f>
        <v/>
      </c>
      <c r="DA150">
        <f>$C150*DA149</f>
        <v/>
      </c>
      <c r="DB150">
        <f>$C150*DB149</f>
        <v/>
      </c>
      <c r="DC150">
        <f>$C150*DC149</f>
        <v/>
      </c>
    </row>
    <row r="151">
      <c r="B151" t="inlineStr">
        <is>
          <t>TSP-1388</t>
        </is>
      </c>
      <c r="C151" t="inlineStr">
        <is>
          <t>No. of batches</t>
        </is>
      </c>
      <c r="D151">
        <f>IFERROR(INDEX(PP_Grid[#Data],$DD151,2),0)</f>
        <v/>
      </c>
      <c r="E151">
        <f>IFERROR(INDEX(PP_Grid[#Data],$DD151,3),0)</f>
        <v/>
      </c>
      <c r="F151">
        <f>IFERROR(INDEX(PP_Grid[#Data],$DD151,4),0)</f>
        <v/>
      </c>
      <c r="G151">
        <f>IFERROR(INDEX(PP_Grid[#Data],$DD151,5),0)</f>
        <v/>
      </c>
      <c r="H151">
        <f>IFERROR(INDEX(PP_Grid[#Data],$DD151,6),0)</f>
        <v/>
      </c>
      <c r="I151">
        <f>IFERROR(INDEX(PP_Grid[#Data],$DD151,7),0)</f>
        <v/>
      </c>
      <c r="J151">
        <f>IFERROR(INDEX(PP_Grid[#Data],$DD151,8),0)</f>
        <v/>
      </c>
      <c r="K151">
        <f>IFERROR(INDEX(PP_Grid[#Data],$DD151,9),0)</f>
        <v/>
      </c>
      <c r="L151">
        <f>IFERROR(INDEX(PP_Grid[#Data],$DD151,10),0)</f>
        <v/>
      </c>
      <c r="M151">
        <f>IFERROR(INDEX(PP_Grid[#Data],$DD151,11),0)</f>
        <v/>
      </c>
      <c r="N151">
        <f>IFERROR(INDEX(PP_Grid[#Data],$DD151,12),0)</f>
        <v/>
      </c>
      <c r="O151">
        <f>IFERROR(INDEX(PP_Grid[#Data],$DD151,13),0)</f>
        <v/>
      </c>
      <c r="P151">
        <f>IFERROR(INDEX(PP_Grid[#Data],$DD151,14),0)</f>
        <v/>
      </c>
      <c r="Q151">
        <f>IFERROR(INDEX(PP_Grid[#Data],$DD151,15),0)</f>
        <v/>
      </c>
      <c r="R151">
        <f>IFERROR(INDEX(PP_Grid[#Data],$DD151,16),0)</f>
        <v/>
      </c>
      <c r="S151">
        <f>IFERROR(INDEX(PP_Grid[#Data],$DD151,17),0)</f>
        <v/>
      </c>
      <c r="T151">
        <f>IFERROR(INDEX(PP_Grid[#Data],$DD151,18),0)</f>
        <v/>
      </c>
      <c r="U151">
        <f>IFERROR(INDEX(PP_Grid[#Data],$DD151,19),0)</f>
        <v/>
      </c>
      <c r="V151">
        <f>IFERROR(INDEX(PP_Grid[#Data],$DD151,20),0)</f>
        <v/>
      </c>
      <c r="W151">
        <f>IFERROR(INDEX(PP_Grid[#Data],$DD151,21),0)</f>
        <v/>
      </c>
      <c r="X151">
        <f>IFERROR(INDEX(PP_Grid[#Data],$DD151,22),0)</f>
        <v/>
      </c>
      <c r="Y151">
        <f>IFERROR(INDEX(PP_Grid[#Data],$DD151,23),0)</f>
        <v/>
      </c>
      <c r="Z151">
        <f>IFERROR(INDEX(PP_Grid[#Data],$DD151,24),0)</f>
        <v/>
      </c>
      <c r="AA151">
        <f>IFERROR(INDEX(PP_Grid[#Data],$DD151,25),0)</f>
        <v/>
      </c>
      <c r="AB151">
        <f>IFERROR(INDEX(PP_Grid[#Data],$DD151,26),0)</f>
        <v/>
      </c>
      <c r="AC151">
        <f>IFERROR(INDEX(PP_Grid[#Data],$DD151,27),0)</f>
        <v/>
      </c>
      <c r="AD151">
        <f>IFERROR(INDEX(PP_Grid[#Data],$DD151,28),0)</f>
        <v/>
      </c>
      <c r="AE151">
        <f>IFERROR(INDEX(PP_Grid[#Data],$DD151,29),0)</f>
        <v/>
      </c>
      <c r="AF151">
        <f>IFERROR(INDEX(PP_Grid[#Data],$DD151,30),0)</f>
        <v/>
      </c>
      <c r="AG151">
        <f>IFERROR(INDEX(PP_Grid[#Data],$DD151,31),0)</f>
        <v/>
      </c>
      <c r="AH151">
        <f>IFERROR(INDEX(PP_Grid[#Data],$DD151,32),0)</f>
        <v/>
      </c>
      <c r="AI151">
        <f>IFERROR(INDEX(PP_Grid[#Data],$DD151,33),0)</f>
        <v/>
      </c>
      <c r="AJ151">
        <f>IFERROR(INDEX(PP_Grid[#Data],$DD151,34),0)</f>
        <v/>
      </c>
      <c r="AK151">
        <f>IFERROR(INDEX(PP_Grid[#Data],$DD151,35),0)</f>
        <v/>
      </c>
      <c r="AL151">
        <f>IFERROR(INDEX(PP_Grid[#Data],$DD151,36),0)</f>
        <v/>
      </c>
      <c r="AM151">
        <f>IFERROR(INDEX(PP_Grid[#Data],$DD151,37),0)</f>
        <v/>
      </c>
      <c r="AN151">
        <f>IFERROR(INDEX(PP_Grid[#Data],$DD151,38),0)</f>
        <v/>
      </c>
      <c r="AO151">
        <f>IFERROR(INDEX(PP_Grid[#Data],$DD151,39),0)</f>
        <v/>
      </c>
      <c r="AP151">
        <f>IFERROR(INDEX(PP_Grid[#Data],$DD151,40),0)</f>
        <v/>
      </c>
      <c r="AQ151">
        <f>IFERROR(INDEX(PP_Grid[#Data],$DD151,41),0)</f>
        <v/>
      </c>
      <c r="AR151">
        <f>IFERROR(INDEX(PP_Grid[#Data],$DD151,42),0)</f>
        <v/>
      </c>
      <c r="AS151">
        <f>IFERROR(INDEX(PP_Grid[#Data],$DD151,43),0)</f>
        <v/>
      </c>
      <c r="AT151">
        <f>IFERROR(INDEX(PP_Grid[#Data],$DD151,44),0)</f>
        <v/>
      </c>
      <c r="AU151">
        <f>IFERROR(INDEX(PP_Grid[#Data],$DD151,45),0)</f>
        <v/>
      </c>
      <c r="AV151">
        <f>IFERROR(INDEX(PP_Grid[#Data],$DD151,46),0)</f>
        <v/>
      </c>
      <c r="AW151">
        <f>IFERROR(INDEX(PP_Grid[#Data],$DD151,47),0)</f>
        <v/>
      </c>
      <c r="AX151">
        <f>IFERROR(INDEX(PP_Grid[#Data],$DD151,48),0)</f>
        <v/>
      </c>
      <c r="AY151">
        <f>IFERROR(INDEX(PP_Grid[#Data],$DD151,49),0)</f>
        <v/>
      </c>
      <c r="AZ151">
        <f>IFERROR(INDEX(PP_Grid[#Data],$DD151,50),0)</f>
        <v/>
      </c>
      <c r="BA151">
        <f>IFERROR(INDEX(PP_Grid[#Data],$DD151,51),0)</f>
        <v/>
      </c>
      <c r="BB151">
        <f>IFERROR(INDEX(PP_Grid[#Data],$DD151,52),0)</f>
        <v/>
      </c>
      <c r="BC151">
        <f>IFERROR(INDEX(PP_Grid[#Data],$DD151,53),0)</f>
        <v/>
      </c>
      <c r="BD151">
        <f>IFERROR(INDEX(PP_Grid[#Data],$DD151,54),0)</f>
        <v/>
      </c>
      <c r="BE151">
        <f>IFERROR(INDEX(PP_Grid[#Data],$DD151,55),0)</f>
        <v/>
      </c>
      <c r="BF151">
        <f>IFERROR(INDEX(PP_Grid[#Data],$DD151,56),0)</f>
        <v/>
      </c>
      <c r="BG151">
        <f>IFERROR(INDEX(PP_Grid[#Data],$DD151,57),0)</f>
        <v/>
      </c>
      <c r="BH151">
        <f>IFERROR(INDEX(PP_Grid[#Data],$DD151,58),0)</f>
        <v/>
      </c>
      <c r="BI151">
        <f>IFERROR(INDEX(PP_Grid[#Data],$DD151,59),0)</f>
        <v/>
      </c>
      <c r="BJ151">
        <f>IFERROR(INDEX(PP_Grid[#Data],$DD151,60),0)</f>
        <v/>
      </c>
      <c r="BK151">
        <f>IFERROR(INDEX(PP_Grid[#Data],$DD151,61),0)</f>
        <v/>
      </c>
      <c r="BL151">
        <f>IFERROR(INDEX(PP_Grid[#Data],$DD151,62),0)</f>
        <v/>
      </c>
      <c r="BM151">
        <f>IFERROR(INDEX(PP_Grid[#Data],$DD151,63),0)</f>
        <v/>
      </c>
      <c r="BN151">
        <f>IFERROR(INDEX(PP_Grid[#Data],$DD151,64),0)</f>
        <v/>
      </c>
      <c r="BO151">
        <f>IFERROR(INDEX(PP_Grid[#Data],$DD151,65),0)</f>
        <v/>
      </c>
      <c r="BP151">
        <f>IFERROR(INDEX(PP_Grid[#Data],$DD151,66),0)</f>
        <v/>
      </c>
      <c r="BQ151">
        <f>IFERROR(INDEX(PP_Grid[#Data],$DD151,67),0)</f>
        <v/>
      </c>
      <c r="BR151">
        <f>IFERROR(INDEX(PP_Grid[#Data],$DD151,68),0)</f>
        <v/>
      </c>
      <c r="BS151">
        <f>IFERROR(INDEX(PP_Grid[#Data],$DD151,69),0)</f>
        <v/>
      </c>
      <c r="BT151">
        <f>IFERROR(INDEX(PP_Grid[#Data],$DD151,70),0)</f>
        <v/>
      </c>
      <c r="BU151">
        <f>IFERROR(INDEX(PP_Grid[#Data],$DD151,71),0)</f>
        <v/>
      </c>
      <c r="BV151">
        <f>IFERROR(INDEX(PP_Grid[#Data],$DD151,72),0)</f>
        <v/>
      </c>
      <c r="BW151">
        <f>IFERROR(INDEX(PP_Grid[#Data],$DD151,73),0)</f>
        <v/>
      </c>
      <c r="BX151">
        <f>IFERROR(INDEX(PP_Grid[#Data],$DD151,74),0)</f>
        <v/>
      </c>
      <c r="BY151">
        <f>IFERROR(INDEX(PP_Grid[#Data],$DD151,75),0)</f>
        <v/>
      </c>
      <c r="BZ151">
        <f>IFERROR(INDEX(PP_Grid[#Data],$DD151,76),0)</f>
        <v/>
      </c>
      <c r="CA151">
        <f>IFERROR(INDEX(PP_Grid[#Data],$DD151,77),0)</f>
        <v/>
      </c>
      <c r="CB151">
        <f>IFERROR(INDEX(PP_Grid[#Data],$DD151,78),0)</f>
        <v/>
      </c>
      <c r="CC151">
        <f>IFERROR(INDEX(PP_Grid[#Data],$DD151,79),0)</f>
        <v/>
      </c>
      <c r="CD151">
        <f>IFERROR(INDEX(PP_Grid[#Data],$DD151,80),0)</f>
        <v/>
      </c>
      <c r="CE151">
        <f>IFERROR(INDEX(PP_Grid[#Data],$DD151,81),0)</f>
        <v/>
      </c>
      <c r="CF151">
        <f>IFERROR(INDEX(PP_Grid[#Data],$DD151,82),0)</f>
        <v/>
      </c>
      <c r="CG151">
        <f>IFERROR(INDEX(PP_Grid[#Data],$DD151,83),0)</f>
        <v/>
      </c>
      <c r="CH151">
        <f>IFERROR(INDEX(PP_Grid[#Data],$DD151,84),0)</f>
        <v/>
      </c>
      <c r="CI151">
        <f>IFERROR(INDEX(PP_Grid[#Data],$DD151,85),0)</f>
        <v/>
      </c>
      <c r="CJ151">
        <f>IFERROR(INDEX(PP_Grid[#Data],$DD151,86),0)</f>
        <v/>
      </c>
      <c r="CK151">
        <f>IFERROR(INDEX(PP_Grid[#Data],$DD151,87),0)</f>
        <v/>
      </c>
      <c r="CL151">
        <f>IFERROR(INDEX(PP_Grid[#Data],$DD151,88),0)</f>
        <v/>
      </c>
      <c r="CM151">
        <f>IFERROR(INDEX(PP_Grid[#Data],$DD151,89),0)</f>
        <v/>
      </c>
      <c r="CN151">
        <f>IFERROR(INDEX(PP_Grid[#Data],$DD151,90),0)</f>
        <v/>
      </c>
      <c r="CO151">
        <f>IFERROR(INDEX(PP_Grid[#Data],$DD151,91),0)</f>
        <v/>
      </c>
      <c r="CP151">
        <f>IFERROR(INDEX(PP_Grid[#Data],$DD151,92),0)</f>
        <v/>
      </c>
      <c r="CQ151">
        <f>IFERROR(INDEX(PP_Grid[#Data],$DD151,93),0)</f>
        <v/>
      </c>
      <c r="CR151">
        <f>IFERROR(INDEX(PP_Grid[#Data],$DD151,94),0)</f>
        <v/>
      </c>
      <c r="CS151">
        <f>IFERROR(INDEX(PP_Grid[#Data],$DD151,95),0)</f>
        <v/>
      </c>
      <c r="CT151">
        <f>IFERROR(INDEX(PP_Grid[#Data],$DD151,96),0)</f>
        <v/>
      </c>
      <c r="CU151">
        <f>IFERROR(INDEX(PP_Grid[#Data],$DD151,97),0)</f>
        <v/>
      </c>
      <c r="CV151">
        <f>IFERROR(INDEX(PP_Grid[#Data],$DD151,98),0)</f>
        <v/>
      </c>
      <c r="CW151">
        <f>IFERROR(INDEX(PP_Grid[#Data],$DD151,99),0)</f>
        <v/>
      </c>
      <c r="CX151">
        <f>IFERROR(INDEX(PP_Grid[#Data],$DD151,100),0)</f>
        <v/>
      </c>
      <c r="CY151">
        <f>IFERROR(INDEX(PP_Grid[#Data],$DD151,101),0)</f>
        <v/>
      </c>
      <c r="CZ151">
        <f>IFERROR(INDEX(PP_Grid[#Data],$DD151,102),0)</f>
        <v/>
      </c>
      <c r="DA151">
        <f>IFERROR(INDEX(PP_Grid[#Data],$DD151,103),0)</f>
        <v/>
      </c>
      <c r="DB151">
        <f>IFERROR(INDEX(PP_Grid[#Data],$DD151,104),0)</f>
        <v/>
      </c>
      <c r="DC151">
        <f>IFERROR(INDEX(PP_Grid[#Data],$DD151,105),0)</f>
        <v/>
      </c>
      <c r="DD151" s="7">
        <f>IFERROR(MATCH($B151,PP_Grid[Intermediate],0),99999)</f>
        <v/>
      </c>
    </row>
    <row r="152">
      <c r="B152" t="inlineStr">
        <is>
          <t>使用量(kg)</t>
        </is>
      </c>
      <c r="C152">
        <f>SUMIFS(M_BOM[RM_Qty_Per_Batch],M_BOM[Intermediate],$B151,M_BOM[Part Name],$A44)</f>
        <v/>
      </c>
      <c r="D152">
        <f>$C152*D151</f>
        <v/>
      </c>
      <c r="E152">
        <f>$C152*E151</f>
        <v/>
      </c>
      <c r="F152">
        <f>$C152*F151</f>
        <v/>
      </c>
      <c r="G152">
        <f>$C152*G151</f>
        <v/>
      </c>
      <c r="H152">
        <f>$C152*H151</f>
        <v/>
      </c>
      <c r="I152">
        <f>$C152*I151</f>
        <v/>
      </c>
      <c r="J152">
        <f>$C152*J151</f>
        <v/>
      </c>
      <c r="K152">
        <f>$C152*K151</f>
        <v/>
      </c>
      <c r="L152">
        <f>$C152*L151</f>
        <v/>
      </c>
      <c r="M152">
        <f>$C152*M151</f>
        <v/>
      </c>
      <c r="N152">
        <f>$C152*N151</f>
        <v/>
      </c>
      <c r="O152">
        <f>$C152*O151</f>
        <v/>
      </c>
      <c r="P152">
        <f>$C152*P151</f>
        <v/>
      </c>
      <c r="Q152">
        <f>$C152*Q151</f>
        <v/>
      </c>
      <c r="R152">
        <f>$C152*R151</f>
        <v/>
      </c>
      <c r="S152">
        <f>$C152*S151</f>
        <v/>
      </c>
      <c r="T152">
        <f>$C152*T151</f>
        <v/>
      </c>
      <c r="U152">
        <f>$C152*U151</f>
        <v/>
      </c>
      <c r="V152">
        <f>$C152*V151</f>
        <v/>
      </c>
      <c r="W152">
        <f>$C152*W151</f>
        <v/>
      </c>
      <c r="X152">
        <f>$C152*X151</f>
        <v/>
      </c>
      <c r="Y152">
        <f>$C152*Y151</f>
        <v/>
      </c>
      <c r="Z152">
        <f>$C152*Z151</f>
        <v/>
      </c>
      <c r="AA152">
        <f>$C152*AA151</f>
        <v/>
      </c>
      <c r="AB152">
        <f>$C152*AB151</f>
        <v/>
      </c>
      <c r="AC152">
        <f>$C152*AC151</f>
        <v/>
      </c>
      <c r="AD152">
        <f>$C152*AD151</f>
        <v/>
      </c>
      <c r="AE152">
        <f>$C152*AE151</f>
        <v/>
      </c>
      <c r="AF152">
        <f>$C152*AF151</f>
        <v/>
      </c>
      <c r="AG152">
        <f>$C152*AG151</f>
        <v/>
      </c>
      <c r="AH152">
        <f>$C152*AH151</f>
        <v/>
      </c>
      <c r="AI152">
        <f>$C152*AI151</f>
        <v/>
      </c>
      <c r="AJ152">
        <f>$C152*AJ151</f>
        <v/>
      </c>
      <c r="AK152">
        <f>$C152*AK151</f>
        <v/>
      </c>
      <c r="AL152">
        <f>$C152*AL151</f>
        <v/>
      </c>
      <c r="AM152">
        <f>$C152*AM151</f>
        <v/>
      </c>
      <c r="AN152">
        <f>$C152*AN151</f>
        <v/>
      </c>
      <c r="AO152">
        <f>$C152*AO151</f>
        <v/>
      </c>
      <c r="AP152">
        <f>$C152*AP151</f>
        <v/>
      </c>
      <c r="AQ152">
        <f>$C152*AQ151</f>
        <v/>
      </c>
      <c r="AR152">
        <f>$C152*AR151</f>
        <v/>
      </c>
      <c r="AS152">
        <f>$C152*AS151</f>
        <v/>
      </c>
      <c r="AT152">
        <f>$C152*AT151</f>
        <v/>
      </c>
      <c r="AU152">
        <f>$C152*AU151</f>
        <v/>
      </c>
      <c r="AV152">
        <f>$C152*AV151</f>
        <v/>
      </c>
      <c r="AW152">
        <f>$C152*AW151</f>
        <v/>
      </c>
      <c r="AX152">
        <f>$C152*AX151</f>
        <v/>
      </c>
      <c r="AY152">
        <f>$C152*AY151</f>
        <v/>
      </c>
      <c r="AZ152">
        <f>$C152*AZ151</f>
        <v/>
      </c>
      <c r="BA152">
        <f>$C152*BA151</f>
        <v/>
      </c>
      <c r="BB152">
        <f>$C152*BB151</f>
        <v/>
      </c>
      <c r="BC152">
        <f>$C152*BC151</f>
        <v/>
      </c>
      <c r="BD152">
        <f>$C152*BD151</f>
        <v/>
      </c>
      <c r="BE152">
        <f>$C152*BE151</f>
        <v/>
      </c>
      <c r="BF152">
        <f>$C152*BF151</f>
        <v/>
      </c>
      <c r="BG152">
        <f>$C152*BG151</f>
        <v/>
      </c>
      <c r="BH152">
        <f>$C152*BH151</f>
        <v/>
      </c>
      <c r="BI152">
        <f>$C152*BI151</f>
        <v/>
      </c>
      <c r="BJ152">
        <f>$C152*BJ151</f>
        <v/>
      </c>
      <c r="BK152">
        <f>$C152*BK151</f>
        <v/>
      </c>
      <c r="BL152">
        <f>$C152*BL151</f>
        <v/>
      </c>
      <c r="BM152">
        <f>$C152*BM151</f>
        <v/>
      </c>
      <c r="BN152">
        <f>$C152*BN151</f>
        <v/>
      </c>
      <c r="BO152">
        <f>$C152*BO151</f>
        <v/>
      </c>
      <c r="BP152">
        <f>$C152*BP151</f>
        <v/>
      </c>
      <c r="BQ152">
        <f>$C152*BQ151</f>
        <v/>
      </c>
      <c r="BR152">
        <f>$C152*BR151</f>
        <v/>
      </c>
      <c r="BS152">
        <f>$C152*BS151</f>
        <v/>
      </c>
      <c r="BT152">
        <f>$C152*BT151</f>
        <v/>
      </c>
      <c r="BU152">
        <f>$C152*BU151</f>
        <v/>
      </c>
      <c r="BV152">
        <f>$C152*BV151</f>
        <v/>
      </c>
      <c r="BW152">
        <f>$C152*BW151</f>
        <v/>
      </c>
      <c r="BX152">
        <f>$C152*BX151</f>
        <v/>
      </c>
      <c r="BY152">
        <f>$C152*BY151</f>
        <v/>
      </c>
      <c r="BZ152">
        <f>$C152*BZ151</f>
        <v/>
      </c>
      <c r="CA152">
        <f>$C152*CA151</f>
        <v/>
      </c>
      <c r="CB152">
        <f>$C152*CB151</f>
        <v/>
      </c>
      <c r="CC152">
        <f>$C152*CC151</f>
        <v/>
      </c>
      <c r="CD152">
        <f>$C152*CD151</f>
        <v/>
      </c>
      <c r="CE152">
        <f>$C152*CE151</f>
        <v/>
      </c>
      <c r="CF152">
        <f>$C152*CF151</f>
        <v/>
      </c>
      <c r="CG152">
        <f>$C152*CG151</f>
        <v/>
      </c>
      <c r="CH152">
        <f>$C152*CH151</f>
        <v/>
      </c>
      <c r="CI152">
        <f>$C152*CI151</f>
        <v/>
      </c>
      <c r="CJ152">
        <f>$C152*CJ151</f>
        <v/>
      </c>
      <c r="CK152">
        <f>$C152*CK151</f>
        <v/>
      </c>
      <c r="CL152">
        <f>$C152*CL151</f>
        <v/>
      </c>
      <c r="CM152">
        <f>$C152*CM151</f>
        <v/>
      </c>
      <c r="CN152">
        <f>$C152*CN151</f>
        <v/>
      </c>
      <c r="CO152">
        <f>$C152*CO151</f>
        <v/>
      </c>
      <c r="CP152">
        <f>$C152*CP151</f>
        <v/>
      </c>
      <c r="CQ152">
        <f>$C152*CQ151</f>
        <v/>
      </c>
      <c r="CR152">
        <f>$C152*CR151</f>
        <v/>
      </c>
      <c r="CS152">
        <f>$C152*CS151</f>
        <v/>
      </c>
      <c r="CT152">
        <f>$C152*CT151</f>
        <v/>
      </c>
      <c r="CU152">
        <f>$C152*CU151</f>
        <v/>
      </c>
      <c r="CV152">
        <f>$C152*CV151</f>
        <v/>
      </c>
      <c r="CW152">
        <f>$C152*CW151</f>
        <v/>
      </c>
      <c r="CX152">
        <f>$C152*CX151</f>
        <v/>
      </c>
      <c r="CY152">
        <f>$C152*CY151</f>
        <v/>
      </c>
      <c r="CZ152">
        <f>$C152*CZ151</f>
        <v/>
      </c>
      <c r="DA152">
        <f>$C152*DA151</f>
        <v/>
      </c>
      <c r="DB152">
        <f>$C152*DB151</f>
        <v/>
      </c>
      <c r="DC152">
        <f>$C152*DC151</f>
        <v/>
      </c>
    </row>
    <row r="153">
      <c r="B153" t="inlineStr">
        <is>
          <t>TSP-1444</t>
        </is>
      </c>
      <c r="C153" t="inlineStr">
        <is>
          <t>No. of batches</t>
        </is>
      </c>
      <c r="D153">
        <f>IFERROR(INDEX(PP_Grid[#Data],$DD153,2),0)</f>
        <v/>
      </c>
      <c r="E153">
        <f>IFERROR(INDEX(PP_Grid[#Data],$DD153,3),0)</f>
        <v/>
      </c>
      <c r="F153">
        <f>IFERROR(INDEX(PP_Grid[#Data],$DD153,4),0)</f>
        <v/>
      </c>
      <c r="G153">
        <f>IFERROR(INDEX(PP_Grid[#Data],$DD153,5),0)</f>
        <v/>
      </c>
      <c r="H153">
        <f>IFERROR(INDEX(PP_Grid[#Data],$DD153,6),0)</f>
        <v/>
      </c>
      <c r="I153">
        <f>IFERROR(INDEX(PP_Grid[#Data],$DD153,7),0)</f>
        <v/>
      </c>
      <c r="J153">
        <f>IFERROR(INDEX(PP_Grid[#Data],$DD153,8),0)</f>
        <v/>
      </c>
      <c r="K153">
        <f>IFERROR(INDEX(PP_Grid[#Data],$DD153,9),0)</f>
        <v/>
      </c>
      <c r="L153">
        <f>IFERROR(INDEX(PP_Grid[#Data],$DD153,10),0)</f>
        <v/>
      </c>
      <c r="M153">
        <f>IFERROR(INDEX(PP_Grid[#Data],$DD153,11),0)</f>
        <v/>
      </c>
      <c r="N153">
        <f>IFERROR(INDEX(PP_Grid[#Data],$DD153,12),0)</f>
        <v/>
      </c>
      <c r="O153">
        <f>IFERROR(INDEX(PP_Grid[#Data],$DD153,13),0)</f>
        <v/>
      </c>
      <c r="P153">
        <f>IFERROR(INDEX(PP_Grid[#Data],$DD153,14),0)</f>
        <v/>
      </c>
      <c r="Q153">
        <f>IFERROR(INDEX(PP_Grid[#Data],$DD153,15),0)</f>
        <v/>
      </c>
      <c r="R153">
        <f>IFERROR(INDEX(PP_Grid[#Data],$DD153,16),0)</f>
        <v/>
      </c>
      <c r="S153">
        <f>IFERROR(INDEX(PP_Grid[#Data],$DD153,17),0)</f>
        <v/>
      </c>
      <c r="T153">
        <f>IFERROR(INDEX(PP_Grid[#Data],$DD153,18),0)</f>
        <v/>
      </c>
      <c r="U153">
        <f>IFERROR(INDEX(PP_Grid[#Data],$DD153,19),0)</f>
        <v/>
      </c>
      <c r="V153">
        <f>IFERROR(INDEX(PP_Grid[#Data],$DD153,20),0)</f>
        <v/>
      </c>
      <c r="W153">
        <f>IFERROR(INDEX(PP_Grid[#Data],$DD153,21),0)</f>
        <v/>
      </c>
      <c r="X153">
        <f>IFERROR(INDEX(PP_Grid[#Data],$DD153,22),0)</f>
        <v/>
      </c>
      <c r="Y153">
        <f>IFERROR(INDEX(PP_Grid[#Data],$DD153,23),0)</f>
        <v/>
      </c>
      <c r="Z153">
        <f>IFERROR(INDEX(PP_Grid[#Data],$DD153,24),0)</f>
        <v/>
      </c>
      <c r="AA153">
        <f>IFERROR(INDEX(PP_Grid[#Data],$DD153,25),0)</f>
        <v/>
      </c>
      <c r="AB153">
        <f>IFERROR(INDEX(PP_Grid[#Data],$DD153,26),0)</f>
        <v/>
      </c>
      <c r="AC153">
        <f>IFERROR(INDEX(PP_Grid[#Data],$DD153,27),0)</f>
        <v/>
      </c>
      <c r="AD153">
        <f>IFERROR(INDEX(PP_Grid[#Data],$DD153,28),0)</f>
        <v/>
      </c>
      <c r="AE153">
        <f>IFERROR(INDEX(PP_Grid[#Data],$DD153,29),0)</f>
        <v/>
      </c>
      <c r="AF153">
        <f>IFERROR(INDEX(PP_Grid[#Data],$DD153,30),0)</f>
        <v/>
      </c>
      <c r="AG153">
        <f>IFERROR(INDEX(PP_Grid[#Data],$DD153,31),0)</f>
        <v/>
      </c>
      <c r="AH153">
        <f>IFERROR(INDEX(PP_Grid[#Data],$DD153,32),0)</f>
        <v/>
      </c>
      <c r="AI153">
        <f>IFERROR(INDEX(PP_Grid[#Data],$DD153,33),0)</f>
        <v/>
      </c>
      <c r="AJ153">
        <f>IFERROR(INDEX(PP_Grid[#Data],$DD153,34),0)</f>
        <v/>
      </c>
      <c r="AK153">
        <f>IFERROR(INDEX(PP_Grid[#Data],$DD153,35),0)</f>
        <v/>
      </c>
      <c r="AL153">
        <f>IFERROR(INDEX(PP_Grid[#Data],$DD153,36),0)</f>
        <v/>
      </c>
      <c r="AM153">
        <f>IFERROR(INDEX(PP_Grid[#Data],$DD153,37),0)</f>
        <v/>
      </c>
      <c r="AN153">
        <f>IFERROR(INDEX(PP_Grid[#Data],$DD153,38),0)</f>
        <v/>
      </c>
      <c r="AO153">
        <f>IFERROR(INDEX(PP_Grid[#Data],$DD153,39),0)</f>
        <v/>
      </c>
      <c r="AP153">
        <f>IFERROR(INDEX(PP_Grid[#Data],$DD153,40),0)</f>
        <v/>
      </c>
      <c r="AQ153">
        <f>IFERROR(INDEX(PP_Grid[#Data],$DD153,41),0)</f>
        <v/>
      </c>
      <c r="AR153">
        <f>IFERROR(INDEX(PP_Grid[#Data],$DD153,42),0)</f>
        <v/>
      </c>
      <c r="AS153">
        <f>IFERROR(INDEX(PP_Grid[#Data],$DD153,43),0)</f>
        <v/>
      </c>
      <c r="AT153">
        <f>IFERROR(INDEX(PP_Grid[#Data],$DD153,44),0)</f>
        <v/>
      </c>
      <c r="AU153">
        <f>IFERROR(INDEX(PP_Grid[#Data],$DD153,45),0)</f>
        <v/>
      </c>
      <c r="AV153">
        <f>IFERROR(INDEX(PP_Grid[#Data],$DD153,46),0)</f>
        <v/>
      </c>
      <c r="AW153">
        <f>IFERROR(INDEX(PP_Grid[#Data],$DD153,47),0)</f>
        <v/>
      </c>
      <c r="AX153">
        <f>IFERROR(INDEX(PP_Grid[#Data],$DD153,48),0)</f>
        <v/>
      </c>
      <c r="AY153">
        <f>IFERROR(INDEX(PP_Grid[#Data],$DD153,49),0)</f>
        <v/>
      </c>
      <c r="AZ153">
        <f>IFERROR(INDEX(PP_Grid[#Data],$DD153,50),0)</f>
        <v/>
      </c>
      <c r="BA153">
        <f>IFERROR(INDEX(PP_Grid[#Data],$DD153,51),0)</f>
        <v/>
      </c>
      <c r="BB153">
        <f>IFERROR(INDEX(PP_Grid[#Data],$DD153,52),0)</f>
        <v/>
      </c>
      <c r="BC153">
        <f>IFERROR(INDEX(PP_Grid[#Data],$DD153,53),0)</f>
        <v/>
      </c>
      <c r="BD153">
        <f>IFERROR(INDEX(PP_Grid[#Data],$DD153,54),0)</f>
        <v/>
      </c>
      <c r="BE153">
        <f>IFERROR(INDEX(PP_Grid[#Data],$DD153,55),0)</f>
        <v/>
      </c>
      <c r="BF153">
        <f>IFERROR(INDEX(PP_Grid[#Data],$DD153,56),0)</f>
        <v/>
      </c>
      <c r="BG153">
        <f>IFERROR(INDEX(PP_Grid[#Data],$DD153,57),0)</f>
        <v/>
      </c>
      <c r="BH153">
        <f>IFERROR(INDEX(PP_Grid[#Data],$DD153,58),0)</f>
        <v/>
      </c>
      <c r="BI153">
        <f>IFERROR(INDEX(PP_Grid[#Data],$DD153,59),0)</f>
        <v/>
      </c>
      <c r="BJ153">
        <f>IFERROR(INDEX(PP_Grid[#Data],$DD153,60),0)</f>
        <v/>
      </c>
      <c r="BK153">
        <f>IFERROR(INDEX(PP_Grid[#Data],$DD153,61),0)</f>
        <v/>
      </c>
      <c r="BL153">
        <f>IFERROR(INDEX(PP_Grid[#Data],$DD153,62),0)</f>
        <v/>
      </c>
      <c r="BM153">
        <f>IFERROR(INDEX(PP_Grid[#Data],$DD153,63),0)</f>
        <v/>
      </c>
      <c r="BN153">
        <f>IFERROR(INDEX(PP_Grid[#Data],$DD153,64),0)</f>
        <v/>
      </c>
      <c r="BO153">
        <f>IFERROR(INDEX(PP_Grid[#Data],$DD153,65),0)</f>
        <v/>
      </c>
      <c r="BP153">
        <f>IFERROR(INDEX(PP_Grid[#Data],$DD153,66),0)</f>
        <v/>
      </c>
      <c r="BQ153">
        <f>IFERROR(INDEX(PP_Grid[#Data],$DD153,67),0)</f>
        <v/>
      </c>
      <c r="BR153">
        <f>IFERROR(INDEX(PP_Grid[#Data],$DD153,68),0)</f>
        <v/>
      </c>
      <c r="BS153">
        <f>IFERROR(INDEX(PP_Grid[#Data],$DD153,69),0)</f>
        <v/>
      </c>
      <c r="BT153">
        <f>IFERROR(INDEX(PP_Grid[#Data],$DD153,70),0)</f>
        <v/>
      </c>
      <c r="BU153">
        <f>IFERROR(INDEX(PP_Grid[#Data],$DD153,71),0)</f>
        <v/>
      </c>
      <c r="BV153">
        <f>IFERROR(INDEX(PP_Grid[#Data],$DD153,72),0)</f>
        <v/>
      </c>
      <c r="BW153">
        <f>IFERROR(INDEX(PP_Grid[#Data],$DD153,73),0)</f>
        <v/>
      </c>
      <c r="BX153">
        <f>IFERROR(INDEX(PP_Grid[#Data],$DD153,74),0)</f>
        <v/>
      </c>
      <c r="BY153">
        <f>IFERROR(INDEX(PP_Grid[#Data],$DD153,75),0)</f>
        <v/>
      </c>
      <c r="BZ153">
        <f>IFERROR(INDEX(PP_Grid[#Data],$DD153,76),0)</f>
        <v/>
      </c>
      <c r="CA153">
        <f>IFERROR(INDEX(PP_Grid[#Data],$DD153,77),0)</f>
        <v/>
      </c>
      <c r="CB153">
        <f>IFERROR(INDEX(PP_Grid[#Data],$DD153,78),0)</f>
        <v/>
      </c>
      <c r="CC153">
        <f>IFERROR(INDEX(PP_Grid[#Data],$DD153,79),0)</f>
        <v/>
      </c>
      <c r="CD153">
        <f>IFERROR(INDEX(PP_Grid[#Data],$DD153,80),0)</f>
        <v/>
      </c>
      <c r="CE153">
        <f>IFERROR(INDEX(PP_Grid[#Data],$DD153,81),0)</f>
        <v/>
      </c>
      <c r="CF153">
        <f>IFERROR(INDEX(PP_Grid[#Data],$DD153,82),0)</f>
        <v/>
      </c>
      <c r="CG153">
        <f>IFERROR(INDEX(PP_Grid[#Data],$DD153,83),0)</f>
        <v/>
      </c>
      <c r="CH153">
        <f>IFERROR(INDEX(PP_Grid[#Data],$DD153,84),0)</f>
        <v/>
      </c>
      <c r="CI153">
        <f>IFERROR(INDEX(PP_Grid[#Data],$DD153,85),0)</f>
        <v/>
      </c>
      <c r="CJ153">
        <f>IFERROR(INDEX(PP_Grid[#Data],$DD153,86),0)</f>
        <v/>
      </c>
      <c r="CK153">
        <f>IFERROR(INDEX(PP_Grid[#Data],$DD153,87),0)</f>
        <v/>
      </c>
      <c r="CL153">
        <f>IFERROR(INDEX(PP_Grid[#Data],$DD153,88),0)</f>
        <v/>
      </c>
      <c r="CM153">
        <f>IFERROR(INDEX(PP_Grid[#Data],$DD153,89),0)</f>
        <v/>
      </c>
      <c r="CN153">
        <f>IFERROR(INDEX(PP_Grid[#Data],$DD153,90),0)</f>
        <v/>
      </c>
      <c r="CO153">
        <f>IFERROR(INDEX(PP_Grid[#Data],$DD153,91),0)</f>
        <v/>
      </c>
      <c r="CP153">
        <f>IFERROR(INDEX(PP_Grid[#Data],$DD153,92),0)</f>
        <v/>
      </c>
      <c r="CQ153">
        <f>IFERROR(INDEX(PP_Grid[#Data],$DD153,93),0)</f>
        <v/>
      </c>
      <c r="CR153">
        <f>IFERROR(INDEX(PP_Grid[#Data],$DD153,94),0)</f>
        <v/>
      </c>
      <c r="CS153">
        <f>IFERROR(INDEX(PP_Grid[#Data],$DD153,95),0)</f>
        <v/>
      </c>
      <c r="CT153">
        <f>IFERROR(INDEX(PP_Grid[#Data],$DD153,96),0)</f>
        <v/>
      </c>
      <c r="CU153">
        <f>IFERROR(INDEX(PP_Grid[#Data],$DD153,97),0)</f>
        <v/>
      </c>
      <c r="CV153">
        <f>IFERROR(INDEX(PP_Grid[#Data],$DD153,98),0)</f>
        <v/>
      </c>
      <c r="CW153">
        <f>IFERROR(INDEX(PP_Grid[#Data],$DD153,99),0)</f>
        <v/>
      </c>
      <c r="CX153">
        <f>IFERROR(INDEX(PP_Grid[#Data],$DD153,100),0)</f>
        <v/>
      </c>
      <c r="CY153">
        <f>IFERROR(INDEX(PP_Grid[#Data],$DD153,101),0)</f>
        <v/>
      </c>
      <c r="CZ153">
        <f>IFERROR(INDEX(PP_Grid[#Data],$DD153,102),0)</f>
        <v/>
      </c>
      <c r="DA153">
        <f>IFERROR(INDEX(PP_Grid[#Data],$DD153,103),0)</f>
        <v/>
      </c>
      <c r="DB153">
        <f>IFERROR(INDEX(PP_Grid[#Data],$DD153,104),0)</f>
        <v/>
      </c>
      <c r="DC153">
        <f>IFERROR(INDEX(PP_Grid[#Data],$DD153,105),0)</f>
        <v/>
      </c>
      <c r="DD153" s="7">
        <f>IFERROR(MATCH($B153,PP_Grid[Intermediate],0),99999)</f>
        <v/>
      </c>
    </row>
    <row r="154">
      <c r="B154" t="inlineStr">
        <is>
          <t>使用量(kg)</t>
        </is>
      </c>
      <c r="C154">
        <f>SUMIFS(M_BOM[RM_Qty_Per_Batch],M_BOM[Intermediate],$B153,M_BOM[Part Name],$A44)</f>
        <v/>
      </c>
      <c r="D154">
        <f>$C154*D153</f>
        <v/>
      </c>
      <c r="E154">
        <f>$C154*E153</f>
        <v/>
      </c>
      <c r="F154">
        <f>$C154*F153</f>
        <v/>
      </c>
      <c r="G154">
        <f>$C154*G153</f>
        <v/>
      </c>
      <c r="H154">
        <f>$C154*H153</f>
        <v/>
      </c>
      <c r="I154">
        <f>$C154*I153</f>
        <v/>
      </c>
      <c r="J154">
        <f>$C154*J153</f>
        <v/>
      </c>
      <c r="K154">
        <f>$C154*K153</f>
        <v/>
      </c>
      <c r="L154">
        <f>$C154*L153</f>
        <v/>
      </c>
      <c r="M154">
        <f>$C154*M153</f>
        <v/>
      </c>
      <c r="N154">
        <f>$C154*N153</f>
        <v/>
      </c>
      <c r="O154">
        <f>$C154*O153</f>
        <v/>
      </c>
      <c r="P154">
        <f>$C154*P153</f>
        <v/>
      </c>
      <c r="Q154">
        <f>$C154*Q153</f>
        <v/>
      </c>
      <c r="R154">
        <f>$C154*R153</f>
        <v/>
      </c>
      <c r="S154">
        <f>$C154*S153</f>
        <v/>
      </c>
      <c r="T154">
        <f>$C154*T153</f>
        <v/>
      </c>
      <c r="U154">
        <f>$C154*U153</f>
        <v/>
      </c>
      <c r="V154">
        <f>$C154*V153</f>
        <v/>
      </c>
      <c r="W154">
        <f>$C154*W153</f>
        <v/>
      </c>
      <c r="X154">
        <f>$C154*X153</f>
        <v/>
      </c>
      <c r="Y154">
        <f>$C154*Y153</f>
        <v/>
      </c>
      <c r="Z154">
        <f>$C154*Z153</f>
        <v/>
      </c>
      <c r="AA154">
        <f>$C154*AA153</f>
        <v/>
      </c>
      <c r="AB154">
        <f>$C154*AB153</f>
        <v/>
      </c>
      <c r="AC154">
        <f>$C154*AC153</f>
        <v/>
      </c>
      <c r="AD154">
        <f>$C154*AD153</f>
        <v/>
      </c>
      <c r="AE154">
        <f>$C154*AE153</f>
        <v/>
      </c>
      <c r="AF154">
        <f>$C154*AF153</f>
        <v/>
      </c>
      <c r="AG154">
        <f>$C154*AG153</f>
        <v/>
      </c>
      <c r="AH154">
        <f>$C154*AH153</f>
        <v/>
      </c>
      <c r="AI154">
        <f>$C154*AI153</f>
        <v/>
      </c>
      <c r="AJ154">
        <f>$C154*AJ153</f>
        <v/>
      </c>
      <c r="AK154">
        <f>$C154*AK153</f>
        <v/>
      </c>
      <c r="AL154">
        <f>$C154*AL153</f>
        <v/>
      </c>
      <c r="AM154">
        <f>$C154*AM153</f>
        <v/>
      </c>
      <c r="AN154">
        <f>$C154*AN153</f>
        <v/>
      </c>
      <c r="AO154">
        <f>$C154*AO153</f>
        <v/>
      </c>
      <c r="AP154">
        <f>$C154*AP153</f>
        <v/>
      </c>
      <c r="AQ154">
        <f>$C154*AQ153</f>
        <v/>
      </c>
      <c r="AR154">
        <f>$C154*AR153</f>
        <v/>
      </c>
      <c r="AS154">
        <f>$C154*AS153</f>
        <v/>
      </c>
      <c r="AT154">
        <f>$C154*AT153</f>
        <v/>
      </c>
      <c r="AU154">
        <f>$C154*AU153</f>
        <v/>
      </c>
      <c r="AV154">
        <f>$C154*AV153</f>
        <v/>
      </c>
      <c r="AW154">
        <f>$C154*AW153</f>
        <v/>
      </c>
      <c r="AX154">
        <f>$C154*AX153</f>
        <v/>
      </c>
      <c r="AY154">
        <f>$C154*AY153</f>
        <v/>
      </c>
      <c r="AZ154">
        <f>$C154*AZ153</f>
        <v/>
      </c>
      <c r="BA154">
        <f>$C154*BA153</f>
        <v/>
      </c>
      <c r="BB154">
        <f>$C154*BB153</f>
        <v/>
      </c>
      <c r="BC154">
        <f>$C154*BC153</f>
        <v/>
      </c>
      <c r="BD154">
        <f>$C154*BD153</f>
        <v/>
      </c>
      <c r="BE154">
        <f>$C154*BE153</f>
        <v/>
      </c>
      <c r="BF154">
        <f>$C154*BF153</f>
        <v/>
      </c>
      <c r="BG154">
        <f>$C154*BG153</f>
        <v/>
      </c>
      <c r="BH154">
        <f>$C154*BH153</f>
        <v/>
      </c>
      <c r="BI154">
        <f>$C154*BI153</f>
        <v/>
      </c>
      <c r="BJ154">
        <f>$C154*BJ153</f>
        <v/>
      </c>
      <c r="BK154">
        <f>$C154*BK153</f>
        <v/>
      </c>
      <c r="BL154">
        <f>$C154*BL153</f>
        <v/>
      </c>
      <c r="BM154">
        <f>$C154*BM153</f>
        <v/>
      </c>
      <c r="BN154">
        <f>$C154*BN153</f>
        <v/>
      </c>
      <c r="BO154">
        <f>$C154*BO153</f>
        <v/>
      </c>
      <c r="BP154">
        <f>$C154*BP153</f>
        <v/>
      </c>
      <c r="BQ154">
        <f>$C154*BQ153</f>
        <v/>
      </c>
      <c r="BR154">
        <f>$C154*BR153</f>
        <v/>
      </c>
      <c r="BS154">
        <f>$C154*BS153</f>
        <v/>
      </c>
      <c r="BT154">
        <f>$C154*BT153</f>
        <v/>
      </c>
      <c r="BU154">
        <f>$C154*BU153</f>
        <v/>
      </c>
      <c r="BV154">
        <f>$C154*BV153</f>
        <v/>
      </c>
      <c r="BW154">
        <f>$C154*BW153</f>
        <v/>
      </c>
      <c r="BX154">
        <f>$C154*BX153</f>
        <v/>
      </c>
      <c r="BY154">
        <f>$C154*BY153</f>
        <v/>
      </c>
      <c r="BZ154">
        <f>$C154*BZ153</f>
        <v/>
      </c>
      <c r="CA154">
        <f>$C154*CA153</f>
        <v/>
      </c>
      <c r="CB154">
        <f>$C154*CB153</f>
        <v/>
      </c>
      <c r="CC154">
        <f>$C154*CC153</f>
        <v/>
      </c>
      <c r="CD154">
        <f>$C154*CD153</f>
        <v/>
      </c>
      <c r="CE154">
        <f>$C154*CE153</f>
        <v/>
      </c>
      <c r="CF154">
        <f>$C154*CF153</f>
        <v/>
      </c>
      <c r="CG154">
        <f>$C154*CG153</f>
        <v/>
      </c>
      <c r="CH154">
        <f>$C154*CH153</f>
        <v/>
      </c>
      <c r="CI154">
        <f>$C154*CI153</f>
        <v/>
      </c>
      <c r="CJ154">
        <f>$C154*CJ153</f>
        <v/>
      </c>
      <c r="CK154">
        <f>$C154*CK153</f>
        <v/>
      </c>
      <c r="CL154">
        <f>$C154*CL153</f>
        <v/>
      </c>
      <c r="CM154">
        <f>$C154*CM153</f>
        <v/>
      </c>
      <c r="CN154">
        <f>$C154*CN153</f>
        <v/>
      </c>
      <c r="CO154">
        <f>$C154*CO153</f>
        <v/>
      </c>
      <c r="CP154">
        <f>$C154*CP153</f>
        <v/>
      </c>
      <c r="CQ154">
        <f>$C154*CQ153</f>
        <v/>
      </c>
      <c r="CR154">
        <f>$C154*CR153</f>
        <v/>
      </c>
      <c r="CS154">
        <f>$C154*CS153</f>
        <v/>
      </c>
      <c r="CT154">
        <f>$C154*CT153</f>
        <v/>
      </c>
      <c r="CU154">
        <f>$C154*CU153</f>
        <v/>
      </c>
      <c r="CV154">
        <f>$C154*CV153</f>
        <v/>
      </c>
      <c r="CW154">
        <f>$C154*CW153</f>
        <v/>
      </c>
      <c r="CX154">
        <f>$C154*CX153</f>
        <v/>
      </c>
      <c r="CY154">
        <f>$C154*CY153</f>
        <v/>
      </c>
      <c r="CZ154">
        <f>$C154*CZ153</f>
        <v/>
      </c>
      <c r="DA154">
        <f>$C154*DA153</f>
        <v/>
      </c>
      <c r="DB154">
        <f>$C154*DB153</f>
        <v/>
      </c>
      <c r="DC154">
        <f>$C154*DC153</f>
        <v/>
      </c>
    </row>
    <row r="155">
      <c r="B155" t="inlineStr">
        <is>
          <t>TSP-1448</t>
        </is>
      </c>
      <c r="C155" t="inlineStr">
        <is>
          <t>No. of batches</t>
        </is>
      </c>
      <c r="D155">
        <f>IFERROR(INDEX(PP_Grid[#Data],$DD155,2),0)</f>
        <v/>
      </c>
      <c r="E155">
        <f>IFERROR(INDEX(PP_Grid[#Data],$DD155,3),0)</f>
        <v/>
      </c>
      <c r="F155">
        <f>IFERROR(INDEX(PP_Grid[#Data],$DD155,4),0)</f>
        <v/>
      </c>
      <c r="G155">
        <f>IFERROR(INDEX(PP_Grid[#Data],$DD155,5),0)</f>
        <v/>
      </c>
      <c r="H155">
        <f>IFERROR(INDEX(PP_Grid[#Data],$DD155,6),0)</f>
        <v/>
      </c>
      <c r="I155">
        <f>IFERROR(INDEX(PP_Grid[#Data],$DD155,7),0)</f>
        <v/>
      </c>
      <c r="J155">
        <f>IFERROR(INDEX(PP_Grid[#Data],$DD155,8),0)</f>
        <v/>
      </c>
      <c r="K155">
        <f>IFERROR(INDEX(PP_Grid[#Data],$DD155,9),0)</f>
        <v/>
      </c>
      <c r="L155">
        <f>IFERROR(INDEX(PP_Grid[#Data],$DD155,10),0)</f>
        <v/>
      </c>
      <c r="M155">
        <f>IFERROR(INDEX(PP_Grid[#Data],$DD155,11),0)</f>
        <v/>
      </c>
      <c r="N155">
        <f>IFERROR(INDEX(PP_Grid[#Data],$DD155,12),0)</f>
        <v/>
      </c>
      <c r="O155">
        <f>IFERROR(INDEX(PP_Grid[#Data],$DD155,13),0)</f>
        <v/>
      </c>
      <c r="P155">
        <f>IFERROR(INDEX(PP_Grid[#Data],$DD155,14),0)</f>
        <v/>
      </c>
      <c r="Q155">
        <f>IFERROR(INDEX(PP_Grid[#Data],$DD155,15),0)</f>
        <v/>
      </c>
      <c r="R155">
        <f>IFERROR(INDEX(PP_Grid[#Data],$DD155,16),0)</f>
        <v/>
      </c>
      <c r="S155">
        <f>IFERROR(INDEX(PP_Grid[#Data],$DD155,17),0)</f>
        <v/>
      </c>
      <c r="T155">
        <f>IFERROR(INDEX(PP_Grid[#Data],$DD155,18),0)</f>
        <v/>
      </c>
      <c r="U155">
        <f>IFERROR(INDEX(PP_Grid[#Data],$DD155,19),0)</f>
        <v/>
      </c>
      <c r="V155">
        <f>IFERROR(INDEX(PP_Grid[#Data],$DD155,20),0)</f>
        <v/>
      </c>
      <c r="W155">
        <f>IFERROR(INDEX(PP_Grid[#Data],$DD155,21),0)</f>
        <v/>
      </c>
      <c r="X155">
        <f>IFERROR(INDEX(PP_Grid[#Data],$DD155,22),0)</f>
        <v/>
      </c>
      <c r="Y155">
        <f>IFERROR(INDEX(PP_Grid[#Data],$DD155,23),0)</f>
        <v/>
      </c>
      <c r="Z155">
        <f>IFERROR(INDEX(PP_Grid[#Data],$DD155,24),0)</f>
        <v/>
      </c>
      <c r="AA155">
        <f>IFERROR(INDEX(PP_Grid[#Data],$DD155,25),0)</f>
        <v/>
      </c>
      <c r="AB155">
        <f>IFERROR(INDEX(PP_Grid[#Data],$DD155,26),0)</f>
        <v/>
      </c>
      <c r="AC155">
        <f>IFERROR(INDEX(PP_Grid[#Data],$DD155,27),0)</f>
        <v/>
      </c>
      <c r="AD155">
        <f>IFERROR(INDEX(PP_Grid[#Data],$DD155,28),0)</f>
        <v/>
      </c>
      <c r="AE155">
        <f>IFERROR(INDEX(PP_Grid[#Data],$DD155,29),0)</f>
        <v/>
      </c>
      <c r="AF155">
        <f>IFERROR(INDEX(PP_Grid[#Data],$DD155,30),0)</f>
        <v/>
      </c>
      <c r="AG155">
        <f>IFERROR(INDEX(PP_Grid[#Data],$DD155,31),0)</f>
        <v/>
      </c>
      <c r="AH155">
        <f>IFERROR(INDEX(PP_Grid[#Data],$DD155,32),0)</f>
        <v/>
      </c>
      <c r="AI155">
        <f>IFERROR(INDEX(PP_Grid[#Data],$DD155,33),0)</f>
        <v/>
      </c>
      <c r="AJ155">
        <f>IFERROR(INDEX(PP_Grid[#Data],$DD155,34),0)</f>
        <v/>
      </c>
      <c r="AK155">
        <f>IFERROR(INDEX(PP_Grid[#Data],$DD155,35),0)</f>
        <v/>
      </c>
      <c r="AL155">
        <f>IFERROR(INDEX(PP_Grid[#Data],$DD155,36),0)</f>
        <v/>
      </c>
      <c r="AM155">
        <f>IFERROR(INDEX(PP_Grid[#Data],$DD155,37),0)</f>
        <v/>
      </c>
      <c r="AN155">
        <f>IFERROR(INDEX(PP_Grid[#Data],$DD155,38),0)</f>
        <v/>
      </c>
      <c r="AO155">
        <f>IFERROR(INDEX(PP_Grid[#Data],$DD155,39),0)</f>
        <v/>
      </c>
      <c r="AP155">
        <f>IFERROR(INDEX(PP_Grid[#Data],$DD155,40),0)</f>
        <v/>
      </c>
      <c r="AQ155">
        <f>IFERROR(INDEX(PP_Grid[#Data],$DD155,41),0)</f>
        <v/>
      </c>
      <c r="AR155">
        <f>IFERROR(INDEX(PP_Grid[#Data],$DD155,42),0)</f>
        <v/>
      </c>
      <c r="AS155">
        <f>IFERROR(INDEX(PP_Grid[#Data],$DD155,43),0)</f>
        <v/>
      </c>
      <c r="AT155">
        <f>IFERROR(INDEX(PP_Grid[#Data],$DD155,44),0)</f>
        <v/>
      </c>
      <c r="AU155">
        <f>IFERROR(INDEX(PP_Grid[#Data],$DD155,45),0)</f>
        <v/>
      </c>
      <c r="AV155">
        <f>IFERROR(INDEX(PP_Grid[#Data],$DD155,46),0)</f>
        <v/>
      </c>
      <c r="AW155">
        <f>IFERROR(INDEX(PP_Grid[#Data],$DD155,47),0)</f>
        <v/>
      </c>
      <c r="AX155">
        <f>IFERROR(INDEX(PP_Grid[#Data],$DD155,48),0)</f>
        <v/>
      </c>
      <c r="AY155">
        <f>IFERROR(INDEX(PP_Grid[#Data],$DD155,49),0)</f>
        <v/>
      </c>
      <c r="AZ155">
        <f>IFERROR(INDEX(PP_Grid[#Data],$DD155,50),0)</f>
        <v/>
      </c>
      <c r="BA155">
        <f>IFERROR(INDEX(PP_Grid[#Data],$DD155,51),0)</f>
        <v/>
      </c>
      <c r="BB155">
        <f>IFERROR(INDEX(PP_Grid[#Data],$DD155,52),0)</f>
        <v/>
      </c>
      <c r="BC155">
        <f>IFERROR(INDEX(PP_Grid[#Data],$DD155,53),0)</f>
        <v/>
      </c>
      <c r="BD155">
        <f>IFERROR(INDEX(PP_Grid[#Data],$DD155,54),0)</f>
        <v/>
      </c>
      <c r="BE155">
        <f>IFERROR(INDEX(PP_Grid[#Data],$DD155,55),0)</f>
        <v/>
      </c>
      <c r="BF155">
        <f>IFERROR(INDEX(PP_Grid[#Data],$DD155,56),0)</f>
        <v/>
      </c>
      <c r="BG155">
        <f>IFERROR(INDEX(PP_Grid[#Data],$DD155,57),0)</f>
        <v/>
      </c>
      <c r="BH155">
        <f>IFERROR(INDEX(PP_Grid[#Data],$DD155,58),0)</f>
        <v/>
      </c>
      <c r="BI155">
        <f>IFERROR(INDEX(PP_Grid[#Data],$DD155,59),0)</f>
        <v/>
      </c>
      <c r="BJ155">
        <f>IFERROR(INDEX(PP_Grid[#Data],$DD155,60),0)</f>
        <v/>
      </c>
      <c r="BK155">
        <f>IFERROR(INDEX(PP_Grid[#Data],$DD155,61),0)</f>
        <v/>
      </c>
      <c r="BL155">
        <f>IFERROR(INDEX(PP_Grid[#Data],$DD155,62),0)</f>
        <v/>
      </c>
      <c r="BM155">
        <f>IFERROR(INDEX(PP_Grid[#Data],$DD155,63),0)</f>
        <v/>
      </c>
      <c r="BN155">
        <f>IFERROR(INDEX(PP_Grid[#Data],$DD155,64),0)</f>
        <v/>
      </c>
      <c r="BO155">
        <f>IFERROR(INDEX(PP_Grid[#Data],$DD155,65),0)</f>
        <v/>
      </c>
      <c r="BP155">
        <f>IFERROR(INDEX(PP_Grid[#Data],$DD155,66),0)</f>
        <v/>
      </c>
      <c r="BQ155">
        <f>IFERROR(INDEX(PP_Grid[#Data],$DD155,67),0)</f>
        <v/>
      </c>
      <c r="BR155">
        <f>IFERROR(INDEX(PP_Grid[#Data],$DD155,68),0)</f>
        <v/>
      </c>
      <c r="BS155">
        <f>IFERROR(INDEX(PP_Grid[#Data],$DD155,69),0)</f>
        <v/>
      </c>
      <c r="BT155">
        <f>IFERROR(INDEX(PP_Grid[#Data],$DD155,70),0)</f>
        <v/>
      </c>
      <c r="BU155">
        <f>IFERROR(INDEX(PP_Grid[#Data],$DD155,71),0)</f>
        <v/>
      </c>
      <c r="BV155">
        <f>IFERROR(INDEX(PP_Grid[#Data],$DD155,72),0)</f>
        <v/>
      </c>
      <c r="BW155">
        <f>IFERROR(INDEX(PP_Grid[#Data],$DD155,73),0)</f>
        <v/>
      </c>
      <c r="BX155">
        <f>IFERROR(INDEX(PP_Grid[#Data],$DD155,74),0)</f>
        <v/>
      </c>
      <c r="BY155">
        <f>IFERROR(INDEX(PP_Grid[#Data],$DD155,75),0)</f>
        <v/>
      </c>
      <c r="BZ155">
        <f>IFERROR(INDEX(PP_Grid[#Data],$DD155,76),0)</f>
        <v/>
      </c>
      <c r="CA155">
        <f>IFERROR(INDEX(PP_Grid[#Data],$DD155,77),0)</f>
        <v/>
      </c>
      <c r="CB155">
        <f>IFERROR(INDEX(PP_Grid[#Data],$DD155,78),0)</f>
        <v/>
      </c>
      <c r="CC155">
        <f>IFERROR(INDEX(PP_Grid[#Data],$DD155,79),0)</f>
        <v/>
      </c>
      <c r="CD155">
        <f>IFERROR(INDEX(PP_Grid[#Data],$DD155,80),0)</f>
        <v/>
      </c>
      <c r="CE155">
        <f>IFERROR(INDEX(PP_Grid[#Data],$DD155,81),0)</f>
        <v/>
      </c>
      <c r="CF155">
        <f>IFERROR(INDEX(PP_Grid[#Data],$DD155,82),0)</f>
        <v/>
      </c>
      <c r="CG155">
        <f>IFERROR(INDEX(PP_Grid[#Data],$DD155,83),0)</f>
        <v/>
      </c>
      <c r="CH155">
        <f>IFERROR(INDEX(PP_Grid[#Data],$DD155,84),0)</f>
        <v/>
      </c>
      <c r="CI155">
        <f>IFERROR(INDEX(PP_Grid[#Data],$DD155,85),0)</f>
        <v/>
      </c>
      <c r="CJ155">
        <f>IFERROR(INDEX(PP_Grid[#Data],$DD155,86),0)</f>
        <v/>
      </c>
      <c r="CK155">
        <f>IFERROR(INDEX(PP_Grid[#Data],$DD155,87),0)</f>
        <v/>
      </c>
      <c r="CL155">
        <f>IFERROR(INDEX(PP_Grid[#Data],$DD155,88),0)</f>
        <v/>
      </c>
      <c r="CM155">
        <f>IFERROR(INDEX(PP_Grid[#Data],$DD155,89),0)</f>
        <v/>
      </c>
      <c r="CN155">
        <f>IFERROR(INDEX(PP_Grid[#Data],$DD155,90),0)</f>
        <v/>
      </c>
      <c r="CO155">
        <f>IFERROR(INDEX(PP_Grid[#Data],$DD155,91),0)</f>
        <v/>
      </c>
      <c r="CP155">
        <f>IFERROR(INDEX(PP_Grid[#Data],$DD155,92),0)</f>
        <v/>
      </c>
      <c r="CQ155">
        <f>IFERROR(INDEX(PP_Grid[#Data],$DD155,93),0)</f>
        <v/>
      </c>
      <c r="CR155">
        <f>IFERROR(INDEX(PP_Grid[#Data],$DD155,94),0)</f>
        <v/>
      </c>
      <c r="CS155">
        <f>IFERROR(INDEX(PP_Grid[#Data],$DD155,95),0)</f>
        <v/>
      </c>
      <c r="CT155">
        <f>IFERROR(INDEX(PP_Grid[#Data],$DD155,96),0)</f>
        <v/>
      </c>
      <c r="CU155">
        <f>IFERROR(INDEX(PP_Grid[#Data],$DD155,97),0)</f>
        <v/>
      </c>
      <c r="CV155">
        <f>IFERROR(INDEX(PP_Grid[#Data],$DD155,98),0)</f>
        <v/>
      </c>
      <c r="CW155">
        <f>IFERROR(INDEX(PP_Grid[#Data],$DD155,99),0)</f>
        <v/>
      </c>
      <c r="CX155">
        <f>IFERROR(INDEX(PP_Grid[#Data],$DD155,100),0)</f>
        <v/>
      </c>
      <c r="CY155">
        <f>IFERROR(INDEX(PP_Grid[#Data],$DD155,101),0)</f>
        <v/>
      </c>
      <c r="CZ155">
        <f>IFERROR(INDEX(PP_Grid[#Data],$DD155,102),0)</f>
        <v/>
      </c>
      <c r="DA155">
        <f>IFERROR(INDEX(PP_Grid[#Data],$DD155,103),0)</f>
        <v/>
      </c>
      <c r="DB155">
        <f>IFERROR(INDEX(PP_Grid[#Data],$DD155,104),0)</f>
        <v/>
      </c>
      <c r="DC155">
        <f>IFERROR(INDEX(PP_Grid[#Data],$DD155,105),0)</f>
        <v/>
      </c>
      <c r="DD155" s="7">
        <f>IFERROR(MATCH($B155,PP_Grid[Intermediate],0),99999)</f>
        <v/>
      </c>
    </row>
    <row r="156">
      <c r="B156" t="inlineStr">
        <is>
          <t>使用量(kg)</t>
        </is>
      </c>
      <c r="C156">
        <f>SUMIFS(M_BOM[RM_Qty_Per_Batch],M_BOM[Intermediate],$B155,M_BOM[Part Name],$A44)</f>
        <v/>
      </c>
      <c r="D156">
        <f>$C156*D155</f>
        <v/>
      </c>
      <c r="E156">
        <f>$C156*E155</f>
        <v/>
      </c>
      <c r="F156">
        <f>$C156*F155</f>
        <v/>
      </c>
      <c r="G156">
        <f>$C156*G155</f>
        <v/>
      </c>
      <c r="H156">
        <f>$C156*H155</f>
        <v/>
      </c>
      <c r="I156">
        <f>$C156*I155</f>
        <v/>
      </c>
      <c r="J156">
        <f>$C156*J155</f>
        <v/>
      </c>
      <c r="K156">
        <f>$C156*K155</f>
        <v/>
      </c>
      <c r="L156">
        <f>$C156*L155</f>
        <v/>
      </c>
      <c r="M156">
        <f>$C156*M155</f>
        <v/>
      </c>
      <c r="N156">
        <f>$C156*N155</f>
        <v/>
      </c>
      <c r="O156">
        <f>$C156*O155</f>
        <v/>
      </c>
      <c r="P156">
        <f>$C156*P155</f>
        <v/>
      </c>
      <c r="Q156">
        <f>$C156*Q155</f>
        <v/>
      </c>
      <c r="R156">
        <f>$C156*R155</f>
        <v/>
      </c>
      <c r="S156">
        <f>$C156*S155</f>
        <v/>
      </c>
      <c r="T156">
        <f>$C156*T155</f>
        <v/>
      </c>
      <c r="U156">
        <f>$C156*U155</f>
        <v/>
      </c>
      <c r="V156">
        <f>$C156*V155</f>
        <v/>
      </c>
      <c r="W156">
        <f>$C156*W155</f>
        <v/>
      </c>
      <c r="X156">
        <f>$C156*X155</f>
        <v/>
      </c>
      <c r="Y156">
        <f>$C156*Y155</f>
        <v/>
      </c>
      <c r="Z156">
        <f>$C156*Z155</f>
        <v/>
      </c>
      <c r="AA156">
        <f>$C156*AA155</f>
        <v/>
      </c>
      <c r="AB156">
        <f>$C156*AB155</f>
        <v/>
      </c>
      <c r="AC156">
        <f>$C156*AC155</f>
        <v/>
      </c>
      <c r="AD156">
        <f>$C156*AD155</f>
        <v/>
      </c>
      <c r="AE156">
        <f>$C156*AE155</f>
        <v/>
      </c>
      <c r="AF156">
        <f>$C156*AF155</f>
        <v/>
      </c>
      <c r="AG156">
        <f>$C156*AG155</f>
        <v/>
      </c>
      <c r="AH156">
        <f>$C156*AH155</f>
        <v/>
      </c>
      <c r="AI156">
        <f>$C156*AI155</f>
        <v/>
      </c>
      <c r="AJ156">
        <f>$C156*AJ155</f>
        <v/>
      </c>
      <c r="AK156">
        <f>$C156*AK155</f>
        <v/>
      </c>
      <c r="AL156">
        <f>$C156*AL155</f>
        <v/>
      </c>
      <c r="AM156">
        <f>$C156*AM155</f>
        <v/>
      </c>
      <c r="AN156">
        <f>$C156*AN155</f>
        <v/>
      </c>
      <c r="AO156">
        <f>$C156*AO155</f>
        <v/>
      </c>
      <c r="AP156">
        <f>$C156*AP155</f>
        <v/>
      </c>
      <c r="AQ156">
        <f>$C156*AQ155</f>
        <v/>
      </c>
      <c r="AR156">
        <f>$C156*AR155</f>
        <v/>
      </c>
      <c r="AS156">
        <f>$C156*AS155</f>
        <v/>
      </c>
      <c r="AT156">
        <f>$C156*AT155</f>
        <v/>
      </c>
      <c r="AU156">
        <f>$C156*AU155</f>
        <v/>
      </c>
      <c r="AV156">
        <f>$C156*AV155</f>
        <v/>
      </c>
      <c r="AW156">
        <f>$C156*AW155</f>
        <v/>
      </c>
      <c r="AX156">
        <f>$C156*AX155</f>
        <v/>
      </c>
      <c r="AY156">
        <f>$C156*AY155</f>
        <v/>
      </c>
      <c r="AZ156">
        <f>$C156*AZ155</f>
        <v/>
      </c>
      <c r="BA156">
        <f>$C156*BA155</f>
        <v/>
      </c>
      <c r="BB156">
        <f>$C156*BB155</f>
        <v/>
      </c>
      <c r="BC156">
        <f>$C156*BC155</f>
        <v/>
      </c>
      <c r="BD156">
        <f>$C156*BD155</f>
        <v/>
      </c>
      <c r="BE156">
        <f>$C156*BE155</f>
        <v/>
      </c>
      <c r="BF156">
        <f>$C156*BF155</f>
        <v/>
      </c>
      <c r="BG156">
        <f>$C156*BG155</f>
        <v/>
      </c>
      <c r="BH156">
        <f>$C156*BH155</f>
        <v/>
      </c>
      <c r="BI156">
        <f>$C156*BI155</f>
        <v/>
      </c>
      <c r="BJ156">
        <f>$C156*BJ155</f>
        <v/>
      </c>
      <c r="BK156">
        <f>$C156*BK155</f>
        <v/>
      </c>
      <c r="BL156">
        <f>$C156*BL155</f>
        <v/>
      </c>
      <c r="BM156">
        <f>$C156*BM155</f>
        <v/>
      </c>
      <c r="BN156">
        <f>$C156*BN155</f>
        <v/>
      </c>
      <c r="BO156">
        <f>$C156*BO155</f>
        <v/>
      </c>
      <c r="BP156">
        <f>$C156*BP155</f>
        <v/>
      </c>
      <c r="BQ156">
        <f>$C156*BQ155</f>
        <v/>
      </c>
      <c r="BR156">
        <f>$C156*BR155</f>
        <v/>
      </c>
      <c r="BS156">
        <f>$C156*BS155</f>
        <v/>
      </c>
      <c r="BT156">
        <f>$C156*BT155</f>
        <v/>
      </c>
      <c r="BU156">
        <f>$C156*BU155</f>
        <v/>
      </c>
      <c r="BV156">
        <f>$C156*BV155</f>
        <v/>
      </c>
      <c r="BW156">
        <f>$C156*BW155</f>
        <v/>
      </c>
      <c r="BX156">
        <f>$C156*BX155</f>
        <v/>
      </c>
      <c r="BY156">
        <f>$C156*BY155</f>
        <v/>
      </c>
      <c r="BZ156">
        <f>$C156*BZ155</f>
        <v/>
      </c>
      <c r="CA156">
        <f>$C156*CA155</f>
        <v/>
      </c>
      <c r="CB156">
        <f>$C156*CB155</f>
        <v/>
      </c>
      <c r="CC156">
        <f>$C156*CC155</f>
        <v/>
      </c>
      <c r="CD156">
        <f>$C156*CD155</f>
        <v/>
      </c>
      <c r="CE156">
        <f>$C156*CE155</f>
        <v/>
      </c>
      <c r="CF156">
        <f>$C156*CF155</f>
        <v/>
      </c>
      <c r="CG156">
        <f>$C156*CG155</f>
        <v/>
      </c>
      <c r="CH156">
        <f>$C156*CH155</f>
        <v/>
      </c>
      <c r="CI156">
        <f>$C156*CI155</f>
        <v/>
      </c>
      <c r="CJ156">
        <f>$C156*CJ155</f>
        <v/>
      </c>
      <c r="CK156">
        <f>$C156*CK155</f>
        <v/>
      </c>
      <c r="CL156">
        <f>$C156*CL155</f>
        <v/>
      </c>
      <c r="CM156">
        <f>$C156*CM155</f>
        <v/>
      </c>
      <c r="CN156">
        <f>$C156*CN155</f>
        <v/>
      </c>
      <c r="CO156">
        <f>$C156*CO155</f>
        <v/>
      </c>
      <c r="CP156">
        <f>$C156*CP155</f>
        <v/>
      </c>
      <c r="CQ156">
        <f>$C156*CQ155</f>
        <v/>
      </c>
      <c r="CR156">
        <f>$C156*CR155</f>
        <v/>
      </c>
      <c r="CS156">
        <f>$C156*CS155</f>
        <v/>
      </c>
      <c r="CT156">
        <f>$C156*CT155</f>
        <v/>
      </c>
      <c r="CU156">
        <f>$C156*CU155</f>
        <v/>
      </c>
      <c r="CV156">
        <f>$C156*CV155</f>
        <v/>
      </c>
      <c r="CW156">
        <f>$C156*CW155</f>
        <v/>
      </c>
      <c r="CX156">
        <f>$C156*CX155</f>
        <v/>
      </c>
      <c r="CY156">
        <f>$C156*CY155</f>
        <v/>
      </c>
      <c r="CZ156">
        <f>$C156*CZ155</f>
        <v/>
      </c>
      <c r="DA156">
        <f>$C156*DA155</f>
        <v/>
      </c>
      <c r="DB156">
        <f>$C156*DB155</f>
        <v/>
      </c>
      <c r="DC156">
        <f>$C156*DC155</f>
        <v/>
      </c>
    </row>
    <row r="157">
      <c r="B157" t="inlineStr">
        <is>
          <t>TSP-1445</t>
        </is>
      </c>
      <c r="C157" t="inlineStr">
        <is>
          <t>No. of batches</t>
        </is>
      </c>
      <c r="D157">
        <f>IFERROR(INDEX(PP_Grid[#Data],$DD157,2),0)</f>
        <v/>
      </c>
      <c r="E157">
        <f>IFERROR(INDEX(PP_Grid[#Data],$DD157,3),0)</f>
        <v/>
      </c>
      <c r="F157">
        <f>IFERROR(INDEX(PP_Grid[#Data],$DD157,4),0)</f>
        <v/>
      </c>
      <c r="G157">
        <f>IFERROR(INDEX(PP_Grid[#Data],$DD157,5),0)</f>
        <v/>
      </c>
      <c r="H157">
        <f>IFERROR(INDEX(PP_Grid[#Data],$DD157,6),0)</f>
        <v/>
      </c>
      <c r="I157">
        <f>IFERROR(INDEX(PP_Grid[#Data],$DD157,7),0)</f>
        <v/>
      </c>
      <c r="J157">
        <f>IFERROR(INDEX(PP_Grid[#Data],$DD157,8),0)</f>
        <v/>
      </c>
      <c r="K157">
        <f>IFERROR(INDEX(PP_Grid[#Data],$DD157,9),0)</f>
        <v/>
      </c>
      <c r="L157">
        <f>IFERROR(INDEX(PP_Grid[#Data],$DD157,10),0)</f>
        <v/>
      </c>
      <c r="M157">
        <f>IFERROR(INDEX(PP_Grid[#Data],$DD157,11),0)</f>
        <v/>
      </c>
      <c r="N157">
        <f>IFERROR(INDEX(PP_Grid[#Data],$DD157,12),0)</f>
        <v/>
      </c>
      <c r="O157">
        <f>IFERROR(INDEX(PP_Grid[#Data],$DD157,13),0)</f>
        <v/>
      </c>
      <c r="P157">
        <f>IFERROR(INDEX(PP_Grid[#Data],$DD157,14),0)</f>
        <v/>
      </c>
      <c r="Q157">
        <f>IFERROR(INDEX(PP_Grid[#Data],$DD157,15),0)</f>
        <v/>
      </c>
      <c r="R157">
        <f>IFERROR(INDEX(PP_Grid[#Data],$DD157,16),0)</f>
        <v/>
      </c>
      <c r="S157">
        <f>IFERROR(INDEX(PP_Grid[#Data],$DD157,17),0)</f>
        <v/>
      </c>
      <c r="T157">
        <f>IFERROR(INDEX(PP_Grid[#Data],$DD157,18),0)</f>
        <v/>
      </c>
      <c r="U157">
        <f>IFERROR(INDEX(PP_Grid[#Data],$DD157,19),0)</f>
        <v/>
      </c>
      <c r="V157">
        <f>IFERROR(INDEX(PP_Grid[#Data],$DD157,20),0)</f>
        <v/>
      </c>
      <c r="W157">
        <f>IFERROR(INDEX(PP_Grid[#Data],$DD157,21),0)</f>
        <v/>
      </c>
      <c r="X157">
        <f>IFERROR(INDEX(PP_Grid[#Data],$DD157,22),0)</f>
        <v/>
      </c>
      <c r="Y157">
        <f>IFERROR(INDEX(PP_Grid[#Data],$DD157,23),0)</f>
        <v/>
      </c>
      <c r="Z157">
        <f>IFERROR(INDEX(PP_Grid[#Data],$DD157,24),0)</f>
        <v/>
      </c>
      <c r="AA157">
        <f>IFERROR(INDEX(PP_Grid[#Data],$DD157,25),0)</f>
        <v/>
      </c>
      <c r="AB157">
        <f>IFERROR(INDEX(PP_Grid[#Data],$DD157,26),0)</f>
        <v/>
      </c>
      <c r="AC157">
        <f>IFERROR(INDEX(PP_Grid[#Data],$DD157,27),0)</f>
        <v/>
      </c>
      <c r="AD157">
        <f>IFERROR(INDEX(PP_Grid[#Data],$DD157,28),0)</f>
        <v/>
      </c>
      <c r="AE157">
        <f>IFERROR(INDEX(PP_Grid[#Data],$DD157,29),0)</f>
        <v/>
      </c>
      <c r="AF157">
        <f>IFERROR(INDEX(PP_Grid[#Data],$DD157,30),0)</f>
        <v/>
      </c>
      <c r="AG157">
        <f>IFERROR(INDEX(PP_Grid[#Data],$DD157,31),0)</f>
        <v/>
      </c>
      <c r="AH157">
        <f>IFERROR(INDEX(PP_Grid[#Data],$DD157,32),0)</f>
        <v/>
      </c>
      <c r="AI157">
        <f>IFERROR(INDEX(PP_Grid[#Data],$DD157,33),0)</f>
        <v/>
      </c>
      <c r="AJ157">
        <f>IFERROR(INDEX(PP_Grid[#Data],$DD157,34),0)</f>
        <v/>
      </c>
      <c r="AK157">
        <f>IFERROR(INDEX(PP_Grid[#Data],$DD157,35),0)</f>
        <v/>
      </c>
      <c r="AL157">
        <f>IFERROR(INDEX(PP_Grid[#Data],$DD157,36),0)</f>
        <v/>
      </c>
      <c r="AM157">
        <f>IFERROR(INDEX(PP_Grid[#Data],$DD157,37),0)</f>
        <v/>
      </c>
      <c r="AN157">
        <f>IFERROR(INDEX(PP_Grid[#Data],$DD157,38),0)</f>
        <v/>
      </c>
      <c r="AO157">
        <f>IFERROR(INDEX(PP_Grid[#Data],$DD157,39),0)</f>
        <v/>
      </c>
      <c r="AP157">
        <f>IFERROR(INDEX(PP_Grid[#Data],$DD157,40),0)</f>
        <v/>
      </c>
      <c r="AQ157">
        <f>IFERROR(INDEX(PP_Grid[#Data],$DD157,41),0)</f>
        <v/>
      </c>
      <c r="AR157">
        <f>IFERROR(INDEX(PP_Grid[#Data],$DD157,42),0)</f>
        <v/>
      </c>
      <c r="AS157">
        <f>IFERROR(INDEX(PP_Grid[#Data],$DD157,43),0)</f>
        <v/>
      </c>
      <c r="AT157">
        <f>IFERROR(INDEX(PP_Grid[#Data],$DD157,44),0)</f>
        <v/>
      </c>
      <c r="AU157">
        <f>IFERROR(INDEX(PP_Grid[#Data],$DD157,45),0)</f>
        <v/>
      </c>
      <c r="AV157">
        <f>IFERROR(INDEX(PP_Grid[#Data],$DD157,46),0)</f>
        <v/>
      </c>
      <c r="AW157">
        <f>IFERROR(INDEX(PP_Grid[#Data],$DD157,47),0)</f>
        <v/>
      </c>
      <c r="AX157">
        <f>IFERROR(INDEX(PP_Grid[#Data],$DD157,48),0)</f>
        <v/>
      </c>
      <c r="AY157">
        <f>IFERROR(INDEX(PP_Grid[#Data],$DD157,49),0)</f>
        <v/>
      </c>
      <c r="AZ157">
        <f>IFERROR(INDEX(PP_Grid[#Data],$DD157,50),0)</f>
        <v/>
      </c>
      <c r="BA157">
        <f>IFERROR(INDEX(PP_Grid[#Data],$DD157,51),0)</f>
        <v/>
      </c>
      <c r="BB157">
        <f>IFERROR(INDEX(PP_Grid[#Data],$DD157,52),0)</f>
        <v/>
      </c>
      <c r="BC157">
        <f>IFERROR(INDEX(PP_Grid[#Data],$DD157,53),0)</f>
        <v/>
      </c>
      <c r="BD157">
        <f>IFERROR(INDEX(PP_Grid[#Data],$DD157,54),0)</f>
        <v/>
      </c>
      <c r="BE157">
        <f>IFERROR(INDEX(PP_Grid[#Data],$DD157,55),0)</f>
        <v/>
      </c>
      <c r="BF157">
        <f>IFERROR(INDEX(PP_Grid[#Data],$DD157,56),0)</f>
        <v/>
      </c>
      <c r="BG157">
        <f>IFERROR(INDEX(PP_Grid[#Data],$DD157,57),0)</f>
        <v/>
      </c>
      <c r="BH157">
        <f>IFERROR(INDEX(PP_Grid[#Data],$DD157,58),0)</f>
        <v/>
      </c>
      <c r="BI157">
        <f>IFERROR(INDEX(PP_Grid[#Data],$DD157,59),0)</f>
        <v/>
      </c>
      <c r="BJ157">
        <f>IFERROR(INDEX(PP_Grid[#Data],$DD157,60),0)</f>
        <v/>
      </c>
      <c r="BK157">
        <f>IFERROR(INDEX(PP_Grid[#Data],$DD157,61),0)</f>
        <v/>
      </c>
      <c r="BL157">
        <f>IFERROR(INDEX(PP_Grid[#Data],$DD157,62),0)</f>
        <v/>
      </c>
      <c r="BM157">
        <f>IFERROR(INDEX(PP_Grid[#Data],$DD157,63),0)</f>
        <v/>
      </c>
      <c r="BN157">
        <f>IFERROR(INDEX(PP_Grid[#Data],$DD157,64),0)</f>
        <v/>
      </c>
      <c r="BO157">
        <f>IFERROR(INDEX(PP_Grid[#Data],$DD157,65),0)</f>
        <v/>
      </c>
      <c r="BP157">
        <f>IFERROR(INDEX(PP_Grid[#Data],$DD157,66),0)</f>
        <v/>
      </c>
      <c r="BQ157">
        <f>IFERROR(INDEX(PP_Grid[#Data],$DD157,67),0)</f>
        <v/>
      </c>
      <c r="BR157">
        <f>IFERROR(INDEX(PP_Grid[#Data],$DD157,68),0)</f>
        <v/>
      </c>
      <c r="BS157">
        <f>IFERROR(INDEX(PP_Grid[#Data],$DD157,69),0)</f>
        <v/>
      </c>
      <c r="BT157">
        <f>IFERROR(INDEX(PP_Grid[#Data],$DD157,70),0)</f>
        <v/>
      </c>
      <c r="BU157">
        <f>IFERROR(INDEX(PP_Grid[#Data],$DD157,71),0)</f>
        <v/>
      </c>
      <c r="BV157">
        <f>IFERROR(INDEX(PP_Grid[#Data],$DD157,72),0)</f>
        <v/>
      </c>
      <c r="BW157">
        <f>IFERROR(INDEX(PP_Grid[#Data],$DD157,73),0)</f>
        <v/>
      </c>
      <c r="BX157">
        <f>IFERROR(INDEX(PP_Grid[#Data],$DD157,74),0)</f>
        <v/>
      </c>
      <c r="BY157">
        <f>IFERROR(INDEX(PP_Grid[#Data],$DD157,75),0)</f>
        <v/>
      </c>
      <c r="BZ157">
        <f>IFERROR(INDEX(PP_Grid[#Data],$DD157,76),0)</f>
        <v/>
      </c>
      <c r="CA157">
        <f>IFERROR(INDEX(PP_Grid[#Data],$DD157,77),0)</f>
        <v/>
      </c>
      <c r="CB157">
        <f>IFERROR(INDEX(PP_Grid[#Data],$DD157,78),0)</f>
        <v/>
      </c>
      <c r="CC157">
        <f>IFERROR(INDEX(PP_Grid[#Data],$DD157,79),0)</f>
        <v/>
      </c>
      <c r="CD157">
        <f>IFERROR(INDEX(PP_Grid[#Data],$DD157,80),0)</f>
        <v/>
      </c>
      <c r="CE157">
        <f>IFERROR(INDEX(PP_Grid[#Data],$DD157,81),0)</f>
        <v/>
      </c>
      <c r="CF157">
        <f>IFERROR(INDEX(PP_Grid[#Data],$DD157,82),0)</f>
        <v/>
      </c>
      <c r="CG157">
        <f>IFERROR(INDEX(PP_Grid[#Data],$DD157,83),0)</f>
        <v/>
      </c>
      <c r="CH157">
        <f>IFERROR(INDEX(PP_Grid[#Data],$DD157,84),0)</f>
        <v/>
      </c>
      <c r="CI157">
        <f>IFERROR(INDEX(PP_Grid[#Data],$DD157,85),0)</f>
        <v/>
      </c>
      <c r="CJ157">
        <f>IFERROR(INDEX(PP_Grid[#Data],$DD157,86),0)</f>
        <v/>
      </c>
      <c r="CK157">
        <f>IFERROR(INDEX(PP_Grid[#Data],$DD157,87),0)</f>
        <v/>
      </c>
      <c r="CL157">
        <f>IFERROR(INDEX(PP_Grid[#Data],$DD157,88),0)</f>
        <v/>
      </c>
      <c r="CM157">
        <f>IFERROR(INDEX(PP_Grid[#Data],$DD157,89),0)</f>
        <v/>
      </c>
      <c r="CN157">
        <f>IFERROR(INDEX(PP_Grid[#Data],$DD157,90),0)</f>
        <v/>
      </c>
      <c r="CO157">
        <f>IFERROR(INDEX(PP_Grid[#Data],$DD157,91),0)</f>
        <v/>
      </c>
      <c r="CP157">
        <f>IFERROR(INDEX(PP_Grid[#Data],$DD157,92),0)</f>
        <v/>
      </c>
      <c r="CQ157">
        <f>IFERROR(INDEX(PP_Grid[#Data],$DD157,93),0)</f>
        <v/>
      </c>
      <c r="CR157">
        <f>IFERROR(INDEX(PP_Grid[#Data],$DD157,94),0)</f>
        <v/>
      </c>
      <c r="CS157">
        <f>IFERROR(INDEX(PP_Grid[#Data],$DD157,95),0)</f>
        <v/>
      </c>
      <c r="CT157">
        <f>IFERROR(INDEX(PP_Grid[#Data],$DD157,96),0)</f>
        <v/>
      </c>
      <c r="CU157">
        <f>IFERROR(INDEX(PP_Grid[#Data],$DD157,97),0)</f>
        <v/>
      </c>
      <c r="CV157">
        <f>IFERROR(INDEX(PP_Grid[#Data],$DD157,98),0)</f>
        <v/>
      </c>
      <c r="CW157">
        <f>IFERROR(INDEX(PP_Grid[#Data],$DD157,99),0)</f>
        <v/>
      </c>
      <c r="CX157">
        <f>IFERROR(INDEX(PP_Grid[#Data],$DD157,100),0)</f>
        <v/>
      </c>
      <c r="CY157">
        <f>IFERROR(INDEX(PP_Grid[#Data],$DD157,101),0)</f>
        <v/>
      </c>
      <c r="CZ157">
        <f>IFERROR(INDEX(PP_Grid[#Data],$DD157,102),0)</f>
        <v/>
      </c>
      <c r="DA157">
        <f>IFERROR(INDEX(PP_Grid[#Data],$DD157,103),0)</f>
        <v/>
      </c>
      <c r="DB157">
        <f>IFERROR(INDEX(PP_Grid[#Data],$DD157,104),0)</f>
        <v/>
      </c>
      <c r="DC157">
        <f>IFERROR(INDEX(PP_Grid[#Data],$DD157,105),0)</f>
        <v/>
      </c>
      <c r="DD157" s="7">
        <f>IFERROR(MATCH($B157,PP_Grid[Intermediate],0),99999)</f>
        <v/>
      </c>
    </row>
    <row r="158">
      <c r="B158" t="inlineStr">
        <is>
          <t>使用量(kg)</t>
        </is>
      </c>
      <c r="C158">
        <f>SUMIFS(M_BOM[RM_Qty_Per_Batch],M_BOM[Intermediate],$B157,M_BOM[Part Name],$A44)</f>
        <v/>
      </c>
      <c r="D158">
        <f>$C158*D157</f>
        <v/>
      </c>
      <c r="E158">
        <f>$C158*E157</f>
        <v/>
      </c>
      <c r="F158">
        <f>$C158*F157</f>
        <v/>
      </c>
      <c r="G158">
        <f>$C158*G157</f>
        <v/>
      </c>
      <c r="H158">
        <f>$C158*H157</f>
        <v/>
      </c>
      <c r="I158">
        <f>$C158*I157</f>
        <v/>
      </c>
      <c r="J158">
        <f>$C158*J157</f>
        <v/>
      </c>
      <c r="K158">
        <f>$C158*K157</f>
        <v/>
      </c>
      <c r="L158">
        <f>$C158*L157</f>
        <v/>
      </c>
      <c r="M158">
        <f>$C158*M157</f>
        <v/>
      </c>
      <c r="N158">
        <f>$C158*N157</f>
        <v/>
      </c>
      <c r="O158">
        <f>$C158*O157</f>
        <v/>
      </c>
      <c r="P158">
        <f>$C158*P157</f>
        <v/>
      </c>
      <c r="Q158">
        <f>$C158*Q157</f>
        <v/>
      </c>
      <c r="R158">
        <f>$C158*R157</f>
        <v/>
      </c>
      <c r="S158">
        <f>$C158*S157</f>
        <v/>
      </c>
      <c r="T158">
        <f>$C158*T157</f>
        <v/>
      </c>
      <c r="U158">
        <f>$C158*U157</f>
        <v/>
      </c>
      <c r="V158">
        <f>$C158*V157</f>
        <v/>
      </c>
      <c r="W158">
        <f>$C158*W157</f>
        <v/>
      </c>
      <c r="X158">
        <f>$C158*X157</f>
        <v/>
      </c>
      <c r="Y158">
        <f>$C158*Y157</f>
        <v/>
      </c>
      <c r="Z158">
        <f>$C158*Z157</f>
        <v/>
      </c>
      <c r="AA158">
        <f>$C158*AA157</f>
        <v/>
      </c>
      <c r="AB158">
        <f>$C158*AB157</f>
        <v/>
      </c>
      <c r="AC158">
        <f>$C158*AC157</f>
        <v/>
      </c>
      <c r="AD158">
        <f>$C158*AD157</f>
        <v/>
      </c>
      <c r="AE158">
        <f>$C158*AE157</f>
        <v/>
      </c>
      <c r="AF158">
        <f>$C158*AF157</f>
        <v/>
      </c>
      <c r="AG158">
        <f>$C158*AG157</f>
        <v/>
      </c>
      <c r="AH158">
        <f>$C158*AH157</f>
        <v/>
      </c>
      <c r="AI158">
        <f>$C158*AI157</f>
        <v/>
      </c>
      <c r="AJ158">
        <f>$C158*AJ157</f>
        <v/>
      </c>
      <c r="AK158">
        <f>$C158*AK157</f>
        <v/>
      </c>
      <c r="AL158">
        <f>$C158*AL157</f>
        <v/>
      </c>
      <c r="AM158">
        <f>$C158*AM157</f>
        <v/>
      </c>
      <c r="AN158">
        <f>$C158*AN157</f>
        <v/>
      </c>
      <c r="AO158">
        <f>$C158*AO157</f>
        <v/>
      </c>
      <c r="AP158">
        <f>$C158*AP157</f>
        <v/>
      </c>
      <c r="AQ158">
        <f>$C158*AQ157</f>
        <v/>
      </c>
      <c r="AR158">
        <f>$C158*AR157</f>
        <v/>
      </c>
      <c r="AS158">
        <f>$C158*AS157</f>
        <v/>
      </c>
      <c r="AT158">
        <f>$C158*AT157</f>
        <v/>
      </c>
      <c r="AU158">
        <f>$C158*AU157</f>
        <v/>
      </c>
      <c r="AV158">
        <f>$C158*AV157</f>
        <v/>
      </c>
      <c r="AW158">
        <f>$C158*AW157</f>
        <v/>
      </c>
      <c r="AX158">
        <f>$C158*AX157</f>
        <v/>
      </c>
      <c r="AY158">
        <f>$C158*AY157</f>
        <v/>
      </c>
      <c r="AZ158">
        <f>$C158*AZ157</f>
        <v/>
      </c>
      <c r="BA158">
        <f>$C158*BA157</f>
        <v/>
      </c>
      <c r="BB158">
        <f>$C158*BB157</f>
        <v/>
      </c>
      <c r="BC158">
        <f>$C158*BC157</f>
        <v/>
      </c>
      <c r="BD158">
        <f>$C158*BD157</f>
        <v/>
      </c>
      <c r="BE158">
        <f>$C158*BE157</f>
        <v/>
      </c>
      <c r="BF158">
        <f>$C158*BF157</f>
        <v/>
      </c>
      <c r="BG158">
        <f>$C158*BG157</f>
        <v/>
      </c>
      <c r="BH158">
        <f>$C158*BH157</f>
        <v/>
      </c>
      <c r="BI158">
        <f>$C158*BI157</f>
        <v/>
      </c>
      <c r="BJ158">
        <f>$C158*BJ157</f>
        <v/>
      </c>
      <c r="BK158">
        <f>$C158*BK157</f>
        <v/>
      </c>
      <c r="BL158">
        <f>$C158*BL157</f>
        <v/>
      </c>
      <c r="BM158">
        <f>$C158*BM157</f>
        <v/>
      </c>
      <c r="BN158">
        <f>$C158*BN157</f>
        <v/>
      </c>
      <c r="BO158">
        <f>$C158*BO157</f>
        <v/>
      </c>
      <c r="BP158">
        <f>$C158*BP157</f>
        <v/>
      </c>
      <c r="BQ158">
        <f>$C158*BQ157</f>
        <v/>
      </c>
      <c r="BR158">
        <f>$C158*BR157</f>
        <v/>
      </c>
      <c r="BS158">
        <f>$C158*BS157</f>
        <v/>
      </c>
      <c r="BT158">
        <f>$C158*BT157</f>
        <v/>
      </c>
      <c r="BU158">
        <f>$C158*BU157</f>
        <v/>
      </c>
      <c r="BV158">
        <f>$C158*BV157</f>
        <v/>
      </c>
      <c r="BW158">
        <f>$C158*BW157</f>
        <v/>
      </c>
      <c r="BX158">
        <f>$C158*BX157</f>
        <v/>
      </c>
      <c r="BY158">
        <f>$C158*BY157</f>
        <v/>
      </c>
      <c r="BZ158">
        <f>$C158*BZ157</f>
        <v/>
      </c>
      <c r="CA158">
        <f>$C158*CA157</f>
        <v/>
      </c>
      <c r="CB158">
        <f>$C158*CB157</f>
        <v/>
      </c>
      <c r="CC158">
        <f>$C158*CC157</f>
        <v/>
      </c>
      <c r="CD158">
        <f>$C158*CD157</f>
        <v/>
      </c>
      <c r="CE158">
        <f>$C158*CE157</f>
        <v/>
      </c>
      <c r="CF158">
        <f>$C158*CF157</f>
        <v/>
      </c>
      <c r="CG158">
        <f>$C158*CG157</f>
        <v/>
      </c>
      <c r="CH158">
        <f>$C158*CH157</f>
        <v/>
      </c>
      <c r="CI158">
        <f>$C158*CI157</f>
        <v/>
      </c>
      <c r="CJ158">
        <f>$C158*CJ157</f>
        <v/>
      </c>
      <c r="CK158">
        <f>$C158*CK157</f>
        <v/>
      </c>
      <c r="CL158">
        <f>$C158*CL157</f>
        <v/>
      </c>
      <c r="CM158">
        <f>$C158*CM157</f>
        <v/>
      </c>
      <c r="CN158">
        <f>$C158*CN157</f>
        <v/>
      </c>
      <c r="CO158">
        <f>$C158*CO157</f>
        <v/>
      </c>
      <c r="CP158">
        <f>$C158*CP157</f>
        <v/>
      </c>
      <c r="CQ158">
        <f>$C158*CQ157</f>
        <v/>
      </c>
      <c r="CR158">
        <f>$C158*CR157</f>
        <v/>
      </c>
      <c r="CS158">
        <f>$C158*CS157</f>
        <v/>
      </c>
      <c r="CT158">
        <f>$C158*CT157</f>
        <v/>
      </c>
      <c r="CU158">
        <f>$C158*CU157</f>
        <v/>
      </c>
      <c r="CV158">
        <f>$C158*CV157</f>
        <v/>
      </c>
      <c r="CW158">
        <f>$C158*CW157</f>
        <v/>
      </c>
      <c r="CX158">
        <f>$C158*CX157</f>
        <v/>
      </c>
      <c r="CY158">
        <f>$C158*CY157</f>
        <v/>
      </c>
      <c r="CZ158">
        <f>$C158*CZ157</f>
        <v/>
      </c>
      <c r="DA158">
        <f>$C158*DA157</f>
        <v/>
      </c>
      <c r="DB158">
        <f>$C158*DB157</f>
        <v/>
      </c>
      <c r="DC158">
        <f>$C158*DC157</f>
        <v/>
      </c>
    </row>
    <row r="159">
      <c r="B159" t="inlineStr">
        <is>
          <t>TSP-1446</t>
        </is>
      </c>
      <c r="C159" t="inlineStr">
        <is>
          <t>No. of batches</t>
        </is>
      </c>
      <c r="D159">
        <f>IFERROR(INDEX(PP_Grid[#Data],$DD159,2),0)</f>
        <v/>
      </c>
      <c r="E159">
        <f>IFERROR(INDEX(PP_Grid[#Data],$DD159,3),0)</f>
        <v/>
      </c>
      <c r="F159">
        <f>IFERROR(INDEX(PP_Grid[#Data],$DD159,4),0)</f>
        <v/>
      </c>
      <c r="G159">
        <f>IFERROR(INDEX(PP_Grid[#Data],$DD159,5),0)</f>
        <v/>
      </c>
      <c r="H159">
        <f>IFERROR(INDEX(PP_Grid[#Data],$DD159,6),0)</f>
        <v/>
      </c>
      <c r="I159">
        <f>IFERROR(INDEX(PP_Grid[#Data],$DD159,7),0)</f>
        <v/>
      </c>
      <c r="J159">
        <f>IFERROR(INDEX(PP_Grid[#Data],$DD159,8),0)</f>
        <v/>
      </c>
      <c r="K159">
        <f>IFERROR(INDEX(PP_Grid[#Data],$DD159,9),0)</f>
        <v/>
      </c>
      <c r="L159">
        <f>IFERROR(INDEX(PP_Grid[#Data],$DD159,10),0)</f>
        <v/>
      </c>
      <c r="M159">
        <f>IFERROR(INDEX(PP_Grid[#Data],$DD159,11),0)</f>
        <v/>
      </c>
      <c r="N159">
        <f>IFERROR(INDEX(PP_Grid[#Data],$DD159,12),0)</f>
        <v/>
      </c>
      <c r="O159">
        <f>IFERROR(INDEX(PP_Grid[#Data],$DD159,13),0)</f>
        <v/>
      </c>
      <c r="P159">
        <f>IFERROR(INDEX(PP_Grid[#Data],$DD159,14),0)</f>
        <v/>
      </c>
      <c r="Q159">
        <f>IFERROR(INDEX(PP_Grid[#Data],$DD159,15),0)</f>
        <v/>
      </c>
      <c r="R159">
        <f>IFERROR(INDEX(PP_Grid[#Data],$DD159,16),0)</f>
        <v/>
      </c>
      <c r="S159">
        <f>IFERROR(INDEX(PP_Grid[#Data],$DD159,17),0)</f>
        <v/>
      </c>
      <c r="T159">
        <f>IFERROR(INDEX(PP_Grid[#Data],$DD159,18),0)</f>
        <v/>
      </c>
      <c r="U159">
        <f>IFERROR(INDEX(PP_Grid[#Data],$DD159,19),0)</f>
        <v/>
      </c>
      <c r="V159">
        <f>IFERROR(INDEX(PP_Grid[#Data],$DD159,20),0)</f>
        <v/>
      </c>
      <c r="W159">
        <f>IFERROR(INDEX(PP_Grid[#Data],$DD159,21),0)</f>
        <v/>
      </c>
      <c r="X159">
        <f>IFERROR(INDEX(PP_Grid[#Data],$DD159,22),0)</f>
        <v/>
      </c>
      <c r="Y159">
        <f>IFERROR(INDEX(PP_Grid[#Data],$DD159,23),0)</f>
        <v/>
      </c>
      <c r="Z159">
        <f>IFERROR(INDEX(PP_Grid[#Data],$DD159,24),0)</f>
        <v/>
      </c>
      <c r="AA159">
        <f>IFERROR(INDEX(PP_Grid[#Data],$DD159,25),0)</f>
        <v/>
      </c>
      <c r="AB159">
        <f>IFERROR(INDEX(PP_Grid[#Data],$DD159,26),0)</f>
        <v/>
      </c>
      <c r="AC159">
        <f>IFERROR(INDEX(PP_Grid[#Data],$DD159,27),0)</f>
        <v/>
      </c>
      <c r="AD159">
        <f>IFERROR(INDEX(PP_Grid[#Data],$DD159,28),0)</f>
        <v/>
      </c>
      <c r="AE159">
        <f>IFERROR(INDEX(PP_Grid[#Data],$DD159,29),0)</f>
        <v/>
      </c>
      <c r="AF159">
        <f>IFERROR(INDEX(PP_Grid[#Data],$DD159,30),0)</f>
        <v/>
      </c>
      <c r="AG159">
        <f>IFERROR(INDEX(PP_Grid[#Data],$DD159,31),0)</f>
        <v/>
      </c>
      <c r="AH159">
        <f>IFERROR(INDEX(PP_Grid[#Data],$DD159,32),0)</f>
        <v/>
      </c>
      <c r="AI159">
        <f>IFERROR(INDEX(PP_Grid[#Data],$DD159,33),0)</f>
        <v/>
      </c>
      <c r="AJ159">
        <f>IFERROR(INDEX(PP_Grid[#Data],$DD159,34),0)</f>
        <v/>
      </c>
      <c r="AK159">
        <f>IFERROR(INDEX(PP_Grid[#Data],$DD159,35),0)</f>
        <v/>
      </c>
      <c r="AL159">
        <f>IFERROR(INDEX(PP_Grid[#Data],$DD159,36),0)</f>
        <v/>
      </c>
      <c r="AM159">
        <f>IFERROR(INDEX(PP_Grid[#Data],$DD159,37),0)</f>
        <v/>
      </c>
      <c r="AN159">
        <f>IFERROR(INDEX(PP_Grid[#Data],$DD159,38),0)</f>
        <v/>
      </c>
      <c r="AO159">
        <f>IFERROR(INDEX(PP_Grid[#Data],$DD159,39),0)</f>
        <v/>
      </c>
      <c r="AP159">
        <f>IFERROR(INDEX(PP_Grid[#Data],$DD159,40),0)</f>
        <v/>
      </c>
      <c r="AQ159">
        <f>IFERROR(INDEX(PP_Grid[#Data],$DD159,41),0)</f>
        <v/>
      </c>
      <c r="AR159">
        <f>IFERROR(INDEX(PP_Grid[#Data],$DD159,42),0)</f>
        <v/>
      </c>
      <c r="AS159">
        <f>IFERROR(INDEX(PP_Grid[#Data],$DD159,43),0)</f>
        <v/>
      </c>
      <c r="AT159">
        <f>IFERROR(INDEX(PP_Grid[#Data],$DD159,44),0)</f>
        <v/>
      </c>
      <c r="AU159">
        <f>IFERROR(INDEX(PP_Grid[#Data],$DD159,45),0)</f>
        <v/>
      </c>
      <c r="AV159">
        <f>IFERROR(INDEX(PP_Grid[#Data],$DD159,46),0)</f>
        <v/>
      </c>
      <c r="AW159">
        <f>IFERROR(INDEX(PP_Grid[#Data],$DD159,47),0)</f>
        <v/>
      </c>
      <c r="AX159">
        <f>IFERROR(INDEX(PP_Grid[#Data],$DD159,48),0)</f>
        <v/>
      </c>
      <c r="AY159">
        <f>IFERROR(INDEX(PP_Grid[#Data],$DD159,49),0)</f>
        <v/>
      </c>
      <c r="AZ159">
        <f>IFERROR(INDEX(PP_Grid[#Data],$DD159,50),0)</f>
        <v/>
      </c>
      <c r="BA159">
        <f>IFERROR(INDEX(PP_Grid[#Data],$DD159,51),0)</f>
        <v/>
      </c>
      <c r="BB159">
        <f>IFERROR(INDEX(PP_Grid[#Data],$DD159,52),0)</f>
        <v/>
      </c>
      <c r="BC159">
        <f>IFERROR(INDEX(PP_Grid[#Data],$DD159,53),0)</f>
        <v/>
      </c>
      <c r="BD159">
        <f>IFERROR(INDEX(PP_Grid[#Data],$DD159,54),0)</f>
        <v/>
      </c>
      <c r="BE159">
        <f>IFERROR(INDEX(PP_Grid[#Data],$DD159,55),0)</f>
        <v/>
      </c>
      <c r="BF159">
        <f>IFERROR(INDEX(PP_Grid[#Data],$DD159,56),0)</f>
        <v/>
      </c>
      <c r="BG159">
        <f>IFERROR(INDEX(PP_Grid[#Data],$DD159,57),0)</f>
        <v/>
      </c>
      <c r="BH159">
        <f>IFERROR(INDEX(PP_Grid[#Data],$DD159,58),0)</f>
        <v/>
      </c>
      <c r="BI159">
        <f>IFERROR(INDEX(PP_Grid[#Data],$DD159,59),0)</f>
        <v/>
      </c>
      <c r="BJ159">
        <f>IFERROR(INDEX(PP_Grid[#Data],$DD159,60),0)</f>
        <v/>
      </c>
      <c r="BK159">
        <f>IFERROR(INDEX(PP_Grid[#Data],$DD159,61),0)</f>
        <v/>
      </c>
      <c r="BL159">
        <f>IFERROR(INDEX(PP_Grid[#Data],$DD159,62),0)</f>
        <v/>
      </c>
      <c r="BM159">
        <f>IFERROR(INDEX(PP_Grid[#Data],$DD159,63),0)</f>
        <v/>
      </c>
      <c r="BN159">
        <f>IFERROR(INDEX(PP_Grid[#Data],$DD159,64),0)</f>
        <v/>
      </c>
      <c r="BO159">
        <f>IFERROR(INDEX(PP_Grid[#Data],$DD159,65),0)</f>
        <v/>
      </c>
      <c r="BP159">
        <f>IFERROR(INDEX(PP_Grid[#Data],$DD159,66),0)</f>
        <v/>
      </c>
      <c r="BQ159">
        <f>IFERROR(INDEX(PP_Grid[#Data],$DD159,67),0)</f>
        <v/>
      </c>
      <c r="BR159">
        <f>IFERROR(INDEX(PP_Grid[#Data],$DD159,68),0)</f>
        <v/>
      </c>
      <c r="BS159">
        <f>IFERROR(INDEX(PP_Grid[#Data],$DD159,69),0)</f>
        <v/>
      </c>
      <c r="BT159">
        <f>IFERROR(INDEX(PP_Grid[#Data],$DD159,70),0)</f>
        <v/>
      </c>
      <c r="BU159">
        <f>IFERROR(INDEX(PP_Grid[#Data],$DD159,71),0)</f>
        <v/>
      </c>
      <c r="BV159">
        <f>IFERROR(INDEX(PP_Grid[#Data],$DD159,72),0)</f>
        <v/>
      </c>
      <c r="BW159">
        <f>IFERROR(INDEX(PP_Grid[#Data],$DD159,73),0)</f>
        <v/>
      </c>
      <c r="BX159">
        <f>IFERROR(INDEX(PP_Grid[#Data],$DD159,74),0)</f>
        <v/>
      </c>
      <c r="BY159">
        <f>IFERROR(INDEX(PP_Grid[#Data],$DD159,75),0)</f>
        <v/>
      </c>
      <c r="BZ159">
        <f>IFERROR(INDEX(PP_Grid[#Data],$DD159,76),0)</f>
        <v/>
      </c>
      <c r="CA159">
        <f>IFERROR(INDEX(PP_Grid[#Data],$DD159,77),0)</f>
        <v/>
      </c>
      <c r="CB159">
        <f>IFERROR(INDEX(PP_Grid[#Data],$DD159,78),0)</f>
        <v/>
      </c>
      <c r="CC159">
        <f>IFERROR(INDEX(PP_Grid[#Data],$DD159,79),0)</f>
        <v/>
      </c>
      <c r="CD159">
        <f>IFERROR(INDEX(PP_Grid[#Data],$DD159,80),0)</f>
        <v/>
      </c>
      <c r="CE159">
        <f>IFERROR(INDEX(PP_Grid[#Data],$DD159,81),0)</f>
        <v/>
      </c>
      <c r="CF159">
        <f>IFERROR(INDEX(PP_Grid[#Data],$DD159,82),0)</f>
        <v/>
      </c>
      <c r="CG159">
        <f>IFERROR(INDEX(PP_Grid[#Data],$DD159,83),0)</f>
        <v/>
      </c>
      <c r="CH159">
        <f>IFERROR(INDEX(PP_Grid[#Data],$DD159,84),0)</f>
        <v/>
      </c>
      <c r="CI159">
        <f>IFERROR(INDEX(PP_Grid[#Data],$DD159,85),0)</f>
        <v/>
      </c>
      <c r="CJ159">
        <f>IFERROR(INDEX(PP_Grid[#Data],$DD159,86),0)</f>
        <v/>
      </c>
      <c r="CK159">
        <f>IFERROR(INDEX(PP_Grid[#Data],$DD159,87),0)</f>
        <v/>
      </c>
      <c r="CL159">
        <f>IFERROR(INDEX(PP_Grid[#Data],$DD159,88),0)</f>
        <v/>
      </c>
      <c r="CM159">
        <f>IFERROR(INDEX(PP_Grid[#Data],$DD159,89),0)</f>
        <v/>
      </c>
      <c r="CN159">
        <f>IFERROR(INDEX(PP_Grid[#Data],$DD159,90),0)</f>
        <v/>
      </c>
      <c r="CO159">
        <f>IFERROR(INDEX(PP_Grid[#Data],$DD159,91),0)</f>
        <v/>
      </c>
      <c r="CP159">
        <f>IFERROR(INDEX(PP_Grid[#Data],$DD159,92),0)</f>
        <v/>
      </c>
      <c r="CQ159">
        <f>IFERROR(INDEX(PP_Grid[#Data],$DD159,93),0)</f>
        <v/>
      </c>
      <c r="CR159">
        <f>IFERROR(INDEX(PP_Grid[#Data],$DD159,94),0)</f>
        <v/>
      </c>
      <c r="CS159">
        <f>IFERROR(INDEX(PP_Grid[#Data],$DD159,95),0)</f>
        <v/>
      </c>
      <c r="CT159">
        <f>IFERROR(INDEX(PP_Grid[#Data],$DD159,96),0)</f>
        <v/>
      </c>
      <c r="CU159">
        <f>IFERROR(INDEX(PP_Grid[#Data],$DD159,97),0)</f>
        <v/>
      </c>
      <c r="CV159">
        <f>IFERROR(INDEX(PP_Grid[#Data],$DD159,98),0)</f>
        <v/>
      </c>
      <c r="CW159">
        <f>IFERROR(INDEX(PP_Grid[#Data],$DD159,99),0)</f>
        <v/>
      </c>
      <c r="CX159">
        <f>IFERROR(INDEX(PP_Grid[#Data],$DD159,100),0)</f>
        <v/>
      </c>
      <c r="CY159">
        <f>IFERROR(INDEX(PP_Grid[#Data],$DD159,101),0)</f>
        <v/>
      </c>
      <c r="CZ159">
        <f>IFERROR(INDEX(PP_Grid[#Data],$DD159,102),0)</f>
        <v/>
      </c>
      <c r="DA159">
        <f>IFERROR(INDEX(PP_Grid[#Data],$DD159,103),0)</f>
        <v/>
      </c>
      <c r="DB159">
        <f>IFERROR(INDEX(PP_Grid[#Data],$DD159,104),0)</f>
        <v/>
      </c>
      <c r="DC159">
        <f>IFERROR(INDEX(PP_Grid[#Data],$DD159,105),0)</f>
        <v/>
      </c>
      <c r="DD159" s="7">
        <f>IFERROR(MATCH($B159,PP_Grid[Intermediate],0),99999)</f>
        <v/>
      </c>
    </row>
    <row r="160">
      <c r="B160" t="inlineStr">
        <is>
          <t>使用量(kg)</t>
        </is>
      </c>
      <c r="C160">
        <f>SUMIFS(M_BOM[RM_Qty_Per_Batch],M_BOM[Intermediate],$B159,M_BOM[Part Name],$A44)</f>
        <v/>
      </c>
      <c r="D160">
        <f>$C160*D159</f>
        <v/>
      </c>
      <c r="E160">
        <f>$C160*E159</f>
        <v/>
      </c>
      <c r="F160">
        <f>$C160*F159</f>
        <v/>
      </c>
      <c r="G160">
        <f>$C160*G159</f>
        <v/>
      </c>
      <c r="H160">
        <f>$C160*H159</f>
        <v/>
      </c>
      <c r="I160">
        <f>$C160*I159</f>
        <v/>
      </c>
      <c r="J160">
        <f>$C160*J159</f>
        <v/>
      </c>
      <c r="K160">
        <f>$C160*K159</f>
        <v/>
      </c>
      <c r="L160">
        <f>$C160*L159</f>
        <v/>
      </c>
      <c r="M160">
        <f>$C160*M159</f>
        <v/>
      </c>
      <c r="N160">
        <f>$C160*N159</f>
        <v/>
      </c>
      <c r="O160">
        <f>$C160*O159</f>
        <v/>
      </c>
      <c r="P160">
        <f>$C160*P159</f>
        <v/>
      </c>
      <c r="Q160">
        <f>$C160*Q159</f>
        <v/>
      </c>
      <c r="R160">
        <f>$C160*R159</f>
        <v/>
      </c>
      <c r="S160">
        <f>$C160*S159</f>
        <v/>
      </c>
      <c r="T160">
        <f>$C160*T159</f>
        <v/>
      </c>
      <c r="U160">
        <f>$C160*U159</f>
        <v/>
      </c>
      <c r="V160">
        <f>$C160*V159</f>
        <v/>
      </c>
      <c r="W160">
        <f>$C160*W159</f>
        <v/>
      </c>
      <c r="X160">
        <f>$C160*X159</f>
        <v/>
      </c>
      <c r="Y160">
        <f>$C160*Y159</f>
        <v/>
      </c>
      <c r="Z160">
        <f>$C160*Z159</f>
        <v/>
      </c>
      <c r="AA160">
        <f>$C160*AA159</f>
        <v/>
      </c>
      <c r="AB160">
        <f>$C160*AB159</f>
        <v/>
      </c>
      <c r="AC160">
        <f>$C160*AC159</f>
        <v/>
      </c>
      <c r="AD160">
        <f>$C160*AD159</f>
        <v/>
      </c>
      <c r="AE160">
        <f>$C160*AE159</f>
        <v/>
      </c>
      <c r="AF160">
        <f>$C160*AF159</f>
        <v/>
      </c>
      <c r="AG160">
        <f>$C160*AG159</f>
        <v/>
      </c>
      <c r="AH160">
        <f>$C160*AH159</f>
        <v/>
      </c>
      <c r="AI160">
        <f>$C160*AI159</f>
        <v/>
      </c>
      <c r="AJ160">
        <f>$C160*AJ159</f>
        <v/>
      </c>
      <c r="AK160">
        <f>$C160*AK159</f>
        <v/>
      </c>
      <c r="AL160">
        <f>$C160*AL159</f>
        <v/>
      </c>
      <c r="AM160">
        <f>$C160*AM159</f>
        <v/>
      </c>
      <c r="AN160">
        <f>$C160*AN159</f>
        <v/>
      </c>
      <c r="AO160">
        <f>$C160*AO159</f>
        <v/>
      </c>
      <c r="AP160">
        <f>$C160*AP159</f>
        <v/>
      </c>
      <c r="AQ160">
        <f>$C160*AQ159</f>
        <v/>
      </c>
      <c r="AR160">
        <f>$C160*AR159</f>
        <v/>
      </c>
      <c r="AS160">
        <f>$C160*AS159</f>
        <v/>
      </c>
      <c r="AT160">
        <f>$C160*AT159</f>
        <v/>
      </c>
      <c r="AU160">
        <f>$C160*AU159</f>
        <v/>
      </c>
      <c r="AV160">
        <f>$C160*AV159</f>
        <v/>
      </c>
      <c r="AW160">
        <f>$C160*AW159</f>
        <v/>
      </c>
      <c r="AX160">
        <f>$C160*AX159</f>
        <v/>
      </c>
      <c r="AY160">
        <f>$C160*AY159</f>
        <v/>
      </c>
      <c r="AZ160">
        <f>$C160*AZ159</f>
        <v/>
      </c>
      <c r="BA160">
        <f>$C160*BA159</f>
        <v/>
      </c>
      <c r="BB160">
        <f>$C160*BB159</f>
        <v/>
      </c>
      <c r="BC160">
        <f>$C160*BC159</f>
        <v/>
      </c>
      <c r="BD160">
        <f>$C160*BD159</f>
        <v/>
      </c>
      <c r="BE160">
        <f>$C160*BE159</f>
        <v/>
      </c>
      <c r="BF160">
        <f>$C160*BF159</f>
        <v/>
      </c>
      <c r="BG160">
        <f>$C160*BG159</f>
        <v/>
      </c>
      <c r="BH160">
        <f>$C160*BH159</f>
        <v/>
      </c>
      <c r="BI160">
        <f>$C160*BI159</f>
        <v/>
      </c>
      <c r="BJ160">
        <f>$C160*BJ159</f>
        <v/>
      </c>
      <c r="BK160">
        <f>$C160*BK159</f>
        <v/>
      </c>
      <c r="BL160">
        <f>$C160*BL159</f>
        <v/>
      </c>
      <c r="BM160">
        <f>$C160*BM159</f>
        <v/>
      </c>
      <c r="BN160">
        <f>$C160*BN159</f>
        <v/>
      </c>
      <c r="BO160">
        <f>$C160*BO159</f>
        <v/>
      </c>
      <c r="BP160">
        <f>$C160*BP159</f>
        <v/>
      </c>
      <c r="BQ160">
        <f>$C160*BQ159</f>
        <v/>
      </c>
      <c r="BR160">
        <f>$C160*BR159</f>
        <v/>
      </c>
      <c r="BS160">
        <f>$C160*BS159</f>
        <v/>
      </c>
      <c r="BT160">
        <f>$C160*BT159</f>
        <v/>
      </c>
      <c r="BU160">
        <f>$C160*BU159</f>
        <v/>
      </c>
      <c r="BV160">
        <f>$C160*BV159</f>
        <v/>
      </c>
      <c r="BW160">
        <f>$C160*BW159</f>
        <v/>
      </c>
      <c r="BX160">
        <f>$C160*BX159</f>
        <v/>
      </c>
      <c r="BY160">
        <f>$C160*BY159</f>
        <v/>
      </c>
      <c r="BZ160">
        <f>$C160*BZ159</f>
        <v/>
      </c>
      <c r="CA160">
        <f>$C160*CA159</f>
        <v/>
      </c>
      <c r="CB160">
        <f>$C160*CB159</f>
        <v/>
      </c>
      <c r="CC160">
        <f>$C160*CC159</f>
        <v/>
      </c>
      <c r="CD160">
        <f>$C160*CD159</f>
        <v/>
      </c>
      <c r="CE160">
        <f>$C160*CE159</f>
        <v/>
      </c>
      <c r="CF160">
        <f>$C160*CF159</f>
        <v/>
      </c>
      <c r="CG160">
        <f>$C160*CG159</f>
        <v/>
      </c>
      <c r="CH160">
        <f>$C160*CH159</f>
        <v/>
      </c>
      <c r="CI160">
        <f>$C160*CI159</f>
        <v/>
      </c>
      <c r="CJ160">
        <f>$C160*CJ159</f>
        <v/>
      </c>
      <c r="CK160">
        <f>$C160*CK159</f>
        <v/>
      </c>
      <c r="CL160">
        <f>$C160*CL159</f>
        <v/>
      </c>
      <c r="CM160">
        <f>$C160*CM159</f>
        <v/>
      </c>
      <c r="CN160">
        <f>$C160*CN159</f>
        <v/>
      </c>
      <c r="CO160">
        <f>$C160*CO159</f>
        <v/>
      </c>
      <c r="CP160">
        <f>$C160*CP159</f>
        <v/>
      </c>
      <c r="CQ160">
        <f>$C160*CQ159</f>
        <v/>
      </c>
      <c r="CR160">
        <f>$C160*CR159</f>
        <v/>
      </c>
      <c r="CS160">
        <f>$C160*CS159</f>
        <v/>
      </c>
      <c r="CT160">
        <f>$C160*CT159</f>
        <v/>
      </c>
      <c r="CU160">
        <f>$C160*CU159</f>
        <v/>
      </c>
      <c r="CV160">
        <f>$C160*CV159</f>
        <v/>
      </c>
      <c r="CW160">
        <f>$C160*CW159</f>
        <v/>
      </c>
      <c r="CX160">
        <f>$C160*CX159</f>
        <v/>
      </c>
      <c r="CY160">
        <f>$C160*CY159</f>
        <v/>
      </c>
      <c r="CZ160">
        <f>$C160*CZ159</f>
        <v/>
      </c>
      <c r="DA160">
        <f>$C160*DA159</f>
        <v/>
      </c>
      <c r="DB160">
        <f>$C160*DB159</f>
        <v/>
      </c>
      <c r="DC160">
        <f>$C160*DC159</f>
        <v/>
      </c>
    </row>
    <row r="161">
      <c r="B161" t="inlineStr">
        <is>
          <t>TSP-1449</t>
        </is>
      </c>
      <c r="C161" t="inlineStr">
        <is>
          <t>No. of batches</t>
        </is>
      </c>
      <c r="D161">
        <f>IFERROR(INDEX(PP_Grid[#Data],$DD161,2),0)</f>
        <v/>
      </c>
      <c r="E161">
        <f>IFERROR(INDEX(PP_Grid[#Data],$DD161,3),0)</f>
        <v/>
      </c>
      <c r="F161">
        <f>IFERROR(INDEX(PP_Grid[#Data],$DD161,4),0)</f>
        <v/>
      </c>
      <c r="G161">
        <f>IFERROR(INDEX(PP_Grid[#Data],$DD161,5),0)</f>
        <v/>
      </c>
      <c r="H161">
        <f>IFERROR(INDEX(PP_Grid[#Data],$DD161,6),0)</f>
        <v/>
      </c>
      <c r="I161">
        <f>IFERROR(INDEX(PP_Grid[#Data],$DD161,7),0)</f>
        <v/>
      </c>
      <c r="J161">
        <f>IFERROR(INDEX(PP_Grid[#Data],$DD161,8),0)</f>
        <v/>
      </c>
      <c r="K161">
        <f>IFERROR(INDEX(PP_Grid[#Data],$DD161,9),0)</f>
        <v/>
      </c>
      <c r="L161">
        <f>IFERROR(INDEX(PP_Grid[#Data],$DD161,10),0)</f>
        <v/>
      </c>
      <c r="M161">
        <f>IFERROR(INDEX(PP_Grid[#Data],$DD161,11),0)</f>
        <v/>
      </c>
      <c r="N161">
        <f>IFERROR(INDEX(PP_Grid[#Data],$DD161,12),0)</f>
        <v/>
      </c>
      <c r="O161">
        <f>IFERROR(INDEX(PP_Grid[#Data],$DD161,13),0)</f>
        <v/>
      </c>
      <c r="P161">
        <f>IFERROR(INDEX(PP_Grid[#Data],$DD161,14),0)</f>
        <v/>
      </c>
      <c r="Q161">
        <f>IFERROR(INDEX(PP_Grid[#Data],$DD161,15),0)</f>
        <v/>
      </c>
      <c r="R161">
        <f>IFERROR(INDEX(PP_Grid[#Data],$DD161,16),0)</f>
        <v/>
      </c>
      <c r="S161">
        <f>IFERROR(INDEX(PP_Grid[#Data],$DD161,17),0)</f>
        <v/>
      </c>
      <c r="T161">
        <f>IFERROR(INDEX(PP_Grid[#Data],$DD161,18),0)</f>
        <v/>
      </c>
      <c r="U161">
        <f>IFERROR(INDEX(PP_Grid[#Data],$DD161,19),0)</f>
        <v/>
      </c>
      <c r="V161">
        <f>IFERROR(INDEX(PP_Grid[#Data],$DD161,20),0)</f>
        <v/>
      </c>
      <c r="W161">
        <f>IFERROR(INDEX(PP_Grid[#Data],$DD161,21),0)</f>
        <v/>
      </c>
      <c r="X161">
        <f>IFERROR(INDEX(PP_Grid[#Data],$DD161,22),0)</f>
        <v/>
      </c>
      <c r="Y161">
        <f>IFERROR(INDEX(PP_Grid[#Data],$DD161,23),0)</f>
        <v/>
      </c>
      <c r="Z161">
        <f>IFERROR(INDEX(PP_Grid[#Data],$DD161,24),0)</f>
        <v/>
      </c>
      <c r="AA161">
        <f>IFERROR(INDEX(PP_Grid[#Data],$DD161,25),0)</f>
        <v/>
      </c>
      <c r="AB161">
        <f>IFERROR(INDEX(PP_Grid[#Data],$DD161,26),0)</f>
        <v/>
      </c>
      <c r="AC161">
        <f>IFERROR(INDEX(PP_Grid[#Data],$DD161,27),0)</f>
        <v/>
      </c>
      <c r="AD161">
        <f>IFERROR(INDEX(PP_Grid[#Data],$DD161,28),0)</f>
        <v/>
      </c>
      <c r="AE161">
        <f>IFERROR(INDEX(PP_Grid[#Data],$DD161,29),0)</f>
        <v/>
      </c>
      <c r="AF161">
        <f>IFERROR(INDEX(PP_Grid[#Data],$DD161,30),0)</f>
        <v/>
      </c>
      <c r="AG161">
        <f>IFERROR(INDEX(PP_Grid[#Data],$DD161,31),0)</f>
        <v/>
      </c>
      <c r="AH161">
        <f>IFERROR(INDEX(PP_Grid[#Data],$DD161,32),0)</f>
        <v/>
      </c>
      <c r="AI161">
        <f>IFERROR(INDEX(PP_Grid[#Data],$DD161,33),0)</f>
        <v/>
      </c>
      <c r="AJ161">
        <f>IFERROR(INDEX(PP_Grid[#Data],$DD161,34),0)</f>
        <v/>
      </c>
      <c r="AK161">
        <f>IFERROR(INDEX(PP_Grid[#Data],$DD161,35),0)</f>
        <v/>
      </c>
      <c r="AL161">
        <f>IFERROR(INDEX(PP_Grid[#Data],$DD161,36),0)</f>
        <v/>
      </c>
      <c r="AM161">
        <f>IFERROR(INDEX(PP_Grid[#Data],$DD161,37),0)</f>
        <v/>
      </c>
      <c r="AN161">
        <f>IFERROR(INDEX(PP_Grid[#Data],$DD161,38),0)</f>
        <v/>
      </c>
      <c r="AO161">
        <f>IFERROR(INDEX(PP_Grid[#Data],$DD161,39),0)</f>
        <v/>
      </c>
      <c r="AP161">
        <f>IFERROR(INDEX(PP_Grid[#Data],$DD161,40),0)</f>
        <v/>
      </c>
      <c r="AQ161">
        <f>IFERROR(INDEX(PP_Grid[#Data],$DD161,41),0)</f>
        <v/>
      </c>
      <c r="AR161">
        <f>IFERROR(INDEX(PP_Grid[#Data],$DD161,42),0)</f>
        <v/>
      </c>
      <c r="AS161">
        <f>IFERROR(INDEX(PP_Grid[#Data],$DD161,43),0)</f>
        <v/>
      </c>
      <c r="AT161">
        <f>IFERROR(INDEX(PP_Grid[#Data],$DD161,44),0)</f>
        <v/>
      </c>
      <c r="AU161">
        <f>IFERROR(INDEX(PP_Grid[#Data],$DD161,45),0)</f>
        <v/>
      </c>
      <c r="AV161">
        <f>IFERROR(INDEX(PP_Grid[#Data],$DD161,46),0)</f>
        <v/>
      </c>
      <c r="AW161">
        <f>IFERROR(INDEX(PP_Grid[#Data],$DD161,47),0)</f>
        <v/>
      </c>
      <c r="AX161">
        <f>IFERROR(INDEX(PP_Grid[#Data],$DD161,48),0)</f>
        <v/>
      </c>
      <c r="AY161">
        <f>IFERROR(INDEX(PP_Grid[#Data],$DD161,49),0)</f>
        <v/>
      </c>
      <c r="AZ161">
        <f>IFERROR(INDEX(PP_Grid[#Data],$DD161,50),0)</f>
        <v/>
      </c>
      <c r="BA161">
        <f>IFERROR(INDEX(PP_Grid[#Data],$DD161,51),0)</f>
        <v/>
      </c>
      <c r="BB161">
        <f>IFERROR(INDEX(PP_Grid[#Data],$DD161,52),0)</f>
        <v/>
      </c>
      <c r="BC161">
        <f>IFERROR(INDEX(PP_Grid[#Data],$DD161,53),0)</f>
        <v/>
      </c>
      <c r="BD161">
        <f>IFERROR(INDEX(PP_Grid[#Data],$DD161,54),0)</f>
        <v/>
      </c>
      <c r="BE161">
        <f>IFERROR(INDEX(PP_Grid[#Data],$DD161,55),0)</f>
        <v/>
      </c>
      <c r="BF161">
        <f>IFERROR(INDEX(PP_Grid[#Data],$DD161,56),0)</f>
        <v/>
      </c>
      <c r="BG161">
        <f>IFERROR(INDEX(PP_Grid[#Data],$DD161,57),0)</f>
        <v/>
      </c>
      <c r="BH161">
        <f>IFERROR(INDEX(PP_Grid[#Data],$DD161,58),0)</f>
        <v/>
      </c>
      <c r="BI161">
        <f>IFERROR(INDEX(PP_Grid[#Data],$DD161,59),0)</f>
        <v/>
      </c>
      <c r="BJ161">
        <f>IFERROR(INDEX(PP_Grid[#Data],$DD161,60),0)</f>
        <v/>
      </c>
      <c r="BK161">
        <f>IFERROR(INDEX(PP_Grid[#Data],$DD161,61),0)</f>
        <v/>
      </c>
      <c r="BL161">
        <f>IFERROR(INDEX(PP_Grid[#Data],$DD161,62),0)</f>
        <v/>
      </c>
      <c r="BM161">
        <f>IFERROR(INDEX(PP_Grid[#Data],$DD161,63),0)</f>
        <v/>
      </c>
      <c r="BN161">
        <f>IFERROR(INDEX(PP_Grid[#Data],$DD161,64),0)</f>
        <v/>
      </c>
      <c r="BO161">
        <f>IFERROR(INDEX(PP_Grid[#Data],$DD161,65),0)</f>
        <v/>
      </c>
      <c r="BP161">
        <f>IFERROR(INDEX(PP_Grid[#Data],$DD161,66),0)</f>
        <v/>
      </c>
      <c r="BQ161">
        <f>IFERROR(INDEX(PP_Grid[#Data],$DD161,67),0)</f>
        <v/>
      </c>
      <c r="BR161">
        <f>IFERROR(INDEX(PP_Grid[#Data],$DD161,68),0)</f>
        <v/>
      </c>
      <c r="BS161">
        <f>IFERROR(INDEX(PP_Grid[#Data],$DD161,69),0)</f>
        <v/>
      </c>
      <c r="BT161">
        <f>IFERROR(INDEX(PP_Grid[#Data],$DD161,70),0)</f>
        <v/>
      </c>
      <c r="BU161">
        <f>IFERROR(INDEX(PP_Grid[#Data],$DD161,71),0)</f>
        <v/>
      </c>
      <c r="BV161">
        <f>IFERROR(INDEX(PP_Grid[#Data],$DD161,72),0)</f>
        <v/>
      </c>
      <c r="BW161">
        <f>IFERROR(INDEX(PP_Grid[#Data],$DD161,73),0)</f>
        <v/>
      </c>
      <c r="BX161">
        <f>IFERROR(INDEX(PP_Grid[#Data],$DD161,74),0)</f>
        <v/>
      </c>
      <c r="BY161">
        <f>IFERROR(INDEX(PP_Grid[#Data],$DD161,75),0)</f>
        <v/>
      </c>
      <c r="BZ161">
        <f>IFERROR(INDEX(PP_Grid[#Data],$DD161,76),0)</f>
        <v/>
      </c>
      <c r="CA161">
        <f>IFERROR(INDEX(PP_Grid[#Data],$DD161,77),0)</f>
        <v/>
      </c>
      <c r="CB161">
        <f>IFERROR(INDEX(PP_Grid[#Data],$DD161,78),0)</f>
        <v/>
      </c>
      <c r="CC161">
        <f>IFERROR(INDEX(PP_Grid[#Data],$DD161,79),0)</f>
        <v/>
      </c>
      <c r="CD161">
        <f>IFERROR(INDEX(PP_Grid[#Data],$DD161,80),0)</f>
        <v/>
      </c>
      <c r="CE161">
        <f>IFERROR(INDEX(PP_Grid[#Data],$DD161,81),0)</f>
        <v/>
      </c>
      <c r="CF161">
        <f>IFERROR(INDEX(PP_Grid[#Data],$DD161,82),0)</f>
        <v/>
      </c>
      <c r="CG161">
        <f>IFERROR(INDEX(PP_Grid[#Data],$DD161,83),0)</f>
        <v/>
      </c>
      <c r="CH161">
        <f>IFERROR(INDEX(PP_Grid[#Data],$DD161,84),0)</f>
        <v/>
      </c>
      <c r="CI161">
        <f>IFERROR(INDEX(PP_Grid[#Data],$DD161,85),0)</f>
        <v/>
      </c>
      <c r="CJ161">
        <f>IFERROR(INDEX(PP_Grid[#Data],$DD161,86),0)</f>
        <v/>
      </c>
      <c r="CK161">
        <f>IFERROR(INDEX(PP_Grid[#Data],$DD161,87),0)</f>
        <v/>
      </c>
      <c r="CL161">
        <f>IFERROR(INDEX(PP_Grid[#Data],$DD161,88),0)</f>
        <v/>
      </c>
      <c r="CM161">
        <f>IFERROR(INDEX(PP_Grid[#Data],$DD161,89),0)</f>
        <v/>
      </c>
      <c r="CN161">
        <f>IFERROR(INDEX(PP_Grid[#Data],$DD161,90),0)</f>
        <v/>
      </c>
      <c r="CO161">
        <f>IFERROR(INDEX(PP_Grid[#Data],$DD161,91),0)</f>
        <v/>
      </c>
      <c r="CP161">
        <f>IFERROR(INDEX(PP_Grid[#Data],$DD161,92),0)</f>
        <v/>
      </c>
      <c r="CQ161">
        <f>IFERROR(INDEX(PP_Grid[#Data],$DD161,93),0)</f>
        <v/>
      </c>
      <c r="CR161">
        <f>IFERROR(INDEX(PP_Grid[#Data],$DD161,94),0)</f>
        <v/>
      </c>
      <c r="CS161">
        <f>IFERROR(INDEX(PP_Grid[#Data],$DD161,95),0)</f>
        <v/>
      </c>
      <c r="CT161">
        <f>IFERROR(INDEX(PP_Grid[#Data],$DD161,96),0)</f>
        <v/>
      </c>
      <c r="CU161">
        <f>IFERROR(INDEX(PP_Grid[#Data],$DD161,97),0)</f>
        <v/>
      </c>
      <c r="CV161">
        <f>IFERROR(INDEX(PP_Grid[#Data],$DD161,98),0)</f>
        <v/>
      </c>
      <c r="CW161">
        <f>IFERROR(INDEX(PP_Grid[#Data],$DD161,99),0)</f>
        <v/>
      </c>
      <c r="CX161">
        <f>IFERROR(INDEX(PP_Grid[#Data],$DD161,100),0)</f>
        <v/>
      </c>
      <c r="CY161">
        <f>IFERROR(INDEX(PP_Grid[#Data],$DD161,101),0)</f>
        <v/>
      </c>
      <c r="CZ161">
        <f>IFERROR(INDEX(PP_Grid[#Data],$DD161,102),0)</f>
        <v/>
      </c>
      <c r="DA161">
        <f>IFERROR(INDEX(PP_Grid[#Data],$DD161,103),0)</f>
        <v/>
      </c>
      <c r="DB161">
        <f>IFERROR(INDEX(PP_Grid[#Data],$DD161,104),0)</f>
        <v/>
      </c>
      <c r="DC161">
        <f>IFERROR(INDEX(PP_Grid[#Data],$DD161,105),0)</f>
        <v/>
      </c>
      <c r="DD161" s="7">
        <f>IFERROR(MATCH($B161,PP_Grid[Intermediate],0),99999)</f>
        <v/>
      </c>
    </row>
    <row r="162">
      <c r="B162" t="inlineStr">
        <is>
          <t>使用量(kg)</t>
        </is>
      </c>
      <c r="C162">
        <f>SUMIFS(M_BOM[RM_Qty_Per_Batch],M_BOM[Intermediate],$B161,M_BOM[Part Name],$A44)</f>
        <v/>
      </c>
      <c r="D162">
        <f>$C162*D161</f>
        <v/>
      </c>
      <c r="E162">
        <f>$C162*E161</f>
        <v/>
      </c>
      <c r="F162">
        <f>$C162*F161</f>
        <v/>
      </c>
      <c r="G162">
        <f>$C162*G161</f>
        <v/>
      </c>
      <c r="H162">
        <f>$C162*H161</f>
        <v/>
      </c>
      <c r="I162">
        <f>$C162*I161</f>
        <v/>
      </c>
      <c r="J162">
        <f>$C162*J161</f>
        <v/>
      </c>
      <c r="K162">
        <f>$C162*K161</f>
        <v/>
      </c>
      <c r="L162">
        <f>$C162*L161</f>
        <v/>
      </c>
      <c r="M162">
        <f>$C162*M161</f>
        <v/>
      </c>
      <c r="N162">
        <f>$C162*N161</f>
        <v/>
      </c>
      <c r="O162">
        <f>$C162*O161</f>
        <v/>
      </c>
      <c r="P162">
        <f>$C162*P161</f>
        <v/>
      </c>
      <c r="Q162">
        <f>$C162*Q161</f>
        <v/>
      </c>
      <c r="R162">
        <f>$C162*R161</f>
        <v/>
      </c>
      <c r="S162">
        <f>$C162*S161</f>
        <v/>
      </c>
      <c r="T162">
        <f>$C162*T161</f>
        <v/>
      </c>
      <c r="U162">
        <f>$C162*U161</f>
        <v/>
      </c>
      <c r="V162">
        <f>$C162*V161</f>
        <v/>
      </c>
      <c r="W162">
        <f>$C162*W161</f>
        <v/>
      </c>
      <c r="X162">
        <f>$C162*X161</f>
        <v/>
      </c>
      <c r="Y162">
        <f>$C162*Y161</f>
        <v/>
      </c>
      <c r="Z162">
        <f>$C162*Z161</f>
        <v/>
      </c>
      <c r="AA162">
        <f>$C162*AA161</f>
        <v/>
      </c>
      <c r="AB162">
        <f>$C162*AB161</f>
        <v/>
      </c>
      <c r="AC162">
        <f>$C162*AC161</f>
        <v/>
      </c>
      <c r="AD162">
        <f>$C162*AD161</f>
        <v/>
      </c>
      <c r="AE162">
        <f>$C162*AE161</f>
        <v/>
      </c>
      <c r="AF162">
        <f>$C162*AF161</f>
        <v/>
      </c>
      <c r="AG162">
        <f>$C162*AG161</f>
        <v/>
      </c>
      <c r="AH162">
        <f>$C162*AH161</f>
        <v/>
      </c>
      <c r="AI162">
        <f>$C162*AI161</f>
        <v/>
      </c>
      <c r="AJ162">
        <f>$C162*AJ161</f>
        <v/>
      </c>
      <c r="AK162">
        <f>$C162*AK161</f>
        <v/>
      </c>
      <c r="AL162">
        <f>$C162*AL161</f>
        <v/>
      </c>
      <c r="AM162">
        <f>$C162*AM161</f>
        <v/>
      </c>
      <c r="AN162">
        <f>$C162*AN161</f>
        <v/>
      </c>
      <c r="AO162">
        <f>$C162*AO161</f>
        <v/>
      </c>
      <c r="AP162">
        <f>$C162*AP161</f>
        <v/>
      </c>
      <c r="AQ162">
        <f>$C162*AQ161</f>
        <v/>
      </c>
      <c r="AR162">
        <f>$C162*AR161</f>
        <v/>
      </c>
      <c r="AS162">
        <f>$C162*AS161</f>
        <v/>
      </c>
      <c r="AT162">
        <f>$C162*AT161</f>
        <v/>
      </c>
      <c r="AU162">
        <f>$C162*AU161</f>
        <v/>
      </c>
      <c r="AV162">
        <f>$C162*AV161</f>
        <v/>
      </c>
      <c r="AW162">
        <f>$C162*AW161</f>
        <v/>
      </c>
      <c r="AX162">
        <f>$C162*AX161</f>
        <v/>
      </c>
      <c r="AY162">
        <f>$C162*AY161</f>
        <v/>
      </c>
      <c r="AZ162">
        <f>$C162*AZ161</f>
        <v/>
      </c>
      <c r="BA162">
        <f>$C162*BA161</f>
        <v/>
      </c>
      <c r="BB162">
        <f>$C162*BB161</f>
        <v/>
      </c>
      <c r="BC162">
        <f>$C162*BC161</f>
        <v/>
      </c>
      <c r="BD162">
        <f>$C162*BD161</f>
        <v/>
      </c>
      <c r="BE162">
        <f>$C162*BE161</f>
        <v/>
      </c>
      <c r="BF162">
        <f>$C162*BF161</f>
        <v/>
      </c>
      <c r="BG162">
        <f>$C162*BG161</f>
        <v/>
      </c>
      <c r="BH162">
        <f>$C162*BH161</f>
        <v/>
      </c>
      <c r="BI162">
        <f>$C162*BI161</f>
        <v/>
      </c>
      <c r="BJ162">
        <f>$C162*BJ161</f>
        <v/>
      </c>
      <c r="BK162">
        <f>$C162*BK161</f>
        <v/>
      </c>
      <c r="BL162">
        <f>$C162*BL161</f>
        <v/>
      </c>
      <c r="BM162">
        <f>$C162*BM161</f>
        <v/>
      </c>
      <c r="BN162">
        <f>$C162*BN161</f>
        <v/>
      </c>
      <c r="BO162">
        <f>$C162*BO161</f>
        <v/>
      </c>
      <c r="BP162">
        <f>$C162*BP161</f>
        <v/>
      </c>
      <c r="BQ162">
        <f>$C162*BQ161</f>
        <v/>
      </c>
      <c r="BR162">
        <f>$C162*BR161</f>
        <v/>
      </c>
      <c r="BS162">
        <f>$C162*BS161</f>
        <v/>
      </c>
      <c r="BT162">
        <f>$C162*BT161</f>
        <v/>
      </c>
      <c r="BU162">
        <f>$C162*BU161</f>
        <v/>
      </c>
      <c r="BV162">
        <f>$C162*BV161</f>
        <v/>
      </c>
      <c r="BW162">
        <f>$C162*BW161</f>
        <v/>
      </c>
      <c r="BX162">
        <f>$C162*BX161</f>
        <v/>
      </c>
      <c r="BY162">
        <f>$C162*BY161</f>
        <v/>
      </c>
      <c r="BZ162">
        <f>$C162*BZ161</f>
        <v/>
      </c>
      <c r="CA162">
        <f>$C162*CA161</f>
        <v/>
      </c>
      <c r="CB162">
        <f>$C162*CB161</f>
        <v/>
      </c>
      <c r="CC162">
        <f>$C162*CC161</f>
        <v/>
      </c>
      <c r="CD162">
        <f>$C162*CD161</f>
        <v/>
      </c>
      <c r="CE162">
        <f>$C162*CE161</f>
        <v/>
      </c>
      <c r="CF162">
        <f>$C162*CF161</f>
        <v/>
      </c>
      <c r="CG162">
        <f>$C162*CG161</f>
        <v/>
      </c>
      <c r="CH162">
        <f>$C162*CH161</f>
        <v/>
      </c>
      <c r="CI162">
        <f>$C162*CI161</f>
        <v/>
      </c>
      <c r="CJ162">
        <f>$C162*CJ161</f>
        <v/>
      </c>
      <c r="CK162">
        <f>$C162*CK161</f>
        <v/>
      </c>
      <c r="CL162">
        <f>$C162*CL161</f>
        <v/>
      </c>
      <c r="CM162">
        <f>$C162*CM161</f>
        <v/>
      </c>
      <c r="CN162">
        <f>$C162*CN161</f>
        <v/>
      </c>
      <c r="CO162">
        <f>$C162*CO161</f>
        <v/>
      </c>
      <c r="CP162">
        <f>$C162*CP161</f>
        <v/>
      </c>
      <c r="CQ162">
        <f>$C162*CQ161</f>
        <v/>
      </c>
      <c r="CR162">
        <f>$C162*CR161</f>
        <v/>
      </c>
      <c r="CS162">
        <f>$C162*CS161</f>
        <v/>
      </c>
      <c r="CT162">
        <f>$C162*CT161</f>
        <v/>
      </c>
      <c r="CU162">
        <f>$C162*CU161</f>
        <v/>
      </c>
      <c r="CV162">
        <f>$C162*CV161</f>
        <v/>
      </c>
      <c r="CW162">
        <f>$C162*CW161</f>
        <v/>
      </c>
      <c r="CX162">
        <f>$C162*CX161</f>
        <v/>
      </c>
      <c r="CY162">
        <f>$C162*CY161</f>
        <v/>
      </c>
      <c r="CZ162">
        <f>$C162*CZ161</f>
        <v/>
      </c>
      <c r="DA162">
        <f>$C162*DA161</f>
        <v/>
      </c>
      <c r="DB162">
        <f>$C162*DB161</f>
        <v/>
      </c>
      <c r="DC162">
        <f>$C162*DC161</f>
        <v/>
      </c>
    </row>
    <row r="163">
      <c r="B163" t="inlineStr">
        <is>
          <t>VSP-567</t>
        </is>
      </c>
      <c r="C163" t="inlineStr">
        <is>
          <t>No. of batches</t>
        </is>
      </c>
      <c r="D163">
        <f>IFERROR(INDEX(PP_Grid[#Data],$DD163,2),0)</f>
        <v/>
      </c>
      <c r="E163">
        <f>IFERROR(INDEX(PP_Grid[#Data],$DD163,3),0)</f>
        <v/>
      </c>
      <c r="F163">
        <f>IFERROR(INDEX(PP_Grid[#Data],$DD163,4),0)</f>
        <v/>
      </c>
      <c r="G163">
        <f>IFERROR(INDEX(PP_Grid[#Data],$DD163,5),0)</f>
        <v/>
      </c>
      <c r="H163">
        <f>IFERROR(INDEX(PP_Grid[#Data],$DD163,6),0)</f>
        <v/>
      </c>
      <c r="I163">
        <f>IFERROR(INDEX(PP_Grid[#Data],$DD163,7),0)</f>
        <v/>
      </c>
      <c r="J163">
        <f>IFERROR(INDEX(PP_Grid[#Data],$DD163,8),0)</f>
        <v/>
      </c>
      <c r="K163">
        <f>IFERROR(INDEX(PP_Grid[#Data],$DD163,9),0)</f>
        <v/>
      </c>
      <c r="L163">
        <f>IFERROR(INDEX(PP_Grid[#Data],$DD163,10),0)</f>
        <v/>
      </c>
      <c r="M163">
        <f>IFERROR(INDEX(PP_Grid[#Data],$DD163,11),0)</f>
        <v/>
      </c>
      <c r="N163">
        <f>IFERROR(INDEX(PP_Grid[#Data],$DD163,12),0)</f>
        <v/>
      </c>
      <c r="O163">
        <f>IFERROR(INDEX(PP_Grid[#Data],$DD163,13),0)</f>
        <v/>
      </c>
      <c r="P163">
        <f>IFERROR(INDEX(PP_Grid[#Data],$DD163,14),0)</f>
        <v/>
      </c>
      <c r="Q163">
        <f>IFERROR(INDEX(PP_Grid[#Data],$DD163,15),0)</f>
        <v/>
      </c>
      <c r="R163">
        <f>IFERROR(INDEX(PP_Grid[#Data],$DD163,16),0)</f>
        <v/>
      </c>
      <c r="S163">
        <f>IFERROR(INDEX(PP_Grid[#Data],$DD163,17),0)</f>
        <v/>
      </c>
      <c r="T163">
        <f>IFERROR(INDEX(PP_Grid[#Data],$DD163,18),0)</f>
        <v/>
      </c>
      <c r="U163">
        <f>IFERROR(INDEX(PP_Grid[#Data],$DD163,19),0)</f>
        <v/>
      </c>
      <c r="V163">
        <f>IFERROR(INDEX(PP_Grid[#Data],$DD163,20),0)</f>
        <v/>
      </c>
      <c r="W163">
        <f>IFERROR(INDEX(PP_Grid[#Data],$DD163,21),0)</f>
        <v/>
      </c>
      <c r="X163">
        <f>IFERROR(INDEX(PP_Grid[#Data],$DD163,22),0)</f>
        <v/>
      </c>
      <c r="Y163">
        <f>IFERROR(INDEX(PP_Grid[#Data],$DD163,23),0)</f>
        <v/>
      </c>
      <c r="Z163">
        <f>IFERROR(INDEX(PP_Grid[#Data],$DD163,24),0)</f>
        <v/>
      </c>
      <c r="AA163">
        <f>IFERROR(INDEX(PP_Grid[#Data],$DD163,25),0)</f>
        <v/>
      </c>
      <c r="AB163">
        <f>IFERROR(INDEX(PP_Grid[#Data],$DD163,26),0)</f>
        <v/>
      </c>
      <c r="AC163">
        <f>IFERROR(INDEX(PP_Grid[#Data],$DD163,27),0)</f>
        <v/>
      </c>
      <c r="AD163">
        <f>IFERROR(INDEX(PP_Grid[#Data],$DD163,28),0)</f>
        <v/>
      </c>
      <c r="AE163">
        <f>IFERROR(INDEX(PP_Grid[#Data],$DD163,29),0)</f>
        <v/>
      </c>
      <c r="AF163">
        <f>IFERROR(INDEX(PP_Grid[#Data],$DD163,30),0)</f>
        <v/>
      </c>
      <c r="AG163">
        <f>IFERROR(INDEX(PP_Grid[#Data],$DD163,31),0)</f>
        <v/>
      </c>
      <c r="AH163">
        <f>IFERROR(INDEX(PP_Grid[#Data],$DD163,32),0)</f>
        <v/>
      </c>
      <c r="AI163">
        <f>IFERROR(INDEX(PP_Grid[#Data],$DD163,33),0)</f>
        <v/>
      </c>
      <c r="AJ163">
        <f>IFERROR(INDEX(PP_Grid[#Data],$DD163,34),0)</f>
        <v/>
      </c>
      <c r="AK163">
        <f>IFERROR(INDEX(PP_Grid[#Data],$DD163,35),0)</f>
        <v/>
      </c>
      <c r="AL163">
        <f>IFERROR(INDEX(PP_Grid[#Data],$DD163,36),0)</f>
        <v/>
      </c>
      <c r="AM163">
        <f>IFERROR(INDEX(PP_Grid[#Data],$DD163,37),0)</f>
        <v/>
      </c>
      <c r="AN163">
        <f>IFERROR(INDEX(PP_Grid[#Data],$DD163,38),0)</f>
        <v/>
      </c>
      <c r="AO163">
        <f>IFERROR(INDEX(PP_Grid[#Data],$DD163,39),0)</f>
        <v/>
      </c>
      <c r="AP163">
        <f>IFERROR(INDEX(PP_Grid[#Data],$DD163,40),0)</f>
        <v/>
      </c>
      <c r="AQ163">
        <f>IFERROR(INDEX(PP_Grid[#Data],$DD163,41),0)</f>
        <v/>
      </c>
      <c r="AR163">
        <f>IFERROR(INDEX(PP_Grid[#Data],$DD163,42),0)</f>
        <v/>
      </c>
      <c r="AS163">
        <f>IFERROR(INDEX(PP_Grid[#Data],$DD163,43),0)</f>
        <v/>
      </c>
      <c r="AT163">
        <f>IFERROR(INDEX(PP_Grid[#Data],$DD163,44),0)</f>
        <v/>
      </c>
      <c r="AU163">
        <f>IFERROR(INDEX(PP_Grid[#Data],$DD163,45),0)</f>
        <v/>
      </c>
      <c r="AV163">
        <f>IFERROR(INDEX(PP_Grid[#Data],$DD163,46),0)</f>
        <v/>
      </c>
      <c r="AW163">
        <f>IFERROR(INDEX(PP_Grid[#Data],$DD163,47),0)</f>
        <v/>
      </c>
      <c r="AX163">
        <f>IFERROR(INDEX(PP_Grid[#Data],$DD163,48),0)</f>
        <v/>
      </c>
      <c r="AY163">
        <f>IFERROR(INDEX(PP_Grid[#Data],$DD163,49),0)</f>
        <v/>
      </c>
      <c r="AZ163">
        <f>IFERROR(INDEX(PP_Grid[#Data],$DD163,50),0)</f>
        <v/>
      </c>
      <c r="BA163">
        <f>IFERROR(INDEX(PP_Grid[#Data],$DD163,51),0)</f>
        <v/>
      </c>
      <c r="BB163">
        <f>IFERROR(INDEX(PP_Grid[#Data],$DD163,52),0)</f>
        <v/>
      </c>
      <c r="BC163">
        <f>IFERROR(INDEX(PP_Grid[#Data],$DD163,53),0)</f>
        <v/>
      </c>
      <c r="BD163">
        <f>IFERROR(INDEX(PP_Grid[#Data],$DD163,54),0)</f>
        <v/>
      </c>
      <c r="BE163">
        <f>IFERROR(INDEX(PP_Grid[#Data],$DD163,55),0)</f>
        <v/>
      </c>
      <c r="BF163">
        <f>IFERROR(INDEX(PP_Grid[#Data],$DD163,56),0)</f>
        <v/>
      </c>
      <c r="BG163">
        <f>IFERROR(INDEX(PP_Grid[#Data],$DD163,57),0)</f>
        <v/>
      </c>
      <c r="BH163">
        <f>IFERROR(INDEX(PP_Grid[#Data],$DD163,58),0)</f>
        <v/>
      </c>
      <c r="BI163">
        <f>IFERROR(INDEX(PP_Grid[#Data],$DD163,59),0)</f>
        <v/>
      </c>
      <c r="BJ163">
        <f>IFERROR(INDEX(PP_Grid[#Data],$DD163,60),0)</f>
        <v/>
      </c>
      <c r="BK163">
        <f>IFERROR(INDEX(PP_Grid[#Data],$DD163,61),0)</f>
        <v/>
      </c>
      <c r="BL163">
        <f>IFERROR(INDEX(PP_Grid[#Data],$DD163,62),0)</f>
        <v/>
      </c>
      <c r="BM163">
        <f>IFERROR(INDEX(PP_Grid[#Data],$DD163,63),0)</f>
        <v/>
      </c>
      <c r="BN163">
        <f>IFERROR(INDEX(PP_Grid[#Data],$DD163,64),0)</f>
        <v/>
      </c>
      <c r="BO163">
        <f>IFERROR(INDEX(PP_Grid[#Data],$DD163,65),0)</f>
        <v/>
      </c>
      <c r="BP163">
        <f>IFERROR(INDEX(PP_Grid[#Data],$DD163,66),0)</f>
        <v/>
      </c>
      <c r="BQ163">
        <f>IFERROR(INDEX(PP_Grid[#Data],$DD163,67),0)</f>
        <v/>
      </c>
      <c r="BR163">
        <f>IFERROR(INDEX(PP_Grid[#Data],$DD163,68),0)</f>
        <v/>
      </c>
      <c r="BS163">
        <f>IFERROR(INDEX(PP_Grid[#Data],$DD163,69),0)</f>
        <v/>
      </c>
      <c r="BT163">
        <f>IFERROR(INDEX(PP_Grid[#Data],$DD163,70),0)</f>
        <v/>
      </c>
      <c r="BU163">
        <f>IFERROR(INDEX(PP_Grid[#Data],$DD163,71),0)</f>
        <v/>
      </c>
      <c r="BV163">
        <f>IFERROR(INDEX(PP_Grid[#Data],$DD163,72),0)</f>
        <v/>
      </c>
      <c r="BW163">
        <f>IFERROR(INDEX(PP_Grid[#Data],$DD163,73),0)</f>
        <v/>
      </c>
      <c r="BX163">
        <f>IFERROR(INDEX(PP_Grid[#Data],$DD163,74),0)</f>
        <v/>
      </c>
      <c r="BY163">
        <f>IFERROR(INDEX(PP_Grid[#Data],$DD163,75),0)</f>
        <v/>
      </c>
      <c r="BZ163">
        <f>IFERROR(INDEX(PP_Grid[#Data],$DD163,76),0)</f>
        <v/>
      </c>
      <c r="CA163">
        <f>IFERROR(INDEX(PP_Grid[#Data],$DD163,77),0)</f>
        <v/>
      </c>
      <c r="CB163">
        <f>IFERROR(INDEX(PP_Grid[#Data],$DD163,78),0)</f>
        <v/>
      </c>
      <c r="CC163">
        <f>IFERROR(INDEX(PP_Grid[#Data],$DD163,79),0)</f>
        <v/>
      </c>
      <c r="CD163">
        <f>IFERROR(INDEX(PP_Grid[#Data],$DD163,80),0)</f>
        <v/>
      </c>
      <c r="CE163">
        <f>IFERROR(INDEX(PP_Grid[#Data],$DD163,81),0)</f>
        <v/>
      </c>
      <c r="CF163">
        <f>IFERROR(INDEX(PP_Grid[#Data],$DD163,82),0)</f>
        <v/>
      </c>
      <c r="CG163">
        <f>IFERROR(INDEX(PP_Grid[#Data],$DD163,83),0)</f>
        <v/>
      </c>
      <c r="CH163">
        <f>IFERROR(INDEX(PP_Grid[#Data],$DD163,84),0)</f>
        <v/>
      </c>
      <c r="CI163">
        <f>IFERROR(INDEX(PP_Grid[#Data],$DD163,85),0)</f>
        <v/>
      </c>
      <c r="CJ163">
        <f>IFERROR(INDEX(PP_Grid[#Data],$DD163,86),0)</f>
        <v/>
      </c>
      <c r="CK163">
        <f>IFERROR(INDEX(PP_Grid[#Data],$DD163,87),0)</f>
        <v/>
      </c>
      <c r="CL163">
        <f>IFERROR(INDEX(PP_Grid[#Data],$DD163,88),0)</f>
        <v/>
      </c>
      <c r="CM163">
        <f>IFERROR(INDEX(PP_Grid[#Data],$DD163,89),0)</f>
        <v/>
      </c>
      <c r="CN163">
        <f>IFERROR(INDEX(PP_Grid[#Data],$DD163,90),0)</f>
        <v/>
      </c>
      <c r="CO163">
        <f>IFERROR(INDEX(PP_Grid[#Data],$DD163,91),0)</f>
        <v/>
      </c>
      <c r="CP163">
        <f>IFERROR(INDEX(PP_Grid[#Data],$DD163,92),0)</f>
        <v/>
      </c>
      <c r="CQ163">
        <f>IFERROR(INDEX(PP_Grid[#Data],$DD163,93),0)</f>
        <v/>
      </c>
      <c r="CR163">
        <f>IFERROR(INDEX(PP_Grid[#Data],$DD163,94),0)</f>
        <v/>
      </c>
      <c r="CS163">
        <f>IFERROR(INDEX(PP_Grid[#Data],$DD163,95),0)</f>
        <v/>
      </c>
      <c r="CT163">
        <f>IFERROR(INDEX(PP_Grid[#Data],$DD163,96),0)</f>
        <v/>
      </c>
      <c r="CU163">
        <f>IFERROR(INDEX(PP_Grid[#Data],$DD163,97),0)</f>
        <v/>
      </c>
      <c r="CV163">
        <f>IFERROR(INDEX(PP_Grid[#Data],$DD163,98),0)</f>
        <v/>
      </c>
      <c r="CW163">
        <f>IFERROR(INDEX(PP_Grid[#Data],$DD163,99),0)</f>
        <v/>
      </c>
      <c r="CX163">
        <f>IFERROR(INDEX(PP_Grid[#Data],$DD163,100),0)</f>
        <v/>
      </c>
      <c r="CY163">
        <f>IFERROR(INDEX(PP_Grid[#Data],$DD163,101),0)</f>
        <v/>
      </c>
      <c r="CZ163">
        <f>IFERROR(INDEX(PP_Grid[#Data],$DD163,102),0)</f>
        <v/>
      </c>
      <c r="DA163">
        <f>IFERROR(INDEX(PP_Grid[#Data],$DD163,103),0)</f>
        <v/>
      </c>
      <c r="DB163">
        <f>IFERROR(INDEX(PP_Grid[#Data],$DD163,104),0)</f>
        <v/>
      </c>
      <c r="DC163">
        <f>IFERROR(INDEX(PP_Grid[#Data],$DD163,105),0)</f>
        <v/>
      </c>
      <c r="DD163" s="7">
        <f>IFERROR(MATCH($B163,PP_Grid[Intermediate],0),99999)</f>
        <v/>
      </c>
    </row>
    <row r="164">
      <c r="B164" t="inlineStr">
        <is>
          <t>使用量(kg)</t>
        </is>
      </c>
      <c r="C164">
        <f>SUMIFS(M_BOM[RM_Qty_Per_Batch],M_BOM[Intermediate],$B163,M_BOM[Part Name],$A44)</f>
        <v/>
      </c>
      <c r="D164">
        <f>$C164*D163</f>
        <v/>
      </c>
      <c r="E164">
        <f>$C164*E163</f>
        <v/>
      </c>
      <c r="F164">
        <f>$C164*F163</f>
        <v/>
      </c>
      <c r="G164">
        <f>$C164*G163</f>
        <v/>
      </c>
      <c r="H164">
        <f>$C164*H163</f>
        <v/>
      </c>
      <c r="I164">
        <f>$C164*I163</f>
        <v/>
      </c>
      <c r="J164">
        <f>$C164*J163</f>
        <v/>
      </c>
      <c r="K164">
        <f>$C164*K163</f>
        <v/>
      </c>
      <c r="L164">
        <f>$C164*L163</f>
        <v/>
      </c>
      <c r="M164">
        <f>$C164*M163</f>
        <v/>
      </c>
      <c r="N164">
        <f>$C164*N163</f>
        <v/>
      </c>
      <c r="O164">
        <f>$C164*O163</f>
        <v/>
      </c>
      <c r="P164">
        <f>$C164*P163</f>
        <v/>
      </c>
      <c r="Q164">
        <f>$C164*Q163</f>
        <v/>
      </c>
      <c r="R164">
        <f>$C164*R163</f>
        <v/>
      </c>
      <c r="S164">
        <f>$C164*S163</f>
        <v/>
      </c>
      <c r="T164">
        <f>$C164*T163</f>
        <v/>
      </c>
      <c r="U164">
        <f>$C164*U163</f>
        <v/>
      </c>
      <c r="V164">
        <f>$C164*V163</f>
        <v/>
      </c>
      <c r="W164">
        <f>$C164*W163</f>
        <v/>
      </c>
      <c r="X164">
        <f>$C164*X163</f>
        <v/>
      </c>
      <c r="Y164">
        <f>$C164*Y163</f>
        <v/>
      </c>
      <c r="Z164">
        <f>$C164*Z163</f>
        <v/>
      </c>
      <c r="AA164">
        <f>$C164*AA163</f>
        <v/>
      </c>
      <c r="AB164">
        <f>$C164*AB163</f>
        <v/>
      </c>
      <c r="AC164">
        <f>$C164*AC163</f>
        <v/>
      </c>
      <c r="AD164">
        <f>$C164*AD163</f>
        <v/>
      </c>
      <c r="AE164">
        <f>$C164*AE163</f>
        <v/>
      </c>
      <c r="AF164">
        <f>$C164*AF163</f>
        <v/>
      </c>
      <c r="AG164">
        <f>$C164*AG163</f>
        <v/>
      </c>
      <c r="AH164">
        <f>$C164*AH163</f>
        <v/>
      </c>
      <c r="AI164">
        <f>$C164*AI163</f>
        <v/>
      </c>
      <c r="AJ164">
        <f>$C164*AJ163</f>
        <v/>
      </c>
      <c r="AK164">
        <f>$C164*AK163</f>
        <v/>
      </c>
      <c r="AL164">
        <f>$C164*AL163</f>
        <v/>
      </c>
      <c r="AM164">
        <f>$C164*AM163</f>
        <v/>
      </c>
      <c r="AN164">
        <f>$C164*AN163</f>
        <v/>
      </c>
      <c r="AO164">
        <f>$C164*AO163</f>
        <v/>
      </c>
      <c r="AP164">
        <f>$C164*AP163</f>
        <v/>
      </c>
      <c r="AQ164">
        <f>$C164*AQ163</f>
        <v/>
      </c>
      <c r="AR164">
        <f>$C164*AR163</f>
        <v/>
      </c>
      <c r="AS164">
        <f>$C164*AS163</f>
        <v/>
      </c>
      <c r="AT164">
        <f>$C164*AT163</f>
        <v/>
      </c>
      <c r="AU164">
        <f>$C164*AU163</f>
        <v/>
      </c>
      <c r="AV164">
        <f>$C164*AV163</f>
        <v/>
      </c>
      <c r="AW164">
        <f>$C164*AW163</f>
        <v/>
      </c>
      <c r="AX164">
        <f>$C164*AX163</f>
        <v/>
      </c>
      <c r="AY164">
        <f>$C164*AY163</f>
        <v/>
      </c>
      <c r="AZ164">
        <f>$C164*AZ163</f>
        <v/>
      </c>
      <c r="BA164">
        <f>$C164*BA163</f>
        <v/>
      </c>
      <c r="BB164">
        <f>$C164*BB163</f>
        <v/>
      </c>
      <c r="BC164">
        <f>$C164*BC163</f>
        <v/>
      </c>
      <c r="BD164">
        <f>$C164*BD163</f>
        <v/>
      </c>
      <c r="BE164">
        <f>$C164*BE163</f>
        <v/>
      </c>
      <c r="BF164">
        <f>$C164*BF163</f>
        <v/>
      </c>
      <c r="BG164">
        <f>$C164*BG163</f>
        <v/>
      </c>
      <c r="BH164">
        <f>$C164*BH163</f>
        <v/>
      </c>
      <c r="BI164">
        <f>$C164*BI163</f>
        <v/>
      </c>
      <c r="BJ164">
        <f>$C164*BJ163</f>
        <v/>
      </c>
      <c r="BK164">
        <f>$C164*BK163</f>
        <v/>
      </c>
      <c r="BL164">
        <f>$C164*BL163</f>
        <v/>
      </c>
      <c r="BM164">
        <f>$C164*BM163</f>
        <v/>
      </c>
      <c r="BN164">
        <f>$C164*BN163</f>
        <v/>
      </c>
      <c r="BO164">
        <f>$C164*BO163</f>
        <v/>
      </c>
      <c r="BP164">
        <f>$C164*BP163</f>
        <v/>
      </c>
      <c r="BQ164">
        <f>$C164*BQ163</f>
        <v/>
      </c>
      <c r="BR164">
        <f>$C164*BR163</f>
        <v/>
      </c>
      <c r="BS164">
        <f>$C164*BS163</f>
        <v/>
      </c>
      <c r="BT164">
        <f>$C164*BT163</f>
        <v/>
      </c>
      <c r="BU164">
        <f>$C164*BU163</f>
        <v/>
      </c>
      <c r="BV164">
        <f>$C164*BV163</f>
        <v/>
      </c>
      <c r="BW164">
        <f>$C164*BW163</f>
        <v/>
      </c>
      <c r="BX164">
        <f>$C164*BX163</f>
        <v/>
      </c>
      <c r="BY164">
        <f>$C164*BY163</f>
        <v/>
      </c>
      <c r="BZ164">
        <f>$C164*BZ163</f>
        <v/>
      </c>
      <c r="CA164">
        <f>$C164*CA163</f>
        <v/>
      </c>
      <c r="CB164">
        <f>$C164*CB163</f>
        <v/>
      </c>
      <c r="CC164">
        <f>$C164*CC163</f>
        <v/>
      </c>
      <c r="CD164">
        <f>$C164*CD163</f>
        <v/>
      </c>
      <c r="CE164">
        <f>$C164*CE163</f>
        <v/>
      </c>
      <c r="CF164">
        <f>$C164*CF163</f>
        <v/>
      </c>
      <c r="CG164">
        <f>$C164*CG163</f>
        <v/>
      </c>
      <c r="CH164">
        <f>$C164*CH163</f>
        <v/>
      </c>
      <c r="CI164">
        <f>$C164*CI163</f>
        <v/>
      </c>
      <c r="CJ164">
        <f>$C164*CJ163</f>
        <v/>
      </c>
      <c r="CK164">
        <f>$C164*CK163</f>
        <v/>
      </c>
      <c r="CL164">
        <f>$C164*CL163</f>
        <v/>
      </c>
      <c r="CM164">
        <f>$C164*CM163</f>
        <v/>
      </c>
      <c r="CN164">
        <f>$C164*CN163</f>
        <v/>
      </c>
      <c r="CO164">
        <f>$C164*CO163</f>
        <v/>
      </c>
      <c r="CP164">
        <f>$C164*CP163</f>
        <v/>
      </c>
      <c r="CQ164">
        <f>$C164*CQ163</f>
        <v/>
      </c>
      <c r="CR164">
        <f>$C164*CR163</f>
        <v/>
      </c>
      <c r="CS164">
        <f>$C164*CS163</f>
        <v/>
      </c>
      <c r="CT164">
        <f>$C164*CT163</f>
        <v/>
      </c>
      <c r="CU164">
        <f>$C164*CU163</f>
        <v/>
      </c>
      <c r="CV164">
        <f>$C164*CV163</f>
        <v/>
      </c>
      <c r="CW164">
        <f>$C164*CW163</f>
        <v/>
      </c>
      <c r="CX164">
        <f>$C164*CX163</f>
        <v/>
      </c>
      <c r="CY164">
        <f>$C164*CY163</f>
        <v/>
      </c>
      <c r="CZ164">
        <f>$C164*CZ163</f>
        <v/>
      </c>
      <c r="DA164">
        <f>$C164*DA163</f>
        <v/>
      </c>
      <c r="DB164">
        <f>$C164*DB163</f>
        <v/>
      </c>
      <c r="DC164">
        <f>$C164*DC163</f>
        <v/>
      </c>
    </row>
    <row r="165">
      <c r="B165" t="inlineStr">
        <is>
          <t>VSP-600</t>
        </is>
      </c>
      <c r="C165" t="inlineStr">
        <is>
          <t>No. of batches</t>
        </is>
      </c>
      <c r="D165">
        <f>IFERROR(INDEX(PP_Grid[#Data],$DD165,2),0)</f>
        <v/>
      </c>
      <c r="E165">
        <f>IFERROR(INDEX(PP_Grid[#Data],$DD165,3),0)</f>
        <v/>
      </c>
      <c r="F165">
        <f>IFERROR(INDEX(PP_Grid[#Data],$DD165,4),0)</f>
        <v/>
      </c>
      <c r="G165">
        <f>IFERROR(INDEX(PP_Grid[#Data],$DD165,5),0)</f>
        <v/>
      </c>
      <c r="H165">
        <f>IFERROR(INDEX(PP_Grid[#Data],$DD165,6),0)</f>
        <v/>
      </c>
      <c r="I165">
        <f>IFERROR(INDEX(PP_Grid[#Data],$DD165,7),0)</f>
        <v/>
      </c>
      <c r="J165">
        <f>IFERROR(INDEX(PP_Grid[#Data],$DD165,8),0)</f>
        <v/>
      </c>
      <c r="K165">
        <f>IFERROR(INDEX(PP_Grid[#Data],$DD165,9),0)</f>
        <v/>
      </c>
      <c r="L165">
        <f>IFERROR(INDEX(PP_Grid[#Data],$DD165,10),0)</f>
        <v/>
      </c>
      <c r="M165">
        <f>IFERROR(INDEX(PP_Grid[#Data],$DD165,11),0)</f>
        <v/>
      </c>
      <c r="N165">
        <f>IFERROR(INDEX(PP_Grid[#Data],$DD165,12),0)</f>
        <v/>
      </c>
      <c r="O165">
        <f>IFERROR(INDEX(PP_Grid[#Data],$DD165,13),0)</f>
        <v/>
      </c>
      <c r="P165">
        <f>IFERROR(INDEX(PP_Grid[#Data],$DD165,14),0)</f>
        <v/>
      </c>
      <c r="Q165">
        <f>IFERROR(INDEX(PP_Grid[#Data],$DD165,15),0)</f>
        <v/>
      </c>
      <c r="R165">
        <f>IFERROR(INDEX(PP_Grid[#Data],$DD165,16),0)</f>
        <v/>
      </c>
      <c r="S165">
        <f>IFERROR(INDEX(PP_Grid[#Data],$DD165,17),0)</f>
        <v/>
      </c>
      <c r="T165">
        <f>IFERROR(INDEX(PP_Grid[#Data],$DD165,18),0)</f>
        <v/>
      </c>
      <c r="U165">
        <f>IFERROR(INDEX(PP_Grid[#Data],$DD165,19),0)</f>
        <v/>
      </c>
      <c r="V165">
        <f>IFERROR(INDEX(PP_Grid[#Data],$DD165,20),0)</f>
        <v/>
      </c>
      <c r="W165">
        <f>IFERROR(INDEX(PP_Grid[#Data],$DD165,21),0)</f>
        <v/>
      </c>
      <c r="X165">
        <f>IFERROR(INDEX(PP_Grid[#Data],$DD165,22),0)</f>
        <v/>
      </c>
      <c r="Y165">
        <f>IFERROR(INDEX(PP_Grid[#Data],$DD165,23),0)</f>
        <v/>
      </c>
      <c r="Z165">
        <f>IFERROR(INDEX(PP_Grid[#Data],$DD165,24),0)</f>
        <v/>
      </c>
      <c r="AA165">
        <f>IFERROR(INDEX(PP_Grid[#Data],$DD165,25),0)</f>
        <v/>
      </c>
      <c r="AB165">
        <f>IFERROR(INDEX(PP_Grid[#Data],$DD165,26),0)</f>
        <v/>
      </c>
      <c r="AC165">
        <f>IFERROR(INDEX(PP_Grid[#Data],$DD165,27),0)</f>
        <v/>
      </c>
      <c r="AD165">
        <f>IFERROR(INDEX(PP_Grid[#Data],$DD165,28),0)</f>
        <v/>
      </c>
      <c r="AE165">
        <f>IFERROR(INDEX(PP_Grid[#Data],$DD165,29),0)</f>
        <v/>
      </c>
      <c r="AF165">
        <f>IFERROR(INDEX(PP_Grid[#Data],$DD165,30),0)</f>
        <v/>
      </c>
      <c r="AG165">
        <f>IFERROR(INDEX(PP_Grid[#Data],$DD165,31),0)</f>
        <v/>
      </c>
      <c r="AH165">
        <f>IFERROR(INDEX(PP_Grid[#Data],$DD165,32),0)</f>
        <v/>
      </c>
      <c r="AI165">
        <f>IFERROR(INDEX(PP_Grid[#Data],$DD165,33),0)</f>
        <v/>
      </c>
      <c r="AJ165">
        <f>IFERROR(INDEX(PP_Grid[#Data],$DD165,34),0)</f>
        <v/>
      </c>
      <c r="AK165">
        <f>IFERROR(INDEX(PP_Grid[#Data],$DD165,35),0)</f>
        <v/>
      </c>
      <c r="AL165">
        <f>IFERROR(INDEX(PP_Grid[#Data],$DD165,36),0)</f>
        <v/>
      </c>
      <c r="AM165">
        <f>IFERROR(INDEX(PP_Grid[#Data],$DD165,37),0)</f>
        <v/>
      </c>
      <c r="AN165">
        <f>IFERROR(INDEX(PP_Grid[#Data],$DD165,38),0)</f>
        <v/>
      </c>
      <c r="AO165">
        <f>IFERROR(INDEX(PP_Grid[#Data],$DD165,39),0)</f>
        <v/>
      </c>
      <c r="AP165">
        <f>IFERROR(INDEX(PP_Grid[#Data],$DD165,40),0)</f>
        <v/>
      </c>
      <c r="AQ165">
        <f>IFERROR(INDEX(PP_Grid[#Data],$DD165,41),0)</f>
        <v/>
      </c>
      <c r="AR165">
        <f>IFERROR(INDEX(PP_Grid[#Data],$DD165,42),0)</f>
        <v/>
      </c>
      <c r="AS165">
        <f>IFERROR(INDEX(PP_Grid[#Data],$DD165,43),0)</f>
        <v/>
      </c>
      <c r="AT165">
        <f>IFERROR(INDEX(PP_Grid[#Data],$DD165,44),0)</f>
        <v/>
      </c>
      <c r="AU165">
        <f>IFERROR(INDEX(PP_Grid[#Data],$DD165,45),0)</f>
        <v/>
      </c>
      <c r="AV165">
        <f>IFERROR(INDEX(PP_Grid[#Data],$DD165,46),0)</f>
        <v/>
      </c>
      <c r="AW165">
        <f>IFERROR(INDEX(PP_Grid[#Data],$DD165,47),0)</f>
        <v/>
      </c>
      <c r="AX165">
        <f>IFERROR(INDEX(PP_Grid[#Data],$DD165,48),0)</f>
        <v/>
      </c>
      <c r="AY165">
        <f>IFERROR(INDEX(PP_Grid[#Data],$DD165,49),0)</f>
        <v/>
      </c>
      <c r="AZ165">
        <f>IFERROR(INDEX(PP_Grid[#Data],$DD165,50),0)</f>
        <v/>
      </c>
      <c r="BA165">
        <f>IFERROR(INDEX(PP_Grid[#Data],$DD165,51),0)</f>
        <v/>
      </c>
      <c r="BB165">
        <f>IFERROR(INDEX(PP_Grid[#Data],$DD165,52),0)</f>
        <v/>
      </c>
      <c r="BC165">
        <f>IFERROR(INDEX(PP_Grid[#Data],$DD165,53),0)</f>
        <v/>
      </c>
      <c r="BD165">
        <f>IFERROR(INDEX(PP_Grid[#Data],$DD165,54),0)</f>
        <v/>
      </c>
      <c r="BE165">
        <f>IFERROR(INDEX(PP_Grid[#Data],$DD165,55),0)</f>
        <v/>
      </c>
      <c r="BF165">
        <f>IFERROR(INDEX(PP_Grid[#Data],$DD165,56),0)</f>
        <v/>
      </c>
      <c r="BG165">
        <f>IFERROR(INDEX(PP_Grid[#Data],$DD165,57),0)</f>
        <v/>
      </c>
      <c r="BH165">
        <f>IFERROR(INDEX(PP_Grid[#Data],$DD165,58),0)</f>
        <v/>
      </c>
      <c r="BI165">
        <f>IFERROR(INDEX(PP_Grid[#Data],$DD165,59),0)</f>
        <v/>
      </c>
      <c r="BJ165">
        <f>IFERROR(INDEX(PP_Grid[#Data],$DD165,60),0)</f>
        <v/>
      </c>
      <c r="BK165">
        <f>IFERROR(INDEX(PP_Grid[#Data],$DD165,61),0)</f>
        <v/>
      </c>
      <c r="BL165">
        <f>IFERROR(INDEX(PP_Grid[#Data],$DD165,62),0)</f>
        <v/>
      </c>
      <c r="BM165">
        <f>IFERROR(INDEX(PP_Grid[#Data],$DD165,63),0)</f>
        <v/>
      </c>
      <c r="BN165">
        <f>IFERROR(INDEX(PP_Grid[#Data],$DD165,64),0)</f>
        <v/>
      </c>
      <c r="BO165">
        <f>IFERROR(INDEX(PP_Grid[#Data],$DD165,65),0)</f>
        <v/>
      </c>
      <c r="BP165">
        <f>IFERROR(INDEX(PP_Grid[#Data],$DD165,66),0)</f>
        <v/>
      </c>
      <c r="BQ165">
        <f>IFERROR(INDEX(PP_Grid[#Data],$DD165,67),0)</f>
        <v/>
      </c>
      <c r="BR165">
        <f>IFERROR(INDEX(PP_Grid[#Data],$DD165,68),0)</f>
        <v/>
      </c>
      <c r="BS165">
        <f>IFERROR(INDEX(PP_Grid[#Data],$DD165,69),0)</f>
        <v/>
      </c>
      <c r="BT165">
        <f>IFERROR(INDEX(PP_Grid[#Data],$DD165,70),0)</f>
        <v/>
      </c>
      <c r="BU165">
        <f>IFERROR(INDEX(PP_Grid[#Data],$DD165,71),0)</f>
        <v/>
      </c>
      <c r="BV165">
        <f>IFERROR(INDEX(PP_Grid[#Data],$DD165,72),0)</f>
        <v/>
      </c>
      <c r="BW165">
        <f>IFERROR(INDEX(PP_Grid[#Data],$DD165,73),0)</f>
        <v/>
      </c>
      <c r="BX165">
        <f>IFERROR(INDEX(PP_Grid[#Data],$DD165,74),0)</f>
        <v/>
      </c>
      <c r="BY165">
        <f>IFERROR(INDEX(PP_Grid[#Data],$DD165,75),0)</f>
        <v/>
      </c>
      <c r="BZ165">
        <f>IFERROR(INDEX(PP_Grid[#Data],$DD165,76),0)</f>
        <v/>
      </c>
      <c r="CA165">
        <f>IFERROR(INDEX(PP_Grid[#Data],$DD165,77),0)</f>
        <v/>
      </c>
      <c r="CB165">
        <f>IFERROR(INDEX(PP_Grid[#Data],$DD165,78),0)</f>
        <v/>
      </c>
      <c r="CC165">
        <f>IFERROR(INDEX(PP_Grid[#Data],$DD165,79),0)</f>
        <v/>
      </c>
      <c r="CD165">
        <f>IFERROR(INDEX(PP_Grid[#Data],$DD165,80),0)</f>
        <v/>
      </c>
      <c r="CE165">
        <f>IFERROR(INDEX(PP_Grid[#Data],$DD165,81),0)</f>
        <v/>
      </c>
      <c r="CF165">
        <f>IFERROR(INDEX(PP_Grid[#Data],$DD165,82),0)</f>
        <v/>
      </c>
      <c r="CG165">
        <f>IFERROR(INDEX(PP_Grid[#Data],$DD165,83),0)</f>
        <v/>
      </c>
      <c r="CH165">
        <f>IFERROR(INDEX(PP_Grid[#Data],$DD165,84),0)</f>
        <v/>
      </c>
      <c r="CI165">
        <f>IFERROR(INDEX(PP_Grid[#Data],$DD165,85),0)</f>
        <v/>
      </c>
      <c r="CJ165">
        <f>IFERROR(INDEX(PP_Grid[#Data],$DD165,86),0)</f>
        <v/>
      </c>
      <c r="CK165">
        <f>IFERROR(INDEX(PP_Grid[#Data],$DD165,87),0)</f>
        <v/>
      </c>
      <c r="CL165">
        <f>IFERROR(INDEX(PP_Grid[#Data],$DD165,88),0)</f>
        <v/>
      </c>
      <c r="CM165">
        <f>IFERROR(INDEX(PP_Grid[#Data],$DD165,89),0)</f>
        <v/>
      </c>
      <c r="CN165">
        <f>IFERROR(INDEX(PP_Grid[#Data],$DD165,90),0)</f>
        <v/>
      </c>
      <c r="CO165">
        <f>IFERROR(INDEX(PP_Grid[#Data],$DD165,91),0)</f>
        <v/>
      </c>
      <c r="CP165">
        <f>IFERROR(INDEX(PP_Grid[#Data],$DD165,92),0)</f>
        <v/>
      </c>
      <c r="CQ165">
        <f>IFERROR(INDEX(PP_Grid[#Data],$DD165,93),0)</f>
        <v/>
      </c>
      <c r="CR165">
        <f>IFERROR(INDEX(PP_Grid[#Data],$DD165,94),0)</f>
        <v/>
      </c>
      <c r="CS165">
        <f>IFERROR(INDEX(PP_Grid[#Data],$DD165,95),0)</f>
        <v/>
      </c>
      <c r="CT165">
        <f>IFERROR(INDEX(PP_Grid[#Data],$DD165,96),0)</f>
        <v/>
      </c>
      <c r="CU165">
        <f>IFERROR(INDEX(PP_Grid[#Data],$DD165,97),0)</f>
        <v/>
      </c>
      <c r="CV165">
        <f>IFERROR(INDEX(PP_Grid[#Data],$DD165,98),0)</f>
        <v/>
      </c>
      <c r="CW165">
        <f>IFERROR(INDEX(PP_Grid[#Data],$DD165,99),0)</f>
        <v/>
      </c>
      <c r="CX165">
        <f>IFERROR(INDEX(PP_Grid[#Data],$DD165,100),0)</f>
        <v/>
      </c>
      <c r="CY165">
        <f>IFERROR(INDEX(PP_Grid[#Data],$DD165,101),0)</f>
        <v/>
      </c>
      <c r="CZ165">
        <f>IFERROR(INDEX(PP_Grid[#Data],$DD165,102),0)</f>
        <v/>
      </c>
      <c r="DA165">
        <f>IFERROR(INDEX(PP_Grid[#Data],$DD165,103),0)</f>
        <v/>
      </c>
      <c r="DB165">
        <f>IFERROR(INDEX(PP_Grid[#Data],$DD165,104),0)</f>
        <v/>
      </c>
      <c r="DC165">
        <f>IFERROR(INDEX(PP_Grid[#Data],$DD165,105),0)</f>
        <v/>
      </c>
      <c r="DD165" s="7">
        <f>IFERROR(MATCH($B165,PP_Grid[Intermediate],0),99999)</f>
        <v/>
      </c>
    </row>
    <row r="166">
      <c r="B166" t="inlineStr">
        <is>
          <t>使用量(kg)</t>
        </is>
      </c>
      <c r="C166">
        <f>SUMIFS(M_BOM[RM_Qty_Per_Batch],M_BOM[Intermediate],$B165,M_BOM[Part Name],$A44)</f>
        <v/>
      </c>
      <c r="D166">
        <f>$C166*D165</f>
        <v/>
      </c>
      <c r="E166">
        <f>$C166*E165</f>
        <v/>
      </c>
      <c r="F166">
        <f>$C166*F165</f>
        <v/>
      </c>
      <c r="G166">
        <f>$C166*G165</f>
        <v/>
      </c>
      <c r="H166">
        <f>$C166*H165</f>
        <v/>
      </c>
      <c r="I166">
        <f>$C166*I165</f>
        <v/>
      </c>
      <c r="J166">
        <f>$C166*J165</f>
        <v/>
      </c>
      <c r="K166">
        <f>$C166*K165</f>
        <v/>
      </c>
      <c r="L166">
        <f>$C166*L165</f>
        <v/>
      </c>
      <c r="M166">
        <f>$C166*M165</f>
        <v/>
      </c>
      <c r="N166">
        <f>$C166*N165</f>
        <v/>
      </c>
      <c r="O166">
        <f>$C166*O165</f>
        <v/>
      </c>
      <c r="P166">
        <f>$C166*P165</f>
        <v/>
      </c>
      <c r="Q166">
        <f>$C166*Q165</f>
        <v/>
      </c>
      <c r="R166">
        <f>$C166*R165</f>
        <v/>
      </c>
      <c r="S166">
        <f>$C166*S165</f>
        <v/>
      </c>
      <c r="T166">
        <f>$C166*T165</f>
        <v/>
      </c>
      <c r="U166">
        <f>$C166*U165</f>
        <v/>
      </c>
      <c r="V166">
        <f>$C166*V165</f>
        <v/>
      </c>
      <c r="W166">
        <f>$C166*W165</f>
        <v/>
      </c>
      <c r="X166">
        <f>$C166*X165</f>
        <v/>
      </c>
      <c r="Y166">
        <f>$C166*Y165</f>
        <v/>
      </c>
      <c r="Z166">
        <f>$C166*Z165</f>
        <v/>
      </c>
      <c r="AA166">
        <f>$C166*AA165</f>
        <v/>
      </c>
      <c r="AB166">
        <f>$C166*AB165</f>
        <v/>
      </c>
      <c r="AC166">
        <f>$C166*AC165</f>
        <v/>
      </c>
      <c r="AD166">
        <f>$C166*AD165</f>
        <v/>
      </c>
      <c r="AE166">
        <f>$C166*AE165</f>
        <v/>
      </c>
      <c r="AF166">
        <f>$C166*AF165</f>
        <v/>
      </c>
      <c r="AG166">
        <f>$C166*AG165</f>
        <v/>
      </c>
      <c r="AH166">
        <f>$C166*AH165</f>
        <v/>
      </c>
      <c r="AI166">
        <f>$C166*AI165</f>
        <v/>
      </c>
      <c r="AJ166">
        <f>$C166*AJ165</f>
        <v/>
      </c>
      <c r="AK166">
        <f>$C166*AK165</f>
        <v/>
      </c>
      <c r="AL166">
        <f>$C166*AL165</f>
        <v/>
      </c>
      <c r="AM166">
        <f>$C166*AM165</f>
        <v/>
      </c>
      <c r="AN166">
        <f>$C166*AN165</f>
        <v/>
      </c>
      <c r="AO166">
        <f>$C166*AO165</f>
        <v/>
      </c>
      <c r="AP166">
        <f>$C166*AP165</f>
        <v/>
      </c>
      <c r="AQ166">
        <f>$C166*AQ165</f>
        <v/>
      </c>
      <c r="AR166">
        <f>$C166*AR165</f>
        <v/>
      </c>
      <c r="AS166">
        <f>$C166*AS165</f>
        <v/>
      </c>
      <c r="AT166">
        <f>$C166*AT165</f>
        <v/>
      </c>
      <c r="AU166">
        <f>$C166*AU165</f>
        <v/>
      </c>
      <c r="AV166">
        <f>$C166*AV165</f>
        <v/>
      </c>
      <c r="AW166">
        <f>$C166*AW165</f>
        <v/>
      </c>
      <c r="AX166">
        <f>$C166*AX165</f>
        <v/>
      </c>
      <c r="AY166">
        <f>$C166*AY165</f>
        <v/>
      </c>
      <c r="AZ166">
        <f>$C166*AZ165</f>
        <v/>
      </c>
      <c r="BA166">
        <f>$C166*BA165</f>
        <v/>
      </c>
      <c r="BB166">
        <f>$C166*BB165</f>
        <v/>
      </c>
      <c r="BC166">
        <f>$C166*BC165</f>
        <v/>
      </c>
      <c r="BD166">
        <f>$C166*BD165</f>
        <v/>
      </c>
      <c r="BE166">
        <f>$C166*BE165</f>
        <v/>
      </c>
      <c r="BF166">
        <f>$C166*BF165</f>
        <v/>
      </c>
      <c r="BG166">
        <f>$C166*BG165</f>
        <v/>
      </c>
      <c r="BH166">
        <f>$C166*BH165</f>
        <v/>
      </c>
      <c r="BI166">
        <f>$C166*BI165</f>
        <v/>
      </c>
      <c r="BJ166">
        <f>$C166*BJ165</f>
        <v/>
      </c>
      <c r="BK166">
        <f>$C166*BK165</f>
        <v/>
      </c>
      <c r="BL166">
        <f>$C166*BL165</f>
        <v/>
      </c>
      <c r="BM166">
        <f>$C166*BM165</f>
        <v/>
      </c>
      <c r="BN166">
        <f>$C166*BN165</f>
        <v/>
      </c>
      <c r="BO166">
        <f>$C166*BO165</f>
        <v/>
      </c>
      <c r="BP166">
        <f>$C166*BP165</f>
        <v/>
      </c>
      <c r="BQ166">
        <f>$C166*BQ165</f>
        <v/>
      </c>
      <c r="BR166">
        <f>$C166*BR165</f>
        <v/>
      </c>
      <c r="BS166">
        <f>$C166*BS165</f>
        <v/>
      </c>
      <c r="BT166">
        <f>$C166*BT165</f>
        <v/>
      </c>
      <c r="BU166">
        <f>$C166*BU165</f>
        <v/>
      </c>
      <c r="BV166">
        <f>$C166*BV165</f>
        <v/>
      </c>
      <c r="BW166">
        <f>$C166*BW165</f>
        <v/>
      </c>
      <c r="BX166">
        <f>$C166*BX165</f>
        <v/>
      </c>
      <c r="BY166">
        <f>$C166*BY165</f>
        <v/>
      </c>
      <c r="BZ166">
        <f>$C166*BZ165</f>
        <v/>
      </c>
      <c r="CA166">
        <f>$C166*CA165</f>
        <v/>
      </c>
      <c r="CB166">
        <f>$C166*CB165</f>
        <v/>
      </c>
      <c r="CC166">
        <f>$C166*CC165</f>
        <v/>
      </c>
      <c r="CD166">
        <f>$C166*CD165</f>
        <v/>
      </c>
      <c r="CE166">
        <f>$C166*CE165</f>
        <v/>
      </c>
      <c r="CF166">
        <f>$C166*CF165</f>
        <v/>
      </c>
      <c r="CG166">
        <f>$C166*CG165</f>
        <v/>
      </c>
      <c r="CH166">
        <f>$C166*CH165</f>
        <v/>
      </c>
      <c r="CI166">
        <f>$C166*CI165</f>
        <v/>
      </c>
      <c r="CJ166">
        <f>$C166*CJ165</f>
        <v/>
      </c>
      <c r="CK166">
        <f>$C166*CK165</f>
        <v/>
      </c>
      <c r="CL166">
        <f>$C166*CL165</f>
        <v/>
      </c>
      <c r="CM166">
        <f>$C166*CM165</f>
        <v/>
      </c>
      <c r="CN166">
        <f>$C166*CN165</f>
        <v/>
      </c>
      <c r="CO166">
        <f>$C166*CO165</f>
        <v/>
      </c>
      <c r="CP166">
        <f>$C166*CP165</f>
        <v/>
      </c>
      <c r="CQ166">
        <f>$C166*CQ165</f>
        <v/>
      </c>
      <c r="CR166">
        <f>$C166*CR165</f>
        <v/>
      </c>
      <c r="CS166">
        <f>$C166*CS165</f>
        <v/>
      </c>
      <c r="CT166">
        <f>$C166*CT165</f>
        <v/>
      </c>
      <c r="CU166">
        <f>$C166*CU165</f>
        <v/>
      </c>
      <c r="CV166">
        <f>$C166*CV165</f>
        <v/>
      </c>
      <c r="CW166">
        <f>$C166*CW165</f>
        <v/>
      </c>
      <c r="CX166">
        <f>$C166*CX165</f>
        <v/>
      </c>
      <c r="CY166">
        <f>$C166*CY165</f>
        <v/>
      </c>
      <c r="CZ166">
        <f>$C166*CZ165</f>
        <v/>
      </c>
      <c r="DA166">
        <f>$C166*DA165</f>
        <v/>
      </c>
      <c r="DB166">
        <f>$C166*DB165</f>
        <v/>
      </c>
      <c r="DC166">
        <f>$C166*DC165</f>
        <v/>
      </c>
    </row>
    <row r="167">
      <c r="B167" t="inlineStr">
        <is>
          <t>VSP-601</t>
        </is>
      </c>
      <c r="C167" t="inlineStr">
        <is>
          <t>No. of batches</t>
        </is>
      </c>
      <c r="D167">
        <f>IFERROR(INDEX(PP_Grid[#Data],$DD167,2),0)</f>
        <v/>
      </c>
      <c r="E167">
        <f>IFERROR(INDEX(PP_Grid[#Data],$DD167,3),0)</f>
        <v/>
      </c>
      <c r="F167">
        <f>IFERROR(INDEX(PP_Grid[#Data],$DD167,4),0)</f>
        <v/>
      </c>
      <c r="G167">
        <f>IFERROR(INDEX(PP_Grid[#Data],$DD167,5),0)</f>
        <v/>
      </c>
      <c r="H167">
        <f>IFERROR(INDEX(PP_Grid[#Data],$DD167,6),0)</f>
        <v/>
      </c>
      <c r="I167">
        <f>IFERROR(INDEX(PP_Grid[#Data],$DD167,7),0)</f>
        <v/>
      </c>
      <c r="J167">
        <f>IFERROR(INDEX(PP_Grid[#Data],$DD167,8),0)</f>
        <v/>
      </c>
      <c r="K167">
        <f>IFERROR(INDEX(PP_Grid[#Data],$DD167,9),0)</f>
        <v/>
      </c>
      <c r="L167">
        <f>IFERROR(INDEX(PP_Grid[#Data],$DD167,10),0)</f>
        <v/>
      </c>
      <c r="M167">
        <f>IFERROR(INDEX(PP_Grid[#Data],$DD167,11),0)</f>
        <v/>
      </c>
      <c r="N167">
        <f>IFERROR(INDEX(PP_Grid[#Data],$DD167,12),0)</f>
        <v/>
      </c>
      <c r="O167">
        <f>IFERROR(INDEX(PP_Grid[#Data],$DD167,13),0)</f>
        <v/>
      </c>
      <c r="P167">
        <f>IFERROR(INDEX(PP_Grid[#Data],$DD167,14),0)</f>
        <v/>
      </c>
      <c r="Q167">
        <f>IFERROR(INDEX(PP_Grid[#Data],$DD167,15),0)</f>
        <v/>
      </c>
      <c r="R167">
        <f>IFERROR(INDEX(PP_Grid[#Data],$DD167,16),0)</f>
        <v/>
      </c>
      <c r="S167">
        <f>IFERROR(INDEX(PP_Grid[#Data],$DD167,17),0)</f>
        <v/>
      </c>
      <c r="T167">
        <f>IFERROR(INDEX(PP_Grid[#Data],$DD167,18),0)</f>
        <v/>
      </c>
      <c r="U167">
        <f>IFERROR(INDEX(PP_Grid[#Data],$DD167,19),0)</f>
        <v/>
      </c>
      <c r="V167">
        <f>IFERROR(INDEX(PP_Grid[#Data],$DD167,20),0)</f>
        <v/>
      </c>
      <c r="W167">
        <f>IFERROR(INDEX(PP_Grid[#Data],$DD167,21),0)</f>
        <v/>
      </c>
      <c r="X167">
        <f>IFERROR(INDEX(PP_Grid[#Data],$DD167,22),0)</f>
        <v/>
      </c>
      <c r="Y167">
        <f>IFERROR(INDEX(PP_Grid[#Data],$DD167,23),0)</f>
        <v/>
      </c>
      <c r="Z167">
        <f>IFERROR(INDEX(PP_Grid[#Data],$DD167,24),0)</f>
        <v/>
      </c>
      <c r="AA167">
        <f>IFERROR(INDEX(PP_Grid[#Data],$DD167,25),0)</f>
        <v/>
      </c>
      <c r="AB167">
        <f>IFERROR(INDEX(PP_Grid[#Data],$DD167,26),0)</f>
        <v/>
      </c>
      <c r="AC167">
        <f>IFERROR(INDEX(PP_Grid[#Data],$DD167,27),0)</f>
        <v/>
      </c>
      <c r="AD167">
        <f>IFERROR(INDEX(PP_Grid[#Data],$DD167,28),0)</f>
        <v/>
      </c>
      <c r="AE167">
        <f>IFERROR(INDEX(PP_Grid[#Data],$DD167,29),0)</f>
        <v/>
      </c>
      <c r="AF167">
        <f>IFERROR(INDEX(PP_Grid[#Data],$DD167,30),0)</f>
        <v/>
      </c>
      <c r="AG167">
        <f>IFERROR(INDEX(PP_Grid[#Data],$DD167,31),0)</f>
        <v/>
      </c>
      <c r="AH167">
        <f>IFERROR(INDEX(PP_Grid[#Data],$DD167,32),0)</f>
        <v/>
      </c>
      <c r="AI167">
        <f>IFERROR(INDEX(PP_Grid[#Data],$DD167,33),0)</f>
        <v/>
      </c>
      <c r="AJ167">
        <f>IFERROR(INDEX(PP_Grid[#Data],$DD167,34),0)</f>
        <v/>
      </c>
      <c r="AK167">
        <f>IFERROR(INDEX(PP_Grid[#Data],$DD167,35),0)</f>
        <v/>
      </c>
      <c r="AL167">
        <f>IFERROR(INDEX(PP_Grid[#Data],$DD167,36),0)</f>
        <v/>
      </c>
      <c r="AM167">
        <f>IFERROR(INDEX(PP_Grid[#Data],$DD167,37),0)</f>
        <v/>
      </c>
      <c r="AN167">
        <f>IFERROR(INDEX(PP_Grid[#Data],$DD167,38),0)</f>
        <v/>
      </c>
      <c r="AO167">
        <f>IFERROR(INDEX(PP_Grid[#Data],$DD167,39),0)</f>
        <v/>
      </c>
      <c r="AP167">
        <f>IFERROR(INDEX(PP_Grid[#Data],$DD167,40),0)</f>
        <v/>
      </c>
      <c r="AQ167">
        <f>IFERROR(INDEX(PP_Grid[#Data],$DD167,41),0)</f>
        <v/>
      </c>
      <c r="AR167">
        <f>IFERROR(INDEX(PP_Grid[#Data],$DD167,42),0)</f>
        <v/>
      </c>
      <c r="AS167">
        <f>IFERROR(INDEX(PP_Grid[#Data],$DD167,43),0)</f>
        <v/>
      </c>
      <c r="AT167">
        <f>IFERROR(INDEX(PP_Grid[#Data],$DD167,44),0)</f>
        <v/>
      </c>
      <c r="AU167">
        <f>IFERROR(INDEX(PP_Grid[#Data],$DD167,45),0)</f>
        <v/>
      </c>
      <c r="AV167">
        <f>IFERROR(INDEX(PP_Grid[#Data],$DD167,46),0)</f>
        <v/>
      </c>
      <c r="AW167">
        <f>IFERROR(INDEX(PP_Grid[#Data],$DD167,47),0)</f>
        <v/>
      </c>
      <c r="AX167">
        <f>IFERROR(INDEX(PP_Grid[#Data],$DD167,48),0)</f>
        <v/>
      </c>
      <c r="AY167">
        <f>IFERROR(INDEX(PP_Grid[#Data],$DD167,49),0)</f>
        <v/>
      </c>
      <c r="AZ167">
        <f>IFERROR(INDEX(PP_Grid[#Data],$DD167,50),0)</f>
        <v/>
      </c>
      <c r="BA167">
        <f>IFERROR(INDEX(PP_Grid[#Data],$DD167,51),0)</f>
        <v/>
      </c>
      <c r="BB167">
        <f>IFERROR(INDEX(PP_Grid[#Data],$DD167,52),0)</f>
        <v/>
      </c>
      <c r="BC167">
        <f>IFERROR(INDEX(PP_Grid[#Data],$DD167,53),0)</f>
        <v/>
      </c>
      <c r="BD167">
        <f>IFERROR(INDEX(PP_Grid[#Data],$DD167,54),0)</f>
        <v/>
      </c>
      <c r="BE167">
        <f>IFERROR(INDEX(PP_Grid[#Data],$DD167,55),0)</f>
        <v/>
      </c>
      <c r="BF167">
        <f>IFERROR(INDEX(PP_Grid[#Data],$DD167,56),0)</f>
        <v/>
      </c>
      <c r="BG167">
        <f>IFERROR(INDEX(PP_Grid[#Data],$DD167,57),0)</f>
        <v/>
      </c>
      <c r="BH167">
        <f>IFERROR(INDEX(PP_Grid[#Data],$DD167,58),0)</f>
        <v/>
      </c>
      <c r="BI167">
        <f>IFERROR(INDEX(PP_Grid[#Data],$DD167,59),0)</f>
        <v/>
      </c>
      <c r="BJ167">
        <f>IFERROR(INDEX(PP_Grid[#Data],$DD167,60),0)</f>
        <v/>
      </c>
      <c r="BK167">
        <f>IFERROR(INDEX(PP_Grid[#Data],$DD167,61),0)</f>
        <v/>
      </c>
      <c r="BL167">
        <f>IFERROR(INDEX(PP_Grid[#Data],$DD167,62),0)</f>
        <v/>
      </c>
      <c r="BM167">
        <f>IFERROR(INDEX(PP_Grid[#Data],$DD167,63),0)</f>
        <v/>
      </c>
      <c r="BN167">
        <f>IFERROR(INDEX(PP_Grid[#Data],$DD167,64),0)</f>
        <v/>
      </c>
      <c r="BO167">
        <f>IFERROR(INDEX(PP_Grid[#Data],$DD167,65),0)</f>
        <v/>
      </c>
      <c r="BP167">
        <f>IFERROR(INDEX(PP_Grid[#Data],$DD167,66),0)</f>
        <v/>
      </c>
      <c r="BQ167">
        <f>IFERROR(INDEX(PP_Grid[#Data],$DD167,67),0)</f>
        <v/>
      </c>
      <c r="BR167">
        <f>IFERROR(INDEX(PP_Grid[#Data],$DD167,68),0)</f>
        <v/>
      </c>
      <c r="BS167">
        <f>IFERROR(INDEX(PP_Grid[#Data],$DD167,69),0)</f>
        <v/>
      </c>
      <c r="BT167">
        <f>IFERROR(INDEX(PP_Grid[#Data],$DD167,70),0)</f>
        <v/>
      </c>
      <c r="BU167">
        <f>IFERROR(INDEX(PP_Grid[#Data],$DD167,71),0)</f>
        <v/>
      </c>
      <c r="BV167">
        <f>IFERROR(INDEX(PP_Grid[#Data],$DD167,72),0)</f>
        <v/>
      </c>
      <c r="BW167">
        <f>IFERROR(INDEX(PP_Grid[#Data],$DD167,73),0)</f>
        <v/>
      </c>
      <c r="BX167">
        <f>IFERROR(INDEX(PP_Grid[#Data],$DD167,74),0)</f>
        <v/>
      </c>
      <c r="BY167">
        <f>IFERROR(INDEX(PP_Grid[#Data],$DD167,75),0)</f>
        <v/>
      </c>
      <c r="BZ167">
        <f>IFERROR(INDEX(PP_Grid[#Data],$DD167,76),0)</f>
        <v/>
      </c>
      <c r="CA167">
        <f>IFERROR(INDEX(PP_Grid[#Data],$DD167,77),0)</f>
        <v/>
      </c>
      <c r="CB167">
        <f>IFERROR(INDEX(PP_Grid[#Data],$DD167,78),0)</f>
        <v/>
      </c>
      <c r="CC167">
        <f>IFERROR(INDEX(PP_Grid[#Data],$DD167,79),0)</f>
        <v/>
      </c>
      <c r="CD167">
        <f>IFERROR(INDEX(PP_Grid[#Data],$DD167,80),0)</f>
        <v/>
      </c>
      <c r="CE167">
        <f>IFERROR(INDEX(PP_Grid[#Data],$DD167,81),0)</f>
        <v/>
      </c>
      <c r="CF167">
        <f>IFERROR(INDEX(PP_Grid[#Data],$DD167,82),0)</f>
        <v/>
      </c>
      <c r="CG167">
        <f>IFERROR(INDEX(PP_Grid[#Data],$DD167,83),0)</f>
        <v/>
      </c>
      <c r="CH167">
        <f>IFERROR(INDEX(PP_Grid[#Data],$DD167,84),0)</f>
        <v/>
      </c>
      <c r="CI167">
        <f>IFERROR(INDEX(PP_Grid[#Data],$DD167,85),0)</f>
        <v/>
      </c>
      <c r="CJ167">
        <f>IFERROR(INDEX(PP_Grid[#Data],$DD167,86),0)</f>
        <v/>
      </c>
      <c r="CK167">
        <f>IFERROR(INDEX(PP_Grid[#Data],$DD167,87),0)</f>
        <v/>
      </c>
      <c r="CL167">
        <f>IFERROR(INDEX(PP_Grid[#Data],$DD167,88),0)</f>
        <v/>
      </c>
      <c r="CM167">
        <f>IFERROR(INDEX(PP_Grid[#Data],$DD167,89),0)</f>
        <v/>
      </c>
      <c r="CN167">
        <f>IFERROR(INDEX(PP_Grid[#Data],$DD167,90),0)</f>
        <v/>
      </c>
      <c r="CO167">
        <f>IFERROR(INDEX(PP_Grid[#Data],$DD167,91),0)</f>
        <v/>
      </c>
      <c r="CP167">
        <f>IFERROR(INDEX(PP_Grid[#Data],$DD167,92),0)</f>
        <v/>
      </c>
      <c r="CQ167">
        <f>IFERROR(INDEX(PP_Grid[#Data],$DD167,93),0)</f>
        <v/>
      </c>
      <c r="CR167">
        <f>IFERROR(INDEX(PP_Grid[#Data],$DD167,94),0)</f>
        <v/>
      </c>
      <c r="CS167">
        <f>IFERROR(INDEX(PP_Grid[#Data],$DD167,95),0)</f>
        <v/>
      </c>
      <c r="CT167">
        <f>IFERROR(INDEX(PP_Grid[#Data],$DD167,96),0)</f>
        <v/>
      </c>
      <c r="CU167">
        <f>IFERROR(INDEX(PP_Grid[#Data],$DD167,97),0)</f>
        <v/>
      </c>
      <c r="CV167">
        <f>IFERROR(INDEX(PP_Grid[#Data],$DD167,98),0)</f>
        <v/>
      </c>
      <c r="CW167">
        <f>IFERROR(INDEX(PP_Grid[#Data],$DD167,99),0)</f>
        <v/>
      </c>
      <c r="CX167">
        <f>IFERROR(INDEX(PP_Grid[#Data],$DD167,100),0)</f>
        <v/>
      </c>
      <c r="CY167">
        <f>IFERROR(INDEX(PP_Grid[#Data],$DD167,101),0)</f>
        <v/>
      </c>
      <c r="CZ167">
        <f>IFERROR(INDEX(PP_Grid[#Data],$DD167,102),0)</f>
        <v/>
      </c>
      <c r="DA167">
        <f>IFERROR(INDEX(PP_Grid[#Data],$DD167,103),0)</f>
        <v/>
      </c>
      <c r="DB167">
        <f>IFERROR(INDEX(PP_Grid[#Data],$DD167,104),0)</f>
        <v/>
      </c>
      <c r="DC167">
        <f>IFERROR(INDEX(PP_Grid[#Data],$DD167,105),0)</f>
        <v/>
      </c>
      <c r="DD167" s="7">
        <f>IFERROR(MATCH($B167,PP_Grid[Intermediate],0),99999)</f>
        <v/>
      </c>
    </row>
    <row r="168">
      <c r="B168" t="inlineStr">
        <is>
          <t>使用量(kg)</t>
        </is>
      </c>
      <c r="C168">
        <f>SUMIFS(M_BOM[RM_Qty_Per_Batch],M_BOM[Intermediate],$B167,M_BOM[Part Name],$A44)</f>
        <v/>
      </c>
      <c r="D168">
        <f>$C168*D167</f>
        <v/>
      </c>
      <c r="E168">
        <f>$C168*E167</f>
        <v/>
      </c>
      <c r="F168">
        <f>$C168*F167</f>
        <v/>
      </c>
      <c r="G168">
        <f>$C168*G167</f>
        <v/>
      </c>
      <c r="H168">
        <f>$C168*H167</f>
        <v/>
      </c>
      <c r="I168">
        <f>$C168*I167</f>
        <v/>
      </c>
      <c r="J168">
        <f>$C168*J167</f>
        <v/>
      </c>
      <c r="K168">
        <f>$C168*K167</f>
        <v/>
      </c>
      <c r="L168">
        <f>$C168*L167</f>
        <v/>
      </c>
      <c r="M168">
        <f>$C168*M167</f>
        <v/>
      </c>
      <c r="N168">
        <f>$C168*N167</f>
        <v/>
      </c>
      <c r="O168">
        <f>$C168*O167</f>
        <v/>
      </c>
      <c r="P168">
        <f>$C168*P167</f>
        <v/>
      </c>
      <c r="Q168">
        <f>$C168*Q167</f>
        <v/>
      </c>
      <c r="R168">
        <f>$C168*R167</f>
        <v/>
      </c>
      <c r="S168">
        <f>$C168*S167</f>
        <v/>
      </c>
      <c r="T168">
        <f>$C168*T167</f>
        <v/>
      </c>
      <c r="U168">
        <f>$C168*U167</f>
        <v/>
      </c>
      <c r="V168">
        <f>$C168*V167</f>
        <v/>
      </c>
      <c r="W168">
        <f>$C168*W167</f>
        <v/>
      </c>
      <c r="X168">
        <f>$C168*X167</f>
        <v/>
      </c>
      <c r="Y168">
        <f>$C168*Y167</f>
        <v/>
      </c>
      <c r="Z168">
        <f>$C168*Z167</f>
        <v/>
      </c>
      <c r="AA168">
        <f>$C168*AA167</f>
        <v/>
      </c>
      <c r="AB168">
        <f>$C168*AB167</f>
        <v/>
      </c>
      <c r="AC168">
        <f>$C168*AC167</f>
        <v/>
      </c>
      <c r="AD168">
        <f>$C168*AD167</f>
        <v/>
      </c>
      <c r="AE168">
        <f>$C168*AE167</f>
        <v/>
      </c>
      <c r="AF168">
        <f>$C168*AF167</f>
        <v/>
      </c>
      <c r="AG168">
        <f>$C168*AG167</f>
        <v/>
      </c>
      <c r="AH168">
        <f>$C168*AH167</f>
        <v/>
      </c>
      <c r="AI168">
        <f>$C168*AI167</f>
        <v/>
      </c>
      <c r="AJ168">
        <f>$C168*AJ167</f>
        <v/>
      </c>
      <c r="AK168">
        <f>$C168*AK167</f>
        <v/>
      </c>
      <c r="AL168">
        <f>$C168*AL167</f>
        <v/>
      </c>
      <c r="AM168">
        <f>$C168*AM167</f>
        <v/>
      </c>
      <c r="AN168">
        <f>$C168*AN167</f>
        <v/>
      </c>
      <c r="AO168">
        <f>$C168*AO167</f>
        <v/>
      </c>
      <c r="AP168">
        <f>$C168*AP167</f>
        <v/>
      </c>
      <c r="AQ168">
        <f>$C168*AQ167</f>
        <v/>
      </c>
      <c r="AR168">
        <f>$C168*AR167</f>
        <v/>
      </c>
      <c r="AS168">
        <f>$C168*AS167</f>
        <v/>
      </c>
      <c r="AT168">
        <f>$C168*AT167</f>
        <v/>
      </c>
      <c r="AU168">
        <f>$C168*AU167</f>
        <v/>
      </c>
      <c r="AV168">
        <f>$C168*AV167</f>
        <v/>
      </c>
      <c r="AW168">
        <f>$C168*AW167</f>
        <v/>
      </c>
      <c r="AX168">
        <f>$C168*AX167</f>
        <v/>
      </c>
      <c r="AY168">
        <f>$C168*AY167</f>
        <v/>
      </c>
      <c r="AZ168">
        <f>$C168*AZ167</f>
        <v/>
      </c>
      <c r="BA168">
        <f>$C168*BA167</f>
        <v/>
      </c>
      <c r="BB168">
        <f>$C168*BB167</f>
        <v/>
      </c>
      <c r="BC168">
        <f>$C168*BC167</f>
        <v/>
      </c>
      <c r="BD168">
        <f>$C168*BD167</f>
        <v/>
      </c>
      <c r="BE168">
        <f>$C168*BE167</f>
        <v/>
      </c>
      <c r="BF168">
        <f>$C168*BF167</f>
        <v/>
      </c>
      <c r="BG168">
        <f>$C168*BG167</f>
        <v/>
      </c>
      <c r="BH168">
        <f>$C168*BH167</f>
        <v/>
      </c>
      <c r="BI168">
        <f>$C168*BI167</f>
        <v/>
      </c>
      <c r="BJ168">
        <f>$C168*BJ167</f>
        <v/>
      </c>
      <c r="BK168">
        <f>$C168*BK167</f>
        <v/>
      </c>
      <c r="BL168">
        <f>$C168*BL167</f>
        <v/>
      </c>
      <c r="BM168">
        <f>$C168*BM167</f>
        <v/>
      </c>
      <c r="BN168">
        <f>$C168*BN167</f>
        <v/>
      </c>
      <c r="BO168">
        <f>$C168*BO167</f>
        <v/>
      </c>
      <c r="BP168">
        <f>$C168*BP167</f>
        <v/>
      </c>
      <c r="BQ168">
        <f>$C168*BQ167</f>
        <v/>
      </c>
      <c r="BR168">
        <f>$C168*BR167</f>
        <v/>
      </c>
      <c r="BS168">
        <f>$C168*BS167</f>
        <v/>
      </c>
      <c r="BT168">
        <f>$C168*BT167</f>
        <v/>
      </c>
      <c r="BU168">
        <f>$C168*BU167</f>
        <v/>
      </c>
      <c r="BV168">
        <f>$C168*BV167</f>
        <v/>
      </c>
      <c r="BW168">
        <f>$C168*BW167</f>
        <v/>
      </c>
      <c r="BX168">
        <f>$C168*BX167</f>
        <v/>
      </c>
      <c r="BY168">
        <f>$C168*BY167</f>
        <v/>
      </c>
      <c r="BZ168">
        <f>$C168*BZ167</f>
        <v/>
      </c>
      <c r="CA168">
        <f>$C168*CA167</f>
        <v/>
      </c>
      <c r="CB168">
        <f>$C168*CB167</f>
        <v/>
      </c>
      <c r="CC168">
        <f>$C168*CC167</f>
        <v/>
      </c>
      <c r="CD168">
        <f>$C168*CD167</f>
        <v/>
      </c>
      <c r="CE168">
        <f>$C168*CE167</f>
        <v/>
      </c>
      <c r="CF168">
        <f>$C168*CF167</f>
        <v/>
      </c>
      <c r="CG168">
        <f>$C168*CG167</f>
        <v/>
      </c>
      <c r="CH168">
        <f>$C168*CH167</f>
        <v/>
      </c>
      <c r="CI168">
        <f>$C168*CI167</f>
        <v/>
      </c>
      <c r="CJ168">
        <f>$C168*CJ167</f>
        <v/>
      </c>
      <c r="CK168">
        <f>$C168*CK167</f>
        <v/>
      </c>
      <c r="CL168">
        <f>$C168*CL167</f>
        <v/>
      </c>
      <c r="CM168">
        <f>$C168*CM167</f>
        <v/>
      </c>
      <c r="CN168">
        <f>$C168*CN167</f>
        <v/>
      </c>
      <c r="CO168">
        <f>$C168*CO167</f>
        <v/>
      </c>
      <c r="CP168">
        <f>$C168*CP167</f>
        <v/>
      </c>
      <c r="CQ168">
        <f>$C168*CQ167</f>
        <v/>
      </c>
      <c r="CR168">
        <f>$C168*CR167</f>
        <v/>
      </c>
      <c r="CS168">
        <f>$C168*CS167</f>
        <v/>
      </c>
      <c r="CT168">
        <f>$C168*CT167</f>
        <v/>
      </c>
      <c r="CU168">
        <f>$C168*CU167</f>
        <v/>
      </c>
      <c r="CV168">
        <f>$C168*CV167</f>
        <v/>
      </c>
      <c r="CW168">
        <f>$C168*CW167</f>
        <v/>
      </c>
      <c r="CX168">
        <f>$C168*CX167</f>
        <v/>
      </c>
      <c r="CY168">
        <f>$C168*CY167</f>
        <v/>
      </c>
      <c r="CZ168">
        <f>$C168*CZ167</f>
        <v/>
      </c>
      <c r="DA168">
        <f>$C168*DA167</f>
        <v/>
      </c>
      <c r="DB168">
        <f>$C168*DB167</f>
        <v/>
      </c>
      <c r="DC168">
        <f>$C168*DC167</f>
        <v/>
      </c>
    </row>
    <row r="169">
      <c r="B169" t="inlineStr">
        <is>
          <t>VSP-602</t>
        </is>
      </c>
      <c r="C169" t="inlineStr">
        <is>
          <t>No. of batches</t>
        </is>
      </c>
      <c r="D169">
        <f>IFERROR(INDEX(PP_Grid[#Data],$DD169,2),0)</f>
        <v/>
      </c>
      <c r="E169">
        <f>IFERROR(INDEX(PP_Grid[#Data],$DD169,3),0)</f>
        <v/>
      </c>
      <c r="F169">
        <f>IFERROR(INDEX(PP_Grid[#Data],$DD169,4),0)</f>
        <v/>
      </c>
      <c r="G169">
        <f>IFERROR(INDEX(PP_Grid[#Data],$DD169,5),0)</f>
        <v/>
      </c>
      <c r="H169">
        <f>IFERROR(INDEX(PP_Grid[#Data],$DD169,6),0)</f>
        <v/>
      </c>
      <c r="I169">
        <f>IFERROR(INDEX(PP_Grid[#Data],$DD169,7),0)</f>
        <v/>
      </c>
      <c r="J169">
        <f>IFERROR(INDEX(PP_Grid[#Data],$DD169,8),0)</f>
        <v/>
      </c>
      <c r="K169">
        <f>IFERROR(INDEX(PP_Grid[#Data],$DD169,9),0)</f>
        <v/>
      </c>
      <c r="L169">
        <f>IFERROR(INDEX(PP_Grid[#Data],$DD169,10),0)</f>
        <v/>
      </c>
      <c r="M169">
        <f>IFERROR(INDEX(PP_Grid[#Data],$DD169,11),0)</f>
        <v/>
      </c>
      <c r="N169">
        <f>IFERROR(INDEX(PP_Grid[#Data],$DD169,12),0)</f>
        <v/>
      </c>
      <c r="O169">
        <f>IFERROR(INDEX(PP_Grid[#Data],$DD169,13),0)</f>
        <v/>
      </c>
      <c r="P169">
        <f>IFERROR(INDEX(PP_Grid[#Data],$DD169,14),0)</f>
        <v/>
      </c>
      <c r="Q169">
        <f>IFERROR(INDEX(PP_Grid[#Data],$DD169,15),0)</f>
        <v/>
      </c>
      <c r="R169">
        <f>IFERROR(INDEX(PP_Grid[#Data],$DD169,16),0)</f>
        <v/>
      </c>
      <c r="S169">
        <f>IFERROR(INDEX(PP_Grid[#Data],$DD169,17),0)</f>
        <v/>
      </c>
      <c r="T169">
        <f>IFERROR(INDEX(PP_Grid[#Data],$DD169,18),0)</f>
        <v/>
      </c>
      <c r="U169">
        <f>IFERROR(INDEX(PP_Grid[#Data],$DD169,19),0)</f>
        <v/>
      </c>
      <c r="V169">
        <f>IFERROR(INDEX(PP_Grid[#Data],$DD169,20),0)</f>
        <v/>
      </c>
      <c r="W169">
        <f>IFERROR(INDEX(PP_Grid[#Data],$DD169,21),0)</f>
        <v/>
      </c>
      <c r="X169">
        <f>IFERROR(INDEX(PP_Grid[#Data],$DD169,22),0)</f>
        <v/>
      </c>
      <c r="Y169">
        <f>IFERROR(INDEX(PP_Grid[#Data],$DD169,23),0)</f>
        <v/>
      </c>
      <c r="Z169">
        <f>IFERROR(INDEX(PP_Grid[#Data],$DD169,24),0)</f>
        <v/>
      </c>
      <c r="AA169">
        <f>IFERROR(INDEX(PP_Grid[#Data],$DD169,25),0)</f>
        <v/>
      </c>
      <c r="AB169">
        <f>IFERROR(INDEX(PP_Grid[#Data],$DD169,26),0)</f>
        <v/>
      </c>
      <c r="AC169">
        <f>IFERROR(INDEX(PP_Grid[#Data],$DD169,27),0)</f>
        <v/>
      </c>
      <c r="AD169">
        <f>IFERROR(INDEX(PP_Grid[#Data],$DD169,28),0)</f>
        <v/>
      </c>
      <c r="AE169">
        <f>IFERROR(INDEX(PP_Grid[#Data],$DD169,29),0)</f>
        <v/>
      </c>
      <c r="AF169">
        <f>IFERROR(INDEX(PP_Grid[#Data],$DD169,30),0)</f>
        <v/>
      </c>
      <c r="AG169">
        <f>IFERROR(INDEX(PP_Grid[#Data],$DD169,31),0)</f>
        <v/>
      </c>
      <c r="AH169">
        <f>IFERROR(INDEX(PP_Grid[#Data],$DD169,32),0)</f>
        <v/>
      </c>
      <c r="AI169">
        <f>IFERROR(INDEX(PP_Grid[#Data],$DD169,33),0)</f>
        <v/>
      </c>
      <c r="AJ169">
        <f>IFERROR(INDEX(PP_Grid[#Data],$DD169,34),0)</f>
        <v/>
      </c>
      <c r="AK169">
        <f>IFERROR(INDEX(PP_Grid[#Data],$DD169,35),0)</f>
        <v/>
      </c>
      <c r="AL169">
        <f>IFERROR(INDEX(PP_Grid[#Data],$DD169,36),0)</f>
        <v/>
      </c>
      <c r="AM169">
        <f>IFERROR(INDEX(PP_Grid[#Data],$DD169,37),0)</f>
        <v/>
      </c>
      <c r="AN169">
        <f>IFERROR(INDEX(PP_Grid[#Data],$DD169,38),0)</f>
        <v/>
      </c>
      <c r="AO169">
        <f>IFERROR(INDEX(PP_Grid[#Data],$DD169,39),0)</f>
        <v/>
      </c>
      <c r="AP169">
        <f>IFERROR(INDEX(PP_Grid[#Data],$DD169,40),0)</f>
        <v/>
      </c>
      <c r="AQ169">
        <f>IFERROR(INDEX(PP_Grid[#Data],$DD169,41),0)</f>
        <v/>
      </c>
      <c r="AR169">
        <f>IFERROR(INDEX(PP_Grid[#Data],$DD169,42),0)</f>
        <v/>
      </c>
      <c r="AS169">
        <f>IFERROR(INDEX(PP_Grid[#Data],$DD169,43),0)</f>
        <v/>
      </c>
      <c r="AT169">
        <f>IFERROR(INDEX(PP_Grid[#Data],$DD169,44),0)</f>
        <v/>
      </c>
      <c r="AU169">
        <f>IFERROR(INDEX(PP_Grid[#Data],$DD169,45),0)</f>
        <v/>
      </c>
      <c r="AV169">
        <f>IFERROR(INDEX(PP_Grid[#Data],$DD169,46),0)</f>
        <v/>
      </c>
      <c r="AW169">
        <f>IFERROR(INDEX(PP_Grid[#Data],$DD169,47),0)</f>
        <v/>
      </c>
      <c r="AX169">
        <f>IFERROR(INDEX(PP_Grid[#Data],$DD169,48),0)</f>
        <v/>
      </c>
      <c r="AY169">
        <f>IFERROR(INDEX(PP_Grid[#Data],$DD169,49),0)</f>
        <v/>
      </c>
      <c r="AZ169">
        <f>IFERROR(INDEX(PP_Grid[#Data],$DD169,50),0)</f>
        <v/>
      </c>
      <c r="BA169">
        <f>IFERROR(INDEX(PP_Grid[#Data],$DD169,51),0)</f>
        <v/>
      </c>
      <c r="BB169">
        <f>IFERROR(INDEX(PP_Grid[#Data],$DD169,52),0)</f>
        <v/>
      </c>
      <c r="BC169">
        <f>IFERROR(INDEX(PP_Grid[#Data],$DD169,53),0)</f>
        <v/>
      </c>
      <c r="BD169">
        <f>IFERROR(INDEX(PP_Grid[#Data],$DD169,54),0)</f>
        <v/>
      </c>
      <c r="BE169">
        <f>IFERROR(INDEX(PP_Grid[#Data],$DD169,55),0)</f>
        <v/>
      </c>
      <c r="BF169">
        <f>IFERROR(INDEX(PP_Grid[#Data],$DD169,56),0)</f>
        <v/>
      </c>
      <c r="BG169">
        <f>IFERROR(INDEX(PP_Grid[#Data],$DD169,57),0)</f>
        <v/>
      </c>
      <c r="BH169">
        <f>IFERROR(INDEX(PP_Grid[#Data],$DD169,58),0)</f>
        <v/>
      </c>
      <c r="BI169">
        <f>IFERROR(INDEX(PP_Grid[#Data],$DD169,59),0)</f>
        <v/>
      </c>
      <c r="BJ169">
        <f>IFERROR(INDEX(PP_Grid[#Data],$DD169,60),0)</f>
        <v/>
      </c>
      <c r="BK169">
        <f>IFERROR(INDEX(PP_Grid[#Data],$DD169,61),0)</f>
        <v/>
      </c>
      <c r="BL169">
        <f>IFERROR(INDEX(PP_Grid[#Data],$DD169,62),0)</f>
        <v/>
      </c>
      <c r="BM169">
        <f>IFERROR(INDEX(PP_Grid[#Data],$DD169,63),0)</f>
        <v/>
      </c>
      <c r="BN169">
        <f>IFERROR(INDEX(PP_Grid[#Data],$DD169,64),0)</f>
        <v/>
      </c>
      <c r="BO169">
        <f>IFERROR(INDEX(PP_Grid[#Data],$DD169,65),0)</f>
        <v/>
      </c>
      <c r="BP169">
        <f>IFERROR(INDEX(PP_Grid[#Data],$DD169,66),0)</f>
        <v/>
      </c>
      <c r="BQ169">
        <f>IFERROR(INDEX(PP_Grid[#Data],$DD169,67),0)</f>
        <v/>
      </c>
      <c r="BR169">
        <f>IFERROR(INDEX(PP_Grid[#Data],$DD169,68),0)</f>
        <v/>
      </c>
      <c r="BS169">
        <f>IFERROR(INDEX(PP_Grid[#Data],$DD169,69),0)</f>
        <v/>
      </c>
      <c r="BT169">
        <f>IFERROR(INDEX(PP_Grid[#Data],$DD169,70),0)</f>
        <v/>
      </c>
      <c r="BU169">
        <f>IFERROR(INDEX(PP_Grid[#Data],$DD169,71),0)</f>
        <v/>
      </c>
      <c r="BV169">
        <f>IFERROR(INDEX(PP_Grid[#Data],$DD169,72),0)</f>
        <v/>
      </c>
      <c r="BW169">
        <f>IFERROR(INDEX(PP_Grid[#Data],$DD169,73),0)</f>
        <v/>
      </c>
      <c r="BX169">
        <f>IFERROR(INDEX(PP_Grid[#Data],$DD169,74),0)</f>
        <v/>
      </c>
      <c r="BY169">
        <f>IFERROR(INDEX(PP_Grid[#Data],$DD169,75),0)</f>
        <v/>
      </c>
      <c r="BZ169">
        <f>IFERROR(INDEX(PP_Grid[#Data],$DD169,76),0)</f>
        <v/>
      </c>
      <c r="CA169">
        <f>IFERROR(INDEX(PP_Grid[#Data],$DD169,77),0)</f>
        <v/>
      </c>
      <c r="CB169">
        <f>IFERROR(INDEX(PP_Grid[#Data],$DD169,78),0)</f>
        <v/>
      </c>
      <c r="CC169">
        <f>IFERROR(INDEX(PP_Grid[#Data],$DD169,79),0)</f>
        <v/>
      </c>
      <c r="CD169">
        <f>IFERROR(INDEX(PP_Grid[#Data],$DD169,80),0)</f>
        <v/>
      </c>
      <c r="CE169">
        <f>IFERROR(INDEX(PP_Grid[#Data],$DD169,81),0)</f>
        <v/>
      </c>
      <c r="CF169">
        <f>IFERROR(INDEX(PP_Grid[#Data],$DD169,82),0)</f>
        <v/>
      </c>
      <c r="CG169">
        <f>IFERROR(INDEX(PP_Grid[#Data],$DD169,83),0)</f>
        <v/>
      </c>
      <c r="CH169">
        <f>IFERROR(INDEX(PP_Grid[#Data],$DD169,84),0)</f>
        <v/>
      </c>
      <c r="CI169">
        <f>IFERROR(INDEX(PP_Grid[#Data],$DD169,85),0)</f>
        <v/>
      </c>
      <c r="CJ169">
        <f>IFERROR(INDEX(PP_Grid[#Data],$DD169,86),0)</f>
        <v/>
      </c>
      <c r="CK169">
        <f>IFERROR(INDEX(PP_Grid[#Data],$DD169,87),0)</f>
        <v/>
      </c>
      <c r="CL169">
        <f>IFERROR(INDEX(PP_Grid[#Data],$DD169,88),0)</f>
        <v/>
      </c>
      <c r="CM169">
        <f>IFERROR(INDEX(PP_Grid[#Data],$DD169,89),0)</f>
        <v/>
      </c>
      <c r="CN169">
        <f>IFERROR(INDEX(PP_Grid[#Data],$DD169,90),0)</f>
        <v/>
      </c>
      <c r="CO169">
        <f>IFERROR(INDEX(PP_Grid[#Data],$DD169,91),0)</f>
        <v/>
      </c>
      <c r="CP169">
        <f>IFERROR(INDEX(PP_Grid[#Data],$DD169,92),0)</f>
        <v/>
      </c>
      <c r="CQ169">
        <f>IFERROR(INDEX(PP_Grid[#Data],$DD169,93),0)</f>
        <v/>
      </c>
      <c r="CR169">
        <f>IFERROR(INDEX(PP_Grid[#Data],$DD169,94),0)</f>
        <v/>
      </c>
      <c r="CS169">
        <f>IFERROR(INDEX(PP_Grid[#Data],$DD169,95),0)</f>
        <v/>
      </c>
      <c r="CT169">
        <f>IFERROR(INDEX(PP_Grid[#Data],$DD169,96),0)</f>
        <v/>
      </c>
      <c r="CU169">
        <f>IFERROR(INDEX(PP_Grid[#Data],$DD169,97),0)</f>
        <v/>
      </c>
      <c r="CV169">
        <f>IFERROR(INDEX(PP_Grid[#Data],$DD169,98),0)</f>
        <v/>
      </c>
      <c r="CW169">
        <f>IFERROR(INDEX(PP_Grid[#Data],$DD169,99),0)</f>
        <v/>
      </c>
      <c r="CX169">
        <f>IFERROR(INDEX(PP_Grid[#Data],$DD169,100),0)</f>
        <v/>
      </c>
      <c r="CY169">
        <f>IFERROR(INDEX(PP_Grid[#Data],$DD169,101),0)</f>
        <v/>
      </c>
      <c r="CZ169">
        <f>IFERROR(INDEX(PP_Grid[#Data],$DD169,102),0)</f>
        <v/>
      </c>
      <c r="DA169">
        <f>IFERROR(INDEX(PP_Grid[#Data],$DD169,103),0)</f>
        <v/>
      </c>
      <c r="DB169">
        <f>IFERROR(INDEX(PP_Grid[#Data],$DD169,104),0)</f>
        <v/>
      </c>
      <c r="DC169">
        <f>IFERROR(INDEX(PP_Grid[#Data],$DD169,105),0)</f>
        <v/>
      </c>
      <c r="DD169" s="7">
        <f>IFERROR(MATCH($B169,PP_Grid[Intermediate],0),99999)</f>
        <v/>
      </c>
    </row>
    <row r="170">
      <c r="B170" t="inlineStr">
        <is>
          <t>使用量(kg)</t>
        </is>
      </c>
      <c r="C170">
        <f>SUMIFS(M_BOM[RM_Qty_Per_Batch],M_BOM[Intermediate],$B169,M_BOM[Part Name],$A44)</f>
        <v/>
      </c>
      <c r="D170">
        <f>$C170*D169</f>
        <v/>
      </c>
      <c r="E170">
        <f>$C170*E169</f>
        <v/>
      </c>
      <c r="F170">
        <f>$C170*F169</f>
        <v/>
      </c>
      <c r="G170">
        <f>$C170*G169</f>
        <v/>
      </c>
      <c r="H170">
        <f>$C170*H169</f>
        <v/>
      </c>
      <c r="I170">
        <f>$C170*I169</f>
        <v/>
      </c>
      <c r="J170">
        <f>$C170*J169</f>
        <v/>
      </c>
      <c r="K170">
        <f>$C170*K169</f>
        <v/>
      </c>
      <c r="L170">
        <f>$C170*L169</f>
        <v/>
      </c>
      <c r="M170">
        <f>$C170*M169</f>
        <v/>
      </c>
      <c r="N170">
        <f>$C170*N169</f>
        <v/>
      </c>
      <c r="O170">
        <f>$C170*O169</f>
        <v/>
      </c>
      <c r="P170">
        <f>$C170*P169</f>
        <v/>
      </c>
      <c r="Q170">
        <f>$C170*Q169</f>
        <v/>
      </c>
      <c r="R170">
        <f>$C170*R169</f>
        <v/>
      </c>
      <c r="S170">
        <f>$C170*S169</f>
        <v/>
      </c>
      <c r="T170">
        <f>$C170*T169</f>
        <v/>
      </c>
      <c r="U170">
        <f>$C170*U169</f>
        <v/>
      </c>
      <c r="V170">
        <f>$C170*V169</f>
        <v/>
      </c>
      <c r="W170">
        <f>$C170*W169</f>
        <v/>
      </c>
      <c r="X170">
        <f>$C170*X169</f>
        <v/>
      </c>
      <c r="Y170">
        <f>$C170*Y169</f>
        <v/>
      </c>
      <c r="Z170">
        <f>$C170*Z169</f>
        <v/>
      </c>
      <c r="AA170">
        <f>$C170*AA169</f>
        <v/>
      </c>
      <c r="AB170">
        <f>$C170*AB169</f>
        <v/>
      </c>
      <c r="AC170">
        <f>$C170*AC169</f>
        <v/>
      </c>
      <c r="AD170">
        <f>$C170*AD169</f>
        <v/>
      </c>
      <c r="AE170">
        <f>$C170*AE169</f>
        <v/>
      </c>
      <c r="AF170">
        <f>$C170*AF169</f>
        <v/>
      </c>
      <c r="AG170">
        <f>$C170*AG169</f>
        <v/>
      </c>
      <c r="AH170">
        <f>$C170*AH169</f>
        <v/>
      </c>
      <c r="AI170">
        <f>$C170*AI169</f>
        <v/>
      </c>
      <c r="AJ170">
        <f>$C170*AJ169</f>
        <v/>
      </c>
      <c r="AK170">
        <f>$C170*AK169</f>
        <v/>
      </c>
      <c r="AL170">
        <f>$C170*AL169</f>
        <v/>
      </c>
      <c r="AM170">
        <f>$C170*AM169</f>
        <v/>
      </c>
      <c r="AN170">
        <f>$C170*AN169</f>
        <v/>
      </c>
      <c r="AO170">
        <f>$C170*AO169</f>
        <v/>
      </c>
      <c r="AP170">
        <f>$C170*AP169</f>
        <v/>
      </c>
      <c r="AQ170">
        <f>$C170*AQ169</f>
        <v/>
      </c>
      <c r="AR170">
        <f>$C170*AR169</f>
        <v/>
      </c>
      <c r="AS170">
        <f>$C170*AS169</f>
        <v/>
      </c>
      <c r="AT170">
        <f>$C170*AT169</f>
        <v/>
      </c>
      <c r="AU170">
        <f>$C170*AU169</f>
        <v/>
      </c>
      <c r="AV170">
        <f>$C170*AV169</f>
        <v/>
      </c>
      <c r="AW170">
        <f>$C170*AW169</f>
        <v/>
      </c>
      <c r="AX170">
        <f>$C170*AX169</f>
        <v/>
      </c>
      <c r="AY170">
        <f>$C170*AY169</f>
        <v/>
      </c>
      <c r="AZ170">
        <f>$C170*AZ169</f>
        <v/>
      </c>
      <c r="BA170">
        <f>$C170*BA169</f>
        <v/>
      </c>
      <c r="BB170">
        <f>$C170*BB169</f>
        <v/>
      </c>
      <c r="BC170">
        <f>$C170*BC169</f>
        <v/>
      </c>
      <c r="BD170">
        <f>$C170*BD169</f>
        <v/>
      </c>
      <c r="BE170">
        <f>$C170*BE169</f>
        <v/>
      </c>
      <c r="BF170">
        <f>$C170*BF169</f>
        <v/>
      </c>
      <c r="BG170">
        <f>$C170*BG169</f>
        <v/>
      </c>
      <c r="BH170">
        <f>$C170*BH169</f>
        <v/>
      </c>
      <c r="BI170">
        <f>$C170*BI169</f>
        <v/>
      </c>
      <c r="BJ170">
        <f>$C170*BJ169</f>
        <v/>
      </c>
      <c r="BK170">
        <f>$C170*BK169</f>
        <v/>
      </c>
      <c r="BL170">
        <f>$C170*BL169</f>
        <v/>
      </c>
      <c r="BM170">
        <f>$C170*BM169</f>
        <v/>
      </c>
      <c r="BN170">
        <f>$C170*BN169</f>
        <v/>
      </c>
      <c r="BO170">
        <f>$C170*BO169</f>
        <v/>
      </c>
      <c r="BP170">
        <f>$C170*BP169</f>
        <v/>
      </c>
      <c r="BQ170">
        <f>$C170*BQ169</f>
        <v/>
      </c>
      <c r="BR170">
        <f>$C170*BR169</f>
        <v/>
      </c>
      <c r="BS170">
        <f>$C170*BS169</f>
        <v/>
      </c>
      <c r="BT170">
        <f>$C170*BT169</f>
        <v/>
      </c>
      <c r="BU170">
        <f>$C170*BU169</f>
        <v/>
      </c>
      <c r="BV170">
        <f>$C170*BV169</f>
        <v/>
      </c>
      <c r="BW170">
        <f>$C170*BW169</f>
        <v/>
      </c>
      <c r="BX170">
        <f>$C170*BX169</f>
        <v/>
      </c>
      <c r="BY170">
        <f>$C170*BY169</f>
        <v/>
      </c>
      <c r="BZ170">
        <f>$C170*BZ169</f>
        <v/>
      </c>
      <c r="CA170">
        <f>$C170*CA169</f>
        <v/>
      </c>
      <c r="CB170">
        <f>$C170*CB169</f>
        <v/>
      </c>
      <c r="CC170">
        <f>$C170*CC169</f>
        <v/>
      </c>
      <c r="CD170">
        <f>$C170*CD169</f>
        <v/>
      </c>
      <c r="CE170">
        <f>$C170*CE169</f>
        <v/>
      </c>
      <c r="CF170">
        <f>$C170*CF169</f>
        <v/>
      </c>
      <c r="CG170">
        <f>$C170*CG169</f>
        <v/>
      </c>
      <c r="CH170">
        <f>$C170*CH169</f>
        <v/>
      </c>
      <c r="CI170">
        <f>$C170*CI169</f>
        <v/>
      </c>
      <c r="CJ170">
        <f>$C170*CJ169</f>
        <v/>
      </c>
      <c r="CK170">
        <f>$C170*CK169</f>
        <v/>
      </c>
      <c r="CL170">
        <f>$C170*CL169</f>
        <v/>
      </c>
      <c r="CM170">
        <f>$C170*CM169</f>
        <v/>
      </c>
      <c r="CN170">
        <f>$C170*CN169</f>
        <v/>
      </c>
      <c r="CO170">
        <f>$C170*CO169</f>
        <v/>
      </c>
      <c r="CP170">
        <f>$C170*CP169</f>
        <v/>
      </c>
      <c r="CQ170">
        <f>$C170*CQ169</f>
        <v/>
      </c>
      <c r="CR170">
        <f>$C170*CR169</f>
        <v/>
      </c>
      <c r="CS170">
        <f>$C170*CS169</f>
        <v/>
      </c>
      <c r="CT170">
        <f>$C170*CT169</f>
        <v/>
      </c>
      <c r="CU170">
        <f>$C170*CU169</f>
        <v/>
      </c>
      <c r="CV170">
        <f>$C170*CV169</f>
        <v/>
      </c>
      <c r="CW170">
        <f>$C170*CW169</f>
        <v/>
      </c>
      <c r="CX170">
        <f>$C170*CX169</f>
        <v/>
      </c>
      <c r="CY170">
        <f>$C170*CY169</f>
        <v/>
      </c>
      <c r="CZ170">
        <f>$C170*CZ169</f>
        <v/>
      </c>
      <c r="DA170">
        <f>$C170*DA169</f>
        <v/>
      </c>
      <c r="DB170">
        <f>$C170*DB169</f>
        <v/>
      </c>
      <c r="DC170">
        <f>$C170*DC169</f>
        <v/>
      </c>
    </row>
    <row r="171">
      <c r="B171" t="inlineStr">
        <is>
          <t>VSP-603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7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Name],$A44)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t="inlineStr">
        <is>
          <t>VSP-604</t>
        </is>
      </c>
      <c r="C173" t="inlineStr">
        <is>
          <t>No. of batches</t>
        </is>
      </c>
      <c r="D173">
        <f>IFERROR(INDEX(PP_Grid[#Data],$DD173,2),0)</f>
        <v/>
      </c>
      <c r="E173">
        <f>IFERROR(INDEX(PP_Grid[#Data],$DD173,3),0)</f>
        <v/>
      </c>
      <c r="F173">
        <f>IFERROR(INDEX(PP_Grid[#Data],$DD173,4),0)</f>
        <v/>
      </c>
      <c r="G173">
        <f>IFERROR(INDEX(PP_Grid[#Data],$DD173,5),0)</f>
        <v/>
      </c>
      <c r="H173">
        <f>IFERROR(INDEX(PP_Grid[#Data],$DD173,6),0)</f>
        <v/>
      </c>
      <c r="I173">
        <f>IFERROR(INDEX(PP_Grid[#Data],$DD173,7),0)</f>
        <v/>
      </c>
      <c r="J173">
        <f>IFERROR(INDEX(PP_Grid[#Data],$DD173,8),0)</f>
        <v/>
      </c>
      <c r="K173">
        <f>IFERROR(INDEX(PP_Grid[#Data],$DD173,9),0)</f>
        <v/>
      </c>
      <c r="L173">
        <f>IFERROR(INDEX(PP_Grid[#Data],$DD173,10),0)</f>
        <v/>
      </c>
      <c r="M173">
        <f>IFERROR(INDEX(PP_Grid[#Data],$DD173,11),0)</f>
        <v/>
      </c>
      <c r="N173">
        <f>IFERROR(INDEX(PP_Grid[#Data],$DD173,12),0)</f>
        <v/>
      </c>
      <c r="O173">
        <f>IFERROR(INDEX(PP_Grid[#Data],$DD173,13),0)</f>
        <v/>
      </c>
      <c r="P173">
        <f>IFERROR(INDEX(PP_Grid[#Data],$DD173,14),0)</f>
        <v/>
      </c>
      <c r="Q173">
        <f>IFERROR(INDEX(PP_Grid[#Data],$DD173,15),0)</f>
        <v/>
      </c>
      <c r="R173">
        <f>IFERROR(INDEX(PP_Grid[#Data],$DD173,16),0)</f>
        <v/>
      </c>
      <c r="S173">
        <f>IFERROR(INDEX(PP_Grid[#Data],$DD173,17),0)</f>
        <v/>
      </c>
      <c r="T173">
        <f>IFERROR(INDEX(PP_Grid[#Data],$DD173,18),0)</f>
        <v/>
      </c>
      <c r="U173">
        <f>IFERROR(INDEX(PP_Grid[#Data],$DD173,19),0)</f>
        <v/>
      </c>
      <c r="V173">
        <f>IFERROR(INDEX(PP_Grid[#Data],$DD173,20),0)</f>
        <v/>
      </c>
      <c r="W173">
        <f>IFERROR(INDEX(PP_Grid[#Data],$DD173,21),0)</f>
        <v/>
      </c>
      <c r="X173">
        <f>IFERROR(INDEX(PP_Grid[#Data],$DD173,22),0)</f>
        <v/>
      </c>
      <c r="Y173">
        <f>IFERROR(INDEX(PP_Grid[#Data],$DD173,23),0)</f>
        <v/>
      </c>
      <c r="Z173">
        <f>IFERROR(INDEX(PP_Grid[#Data],$DD173,24),0)</f>
        <v/>
      </c>
      <c r="AA173">
        <f>IFERROR(INDEX(PP_Grid[#Data],$DD173,25),0)</f>
        <v/>
      </c>
      <c r="AB173">
        <f>IFERROR(INDEX(PP_Grid[#Data],$DD173,26),0)</f>
        <v/>
      </c>
      <c r="AC173">
        <f>IFERROR(INDEX(PP_Grid[#Data],$DD173,27),0)</f>
        <v/>
      </c>
      <c r="AD173">
        <f>IFERROR(INDEX(PP_Grid[#Data],$DD173,28),0)</f>
        <v/>
      </c>
      <c r="AE173">
        <f>IFERROR(INDEX(PP_Grid[#Data],$DD173,29),0)</f>
        <v/>
      </c>
      <c r="AF173">
        <f>IFERROR(INDEX(PP_Grid[#Data],$DD173,30),0)</f>
        <v/>
      </c>
      <c r="AG173">
        <f>IFERROR(INDEX(PP_Grid[#Data],$DD173,31),0)</f>
        <v/>
      </c>
      <c r="AH173">
        <f>IFERROR(INDEX(PP_Grid[#Data],$DD173,32),0)</f>
        <v/>
      </c>
      <c r="AI173">
        <f>IFERROR(INDEX(PP_Grid[#Data],$DD173,33),0)</f>
        <v/>
      </c>
      <c r="AJ173">
        <f>IFERROR(INDEX(PP_Grid[#Data],$DD173,34),0)</f>
        <v/>
      </c>
      <c r="AK173">
        <f>IFERROR(INDEX(PP_Grid[#Data],$DD173,35),0)</f>
        <v/>
      </c>
      <c r="AL173">
        <f>IFERROR(INDEX(PP_Grid[#Data],$DD173,36),0)</f>
        <v/>
      </c>
      <c r="AM173">
        <f>IFERROR(INDEX(PP_Grid[#Data],$DD173,37),0)</f>
        <v/>
      </c>
      <c r="AN173">
        <f>IFERROR(INDEX(PP_Grid[#Data],$DD173,38),0)</f>
        <v/>
      </c>
      <c r="AO173">
        <f>IFERROR(INDEX(PP_Grid[#Data],$DD173,39),0)</f>
        <v/>
      </c>
      <c r="AP173">
        <f>IFERROR(INDEX(PP_Grid[#Data],$DD173,40),0)</f>
        <v/>
      </c>
      <c r="AQ173">
        <f>IFERROR(INDEX(PP_Grid[#Data],$DD173,41),0)</f>
        <v/>
      </c>
      <c r="AR173">
        <f>IFERROR(INDEX(PP_Grid[#Data],$DD173,42),0)</f>
        <v/>
      </c>
      <c r="AS173">
        <f>IFERROR(INDEX(PP_Grid[#Data],$DD173,43),0)</f>
        <v/>
      </c>
      <c r="AT173">
        <f>IFERROR(INDEX(PP_Grid[#Data],$DD173,44),0)</f>
        <v/>
      </c>
      <c r="AU173">
        <f>IFERROR(INDEX(PP_Grid[#Data],$DD173,45),0)</f>
        <v/>
      </c>
      <c r="AV173">
        <f>IFERROR(INDEX(PP_Grid[#Data],$DD173,46),0)</f>
        <v/>
      </c>
      <c r="AW173">
        <f>IFERROR(INDEX(PP_Grid[#Data],$DD173,47),0)</f>
        <v/>
      </c>
      <c r="AX173">
        <f>IFERROR(INDEX(PP_Grid[#Data],$DD173,48),0)</f>
        <v/>
      </c>
      <c r="AY173">
        <f>IFERROR(INDEX(PP_Grid[#Data],$DD173,49),0)</f>
        <v/>
      </c>
      <c r="AZ173">
        <f>IFERROR(INDEX(PP_Grid[#Data],$DD173,50),0)</f>
        <v/>
      </c>
      <c r="BA173">
        <f>IFERROR(INDEX(PP_Grid[#Data],$DD173,51),0)</f>
        <v/>
      </c>
      <c r="BB173">
        <f>IFERROR(INDEX(PP_Grid[#Data],$DD173,52),0)</f>
        <v/>
      </c>
      <c r="BC173">
        <f>IFERROR(INDEX(PP_Grid[#Data],$DD173,53),0)</f>
        <v/>
      </c>
      <c r="BD173">
        <f>IFERROR(INDEX(PP_Grid[#Data],$DD173,54),0)</f>
        <v/>
      </c>
      <c r="BE173">
        <f>IFERROR(INDEX(PP_Grid[#Data],$DD173,55),0)</f>
        <v/>
      </c>
      <c r="BF173">
        <f>IFERROR(INDEX(PP_Grid[#Data],$DD173,56),0)</f>
        <v/>
      </c>
      <c r="BG173">
        <f>IFERROR(INDEX(PP_Grid[#Data],$DD173,57),0)</f>
        <v/>
      </c>
      <c r="BH173">
        <f>IFERROR(INDEX(PP_Grid[#Data],$DD173,58),0)</f>
        <v/>
      </c>
      <c r="BI173">
        <f>IFERROR(INDEX(PP_Grid[#Data],$DD173,59),0)</f>
        <v/>
      </c>
      <c r="BJ173">
        <f>IFERROR(INDEX(PP_Grid[#Data],$DD173,60),0)</f>
        <v/>
      </c>
      <c r="BK173">
        <f>IFERROR(INDEX(PP_Grid[#Data],$DD173,61),0)</f>
        <v/>
      </c>
      <c r="BL173">
        <f>IFERROR(INDEX(PP_Grid[#Data],$DD173,62),0)</f>
        <v/>
      </c>
      <c r="BM173">
        <f>IFERROR(INDEX(PP_Grid[#Data],$DD173,63),0)</f>
        <v/>
      </c>
      <c r="BN173">
        <f>IFERROR(INDEX(PP_Grid[#Data],$DD173,64),0)</f>
        <v/>
      </c>
      <c r="BO173">
        <f>IFERROR(INDEX(PP_Grid[#Data],$DD173,65),0)</f>
        <v/>
      </c>
      <c r="BP173">
        <f>IFERROR(INDEX(PP_Grid[#Data],$DD173,66),0)</f>
        <v/>
      </c>
      <c r="BQ173">
        <f>IFERROR(INDEX(PP_Grid[#Data],$DD173,67),0)</f>
        <v/>
      </c>
      <c r="BR173">
        <f>IFERROR(INDEX(PP_Grid[#Data],$DD173,68),0)</f>
        <v/>
      </c>
      <c r="BS173">
        <f>IFERROR(INDEX(PP_Grid[#Data],$DD173,69),0)</f>
        <v/>
      </c>
      <c r="BT173">
        <f>IFERROR(INDEX(PP_Grid[#Data],$DD173,70),0)</f>
        <v/>
      </c>
      <c r="BU173">
        <f>IFERROR(INDEX(PP_Grid[#Data],$DD173,71),0)</f>
        <v/>
      </c>
      <c r="BV173">
        <f>IFERROR(INDEX(PP_Grid[#Data],$DD173,72),0)</f>
        <v/>
      </c>
      <c r="BW173">
        <f>IFERROR(INDEX(PP_Grid[#Data],$DD173,73),0)</f>
        <v/>
      </c>
      <c r="BX173">
        <f>IFERROR(INDEX(PP_Grid[#Data],$DD173,74),0)</f>
        <v/>
      </c>
      <c r="BY173">
        <f>IFERROR(INDEX(PP_Grid[#Data],$DD173,75),0)</f>
        <v/>
      </c>
      <c r="BZ173">
        <f>IFERROR(INDEX(PP_Grid[#Data],$DD173,76),0)</f>
        <v/>
      </c>
      <c r="CA173">
        <f>IFERROR(INDEX(PP_Grid[#Data],$DD173,77),0)</f>
        <v/>
      </c>
      <c r="CB173">
        <f>IFERROR(INDEX(PP_Grid[#Data],$DD173,78),0)</f>
        <v/>
      </c>
      <c r="CC173">
        <f>IFERROR(INDEX(PP_Grid[#Data],$DD173,79),0)</f>
        <v/>
      </c>
      <c r="CD173">
        <f>IFERROR(INDEX(PP_Grid[#Data],$DD173,80),0)</f>
        <v/>
      </c>
      <c r="CE173">
        <f>IFERROR(INDEX(PP_Grid[#Data],$DD173,81),0)</f>
        <v/>
      </c>
      <c r="CF173">
        <f>IFERROR(INDEX(PP_Grid[#Data],$DD173,82),0)</f>
        <v/>
      </c>
      <c r="CG173">
        <f>IFERROR(INDEX(PP_Grid[#Data],$DD173,83),0)</f>
        <v/>
      </c>
      <c r="CH173">
        <f>IFERROR(INDEX(PP_Grid[#Data],$DD173,84),0)</f>
        <v/>
      </c>
      <c r="CI173">
        <f>IFERROR(INDEX(PP_Grid[#Data],$DD173,85),0)</f>
        <v/>
      </c>
      <c r="CJ173">
        <f>IFERROR(INDEX(PP_Grid[#Data],$DD173,86),0)</f>
        <v/>
      </c>
      <c r="CK173">
        <f>IFERROR(INDEX(PP_Grid[#Data],$DD173,87),0)</f>
        <v/>
      </c>
      <c r="CL173">
        <f>IFERROR(INDEX(PP_Grid[#Data],$DD173,88),0)</f>
        <v/>
      </c>
      <c r="CM173">
        <f>IFERROR(INDEX(PP_Grid[#Data],$DD173,89),0)</f>
        <v/>
      </c>
      <c r="CN173">
        <f>IFERROR(INDEX(PP_Grid[#Data],$DD173,90),0)</f>
        <v/>
      </c>
      <c r="CO173">
        <f>IFERROR(INDEX(PP_Grid[#Data],$DD173,91),0)</f>
        <v/>
      </c>
      <c r="CP173">
        <f>IFERROR(INDEX(PP_Grid[#Data],$DD173,92),0)</f>
        <v/>
      </c>
      <c r="CQ173">
        <f>IFERROR(INDEX(PP_Grid[#Data],$DD173,93),0)</f>
        <v/>
      </c>
      <c r="CR173">
        <f>IFERROR(INDEX(PP_Grid[#Data],$DD173,94),0)</f>
        <v/>
      </c>
      <c r="CS173">
        <f>IFERROR(INDEX(PP_Grid[#Data],$DD173,95),0)</f>
        <v/>
      </c>
      <c r="CT173">
        <f>IFERROR(INDEX(PP_Grid[#Data],$DD173,96),0)</f>
        <v/>
      </c>
      <c r="CU173">
        <f>IFERROR(INDEX(PP_Grid[#Data],$DD173,97),0)</f>
        <v/>
      </c>
      <c r="CV173">
        <f>IFERROR(INDEX(PP_Grid[#Data],$DD173,98),0)</f>
        <v/>
      </c>
      <c r="CW173">
        <f>IFERROR(INDEX(PP_Grid[#Data],$DD173,99),0)</f>
        <v/>
      </c>
      <c r="CX173">
        <f>IFERROR(INDEX(PP_Grid[#Data],$DD173,100),0)</f>
        <v/>
      </c>
      <c r="CY173">
        <f>IFERROR(INDEX(PP_Grid[#Data],$DD173,101),0)</f>
        <v/>
      </c>
      <c r="CZ173">
        <f>IFERROR(INDEX(PP_Grid[#Data],$DD173,102),0)</f>
        <v/>
      </c>
      <c r="DA173">
        <f>IFERROR(INDEX(PP_Grid[#Data],$DD173,103),0)</f>
        <v/>
      </c>
      <c r="DB173">
        <f>IFERROR(INDEX(PP_Grid[#Data],$DD173,104),0)</f>
        <v/>
      </c>
      <c r="DC173">
        <f>IFERROR(INDEX(PP_Grid[#Data],$DD173,105),0)</f>
        <v/>
      </c>
      <c r="DD173" s="7">
        <f>IFERROR(MATCH($B173,PP_Grid[Intermediate],0),99999)</f>
        <v/>
      </c>
    </row>
    <row r="174">
      <c r="B174" t="inlineStr">
        <is>
          <t>使用量(kg)</t>
        </is>
      </c>
      <c r="C174">
        <f>SUMIFS(M_BOM[RM_Qty_Per_Batch],M_BOM[Intermediate],$B173,M_BOM[Part Name],$A44)</f>
        <v/>
      </c>
      <c r="D174">
        <f>$C174*D173</f>
        <v/>
      </c>
      <c r="E174">
        <f>$C174*E173</f>
        <v/>
      </c>
      <c r="F174">
        <f>$C174*F173</f>
        <v/>
      </c>
      <c r="G174">
        <f>$C174*G173</f>
        <v/>
      </c>
      <c r="H174">
        <f>$C174*H173</f>
        <v/>
      </c>
      <c r="I174">
        <f>$C174*I173</f>
        <v/>
      </c>
      <c r="J174">
        <f>$C174*J173</f>
        <v/>
      </c>
      <c r="K174">
        <f>$C174*K173</f>
        <v/>
      </c>
      <c r="L174">
        <f>$C174*L173</f>
        <v/>
      </c>
      <c r="M174">
        <f>$C174*M173</f>
        <v/>
      </c>
      <c r="N174">
        <f>$C174*N173</f>
        <v/>
      </c>
      <c r="O174">
        <f>$C174*O173</f>
        <v/>
      </c>
      <c r="P174">
        <f>$C174*P173</f>
        <v/>
      </c>
      <c r="Q174">
        <f>$C174*Q173</f>
        <v/>
      </c>
      <c r="R174">
        <f>$C174*R173</f>
        <v/>
      </c>
      <c r="S174">
        <f>$C174*S173</f>
        <v/>
      </c>
      <c r="T174">
        <f>$C174*T173</f>
        <v/>
      </c>
      <c r="U174">
        <f>$C174*U173</f>
        <v/>
      </c>
      <c r="V174">
        <f>$C174*V173</f>
        <v/>
      </c>
      <c r="W174">
        <f>$C174*W173</f>
        <v/>
      </c>
      <c r="X174">
        <f>$C174*X173</f>
        <v/>
      </c>
      <c r="Y174">
        <f>$C174*Y173</f>
        <v/>
      </c>
      <c r="Z174">
        <f>$C174*Z173</f>
        <v/>
      </c>
      <c r="AA174">
        <f>$C174*AA173</f>
        <v/>
      </c>
      <c r="AB174">
        <f>$C174*AB173</f>
        <v/>
      </c>
      <c r="AC174">
        <f>$C174*AC173</f>
        <v/>
      </c>
      <c r="AD174">
        <f>$C174*AD173</f>
        <v/>
      </c>
      <c r="AE174">
        <f>$C174*AE173</f>
        <v/>
      </c>
      <c r="AF174">
        <f>$C174*AF173</f>
        <v/>
      </c>
      <c r="AG174">
        <f>$C174*AG173</f>
        <v/>
      </c>
      <c r="AH174">
        <f>$C174*AH173</f>
        <v/>
      </c>
      <c r="AI174">
        <f>$C174*AI173</f>
        <v/>
      </c>
      <c r="AJ174">
        <f>$C174*AJ173</f>
        <v/>
      </c>
      <c r="AK174">
        <f>$C174*AK173</f>
        <v/>
      </c>
      <c r="AL174">
        <f>$C174*AL173</f>
        <v/>
      </c>
      <c r="AM174">
        <f>$C174*AM173</f>
        <v/>
      </c>
      <c r="AN174">
        <f>$C174*AN173</f>
        <v/>
      </c>
      <c r="AO174">
        <f>$C174*AO173</f>
        <v/>
      </c>
      <c r="AP174">
        <f>$C174*AP173</f>
        <v/>
      </c>
      <c r="AQ174">
        <f>$C174*AQ173</f>
        <v/>
      </c>
      <c r="AR174">
        <f>$C174*AR173</f>
        <v/>
      </c>
      <c r="AS174">
        <f>$C174*AS173</f>
        <v/>
      </c>
      <c r="AT174">
        <f>$C174*AT173</f>
        <v/>
      </c>
      <c r="AU174">
        <f>$C174*AU173</f>
        <v/>
      </c>
      <c r="AV174">
        <f>$C174*AV173</f>
        <v/>
      </c>
      <c r="AW174">
        <f>$C174*AW173</f>
        <v/>
      </c>
      <c r="AX174">
        <f>$C174*AX173</f>
        <v/>
      </c>
      <c r="AY174">
        <f>$C174*AY173</f>
        <v/>
      </c>
      <c r="AZ174">
        <f>$C174*AZ173</f>
        <v/>
      </c>
      <c r="BA174">
        <f>$C174*BA173</f>
        <v/>
      </c>
      <c r="BB174">
        <f>$C174*BB173</f>
        <v/>
      </c>
      <c r="BC174">
        <f>$C174*BC173</f>
        <v/>
      </c>
      <c r="BD174">
        <f>$C174*BD173</f>
        <v/>
      </c>
      <c r="BE174">
        <f>$C174*BE173</f>
        <v/>
      </c>
      <c r="BF174">
        <f>$C174*BF173</f>
        <v/>
      </c>
      <c r="BG174">
        <f>$C174*BG173</f>
        <v/>
      </c>
      <c r="BH174">
        <f>$C174*BH173</f>
        <v/>
      </c>
      <c r="BI174">
        <f>$C174*BI173</f>
        <v/>
      </c>
      <c r="BJ174">
        <f>$C174*BJ173</f>
        <v/>
      </c>
      <c r="BK174">
        <f>$C174*BK173</f>
        <v/>
      </c>
      <c r="BL174">
        <f>$C174*BL173</f>
        <v/>
      </c>
      <c r="BM174">
        <f>$C174*BM173</f>
        <v/>
      </c>
      <c r="BN174">
        <f>$C174*BN173</f>
        <v/>
      </c>
      <c r="BO174">
        <f>$C174*BO173</f>
        <v/>
      </c>
      <c r="BP174">
        <f>$C174*BP173</f>
        <v/>
      </c>
      <c r="BQ174">
        <f>$C174*BQ173</f>
        <v/>
      </c>
      <c r="BR174">
        <f>$C174*BR173</f>
        <v/>
      </c>
      <c r="BS174">
        <f>$C174*BS173</f>
        <v/>
      </c>
      <c r="BT174">
        <f>$C174*BT173</f>
        <v/>
      </c>
      <c r="BU174">
        <f>$C174*BU173</f>
        <v/>
      </c>
      <c r="BV174">
        <f>$C174*BV173</f>
        <v/>
      </c>
      <c r="BW174">
        <f>$C174*BW173</f>
        <v/>
      </c>
      <c r="BX174">
        <f>$C174*BX173</f>
        <v/>
      </c>
      <c r="BY174">
        <f>$C174*BY173</f>
        <v/>
      </c>
      <c r="BZ174">
        <f>$C174*BZ173</f>
        <v/>
      </c>
      <c r="CA174">
        <f>$C174*CA173</f>
        <v/>
      </c>
      <c r="CB174">
        <f>$C174*CB173</f>
        <v/>
      </c>
      <c r="CC174">
        <f>$C174*CC173</f>
        <v/>
      </c>
      <c r="CD174">
        <f>$C174*CD173</f>
        <v/>
      </c>
      <c r="CE174">
        <f>$C174*CE173</f>
        <v/>
      </c>
      <c r="CF174">
        <f>$C174*CF173</f>
        <v/>
      </c>
      <c r="CG174">
        <f>$C174*CG173</f>
        <v/>
      </c>
      <c r="CH174">
        <f>$C174*CH173</f>
        <v/>
      </c>
      <c r="CI174">
        <f>$C174*CI173</f>
        <v/>
      </c>
      <c r="CJ174">
        <f>$C174*CJ173</f>
        <v/>
      </c>
      <c r="CK174">
        <f>$C174*CK173</f>
        <v/>
      </c>
      <c r="CL174">
        <f>$C174*CL173</f>
        <v/>
      </c>
      <c r="CM174">
        <f>$C174*CM173</f>
        <v/>
      </c>
      <c r="CN174">
        <f>$C174*CN173</f>
        <v/>
      </c>
      <c r="CO174">
        <f>$C174*CO173</f>
        <v/>
      </c>
      <c r="CP174">
        <f>$C174*CP173</f>
        <v/>
      </c>
      <c r="CQ174">
        <f>$C174*CQ173</f>
        <v/>
      </c>
      <c r="CR174">
        <f>$C174*CR173</f>
        <v/>
      </c>
      <c r="CS174">
        <f>$C174*CS173</f>
        <v/>
      </c>
      <c r="CT174">
        <f>$C174*CT173</f>
        <v/>
      </c>
      <c r="CU174">
        <f>$C174*CU173</f>
        <v/>
      </c>
      <c r="CV174">
        <f>$C174*CV173</f>
        <v/>
      </c>
      <c r="CW174">
        <f>$C174*CW173</f>
        <v/>
      </c>
      <c r="CX174">
        <f>$C174*CX173</f>
        <v/>
      </c>
      <c r="CY174">
        <f>$C174*CY173</f>
        <v/>
      </c>
      <c r="CZ174">
        <f>$C174*CZ173</f>
        <v/>
      </c>
      <c r="DA174">
        <f>$C174*DA173</f>
        <v/>
      </c>
      <c r="DB174">
        <f>$C174*DB173</f>
        <v/>
      </c>
      <c r="DC174">
        <f>$C174*DC173</f>
        <v/>
      </c>
    </row>
    <row r="175">
      <c r="B175" t="inlineStr">
        <is>
          <t>VSP-605</t>
        </is>
      </c>
      <c r="C175" t="inlineStr">
        <is>
          <t>No. of batches</t>
        </is>
      </c>
      <c r="D175">
        <f>IFERROR(INDEX(PP_Grid[#Data],$DD175,2),0)</f>
        <v/>
      </c>
      <c r="E175">
        <f>IFERROR(INDEX(PP_Grid[#Data],$DD175,3),0)</f>
        <v/>
      </c>
      <c r="F175">
        <f>IFERROR(INDEX(PP_Grid[#Data],$DD175,4),0)</f>
        <v/>
      </c>
      <c r="G175">
        <f>IFERROR(INDEX(PP_Grid[#Data],$DD175,5),0)</f>
        <v/>
      </c>
      <c r="H175">
        <f>IFERROR(INDEX(PP_Grid[#Data],$DD175,6),0)</f>
        <v/>
      </c>
      <c r="I175">
        <f>IFERROR(INDEX(PP_Grid[#Data],$DD175,7),0)</f>
        <v/>
      </c>
      <c r="J175">
        <f>IFERROR(INDEX(PP_Grid[#Data],$DD175,8),0)</f>
        <v/>
      </c>
      <c r="K175">
        <f>IFERROR(INDEX(PP_Grid[#Data],$DD175,9),0)</f>
        <v/>
      </c>
      <c r="L175">
        <f>IFERROR(INDEX(PP_Grid[#Data],$DD175,10),0)</f>
        <v/>
      </c>
      <c r="M175">
        <f>IFERROR(INDEX(PP_Grid[#Data],$DD175,11),0)</f>
        <v/>
      </c>
      <c r="N175">
        <f>IFERROR(INDEX(PP_Grid[#Data],$DD175,12),0)</f>
        <v/>
      </c>
      <c r="O175">
        <f>IFERROR(INDEX(PP_Grid[#Data],$DD175,13),0)</f>
        <v/>
      </c>
      <c r="P175">
        <f>IFERROR(INDEX(PP_Grid[#Data],$DD175,14),0)</f>
        <v/>
      </c>
      <c r="Q175">
        <f>IFERROR(INDEX(PP_Grid[#Data],$DD175,15),0)</f>
        <v/>
      </c>
      <c r="R175">
        <f>IFERROR(INDEX(PP_Grid[#Data],$DD175,16),0)</f>
        <v/>
      </c>
      <c r="S175">
        <f>IFERROR(INDEX(PP_Grid[#Data],$DD175,17),0)</f>
        <v/>
      </c>
      <c r="T175">
        <f>IFERROR(INDEX(PP_Grid[#Data],$DD175,18),0)</f>
        <v/>
      </c>
      <c r="U175">
        <f>IFERROR(INDEX(PP_Grid[#Data],$DD175,19),0)</f>
        <v/>
      </c>
      <c r="V175">
        <f>IFERROR(INDEX(PP_Grid[#Data],$DD175,20),0)</f>
        <v/>
      </c>
      <c r="W175">
        <f>IFERROR(INDEX(PP_Grid[#Data],$DD175,21),0)</f>
        <v/>
      </c>
      <c r="X175">
        <f>IFERROR(INDEX(PP_Grid[#Data],$DD175,22),0)</f>
        <v/>
      </c>
      <c r="Y175">
        <f>IFERROR(INDEX(PP_Grid[#Data],$DD175,23),0)</f>
        <v/>
      </c>
      <c r="Z175">
        <f>IFERROR(INDEX(PP_Grid[#Data],$DD175,24),0)</f>
        <v/>
      </c>
      <c r="AA175">
        <f>IFERROR(INDEX(PP_Grid[#Data],$DD175,25),0)</f>
        <v/>
      </c>
      <c r="AB175">
        <f>IFERROR(INDEX(PP_Grid[#Data],$DD175,26),0)</f>
        <v/>
      </c>
      <c r="AC175">
        <f>IFERROR(INDEX(PP_Grid[#Data],$DD175,27),0)</f>
        <v/>
      </c>
      <c r="AD175">
        <f>IFERROR(INDEX(PP_Grid[#Data],$DD175,28),0)</f>
        <v/>
      </c>
      <c r="AE175">
        <f>IFERROR(INDEX(PP_Grid[#Data],$DD175,29),0)</f>
        <v/>
      </c>
      <c r="AF175">
        <f>IFERROR(INDEX(PP_Grid[#Data],$DD175,30),0)</f>
        <v/>
      </c>
      <c r="AG175">
        <f>IFERROR(INDEX(PP_Grid[#Data],$DD175,31),0)</f>
        <v/>
      </c>
      <c r="AH175">
        <f>IFERROR(INDEX(PP_Grid[#Data],$DD175,32),0)</f>
        <v/>
      </c>
      <c r="AI175">
        <f>IFERROR(INDEX(PP_Grid[#Data],$DD175,33),0)</f>
        <v/>
      </c>
      <c r="AJ175">
        <f>IFERROR(INDEX(PP_Grid[#Data],$DD175,34),0)</f>
        <v/>
      </c>
      <c r="AK175">
        <f>IFERROR(INDEX(PP_Grid[#Data],$DD175,35),0)</f>
        <v/>
      </c>
      <c r="AL175">
        <f>IFERROR(INDEX(PP_Grid[#Data],$DD175,36),0)</f>
        <v/>
      </c>
      <c r="AM175">
        <f>IFERROR(INDEX(PP_Grid[#Data],$DD175,37),0)</f>
        <v/>
      </c>
      <c r="AN175">
        <f>IFERROR(INDEX(PP_Grid[#Data],$DD175,38),0)</f>
        <v/>
      </c>
      <c r="AO175">
        <f>IFERROR(INDEX(PP_Grid[#Data],$DD175,39),0)</f>
        <v/>
      </c>
      <c r="AP175">
        <f>IFERROR(INDEX(PP_Grid[#Data],$DD175,40),0)</f>
        <v/>
      </c>
      <c r="AQ175">
        <f>IFERROR(INDEX(PP_Grid[#Data],$DD175,41),0)</f>
        <v/>
      </c>
      <c r="AR175">
        <f>IFERROR(INDEX(PP_Grid[#Data],$DD175,42),0)</f>
        <v/>
      </c>
      <c r="AS175">
        <f>IFERROR(INDEX(PP_Grid[#Data],$DD175,43),0)</f>
        <v/>
      </c>
      <c r="AT175">
        <f>IFERROR(INDEX(PP_Grid[#Data],$DD175,44),0)</f>
        <v/>
      </c>
      <c r="AU175">
        <f>IFERROR(INDEX(PP_Grid[#Data],$DD175,45),0)</f>
        <v/>
      </c>
      <c r="AV175">
        <f>IFERROR(INDEX(PP_Grid[#Data],$DD175,46),0)</f>
        <v/>
      </c>
      <c r="AW175">
        <f>IFERROR(INDEX(PP_Grid[#Data],$DD175,47),0)</f>
        <v/>
      </c>
      <c r="AX175">
        <f>IFERROR(INDEX(PP_Grid[#Data],$DD175,48),0)</f>
        <v/>
      </c>
      <c r="AY175">
        <f>IFERROR(INDEX(PP_Grid[#Data],$DD175,49),0)</f>
        <v/>
      </c>
      <c r="AZ175">
        <f>IFERROR(INDEX(PP_Grid[#Data],$DD175,50),0)</f>
        <v/>
      </c>
      <c r="BA175">
        <f>IFERROR(INDEX(PP_Grid[#Data],$DD175,51),0)</f>
        <v/>
      </c>
      <c r="BB175">
        <f>IFERROR(INDEX(PP_Grid[#Data],$DD175,52),0)</f>
        <v/>
      </c>
      <c r="BC175">
        <f>IFERROR(INDEX(PP_Grid[#Data],$DD175,53),0)</f>
        <v/>
      </c>
      <c r="BD175">
        <f>IFERROR(INDEX(PP_Grid[#Data],$DD175,54),0)</f>
        <v/>
      </c>
      <c r="BE175">
        <f>IFERROR(INDEX(PP_Grid[#Data],$DD175,55),0)</f>
        <v/>
      </c>
      <c r="BF175">
        <f>IFERROR(INDEX(PP_Grid[#Data],$DD175,56),0)</f>
        <v/>
      </c>
      <c r="BG175">
        <f>IFERROR(INDEX(PP_Grid[#Data],$DD175,57),0)</f>
        <v/>
      </c>
      <c r="BH175">
        <f>IFERROR(INDEX(PP_Grid[#Data],$DD175,58),0)</f>
        <v/>
      </c>
      <c r="BI175">
        <f>IFERROR(INDEX(PP_Grid[#Data],$DD175,59),0)</f>
        <v/>
      </c>
      <c r="BJ175">
        <f>IFERROR(INDEX(PP_Grid[#Data],$DD175,60),0)</f>
        <v/>
      </c>
      <c r="BK175">
        <f>IFERROR(INDEX(PP_Grid[#Data],$DD175,61),0)</f>
        <v/>
      </c>
      <c r="BL175">
        <f>IFERROR(INDEX(PP_Grid[#Data],$DD175,62),0)</f>
        <v/>
      </c>
      <c r="BM175">
        <f>IFERROR(INDEX(PP_Grid[#Data],$DD175,63),0)</f>
        <v/>
      </c>
      <c r="BN175">
        <f>IFERROR(INDEX(PP_Grid[#Data],$DD175,64),0)</f>
        <v/>
      </c>
      <c r="BO175">
        <f>IFERROR(INDEX(PP_Grid[#Data],$DD175,65),0)</f>
        <v/>
      </c>
      <c r="BP175">
        <f>IFERROR(INDEX(PP_Grid[#Data],$DD175,66),0)</f>
        <v/>
      </c>
      <c r="BQ175">
        <f>IFERROR(INDEX(PP_Grid[#Data],$DD175,67),0)</f>
        <v/>
      </c>
      <c r="BR175">
        <f>IFERROR(INDEX(PP_Grid[#Data],$DD175,68),0)</f>
        <v/>
      </c>
      <c r="BS175">
        <f>IFERROR(INDEX(PP_Grid[#Data],$DD175,69),0)</f>
        <v/>
      </c>
      <c r="BT175">
        <f>IFERROR(INDEX(PP_Grid[#Data],$DD175,70),0)</f>
        <v/>
      </c>
      <c r="BU175">
        <f>IFERROR(INDEX(PP_Grid[#Data],$DD175,71),0)</f>
        <v/>
      </c>
      <c r="BV175">
        <f>IFERROR(INDEX(PP_Grid[#Data],$DD175,72),0)</f>
        <v/>
      </c>
      <c r="BW175">
        <f>IFERROR(INDEX(PP_Grid[#Data],$DD175,73),0)</f>
        <v/>
      </c>
      <c r="BX175">
        <f>IFERROR(INDEX(PP_Grid[#Data],$DD175,74),0)</f>
        <v/>
      </c>
      <c r="BY175">
        <f>IFERROR(INDEX(PP_Grid[#Data],$DD175,75),0)</f>
        <v/>
      </c>
      <c r="BZ175">
        <f>IFERROR(INDEX(PP_Grid[#Data],$DD175,76),0)</f>
        <v/>
      </c>
      <c r="CA175">
        <f>IFERROR(INDEX(PP_Grid[#Data],$DD175,77),0)</f>
        <v/>
      </c>
      <c r="CB175">
        <f>IFERROR(INDEX(PP_Grid[#Data],$DD175,78),0)</f>
        <v/>
      </c>
      <c r="CC175">
        <f>IFERROR(INDEX(PP_Grid[#Data],$DD175,79),0)</f>
        <v/>
      </c>
      <c r="CD175">
        <f>IFERROR(INDEX(PP_Grid[#Data],$DD175,80),0)</f>
        <v/>
      </c>
      <c r="CE175">
        <f>IFERROR(INDEX(PP_Grid[#Data],$DD175,81),0)</f>
        <v/>
      </c>
      <c r="CF175">
        <f>IFERROR(INDEX(PP_Grid[#Data],$DD175,82),0)</f>
        <v/>
      </c>
      <c r="CG175">
        <f>IFERROR(INDEX(PP_Grid[#Data],$DD175,83),0)</f>
        <v/>
      </c>
      <c r="CH175">
        <f>IFERROR(INDEX(PP_Grid[#Data],$DD175,84),0)</f>
        <v/>
      </c>
      <c r="CI175">
        <f>IFERROR(INDEX(PP_Grid[#Data],$DD175,85),0)</f>
        <v/>
      </c>
      <c r="CJ175">
        <f>IFERROR(INDEX(PP_Grid[#Data],$DD175,86),0)</f>
        <v/>
      </c>
      <c r="CK175">
        <f>IFERROR(INDEX(PP_Grid[#Data],$DD175,87),0)</f>
        <v/>
      </c>
      <c r="CL175">
        <f>IFERROR(INDEX(PP_Grid[#Data],$DD175,88),0)</f>
        <v/>
      </c>
      <c r="CM175">
        <f>IFERROR(INDEX(PP_Grid[#Data],$DD175,89),0)</f>
        <v/>
      </c>
      <c r="CN175">
        <f>IFERROR(INDEX(PP_Grid[#Data],$DD175,90),0)</f>
        <v/>
      </c>
      <c r="CO175">
        <f>IFERROR(INDEX(PP_Grid[#Data],$DD175,91),0)</f>
        <v/>
      </c>
      <c r="CP175">
        <f>IFERROR(INDEX(PP_Grid[#Data],$DD175,92),0)</f>
        <v/>
      </c>
      <c r="CQ175">
        <f>IFERROR(INDEX(PP_Grid[#Data],$DD175,93),0)</f>
        <v/>
      </c>
      <c r="CR175">
        <f>IFERROR(INDEX(PP_Grid[#Data],$DD175,94),0)</f>
        <v/>
      </c>
      <c r="CS175">
        <f>IFERROR(INDEX(PP_Grid[#Data],$DD175,95),0)</f>
        <v/>
      </c>
      <c r="CT175">
        <f>IFERROR(INDEX(PP_Grid[#Data],$DD175,96),0)</f>
        <v/>
      </c>
      <c r="CU175">
        <f>IFERROR(INDEX(PP_Grid[#Data],$DD175,97),0)</f>
        <v/>
      </c>
      <c r="CV175">
        <f>IFERROR(INDEX(PP_Grid[#Data],$DD175,98),0)</f>
        <v/>
      </c>
      <c r="CW175">
        <f>IFERROR(INDEX(PP_Grid[#Data],$DD175,99),0)</f>
        <v/>
      </c>
      <c r="CX175">
        <f>IFERROR(INDEX(PP_Grid[#Data],$DD175,100),0)</f>
        <v/>
      </c>
      <c r="CY175">
        <f>IFERROR(INDEX(PP_Grid[#Data],$DD175,101),0)</f>
        <v/>
      </c>
      <c r="CZ175">
        <f>IFERROR(INDEX(PP_Grid[#Data],$DD175,102),0)</f>
        <v/>
      </c>
      <c r="DA175">
        <f>IFERROR(INDEX(PP_Grid[#Data],$DD175,103),0)</f>
        <v/>
      </c>
      <c r="DB175">
        <f>IFERROR(INDEX(PP_Grid[#Data],$DD175,104),0)</f>
        <v/>
      </c>
      <c r="DC175">
        <f>IFERROR(INDEX(PP_Grid[#Data],$DD175,105),0)</f>
        <v/>
      </c>
      <c r="DD175" s="7">
        <f>IFERROR(MATCH($B175,PP_Grid[Intermediate],0),99999)</f>
        <v/>
      </c>
    </row>
    <row r="176">
      <c r="B176" t="inlineStr">
        <is>
          <t>使用量(kg)</t>
        </is>
      </c>
      <c r="C176">
        <f>SUMIFS(M_BOM[RM_Qty_Per_Batch],M_BOM[Intermediate],$B175,M_BOM[Part Name],$A44)</f>
        <v/>
      </c>
      <c r="D176">
        <f>$C176*D175</f>
        <v/>
      </c>
      <c r="E176">
        <f>$C176*E175</f>
        <v/>
      </c>
      <c r="F176">
        <f>$C176*F175</f>
        <v/>
      </c>
      <c r="G176">
        <f>$C176*G175</f>
        <v/>
      </c>
      <c r="H176">
        <f>$C176*H175</f>
        <v/>
      </c>
      <c r="I176">
        <f>$C176*I175</f>
        <v/>
      </c>
      <c r="J176">
        <f>$C176*J175</f>
        <v/>
      </c>
      <c r="K176">
        <f>$C176*K175</f>
        <v/>
      </c>
      <c r="L176">
        <f>$C176*L175</f>
        <v/>
      </c>
      <c r="M176">
        <f>$C176*M175</f>
        <v/>
      </c>
      <c r="N176">
        <f>$C176*N175</f>
        <v/>
      </c>
      <c r="O176">
        <f>$C176*O175</f>
        <v/>
      </c>
      <c r="P176">
        <f>$C176*P175</f>
        <v/>
      </c>
      <c r="Q176">
        <f>$C176*Q175</f>
        <v/>
      </c>
      <c r="R176">
        <f>$C176*R175</f>
        <v/>
      </c>
      <c r="S176">
        <f>$C176*S175</f>
        <v/>
      </c>
      <c r="T176">
        <f>$C176*T175</f>
        <v/>
      </c>
      <c r="U176">
        <f>$C176*U175</f>
        <v/>
      </c>
      <c r="V176">
        <f>$C176*V175</f>
        <v/>
      </c>
      <c r="W176">
        <f>$C176*W175</f>
        <v/>
      </c>
      <c r="X176">
        <f>$C176*X175</f>
        <v/>
      </c>
      <c r="Y176">
        <f>$C176*Y175</f>
        <v/>
      </c>
      <c r="Z176">
        <f>$C176*Z175</f>
        <v/>
      </c>
      <c r="AA176">
        <f>$C176*AA175</f>
        <v/>
      </c>
      <c r="AB176">
        <f>$C176*AB175</f>
        <v/>
      </c>
      <c r="AC176">
        <f>$C176*AC175</f>
        <v/>
      </c>
      <c r="AD176">
        <f>$C176*AD175</f>
        <v/>
      </c>
      <c r="AE176">
        <f>$C176*AE175</f>
        <v/>
      </c>
      <c r="AF176">
        <f>$C176*AF175</f>
        <v/>
      </c>
      <c r="AG176">
        <f>$C176*AG175</f>
        <v/>
      </c>
      <c r="AH176">
        <f>$C176*AH175</f>
        <v/>
      </c>
      <c r="AI176">
        <f>$C176*AI175</f>
        <v/>
      </c>
      <c r="AJ176">
        <f>$C176*AJ175</f>
        <v/>
      </c>
      <c r="AK176">
        <f>$C176*AK175</f>
        <v/>
      </c>
      <c r="AL176">
        <f>$C176*AL175</f>
        <v/>
      </c>
      <c r="AM176">
        <f>$C176*AM175</f>
        <v/>
      </c>
      <c r="AN176">
        <f>$C176*AN175</f>
        <v/>
      </c>
      <c r="AO176">
        <f>$C176*AO175</f>
        <v/>
      </c>
      <c r="AP176">
        <f>$C176*AP175</f>
        <v/>
      </c>
      <c r="AQ176">
        <f>$C176*AQ175</f>
        <v/>
      </c>
      <c r="AR176">
        <f>$C176*AR175</f>
        <v/>
      </c>
      <c r="AS176">
        <f>$C176*AS175</f>
        <v/>
      </c>
      <c r="AT176">
        <f>$C176*AT175</f>
        <v/>
      </c>
      <c r="AU176">
        <f>$C176*AU175</f>
        <v/>
      </c>
      <c r="AV176">
        <f>$C176*AV175</f>
        <v/>
      </c>
      <c r="AW176">
        <f>$C176*AW175</f>
        <v/>
      </c>
      <c r="AX176">
        <f>$C176*AX175</f>
        <v/>
      </c>
      <c r="AY176">
        <f>$C176*AY175</f>
        <v/>
      </c>
      <c r="AZ176">
        <f>$C176*AZ175</f>
        <v/>
      </c>
      <c r="BA176">
        <f>$C176*BA175</f>
        <v/>
      </c>
      <c r="BB176">
        <f>$C176*BB175</f>
        <v/>
      </c>
      <c r="BC176">
        <f>$C176*BC175</f>
        <v/>
      </c>
      <c r="BD176">
        <f>$C176*BD175</f>
        <v/>
      </c>
      <c r="BE176">
        <f>$C176*BE175</f>
        <v/>
      </c>
      <c r="BF176">
        <f>$C176*BF175</f>
        <v/>
      </c>
      <c r="BG176">
        <f>$C176*BG175</f>
        <v/>
      </c>
      <c r="BH176">
        <f>$C176*BH175</f>
        <v/>
      </c>
      <c r="BI176">
        <f>$C176*BI175</f>
        <v/>
      </c>
      <c r="BJ176">
        <f>$C176*BJ175</f>
        <v/>
      </c>
      <c r="BK176">
        <f>$C176*BK175</f>
        <v/>
      </c>
      <c r="BL176">
        <f>$C176*BL175</f>
        <v/>
      </c>
      <c r="BM176">
        <f>$C176*BM175</f>
        <v/>
      </c>
      <c r="BN176">
        <f>$C176*BN175</f>
        <v/>
      </c>
      <c r="BO176">
        <f>$C176*BO175</f>
        <v/>
      </c>
      <c r="BP176">
        <f>$C176*BP175</f>
        <v/>
      </c>
      <c r="BQ176">
        <f>$C176*BQ175</f>
        <v/>
      </c>
      <c r="BR176">
        <f>$C176*BR175</f>
        <v/>
      </c>
      <c r="BS176">
        <f>$C176*BS175</f>
        <v/>
      </c>
      <c r="BT176">
        <f>$C176*BT175</f>
        <v/>
      </c>
      <c r="BU176">
        <f>$C176*BU175</f>
        <v/>
      </c>
      <c r="BV176">
        <f>$C176*BV175</f>
        <v/>
      </c>
      <c r="BW176">
        <f>$C176*BW175</f>
        <v/>
      </c>
      <c r="BX176">
        <f>$C176*BX175</f>
        <v/>
      </c>
      <c r="BY176">
        <f>$C176*BY175</f>
        <v/>
      </c>
      <c r="BZ176">
        <f>$C176*BZ175</f>
        <v/>
      </c>
      <c r="CA176">
        <f>$C176*CA175</f>
        <v/>
      </c>
      <c r="CB176">
        <f>$C176*CB175</f>
        <v/>
      </c>
      <c r="CC176">
        <f>$C176*CC175</f>
        <v/>
      </c>
      <c r="CD176">
        <f>$C176*CD175</f>
        <v/>
      </c>
      <c r="CE176">
        <f>$C176*CE175</f>
        <v/>
      </c>
      <c r="CF176">
        <f>$C176*CF175</f>
        <v/>
      </c>
      <c r="CG176">
        <f>$C176*CG175</f>
        <v/>
      </c>
      <c r="CH176">
        <f>$C176*CH175</f>
        <v/>
      </c>
      <c r="CI176">
        <f>$C176*CI175</f>
        <v/>
      </c>
      <c r="CJ176">
        <f>$C176*CJ175</f>
        <v/>
      </c>
      <c r="CK176">
        <f>$C176*CK175</f>
        <v/>
      </c>
      <c r="CL176">
        <f>$C176*CL175</f>
        <v/>
      </c>
      <c r="CM176">
        <f>$C176*CM175</f>
        <v/>
      </c>
      <c r="CN176">
        <f>$C176*CN175</f>
        <v/>
      </c>
      <c r="CO176">
        <f>$C176*CO175</f>
        <v/>
      </c>
      <c r="CP176">
        <f>$C176*CP175</f>
        <v/>
      </c>
      <c r="CQ176">
        <f>$C176*CQ175</f>
        <v/>
      </c>
      <c r="CR176">
        <f>$C176*CR175</f>
        <v/>
      </c>
      <c r="CS176">
        <f>$C176*CS175</f>
        <v/>
      </c>
      <c r="CT176">
        <f>$C176*CT175</f>
        <v/>
      </c>
      <c r="CU176">
        <f>$C176*CU175</f>
        <v/>
      </c>
      <c r="CV176">
        <f>$C176*CV175</f>
        <v/>
      </c>
      <c r="CW176">
        <f>$C176*CW175</f>
        <v/>
      </c>
      <c r="CX176">
        <f>$C176*CX175</f>
        <v/>
      </c>
      <c r="CY176">
        <f>$C176*CY175</f>
        <v/>
      </c>
      <c r="CZ176">
        <f>$C176*CZ175</f>
        <v/>
      </c>
      <c r="DA176">
        <f>$C176*DA175</f>
        <v/>
      </c>
      <c r="DB176">
        <f>$C176*DB175</f>
        <v/>
      </c>
      <c r="DC176">
        <f>$C176*DC175</f>
        <v/>
      </c>
    </row>
    <row r="177">
      <c r="B177" t="inlineStr">
        <is>
          <t>VSP-606</t>
        </is>
      </c>
      <c r="C177" t="inlineStr">
        <is>
          <t>No. of batches</t>
        </is>
      </c>
      <c r="D177">
        <f>IFERROR(INDEX(PP_Grid[#Data],$DD177,2),0)</f>
        <v/>
      </c>
      <c r="E177">
        <f>IFERROR(INDEX(PP_Grid[#Data],$DD177,3),0)</f>
        <v/>
      </c>
      <c r="F177">
        <f>IFERROR(INDEX(PP_Grid[#Data],$DD177,4),0)</f>
        <v/>
      </c>
      <c r="G177">
        <f>IFERROR(INDEX(PP_Grid[#Data],$DD177,5),0)</f>
        <v/>
      </c>
      <c r="H177">
        <f>IFERROR(INDEX(PP_Grid[#Data],$DD177,6),0)</f>
        <v/>
      </c>
      <c r="I177">
        <f>IFERROR(INDEX(PP_Grid[#Data],$DD177,7),0)</f>
        <v/>
      </c>
      <c r="J177">
        <f>IFERROR(INDEX(PP_Grid[#Data],$DD177,8),0)</f>
        <v/>
      </c>
      <c r="K177">
        <f>IFERROR(INDEX(PP_Grid[#Data],$DD177,9),0)</f>
        <v/>
      </c>
      <c r="L177">
        <f>IFERROR(INDEX(PP_Grid[#Data],$DD177,10),0)</f>
        <v/>
      </c>
      <c r="M177">
        <f>IFERROR(INDEX(PP_Grid[#Data],$DD177,11),0)</f>
        <v/>
      </c>
      <c r="N177">
        <f>IFERROR(INDEX(PP_Grid[#Data],$DD177,12),0)</f>
        <v/>
      </c>
      <c r="O177">
        <f>IFERROR(INDEX(PP_Grid[#Data],$DD177,13),0)</f>
        <v/>
      </c>
      <c r="P177">
        <f>IFERROR(INDEX(PP_Grid[#Data],$DD177,14),0)</f>
        <v/>
      </c>
      <c r="Q177">
        <f>IFERROR(INDEX(PP_Grid[#Data],$DD177,15),0)</f>
        <v/>
      </c>
      <c r="R177">
        <f>IFERROR(INDEX(PP_Grid[#Data],$DD177,16),0)</f>
        <v/>
      </c>
      <c r="S177">
        <f>IFERROR(INDEX(PP_Grid[#Data],$DD177,17),0)</f>
        <v/>
      </c>
      <c r="T177">
        <f>IFERROR(INDEX(PP_Grid[#Data],$DD177,18),0)</f>
        <v/>
      </c>
      <c r="U177">
        <f>IFERROR(INDEX(PP_Grid[#Data],$DD177,19),0)</f>
        <v/>
      </c>
      <c r="V177">
        <f>IFERROR(INDEX(PP_Grid[#Data],$DD177,20),0)</f>
        <v/>
      </c>
      <c r="W177">
        <f>IFERROR(INDEX(PP_Grid[#Data],$DD177,21),0)</f>
        <v/>
      </c>
      <c r="X177">
        <f>IFERROR(INDEX(PP_Grid[#Data],$DD177,22),0)</f>
        <v/>
      </c>
      <c r="Y177">
        <f>IFERROR(INDEX(PP_Grid[#Data],$DD177,23),0)</f>
        <v/>
      </c>
      <c r="Z177">
        <f>IFERROR(INDEX(PP_Grid[#Data],$DD177,24),0)</f>
        <v/>
      </c>
      <c r="AA177">
        <f>IFERROR(INDEX(PP_Grid[#Data],$DD177,25),0)</f>
        <v/>
      </c>
      <c r="AB177">
        <f>IFERROR(INDEX(PP_Grid[#Data],$DD177,26),0)</f>
        <v/>
      </c>
      <c r="AC177">
        <f>IFERROR(INDEX(PP_Grid[#Data],$DD177,27),0)</f>
        <v/>
      </c>
      <c r="AD177">
        <f>IFERROR(INDEX(PP_Grid[#Data],$DD177,28),0)</f>
        <v/>
      </c>
      <c r="AE177">
        <f>IFERROR(INDEX(PP_Grid[#Data],$DD177,29),0)</f>
        <v/>
      </c>
      <c r="AF177">
        <f>IFERROR(INDEX(PP_Grid[#Data],$DD177,30),0)</f>
        <v/>
      </c>
      <c r="AG177">
        <f>IFERROR(INDEX(PP_Grid[#Data],$DD177,31),0)</f>
        <v/>
      </c>
      <c r="AH177">
        <f>IFERROR(INDEX(PP_Grid[#Data],$DD177,32),0)</f>
        <v/>
      </c>
      <c r="AI177">
        <f>IFERROR(INDEX(PP_Grid[#Data],$DD177,33),0)</f>
        <v/>
      </c>
      <c r="AJ177">
        <f>IFERROR(INDEX(PP_Grid[#Data],$DD177,34),0)</f>
        <v/>
      </c>
      <c r="AK177">
        <f>IFERROR(INDEX(PP_Grid[#Data],$DD177,35),0)</f>
        <v/>
      </c>
      <c r="AL177">
        <f>IFERROR(INDEX(PP_Grid[#Data],$DD177,36),0)</f>
        <v/>
      </c>
      <c r="AM177">
        <f>IFERROR(INDEX(PP_Grid[#Data],$DD177,37),0)</f>
        <v/>
      </c>
      <c r="AN177">
        <f>IFERROR(INDEX(PP_Grid[#Data],$DD177,38),0)</f>
        <v/>
      </c>
      <c r="AO177">
        <f>IFERROR(INDEX(PP_Grid[#Data],$DD177,39),0)</f>
        <v/>
      </c>
      <c r="AP177">
        <f>IFERROR(INDEX(PP_Grid[#Data],$DD177,40),0)</f>
        <v/>
      </c>
      <c r="AQ177">
        <f>IFERROR(INDEX(PP_Grid[#Data],$DD177,41),0)</f>
        <v/>
      </c>
      <c r="AR177">
        <f>IFERROR(INDEX(PP_Grid[#Data],$DD177,42),0)</f>
        <v/>
      </c>
      <c r="AS177">
        <f>IFERROR(INDEX(PP_Grid[#Data],$DD177,43),0)</f>
        <v/>
      </c>
      <c r="AT177">
        <f>IFERROR(INDEX(PP_Grid[#Data],$DD177,44),0)</f>
        <v/>
      </c>
      <c r="AU177">
        <f>IFERROR(INDEX(PP_Grid[#Data],$DD177,45),0)</f>
        <v/>
      </c>
      <c r="AV177">
        <f>IFERROR(INDEX(PP_Grid[#Data],$DD177,46),0)</f>
        <v/>
      </c>
      <c r="AW177">
        <f>IFERROR(INDEX(PP_Grid[#Data],$DD177,47),0)</f>
        <v/>
      </c>
      <c r="AX177">
        <f>IFERROR(INDEX(PP_Grid[#Data],$DD177,48),0)</f>
        <v/>
      </c>
      <c r="AY177">
        <f>IFERROR(INDEX(PP_Grid[#Data],$DD177,49),0)</f>
        <v/>
      </c>
      <c r="AZ177">
        <f>IFERROR(INDEX(PP_Grid[#Data],$DD177,50),0)</f>
        <v/>
      </c>
      <c r="BA177">
        <f>IFERROR(INDEX(PP_Grid[#Data],$DD177,51),0)</f>
        <v/>
      </c>
      <c r="BB177">
        <f>IFERROR(INDEX(PP_Grid[#Data],$DD177,52),0)</f>
        <v/>
      </c>
      <c r="BC177">
        <f>IFERROR(INDEX(PP_Grid[#Data],$DD177,53),0)</f>
        <v/>
      </c>
      <c r="BD177">
        <f>IFERROR(INDEX(PP_Grid[#Data],$DD177,54),0)</f>
        <v/>
      </c>
      <c r="BE177">
        <f>IFERROR(INDEX(PP_Grid[#Data],$DD177,55),0)</f>
        <v/>
      </c>
      <c r="BF177">
        <f>IFERROR(INDEX(PP_Grid[#Data],$DD177,56),0)</f>
        <v/>
      </c>
      <c r="BG177">
        <f>IFERROR(INDEX(PP_Grid[#Data],$DD177,57),0)</f>
        <v/>
      </c>
      <c r="BH177">
        <f>IFERROR(INDEX(PP_Grid[#Data],$DD177,58),0)</f>
        <v/>
      </c>
      <c r="BI177">
        <f>IFERROR(INDEX(PP_Grid[#Data],$DD177,59),0)</f>
        <v/>
      </c>
      <c r="BJ177">
        <f>IFERROR(INDEX(PP_Grid[#Data],$DD177,60),0)</f>
        <v/>
      </c>
      <c r="BK177">
        <f>IFERROR(INDEX(PP_Grid[#Data],$DD177,61),0)</f>
        <v/>
      </c>
      <c r="BL177">
        <f>IFERROR(INDEX(PP_Grid[#Data],$DD177,62),0)</f>
        <v/>
      </c>
      <c r="BM177">
        <f>IFERROR(INDEX(PP_Grid[#Data],$DD177,63),0)</f>
        <v/>
      </c>
      <c r="BN177">
        <f>IFERROR(INDEX(PP_Grid[#Data],$DD177,64),0)</f>
        <v/>
      </c>
      <c r="BO177">
        <f>IFERROR(INDEX(PP_Grid[#Data],$DD177,65),0)</f>
        <v/>
      </c>
      <c r="BP177">
        <f>IFERROR(INDEX(PP_Grid[#Data],$DD177,66),0)</f>
        <v/>
      </c>
      <c r="BQ177">
        <f>IFERROR(INDEX(PP_Grid[#Data],$DD177,67),0)</f>
        <v/>
      </c>
      <c r="BR177">
        <f>IFERROR(INDEX(PP_Grid[#Data],$DD177,68),0)</f>
        <v/>
      </c>
      <c r="BS177">
        <f>IFERROR(INDEX(PP_Grid[#Data],$DD177,69),0)</f>
        <v/>
      </c>
      <c r="BT177">
        <f>IFERROR(INDEX(PP_Grid[#Data],$DD177,70),0)</f>
        <v/>
      </c>
      <c r="BU177">
        <f>IFERROR(INDEX(PP_Grid[#Data],$DD177,71),0)</f>
        <v/>
      </c>
      <c r="BV177">
        <f>IFERROR(INDEX(PP_Grid[#Data],$DD177,72),0)</f>
        <v/>
      </c>
      <c r="BW177">
        <f>IFERROR(INDEX(PP_Grid[#Data],$DD177,73),0)</f>
        <v/>
      </c>
      <c r="BX177">
        <f>IFERROR(INDEX(PP_Grid[#Data],$DD177,74),0)</f>
        <v/>
      </c>
      <c r="BY177">
        <f>IFERROR(INDEX(PP_Grid[#Data],$DD177,75),0)</f>
        <v/>
      </c>
      <c r="BZ177">
        <f>IFERROR(INDEX(PP_Grid[#Data],$DD177,76),0)</f>
        <v/>
      </c>
      <c r="CA177">
        <f>IFERROR(INDEX(PP_Grid[#Data],$DD177,77),0)</f>
        <v/>
      </c>
      <c r="CB177">
        <f>IFERROR(INDEX(PP_Grid[#Data],$DD177,78),0)</f>
        <v/>
      </c>
      <c r="CC177">
        <f>IFERROR(INDEX(PP_Grid[#Data],$DD177,79),0)</f>
        <v/>
      </c>
      <c r="CD177">
        <f>IFERROR(INDEX(PP_Grid[#Data],$DD177,80),0)</f>
        <v/>
      </c>
      <c r="CE177">
        <f>IFERROR(INDEX(PP_Grid[#Data],$DD177,81),0)</f>
        <v/>
      </c>
      <c r="CF177">
        <f>IFERROR(INDEX(PP_Grid[#Data],$DD177,82),0)</f>
        <v/>
      </c>
      <c r="CG177">
        <f>IFERROR(INDEX(PP_Grid[#Data],$DD177,83),0)</f>
        <v/>
      </c>
      <c r="CH177">
        <f>IFERROR(INDEX(PP_Grid[#Data],$DD177,84),0)</f>
        <v/>
      </c>
      <c r="CI177">
        <f>IFERROR(INDEX(PP_Grid[#Data],$DD177,85),0)</f>
        <v/>
      </c>
      <c r="CJ177">
        <f>IFERROR(INDEX(PP_Grid[#Data],$DD177,86),0)</f>
        <v/>
      </c>
      <c r="CK177">
        <f>IFERROR(INDEX(PP_Grid[#Data],$DD177,87),0)</f>
        <v/>
      </c>
      <c r="CL177">
        <f>IFERROR(INDEX(PP_Grid[#Data],$DD177,88),0)</f>
        <v/>
      </c>
      <c r="CM177">
        <f>IFERROR(INDEX(PP_Grid[#Data],$DD177,89),0)</f>
        <v/>
      </c>
      <c r="CN177">
        <f>IFERROR(INDEX(PP_Grid[#Data],$DD177,90),0)</f>
        <v/>
      </c>
      <c r="CO177">
        <f>IFERROR(INDEX(PP_Grid[#Data],$DD177,91),0)</f>
        <v/>
      </c>
      <c r="CP177">
        <f>IFERROR(INDEX(PP_Grid[#Data],$DD177,92),0)</f>
        <v/>
      </c>
      <c r="CQ177">
        <f>IFERROR(INDEX(PP_Grid[#Data],$DD177,93),0)</f>
        <v/>
      </c>
      <c r="CR177">
        <f>IFERROR(INDEX(PP_Grid[#Data],$DD177,94),0)</f>
        <v/>
      </c>
      <c r="CS177">
        <f>IFERROR(INDEX(PP_Grid[#Data],$DD177,95),0)</f>
        <v/>
      </c>
      <c r="CT177">
        <f>IFERROR(INDEX(PP_Grid[#Data],$DD177,96),0)</f>
        <v/>
      </c>
      <c r="CU177">
        <f>IFERROR(INDEX(PP_Grid[#Data],$DD177,97),0)</f>
        <v/>
      </c>
      <c r="CV177">
        <f>IFERROR(INDEX(PP_Grid[#Data],$DD177,98),0)</f>
        <v/>
      </c>
      <c r="CW177">
        <f>IFERROR(INDEX(PP_Grid[#Data],$DD177,99),0)</f>
        <v/>
      </c>
      <c r="CX177">
        <f>IFERROR(INDEX(PP_Grid[#Data],$DD177,100),0)</f>
        <v/>
      </c>
      <c r="CY177">
        <f>IFERROR(INDEX(PP_Grid[#Data],$DD177,101),0)</f>
        <v/>
      </c>
      <c r="CZ177">
        <f>IFERROR(INDEX(PP_Grid[#Data],$DD177,102),0)</f>
        <v/>
      </c>
      <c r="DA177">
        <f>IFERROR(INDEX(PP_Grid[#Data],$DD177,103),0)</f>
        <v/>
      </c>
      <c r="DB177">
        <f>IFERROR(INDEX(PP_Grid[#Data],$DD177,104),0)</f>
        <v/>
      </c>
      <c r="DC177">
        <f>IFERROR(INDEX(PP_Grid[#Data],$DD177,105),0)</f>
        <v/>
      </c>
      <c r="DD177" s="7">
        <f>IFERROR(MATCH($B177,PP_Grid[Intermediate],0),99999)</f>
        <v/>
      </c>
    </row>
    <row r="178">
      <c r="B178" t="inlineStr">
        <is>
          <t>使用量(kg)</t>
        </is>
      </c>
      <c r="C178">
        <f>SUMIFS(M_BOM[RM_Qty_Per_Batch],M_BOM[Intermediate],$B177,M_BOM[Part Name],$A44)</f>
        <v/>
      </c>
      <c r="D178">
        <f>$C178*D177</f>
        <v/>
      </c>
      <c r="E178">
        <f>$C178*E177</f>
        <v/>
      </c>
      <c r="F178">
        <f>$C178*F177</f>
        <v/>
      </c>
      <c r="G178">
        <f>$C178*G177</f>
        <v/>
      </c>
      <c r="H178">
        <f>$C178*H177</f>
        <v/>
      </c>
      <c r="I178">
        <f>$C178*I177</f>
        <v/>
      </c>
      <c r="J178">
        <f>$C178*J177</f>
        <v/>
      </c>
      <c r="K178">
        <f>$C178*K177</f>
        <v/>
      </c>
      <c r="L178">
        <f>$C178*L177</f>
        <v/>
      </c>
      <c r="M178">
        <f>$C178*M177</f>
        <v/>
      </c>
      <c r="N178">
        <f>$C178*N177</f>
        <v/>
      </c>
      <c r="O178">
        <f>$C178*O177</f>
        <v/>
      </c>
      <c r="P178">
        <f>$C178*P177</f>
        <v/>
      </c>
      <c r="Q178">
        <f>$C178*Q177</f>
        <v/>
      </c>
      <c r="R178">
        <f>$C178*R177</f>
        <v/>
      </c>
      <c r="S178">
        <f>$C178*S177</f>
        <v/>
      </c>
      <c r="T178">
        <f>$C178*T177</f>
        <v/>
      </c>
      <c r="U178">
        <f>$C178*U177</f>
        <v/>
      </c>
      <c r="V178">
        <f>$C178*V177</f>
        <v/>
      </c>
      <c r="W178">
        <f>$C178*W177</f>
        <v/>
      </c>
      <c r="X178">
        <f>$C178*X177</f>
        <v/>
      </c>
      <c r="Y178">
        <f>$C178*Y177</f>
        <v/>
      </c>
      <c r="Z178">
        <f>$C178*Z177</f>
        <v/>
      </c>
      <c r="AA178">
        <f>$C178*AA177</f>
        <v/>
      </c>
      <c r="AB178">
        <f>$C178*AB177</f>
        <v/>
      </c>
      <c r="AC178">
        <f>$C178*AC177</f>
        <v/>
      </c>
      <c r="AD178">
        <f>$C178*AD177</f>
        <v/>
      </c>
      <c r="AE178">
        <f>$C178*AE177</f>
        <v/>
      </c>
      <c r="AF178">
        <f>$C178*AF177</f>
        <v/>
      </c>
      <c r="AG178">
        <f>$C178*AG177</f>
        <v/>
      </c>
      <c r="AH178">
        <f>$C178*AH177</f>
        <v/>
      </c>
      <c r="AI178">
        <f>$C178*AI177</f>
        <v/>
      </c>
      <c r="AJ178">
        <f>$C178*AJ177</f>
        <v/>
      </c>
      <c r="AK178">
        <f>$C178*AK177</f>
        <v/>
      </c>
      <c r="AL178">
        <f>$C178*AL177</f>
        <v/>
      </c>
      <c r="AM178">
        <f>$C178*AM177</f>
        <v/>
      </c>
      <c r="AN178">
        <f>$C178*AN177</f>
        <v/>
      </c>
      <c r="AO178">
        <f>$C178*AO177</f>
        <v/>
      </c>
      <c r="AP178">
        <f>$C178*AP177</f>
        <v/>
      </c>
      <c r="AQ178">
        <f>$C178*AQ177</f>
        <v/>
      </c>
      <c r="AR178">
        <f>$C178*AR177</f>
        <v/>
      </c>
      <c r="AS178">
        <f>$C178*AS177</f>
        <v/>
      </c>
      <c r="AT178">
        <f>$C178*AT177</f>
        <v/>
      </c>
      <c r="AU178">
        <f>$C178*AU177</f>
        <v/>
      </c>
      <c r="AV178">
        <f>$C178*AV177</f>
        <v/>
      </c>
      <c r="AW178">
        <f>$C178*AW177</f>
        <v/>
      </c>
      <c r="AX178">
        <f>$C178*AX177</f>
        <v/>
      </c>
      <c r="AY178">
        <f>$C178*AY177</f>
        <v/>
      </c>
      <c r="AZ178">
        <f>$C178*AZ177</f>
        <v/>
      </c>
      <c r="BA178">
        <f>$C178*BA177</f>
        <v/>
      </c>
      <c r="BB178">
        <f>$C178*BB177</f>
        <v/>
      </c>
      <c r="BC178">
        <f>$C178*BC177</f>
        <v/>
      </c>
      <c r="BD178">
        <f>$C178*BD177</f>
        <v/>
      </c>
      <c r="BE178">
        <f>$C178*BE177</f>
        <v/>
      </c>
      <c r="BF178">
        <f>$C178*BF177</f>
        <v/>
      </c>
      <c r="BG178">
        <f>$C178*BG177</f>
        <v/>
      </c>
      <c r="BH178">
        <f>$C178*BH177</f>
        <v/>
      </c>
      <c r="BI178">
        <f>$C178*BI177</f>
        <v/>
      </c>
      <c r="BJ178">
        <f>$C178*BJ177</f>
        <v/>
      </c>
      <c r="BK178">
        <f>$C178*BK177</f>
        <v/>
      </c>
      <c r="BL178">
        <f>$C178*BL177</f>
        <v/>
      </c>
      <c r="BM178">
        <f>$C178*BM177</f>
        <v/>
      </c>
      <c r="BN178">
        <f>$C178*BN177</f>
        <v/>
      </c>
      <c r="BO178">
        <f>$C178*BO177</f>
        <v/>
      </c>
      <c r="BP178">
        <f>$C178*BP177</f>
        <v/>
      </c>
      <c r="BQ178">
        <f>$C178*BQ177</f>
        <v/>
      </c>
      <c r="BR178">
        <f>$C178*BR177</f>
        <v/>
      </c>
      <c r="BS178">
        <f>$C178*BS177</f>
        <v/>
      </c>
      <c r="BT178">
        <f>$C178*BT177</f>
        <v/>
      </c>
      <c r="BU178">
        <f>$C178*BU177</f>
        <v/>
      </c>
      <c r="BV178">
        <f>$C178*BV177</f>
        <v/>
      </c>
      <c r="BW178">
        <f>$C178*BW177</f>
        <v/>
      </c>
      <c r="BX178">
        <f>$C178*BX177</f>
        <v/>
      </c>
      <c r="BY178">
        <f>$C178*BY177</f>
        <v/>
      </c>
      <c r="BZ178">
        <f>$C178*BZ177</f>
        <v/>
      </c>
      <c r="CA178">
        <f>$C178*CA177</f>
        <v/>
      </c>
      <c r="CB178">
        <f>$C178*CB177</f>
        <v/>
      </c>
      <c r="CC178">
        <f>$C178*CC177</f>
        <v/>
      </c>
      <c r="CD178">
        <f>$C178*CD177</f>
        <v/>
      </c>
      <c r="CE178">
        <f>$C178*CE177</f>
        <v/>
      </c>
      <c r="CF178">
        <f>$C178*CF177</f>
        <v/>
      </c>
      <c r="CG178">
        <f>$C178*CG177</f>
        <v/>
      </c>
      <c r="CH178">
        <f>$C178*CH177</f>
        <v/>
      </c>
      <c r="CI178">
        <f>$C178*CI177</f>
        <v/>
      </c>
      <c r="CJ178">
        <f>$C178*CJ177</f>
        <v/>
      </c>
      <c r="CK178">
        <f>$C178*CK177</f>
        <v/>
      </c>
      <c r="CL178">
        <f>$C178*CL177</f>
        <v/>
      </c>
      <c r="CM178">
        <f>$C178*CM177</f>
        <v/>
      </c>
      <c r="CN178">
        <f>$C178*CN177</f>
        <v/>
      </c>
      <c r="CO178">
        <f>$C178*CO177</f>
        <v/>
      </c>
      <c r="CP178">
        <f>$C178*CP177</f>
        <v/>
      </c>
      <c r="CQ178">
        <f>$C178*CQ177</f>
        <v/>
      </c>
      <c r="CR178">
        <f>$C178*CR177</f>
        <v/>
      </c>
      <c r="CS178">
        <f>$C178*CS177</f>
        <v/>
      </c>
      <c r="CT178">
        <f>$C178*CT177</f>
        <v/>
      </c>
      <c r="CU178">
        <f>$C178*CU177</f>
        <v/>
      </c>
      <c r="CV178">
        <f>$C178*CV177</f>
        <v/>
      </c>
      <c r="CW178">
        <f>$C178*CW177</f>
        <v/>
      </c>
      <c r="CX178">
        <f>$C178*CX177</f>
        <v/>
      </c>
      <c r="CY178">
        <f>$C178*CY177</f>
        <v/>
      </c>
      <c r="CZ178">
        <f>$C178*CZ177</f>
        <v/>
      </c>
      <c r="DA178">
        <f>$C178*DA177</f>
        <v/>
      </c>
      <c r="DB178">
        <f>$C178*DB177</f>
        <v/>
      </c>
      <c r="DC178">
        <f>$C178*DC177</f>
        <v/>
      </c>
    </row>
    <row r="179">
      <c r="B179" t="inlineStr">
        <is>
          <t>VSP-607</t>
        </is>
      </c>
      <c r="C179" t="inlineStr">
        <is>
          <t>No. of batches</t>
        </is>
      </c>
      <c r="D179">
        <f>IFERROR(INDEX(PP_Grid[#Data],$DD179,2),0)</f>
        <v/>
      </c>
      <c r="E179">
        <f>IFERROR(INDEX(PP_Grid[#Data],$DD179,3),0)</f>
        <v/>
      </c>
      <c r="F179">
        <f>IFERROR(INDEX(PP_Grid[#Data],$DD179,4),0)</f>
        <v/>
      </c>
      <c r="G179">
        <f>IFERROR(INDEX(PP_Grid[#Data],$DD179,5),0)</f>
        <v/>
      </c>
      <c r="H179">
        <f>IFERROR(INDEX(PP_Grid[#Data],$DD179,6),0)</f>
        <v/>
      </c>
      <c r="I179">
        <f>IFERROR(INDEX(PP_Grid[#Data],$DD179,7),0)</f>
        <v/>
      </c>
      <c r="J179">
        <f>IFERROR(INDEX(PP_Grid[#Data],$DD179,8),0)</f>
        <v/>
      </c>
      <c r="K179">
        <f>IFERROR(INDEX(PP_Grid[#Data],$DD179,9),0)</f>
        <v/>
      </c>
      <c r="L179">
        <f>IFERROR(INDEX(PP_Grid[#Data],$DD179,10),0)</f>
        <v/>
      </c>
      <c r="M179">
        <f>IFERROR(INDEX(PP_Grid[#Data],$DD179,11),0)</f>
        <v/>
      </c>
      <c r="N179">
        <f>IFERROR(INDEX(PP_Grid[#Data],$DD179,12),0)</f>
        <v/>
      </c>
      <c r="O179">
        <f>IFERROR(INDEX(PP_Grid[#Data],$DD179,13),0)</f>
        <v/>
      </c>
      <c r="P179">
        <f>IFERROR(INDEX(PP_Grid[#Data],$DD179,14),0)</f>
        <v/>
      </c>
      <c r="Q179">
        <f>IFERROR(INDEX(PP_Grid[#Data],$DD179,15),0)</f>
        <v/>
      </c>
      <c r="R179">
        <f>IFERROR(INDEX(PP_Grid[#Data],$DD179,16),0)</f>
        <v/>
      </c>
      <c r="S179">
        <f>IFERROR(INDEX(PP_Grid[#Data],$DD179,17),0)</f>
        <v/>
      </c>
      <c r="T179">
        <f>IFERROR(INDEX(PP_Grid[#Data],$DD179,18),0)</f>
        <v/>
      </c>
      <c r="U179">
        <f>IFERROR(INDEX(PP_Grid[#Data],$DD179,19),0)</f>
        <v/>
      </c>
      <c r="V179">
        <f>IFERROR(INDEX(PP_Grid[#Data],$DD179,20),0)</f>
        <v/>
      </c>
      <c r="W179">
        <f>IFERROR(INDEX(PP_Grid[#Data],$DD179,21),0)</f>
        <v/>
      </c>
      <c r="X179">
        <f>IFERROR(INDEX(PP_Grid[#Data],$DD179,22),0)</f>
        <v/>
      </c>
      <c r="Y179">
        <f>IFERROR(INDEX(PP_Grid[#Data],$DD179,23),0)</f>
        <v/>
      </c>
      <c r="Z179">
        <f>IFERROR(INDEX(PP_Grid[#Data],$DD179,24),0)</f>
        <v/>
      </c>
      <c r="AA179">
        <f>IFERROR(INDEX(PP_Grid[#Data],$DD179,25),0)</f>
        <v/>
      </c>
      <c r="AB179">
        <f>IFERROR(INDEX(PP_Grid[#Data],$DD179,26),0)</f>
        <v/>
      </c>
      <c r="AC179">
        <f>IFERROR(INDEX(PP_Grid[#Data],$DD179,27),0)</f>
        <v/>
      </c>
      <c r="AD179">
        <f>IFERROR(INDEX(PP_Grid[#Data],$DD179,28),0)</f>
        <v/>
      </c>
      <c r="AE179">
        <f>IFERROR(INDEX(PP_Grid[#Data],$DD179,29),0)</f>
        <v/>
      </c>
      <c r="AF179">
        <f>IFERROR(INDEX(PP_Grid[#Data],$DD179,30),0)</f>
        <v/>
      </c>
      <c r="AG179">
        <f>IFERROR(INDEX(PP_Grid[#Data],$DD179,31),0)</f>
        <v/>
      </c>
      <c r="AH179">
        <f>IFERROR(INDEX(PP_Grid[#Data],$DD179,32),0)</f>
        <v/>
      </c>
      <c r="AI179">
        <f>IFERROR(INDEX(PP_Grid[#Data],$DD179,33),0)</f>
        <v/>
      </c>
      <c r="AJ179">
        <f>IFERROR(INDEX(PP_Grid[#Data],$DD179,34),0)</f>
        <v/>
      </c>
      <c r="AK179">
        <f>IFERROR(INDEX(PP_Grid[#Data],$DD179,35),0)</f>
        <v/>
      </c>
      <c r="AL179">
        <f>IFERROR(INDEX(PP_Grid[#Data],$DD179,36),0)</f>
        <v/>
      </c>
      <c r="AM179">
        <f>IFERROR(INDEX(PP_Grid[#Data],$DD179,37),0)</f>
        <v/>
      </c>
      <c r="AN179">
        <f>IFERROR(INDEX(PP_Grid[#Data],$DD179,38),0)</f>
        <v/>
      </c>
      <c r="AO179">
        <f>IFERROR(INDEX(PP_Grid[#Data],$DD179,39),0)</f>
        <v/>
      </c>
      <c r="AP179">
        <f>IFERROR(INDEX(PP_Grid[#Data],$DD179,40),0)</f>
        <v/>
      </c>
      <c r="AQ179">
        <f>IFERROR(INDEX(PP_Grid[#Data],$DD179,41),0)</f>
        <v/>
      </c>
      <c r="AR179">
        <f>IFERROR(INDEX(PP_Grid[#Data],$DD179,42),0)</f>
        <v/>
      </c>
      <c r="AS179">
        <f>IFERROR(INDEX(PP_Grid[#Data],$DD179,43),0)</f>
        <v/>
      </c>
      <c r="AT179">
        <f>IFERROR(INDEX(PP_Grid[#Data],$DD179,44),0)</f>
        <v/>
      </c>
      <c r="AU179">
        <f>IFERROR(INDEX(PP_Grid[#Data],$DD179,45),0)</f>
        <v/>
      </c>
      <c r="AV179">
        <f>IFERROR(INDEX(PP_Grid[#Data],$DD179,46),0)</f>
        <v/>
      </c>
      <c r="AW179">
        <f>IFERROR(INDEX(PP_Grid[#Data],$DD179,47),0)</f>
        <v/>
      </c>
      <c r="AX179">
        <f>IFERROR(INDEX(PP_Grid[#Data],$DD179,48),0)</f>
        <v/>
      </c>
      <c r="AY179">
        <f>IFERROR(INDEX(PP_Grid[#Data],$DD179,49),0)</f>
        <v/>
      </c>
      <c r="AZ179">
        <f>IFERROR(INDEX(PP_Grid[#Data],$DD179,50),0)</f>
        <v/>
      </c>
      <c r="BA179">
        <f>IFERROR(INDEX(PP_Grid[#Data],$DD179,51),0)</f>
        <v/>
      </c>
      <c r="BB179">
        <f>IFERROR(INDEX(PP_Grid[#Data],$DD179,52),0)</f>
        <v/>
      </c>
      <c r="BC179">
        <f>IFERROR(INDEX(PP_Grid[#Data],$DD179,53),0)</f>
        <v/>
      </c>
      <c r="BD179">
        <f>IFERROR(INDEX(PP_Grid[#Data],$DD179,54),0)</f>
        <v/>
      </c>
      <c r="BE179">
        <f>IFERROR(INDEX(PP_Grid[#Data],$DD179,55),0)</f>
        <v/>
      </c>
      <c r="BF179">
        <f>IFERROR(INDEX(PP_Grid[#Data],$DD179,56),0)</f>
        <v/>
      </c>
      <c r="BG179">
        <f>IFERROR(INDEX(PP_Grid[#Data],$DD179,57),0)</f>
        <v/>
      </c>
      <c r="BH179">
        <f>IFERROR(INDEX(PP_Grid[#Data],$DD179,58),0)</f>
        <v/>
      </c>
      <c r="BI179">
        <f>IFERROR(INDEX(PP_Grid[#Data],$DD179,59),0)</f>
        <v/>
      </c>
      <c r="BJ179">
        <f>IFERROR(INDEX(PP_Grid[#Data],$DD179,60),0)</f>
        <v/>
      </c>
      <c r="BK179">
        <f>IFERROR(INDEX(PP_Grid[#Data],$DD179,61),0)</f>
        <v/>
      </c>
      <c r="BL179">
        <f>IFERROR(INDEX(PP_Grid[#Data],$DD179,62),0)</f>
        <v/>
      </c>
      <c r="BM179">
        <f>IFERROR(INDEX(PP_Grid[#Data],$DD179,63),0)</f>
        <v/>
      </c>
      <c r="BN179">
        <f>IFERROR(INDEX(PP_Grid[#Data],$DD179,64),0)</f>
        <v/>
      </c>
      <c r="BO179">
        <f>IFERROR(INDEX(PP_Grid[#Data],$DD179,65),0)</f>
        <v/>
      </c>
      <c r="BP179">
        <f>IFERROR(INDEX(PP_Grid[#Data],$DD179,66),0)</f>
        <v/>
      </c>
      <c r="BQ179">
        <f>IFERROR(INDEX(PP_Grid[#Data],$DD179,67),0)</f>
        <v/>
      </c>
      <c r="BR179">
        <f>IFERROR(INDEX(PP_Grid[#Data],$DD179,68),0)</f>
        <v/>
      </c>
      <c r="BS179">
        <f>IFERROR(INDEX(PP_Grid[#Data],$DD179,69),0)</f>
        <v/>
      </c>
      <c r="BT179">
        <f>IFERROR(INDEX(PP_Grid[#Data],$DD179,70),0)</f>
        <v/>
      </c>
      <c r="BU179">
        <f>IFERROR(INDEX(PP_Grid[#Data],$DD179,71),0)</f>
        <v/>
      </c>
      <c r="BV179">
        <f>IFERROR(INDEX(PP_Grid[#Data],$DD179,72),0)</f>
        <v/>
      </c>
      <c r="BW179">
        <f>IFERROR(INDEX(PP_Grid[#Data],$DD179,73),0)</f>
        <v/>
      </c>
      <c r="BX179">
        <f>IFERROR(INDEX(PP_Grid[#Data],$DD179,74),0)</f>
        <v/>
      </c>
      <c r="BY179">
        <f>IFERROR(INDEX(PP_Grid[#Data],$DD179,75),0)</f>
        <v/>
      </c>
      <c r="BZ179">
        <f>IFERROR(INDEX(PP_Grid[#Data],$DD179,76),0)</f>
        <v/>
      </c>
      <c r="CA179">
        <f>IFERROR(INDEX(PP_Grid[#Data],$DD179,77),0)</f>
        <v/>
      </c>
      <c r="CB179">
        <f>IFERROR(INDEX(PP_Grid[#Data],$DD179,78),0)</f>
        <v/>
      </c>
      <c r="CC179">
        <f>IFERROR(INDEX(PP_Grid[#Data],$DD179,79),0)</f>
        <v/>
      </c>
      <c r="CD179">
        <f>IFERROR(INDEX(PP_Grid[#Data],$DD179,80),0)</f>
        <v/>
      </c>
      <c r="CE179">
        <f>IFERROR(INDEX(PP_Grid[#Data],$DD179,81),0)</f>
        <v/>
      </c>
      <c r="CF179">
        <f>IFERROR(INDEX(PP_Grid[#Data],$DD179,82),0)</f>
        <v/>
      </c>
      <c r="CG179">
        <f>IFERROR(INDEX(PP_Grid[#Data],$DD179,83),0)</f>
        <v/>
      </c>
      <c r="CH179">
        <f>IFERROR(INDEX(PP_Grid[#Data],$DD179,84),0)</f>
        <v/>
      </c>
      <c r="CI179">
        <f>IFERROR(INDEX(PP_Grid[#Data],$DD179,85),0)</f>
        <v/>
      </c>
      <c r="CJ179">
        <f>IFERROR(INDEX(PP_Grid[#Data],$DD179,86),0)</f>
        <v/>
      </c>
      <c r="CK179">
        <f>IFERROR(INDEX(PP_Grid[#Data],$DD179,87),0)</f>
        <v/>
      </c>
      <c r="CL179">
        <f>IFERROR(INDEX(PP_Grid[#Data],$DD179,88),0)</f>
        <v/>
      </c>
      <c r="CM179">
        <f>IFERROR(INDEX(PP_Grid[#Data],$DD179,89),0)</f>
        <v/>
      </c>
      <c r="CN179">
        <f>IFERROR(INDEX(PP_Grid[#Data],$DD179,90),0)</f>
        <v/>
      </c>
      <c r="CO179">
        <f>IFERROR(INDEX(PP_Grid[#Data],$DD179,91),0)</f>
        <v/>
      </c>
      <c r="CP179">
        <f>IFERROR(INDEX(PP_Grid[#Data],$DD179,92),0)</f>
        <v/>
      </c>
      <c r="CQ179">
        <f>IFERROR(INDEX(PP_Grid[#Data],$DD179,93),0)</f>
        <v/>
      </c>
      <c r="CR179">
        <f>IFERROR(INDEX(PP_Grid[#Data],$DD179,94),0)</f>
        <v/>
      </c>
      <c r="CS179">
        <f>IFERROR(INDEX(PP_Grid[#Data],$DD179,95),0)</f>
        <v/>
      </c>
      <c r="CT179">
        <f>IFERROR(INDEX(PP_Grid[#Data],$DD179,96),0)</f>
        <v/>
      </c>
      <c r="CU179">
        <f>IFERROR(INDEX(PP_Grid[#Data],$DD179,97),0)</f>
        <v/>
      </c>
      <c r="CV179">
        <f>IFERROR(INDEX(PP_Grid[#Data],$DD179,98),0)</f>
        <v/>
      </c>
      <c r="CW179">
        <f>IFERROR(INDEX(PP_Grid[#Data],$DD179,99),0)</f>
        <v/>
      </c>
      <c r="CX179">
        <f>IFERROR(INDEX(PP_Grid[#Data],$DD179,100),0)</f>
        <v/>
      </c>
      <c r="CY179">
        <f>IFERROR(INDEX(PP_Grid[#Data],$DD179,101),0)</f>
        <v/>
      </c>
      <c r="CZ179">
        <f>IFERROR(INDEX(PP_Grid[#Data],$DD179,102),0)</f>
        <v/>
      </c>
      <c r="DA179">
        <f>IFERROR(INDEX(PP_Grid[#Data],$DD179,103),0)</f>
        <v/>
      </c>
      <c r="DB179">
        <f>IFERROR(INDEX(PP_Grid[#Data],$DD179,104),0)</f>
        <v/>
      </c>
      <c r="DC179">
        <f>IFERROR(INDEX(PP_Grid[#Data],$DD179,105),0)</f>
        <v/>
      </c>
      <c r="DD179" s="7">
        <f>IFERROR(MATCH($B179,PP_Grid[Intermediate],0),99999)</f>
        <v/>
      </c>
    </row>
    <row r="180">
      <c r="B180" t="inlineStr">
        <is>
          <t>使用量(kg)</t>
        </is>
      </c>
      <c r="C180">
        <f>SUMIFS(M_BOM[RM_Qty_Per_Batch],M_BOM[Intermediate],$B179,M_BOM[Part Name],$A44)</f>
        <v/>
      </c>
      <c r="D180">
        <f>$C180*D179</f>
        <v/>
      </c>
      <c r="E180">
        <f>$C180*E179</f>
        <v/>
      </c>
      <c r="F180">
        <f>$C180*F179</f>
        <v/>
      </c>
      <c r="G180">
        <f>$C180*G179</f>
        <v/>
      </c>
      <c r="H180">
        <f>$C180*H179</f>
        <v/>
      </c>
      <c r="I180">
        <f>$C180*I179</f>
        <v/>
      </c>
      <c r="J180">
        <f>$C180*J179</f>
        <v/>
      </c>
      <c r="K180">
        <f>$C180*K179</f>
        <v/>
      </c>
      <c r="L180">
        <f>$C180*L179</f>
        <v/>
      </c>
      <c r="M180">
        <f>$C180*M179</f>
        <v/>
      </c>
      <c r="N180">
        <f>$C180*N179</f>
        <v/>
      </c>
      <c r="O180">
        <f>$C180*O179</f>
        <v/>
      </c>
      <c r="P180">
        <f>$C180*P179</f>
        <v/>
      </c>
      <c r="Q180">
        <f>$C180*Q179</f>
        <v/>
      </c>
      <c r="R180">
        <f>$C180*R179</f>
        <v/>
      </c>
      <c r="S180">
        <f>$C180*S179</f>
        <v/>
      </c>
      <c r="T180">
        <f>$C180*T179</f>
        <v/>
      </c>
      <c r="U180">
        <f>$C180*U179</f>
        <v/>
      </c>
      <c r="V180">
        <f>$C180*V179</f>
        <v/>
      </c>
      <c r="W180">
        <f>$C180*W179</f>
        <v/>
      </c>
      <c r="X180">
        <f>$C180*X179</f>
        <v/>
      </c>
      <c r="Y180">
        <f>$C180*Y179</f>
        <v/>
      </c>
      <c r="Z180">
        <f>$C180*Z179</f>
        <v/>
      </c>
      <c r="AA180">
        <f>$C180*AA179</f>
        <v/>
      </c>
      <c r="AB180">
        <f>$C180*AB179</f>
        <v/>
      </c>
      <c r="AC180">
        <f>$C180*AC179</f>
        <v/>
      </c>
      <c r="AD180">
        <f>$C180*AD179</f>
        <v/>
      </c>
      <c r="AE180">
        <f>$C180*AE179</f>
        <v/>
      </c>
      <c r="AF180">
        <f>$C180*AF179</f>
        <v/>
      </c>
      <c r="AG180">
        <f>$C180*AG179</f>
        <v/>
      </c>
      <c r="AH180">
        <f>$C180*AH179</f>
        <v/>
      </c>
      <c r="AI180">
        <f>$C180*AI179</f>
        <v/>
      </c>
      <c r="AJ180">
        <f>$C180*AJ179</f>
        <v/>
      </c>
      <c r="AK180">
        <f>$C180*AK179</f>
        <v/>
      </c>
      <c r="AL180">
        <f>$C180*AL179</f>
        <v/>
      </c>
      <c r="AM180">
        <f>$C180*AM179</f>
        <v/>
      </c>
      <c r="AN180">
        <f>$C180*AN179</f>
        <v/>
      </c>
      <c r="AO180">
        <f>$C180*AO179</f>
        <v/>
      </c>
      <c r="AP180">
        <f>$C180*AP179</f>
        <v/>
      </c>
      <c r="AQ180">
        <f>$C180*AQ179</f>
        <v/>
      </c>
      <c r="AR180">
        <f>$C180*AR179</f>
        <v/>
      </c>
      <c r="AS180">
        <f>$C180*AS179</f>
        <v/>
      </c>
      <c r="AT180">
        <f>$C180*AT179</f>
        <v/>
      </c>
      <c r="AU180">
        <f>$C180*AU179</f>
        <v/>
      </c>
      <c r="AV180">
        <f>$C180*AV179</f>
        <v/>
      </c>
      <c r="AW180">
        <f>$C180*AW179</f>
        <v/>
      </c>
      <c r="AX180">
        <f>$C180*AX179</f>
        <v/>
      </c>
      <c r="AY180">
        <f>$C180*AY179</f>
        <v/>
      </c>
      <c r="AZ180">
        <f>$C180*AZ179</f>
        <v/>
      </c>
      <c r="BA180">
        <f>$C180*BA179</f>
        <v/>
      </c>
      <c r="BB180">
        <f>$C180*BB179</f>
        <v/>
      </c>
      <c r="BC180">
        <f>$C180*BC179</f>
        <v/>
      </c>
      <c r="BD180">
        <f>$C180*BD179</f>
        <v/>
      </c>
      <c r="BE180">
        <f>$C180*BE179</f>
        <v/>
      </c>
      <c r="BF180">
        <f>$C180*BF179</f>
        <v/>
      </c>
      <c r="BG180">
        <f>$C180*BG179</f>
        <v/>
      </c>
      <c r="BH180">
        <f>$C180*BH179</f>
        <v/>
      </c>
      <c r="BI180">
        <f>$C180*BI179</f>
        <v/>
      </c>
      <c r="BJ180">
        <f>$C180*BJ179</f>
        <v/>
      </c>
      <c r="BK180">
        <f>$C180*BK179</f>
        <v/>
      </c>
      <c r="BL180">
        <f>$C180*BL179</f>
        <v/>
      </c>
      <c r="BM180">
        <f>$C180*BM179</f>
        <v/>
      </c>
      <c r="BN180">
        <f>$C180*BN179</f>
        <v/>
      </c>
      <c r="BO180">
        <f>$C180*BO179</f>
        <v/>
      </c>
      <c r="BP180">
        <f>$C180*BP179</f>
        <v/>
      </c>
      <c r="BQ180">
        <f>$C180*BQ179</f>
        <v/>
      </c>
      <c r="BR180">
        <f>$C180*BR179</f>
        <v/>
      </c>
      <c r="BS180">
        <f>$C180*BS179</f>
        <v/>
      </c>
      <c r="BT180">
        <f>$C180*BT179</f>
        <v/>
      </c>
      <c r="BU180">
        <f>$C180*BU179</f>
        <v/>
      </c>
      <c r="BV180">
        <f>$C180*BV179</f>
        <v/>
      </c>
      <c r="BW180">
        <f>$C180*BW179</f>
        <v/>
      </c>
      <c r="BX180">
        <f>$C180*BX179</f>
        <v/>
      </c>
      <c r="BY180">
        <f>$C180*BY179</f>
        <v/>
      </c>
      <c r="BZ180">
        <f>$C180*BZ179</f>
        <v/>
      </c>
      <c r="CA180">
        <f>$C180*CA179</f>
        <v/>
      </c>
      <c r="CB180">
        <f>$C180*CB179</f>
        <v/>
      </c>
      <c r="CC180">
        <f>$C180*CC179</f>
        <v/>
      </c>
      <c r="CD180">
        <f>$C180*CD179</f>
        <v/>
      </c>
      <c r="CE180">
        <f>$C180*CE179</f>
        <v/>
      </c>
      <c r="CF180">
        <f>$C180*CF179</f>
        <v/>
      </c>
      <c r="CG180">
        <f>$C180*CG179</f>
        <v/>
      </c>
      <c r="CH180">
        <f>$C180*CH179</f>
        <v/>
      </c>
      <c r="CI180">
        <f>$C180*CI179</f>
        <v/>
      </c>
      <c r="CJ180">
        <f>$C180*CJ179</f>
        <v/>
      </c>
      <c r="CK180">
        <f>$C180*CK179</f>
        <v/>
      </c>
      <c r="CL180">
        <f>$C180*CL179</f>
        <v/>
      </c>
      <c r="CM180">
        <f>$C180*CM179</f>
        <v/>
      </c>
      <c r="CN180">
        <f>$C180*CN179</f>
        <v/>
      </c>
      <c r="CO180">
        <f>$C180*CO179</f>
        <v/>
      </c>
      <c r="CP180">
        <f>$C180*CP179</f>
        <v/>
      </c>
      <c r="CQ180">
        <f>$C180*CQ179</f>
        <v/>
      </c>
      <c r="CR180">
        <f>$C180*CR179</f>
        <v/>
      </c>
      <c r="CS180">
        <f>$C180*CS179</f>
        <v/>
      </c>
      <c r="CT180">
        <f>$C180*CT179</f>
        <v/>
      </c>
      <c r="CU180">
        <f>$C180*CU179</f>
        <v/>
      </c>
      <c r="CV180">
        <f>$C180*CV179</f>
        <v/>
      </c>
      <c r="CW180">
        <f>$C180*CW179</f>
        <v/>
      </c>
      <c r="CX180">
        <f>$C180*CX179</f>
        <v/>
      </c>
      <c r="CY180">
        <f>$C180*CY179</f>
        <v/>
      </c>
      <c r="CZ180">
        <f>$C180*CZ179</f>
        <v/>
      </c>
      <c r="DA180">
        <f>$C180*DA179</f>
        <v/>
      </c>
      <c r="DB180">
        <f>$C180*DB179</f>
        <v/>
      </c>
      <c r="DC180">
        <f>$C180*DC179</f>
        <v/>
      </c>
    </row>
    <row r="181">
      <c r="B181" t="inlineStr">
        <is>
          <t>VSP-738</t>
        </is>
      </c>
      <c r="C181" t="inlineStr">
        <is>
          <t>No. of batches</t>
        </is>
      </c>
      <c r="D181">
        <f>IFERROR(INDEX(PP_Grid[#Data],$DD181,2),0)</f>
        <v/>
      </c>
      <c r="E181">
        <f>IFERROR(INDEX(PP_Grid[#Data],$DD181,3),0)</f>
        <v/>
      </c>
      <c r="F181">
        <f>IFERROR(INDEX(PP_Grid[#Data],$DD181,4),0)</f>
        <v/>
      </c>
      <c r="G181">
        <f>IFERROR(INDEX(PP_Grid[#Data],$DD181,5),0)</f>
        <v/>
      </c>
      <c r="H181">
        <f>IFERROR(INDEX(PP_Grid[#Data],$DD181,6),0)</f>
        <v/>
      </c>
      <c r="I181">
        <f>IFERROR(INDEX(PP_Grid[#Data],$DD181,7),0)</f>
        <v/>
      </c>
      <c r="J181">
        <f>IFERROR(INDEX(PP_Grid[#Data],$DD181,8),0)</f>
        <v/>
      </c>
      <c r="K181">
        <f>IFERROR(INDEX(PP_Grid[#Data],$DD181,9),0)</f>
        <v/>
      </c>
      <c r="L181">
        <f>IFERROR(INDEX(PP_Grid[#Data],$DD181,10),0)</f>
        <v/>
      </c>
      <c r="M181">
        <f>IFERROR(INDEX(PP_Grid[#Data],$DD181,11),0)</f>
        <v/>
      </c>
      <c r="N181">
        <f>IFERROR(INDEX(PP_Grid[#Data],$DD181,12),0)</f>
        <v/>
      </c>
      <c r="O181">
        <f>IFERROR(INDEX(PP_Grid[#Data],$DD181,13),0)</f>
        <v/>
      </c>
      <c r="P181">
        <f>IFERROR(INDEX(PP_Grid[#Data],$DD181,14),0)</f>
        <v/>
      </c>
      <c r="Q181">
        <f>IFERROR(INDEX(PP_Grid[#Data],$DD181,15),0)</f>
        <v/>
      </c>
      <c r="R181">
        <f>IFERROR(INDEX(PP_Grid[#Data],$DD181,16),0)</f>
        <v/>
      </c>
      <c r="S181">
        <f>IFERROR(INDEX(PP_Grid[#Data],$DD181,17),0)</f>
        <v/>
      </c>
      <c r="T181">
        <f>IFERROR(INDEX(PP_Grid[#Data],$DD181,18),0)</f>
        <v/>
      </c>
      <c r="U181">
        <f>IFERROR(INDEX(PP_Grid[#Data],$DD181,19),0)</f>
        <v/>
      </c>
      <c r="V181">
        <f>IFERROR(INDEX(PP_Grid[#Data],$DD181,20),0)</f>
        <v/>
      </c>
      <c r="W181">
        <f>IFERROR(INDEX(PP_Grid[#Data],$DD181,21),0)</f>
        <v/>
      </c>
      <c r="X181">
        <f>IFERROR(INDEX(PP_Grid[#Data],$DD181,22),0)</f>
        <v/>
      </c>
      <c r="Y181">
        <f>IFERROR(INDEX(PP_Grid[#Data],$DD181,23),0)</f>
        <v/>
      </c>
      <c r="Z181">
        <f>IFERROR(INDEX(PP_Grid[#Data],$DD181,24),0)</f>
        <v/>
      </c>
      <c r="AA181">
        <f>IFERROR(INDEX(PP_Grid[#Data],$DD181,25),0)</f>
        <v/>
      </c>
      <c r="AB181">
        <f>IFERROR(INDEX(PP_Grid[#Data],$DD181,26),0)</f>
        <v/>
      </c>
      <c r="AC181">
        <f>IFERROR(INDEX(PP_Grid[#Data],$DD181,27),0)</f>
        <v/>
      </c>
      <c r="AD181">
        <f>IFERROR(INDEX(PP_Grid[#Data],$DD181,28),0)</f>
        <v/>
      </c>
      <c r="AE181">
        <f>IFERROR(INDEX(PP_Grid[#Data],$DD181,29),0)</f>
        <v/>
      </c>
      <c r="AF181">
        <f>IFERROR(INDEX(PP_Grid[#Data],$DD181,30),0)</f>
        <v/>
      </c>
      <c r="AG181">
        <f>IFERROR(INDEX(PP_Grid[#Data],$DD181,31),0)</f>
        <v/>
      </c>
      <c r="AH181">
        <f>IFERROR(INDEX(PP_Grid[#Data],$DD181,32),0)</f>
        <v/>
      </c>
      <c r="AI181">
        <f>IFERROR(INDEX(PP_Grid[#Data],$DD181,33),0)</f>
        <v/>
      </c>
      <c r="AJ181">
        <f>IFERROR(INDEX(PP_Grid[#Data],$DD181,34),0)</f>
        <v/>
      </c>
      <c r="AK181">
        <f>IFERROR(INDEX(PP_Grid[#Data],$DD181,35),0)</f>
        <v/>
      </c>
      <c r="AL181">
        <f>IFERROR(INDEX(PP_Grid[#Data],$DD181,36),0)</f>
        <v/>
      </c>
      <c r="AM181">
        <f>IFERROR(INDEX(PP_Grid[#Data],$DD181,37),0)</f>
        <v/>
      </c>
      <c r="AN181">
        <f>IFERROR(INDEX(PP_Grid[#Data],$DD181,38),0)</f>
        <v/>
      </c>
      <c r="AO181">
        <f>IFERROR(INDEX(PP_Grid[#Data],$DD181,39),0)</f>
        <v/>
      </c>
      <c r="AP181">
        <f>IFERROR(INDEX(PP_Grid[#Data],$DD181,40),0)</f>
        <v/>
      </c>
      <c r="AQ181">
        <f>IFERROR(INDEX(PP_Grid[#Data],$DD181,41),0)</f>
        <v/>
      </c>
      <c r="AR181">
        <f>IFERROR(INDEX(PP_Grid[#Data],$DD181,42),0)</f>
        <v/>
      </c>
      <c r="AS181">
        <f>IFERROR(INDEX(PP_Grid[#Data],$DD181,43),0)</f>
        <v/>
      </c>
      <c r="AT181">
        <f>IFERROR(INDEX(PP_Grid[#Data],$DD181,44),0)</f>
        <v/>
      </c>
      <c r="AU181">
        <f>IFERROR(INDEX(PP_Grid[#Data],$DD181,45),0)</f>
        <v/>
      </c>
      <c r="AV181">
        <f>IFERROR(INDEX(PP_Grid[#Data],$DD181,46),0)</f>
        <v/>
      </c>
      <c r="AW181">
        <f>IFERROR(INDEX(PP_Grid[#Data],$DD181,47),0)</f>
        <v/>
      </c>
      <c r="AX181">
        <f>IFERROR(INDEX(PP_Grid[#Data],$DD181,48),0)</f>
        <v/>
      </c>
      <c r="AY181">
        <f>IFERROR(INDEX(PP_Grid[#Data],$DD181,49),0)</f>
        <v/>
      </c>
      <c r="AZ181">
        <f>IFERROR(INDEX(PP_Grid[#Data],$DD181,50),0)</f>
        <v/>
      </c>
      <c r="BA181">
        <f>IFERROR(INDEX(PP_Grid[#Data],$DD181,51),0)</f>
        <v/>
      </c>
      <c r="BB181">
        <f>IFERROR(INDEX(PP_Grid[#Data],$DD181,52),0)</f>
        <v/>
      </c>
      <c r="BC181">
        <f>IFERROR(INDEX(PP_Grid[#Data],$DD181,53),0)</f>
        <v/>
      </c>
      <c r="BD181">
        <f>IFERROR(INDEX(PP_Grid[#Data],$DD181,54),0)</f>
        <v/>
      </c>
      <c r="BE181">
        <f>IFERROR(INDEX(PP_Grid[#Data],$DD181,55),0)</f>
        <v/>
      </c>
      <c r="BF181">
        <f>IFERROR(INDEX(PP_Grid[#Data],$DD181,56),0)</f>
        <v/>
      </c>
      <c r="BG181">
        <f>IFERROR(INDEX(PP_Grid[#Data],$DD181,57),0)</f>
        <v/>
      </c>
      <c r="BH181">
        <f>IFERROR(INDEX(PP_Grid[#Data],$DD181,58),0)</f>
        <v/>
      </c>
      <c r="BI181">
        <f>IFERROR(INDEX(PP_Grid[#Data],$DD181,59),0)</f>
        <v/>
      </c>
      <c r="BJ181">
        <f>IFERROR(INDEX(PP_Grid[#Data],$DD181,60),0)</f>
        <v/>
      </c>
      <c r="BK181">
        <f>IFERROR(INDEX(PP_Grid[#Data],$DD181,61),0)</f>
        <v/>
      </c>
      <c r="BL181">
        <f>IFERROR(INDEX(PP_Grid[#Data],$DD181,62),0)</f>
        <v/>
      </c>
      <c r="BM181">
        <f>IFERROR(INDEX(PP_Grid[#Data],$DD181,63),0)</f>
        <v/>
      </c>
      <c r="BN181">
        <f>IFERROR(INDEX(PP_Grid[#Data],$DD181,64),0)</f>
        <v/>
      </c>
      <c r="BO181">
        <f>IFERROR(INDEX(PP_Grid[#Data],$DD181,65),0)</f>
        <v/>
      </c>
      <c r="BP181">
        <f>IFERROR(INDEX(PP_Grid[#Data],$DD181,66),0)</f>
        <v/>
      </c>
      <c r="BQ181">
        <f>IFERROR(INDEX(PP_Grid[#Data],$DD181,67),0)</f>
        <v/>
      </c>
      <c r="BR181">
        <f>IFERROR(INDEX(PP_Grid[#Data],$DD181,68),0)</f>
        <v/>
      </c>
      <c r="BS181">
        <f>IFERROR(INDEX(PP_Grid[#Data],$DD181,69),0)</f>
        <v/>
      </c>
      <c r="BT181">
        <f>IFERROR(INDEX(PP_Grid[#Data],$DD181,70),0)</f>
        <v/>
      </c>
      <c r="BU181">
        <f>IFERROR(INDEX(PP_Grid[#Data],$DD181,71),0)</f>
        <v/>
      </c>
      <c r="BV181">
        <f>IFERROR(INDEX(PP_Grid[#Data],$DD181,72),0)</f>
        <v/>
      </c>
      <c r="BW181">
        <f>IFERROR(INDEX(PP_Grid[#Data],$DD181,73),0)</f>
        <v/>
      </c>
      <c r="BX181">
        <f>IFERROR(INDEX(PP_Grid[#Data],$DD181,74),0)</f>
        <v/>
      </c>
      <c r="BY181">
        <f>IFERROR(INDEX(PP_Grid[#Data],$DD181,75),0)</f>
        <v/>
      </c>
      <c r="BZ181">
        <f>IFERROR(INDEX(PP_Grid[#Data],$DD181,76),0)</f>
        <v/>
      </c>
      <c r="CA181">
        <f>IFERROR(INDEX(PP_Grid[#Data],$DD181,77),0)</f>
        <v/>
      </c>
      <c r="CB181">
        <f>IFERROR(INDEX(PP_Grid[#Data],$DD181,78),0)</f>
        <v/>
      </c>
      <c r="CC181">
        <f>IFERROR(INDEX(PP_Grid[#Data],$DD181,79),0)</f>
        <v/>
      </c>
      <c r="CD181">
        <f>IFERROR(INDEX(PP_Grid[#Data],$DD181,80),0)</f>
        <v/>
      </c>
      <c r="CE181">
        <f>IFERROR(INDEX(PP_Grid[#Data],$DD181,81),0)</f>
        <v/>
      </c>
      <c r="CF181">
        <f>IFERROR(INDEX(PP_Grid[#Data],$DD181,82),0)</f>
        <v/>
      </c>
      <c r="CG181">
        <f>IFERROR(INDEX(PP_Grid[#Data],$DD181,83),0)</f>
        <v/>
      </c>
      <c r="CH181">
        <f>IFERROR(INDEX(PP_Grid[#Data],$DD181,84),0)</f>
        <v/>
      </c>
      <c r="CI181">
        <f>IFERROR(INDEX(PP_Grid[#Data],$DD181,85),0)</f>
        <v/>
      </c>
      <c r="CJ181">
        <f>IFERROR(INDEX(PP_Grid[#Data],$DD181,86),0)</f>
        <v/>
      </c>
      <c r="CK181">
        <f>IFERROR(INDEX(PP_Grid[#Data],$DD181,87),0)</f>
        <v/>
      </c>
      <c r="CL181">
        <f>IFERROR(INDEX(PP_Grid[#Data],$DD181,88),0)</f>
        <v/>
      </c>
      <c r="CM181">
        <f>IFERROR(INDEX(PP_Grid[#Data],$DD181,89),0)</f>
        <v/>
      </c>
      <c r="CN181">
        <f>IFERROR(INDEX(PP_Grid[#Data],$DD181,90),0)</f>
        <v/>
      </c>
      <c r="CO181">
        <f>IFERROR(INDEX(PP_Grid[#Data],$DD181,91),0)</f>
        <v/>
      </c>
      <c r="CP181">
        <f>IFERROR(INDEX(PP_Grid[#Data],$DD181,92),0)</f>
        <v/>
      </c>
      <c r="CQ181">
        <f>IFERROR(INDEX(PP_Grid[#Data],$DD181,93),0)</f>
        <v/>
      </c>
      <c r="CR181">
        <f>IFERROR(INDEX(PP_Grid[#Data],$DD181,94),0)</f>
        <v/>
      </c>
      <c r="CS181">
        <f>IFERROR(INDEX(PP_Grid[#Data],$DD181,95),0)</f>
        <v/>
      </c>
      <c r="CT181">
        <f>IFERROR(INDEX(PP_Grid[#Data],$DD181,96),0)</f>
        <v/>
      </c>
      <c r="CU181">
        <f>IFERROR(INDEX(PP_Grid[#Data],$DD181,97),0)</f>
        <v/>
      </c>
      <c r="CV181">
        <f>IFERROR(INDEX(PP_Grid[#Data],$DD181,98),0)</f>
        <v/>
      </c>
      <c r="CW181">
        <f>IFERROR(INDEX(PP_Grid[#Data],$DD181,99),0)</f>
        <v/>
      </c>
      <c r="CX181">
        <f>IFERROR(INDEX(PP_Grid[#Data],$DD181,100),0)</f>
        <v/>
      </c>
      <c r="CY181">
        <f>IFERROR(INDEX(PP_Grid[#Data],$DD181,101),0)</f>
        <v/>
      </c>
      <c r="CZ181">
        <f>IFERROR(INDEX(PP_Grid[#Data],$DD181,102),0)</f>
        <v/>
      </c>
      <c r="DA181">
        <f>IFERROR(INDEX(PP_Grid[#Data],$DD181,103),0)</f>
        <v/>
      </c>
      <c r="DB181">
        <f>IFERROR(INDEX(PP_Grid[#Data],$DD181,104),0)</f>
        <v/>
      </c>
      <c r="DC181">
        <f>IFERROR(INDEX(PP_Grid[#Data],$DD181,105),0)</f>
        <v/>
      </c>
      <c r="DD181" s="7">
        <f>IFERROR(MATCH($B181,PP_Grid[Intermediate],0),99999)</f>
        <v/>
      </c>
    </row>
    <row r="182">
      <c r="B182" t="inlineStr">
        <is>
          <t>使用量(kg)</t>
        </is>
      </c>
      <c r="C182">
        <f>SUMIFS(M_BOM[RM_Qty_Per_Batch],M_BOM[Intermediate],$B181,M_BOM[Part Name],$A44)</f>
        <v/>
      </c>
      <c r="D182">
        <f>$C182*D181</f>
        <v/>
      </c>
      <c r="E182">
        <f>$C182*E181</f>
        <v/>
      </c>
      <c r="F182">
        <f>$C182*F181</f>
        <v/>
      </c>
      <c r="G182">
        <f>$C182*G181</f>
        <v/>
      </c>
      <c r="H182">
        <f>$C182*H181</f>
        <v/>
      </c>
      <c r="I182">
        <f>$C182*I181</f>
        <v/>
      </c>
      <c r="J182">
        <f>$C182*J181</f>
        <v/>
      </c>
      <c r="K182">
        <f>$C182*K181</f>
        <v/>
      </c>
      <c r="L182">
        <f>$C182*L181</f>
        <v/>
      </c>
      <c r="M182">
        <f>$C182*M181</f>
        <v/>
      </c>
      <c r="N182">
        <f>$C182*N181</f>
        <v/>
      </c>
      <c r="O182">
        <f>$C182*O181</f>
        <v/>
      </c>
      <c r="P182">
        <f>$C182*P181</f>
        <v/>
      </c>
      <c r="Q182">
        <f>$C182*Q181</f>
        <v/>
      </c>
      <c r="R182">
        <f>$C182*R181</f>
        <v/>
      </c>
      <c r="S182">
        <f>$C182*S181</f>
        <v/>
      </c>
      <c r="T182">
        <f>$C182*T181</f>
        <v/>
      </c>
      <c r="U182">
        <f>$C182*U181</f>
        <v/>
      </c>
      <c r="V182">
        <f>$C182*V181</f>
        <v/>
      </c>
      <c r="W182">
        <f>$C182*W181</f>
        <v/>
      </c>
      <c r="X182">
        <f>$C182*X181</f>
        <v/>
      </c>
      <c r="Y182">
        <f>$C182*Y181</f>
        <v/>
      </c>
      <c r="Z182">
        <f>$C182*Z181</f>
        <v/>
      </c>
      <c r="AA182">
        <f>$C182*AA181</f>
        <v/>
      </c>
      <c r="AB182">
        <f>$C182*AB181</f>
        <v/>
      </c>
      <c r="AC182">
        <f>$C182*AC181</f>
        <v/>
      </c>
      <c r="AD182">
        <f>$C182*AD181</f>
        <v/>
      </c>
      <c r="AE182">
        <f>$C182*AE181</f>
        <v/>
      </c>
      <c r="AF182">
        <f>$C182*AF181</f>
        <v/>
      </c>
      <c r="AG182">
        <f>$C182*AG181</f>
        <v/>
      </c>
      <c r="AH182">
        <f>$C182*AH181</f>
        <v/>
      </c>
      <c r="AI182">
        <f>$C182*AI181</f>
        <v/>
      </c>
      <c r="AJ182">
        <f>$C182*AJ181</f>
        <v/>
      </c>
      <c r="AK182">
        <f>$C182*AK181</f>
        <v/>
      </c>
      <c r="AL182">
        <f>$C182*AL181</f>
        <v/>
      </c>
      <c r="AM182">
        <f>$C182*AM181</f>
        <v/>
      </c>
      <c r="AN182">
        <f>$C182*AN181</f>
        <v/>
      </c>
      <c r="AO182">
        <f>$C182*AO181</f>
        <v/>
      </c>
      <c r="AP182">
        <f>$C182*AP181</f>
        <v/>
      </c>
      <c r="AQ182">
        <f>$C182*AQ181</f>
        <v/>
      </c>
      <c r="AR182">
        <f>$C182*AR181</f>
        <v/>
      </c>
      <c r="AS182">
        <f>$C182*AS181</f>
        <v/>
      </c>
      <c r="AT182">
        <f>$C182*AT181</f>
        <v/>
      </c>
      <c r="AU182">
        <f>$C182*AU181</f>
        <v/>
      </c>
      <c r="AV182">
        <f>$C182*AV181</f>
        <v/>
      </c>
      <c r="AW182">
        <f>$C182*AW181</f>
        <v/>
      </c>
      <c r="AX182">
        <f>$C182*AX181</f>
        <v/>
      </c>
      <c r="AY182">
        <f>$C182*AY181</f>
        <v/>
      </c>
      <c r="AZ182">
        <f>$C182*AZ181</f>
        <v/>
      </c>
      <c r="BA182">
        <f>$C182*BA181</f>
        <v/>
      </c>
      <c r="BB182">
        <f>$C182*BB181</f>
        <v/>
      </c>
      <c r="BC182">
        <f>$C182*BC181</f>
        <v/>
      </c>
      <c r="BD182">
        <f>$C182*BD181</f>
        <v/>
      </c>
      <c r="BE182">
        <f>$C182*BE181</f>
        <v/>
      </c>
      <c r="BF182">
        <f>$C182*BF181</f>
        <v/>
      </c>
      <c r="BG182">
        <f>$C182*BG181</f>
        <v/>
      </c>
      <c r="BH182">
        <f>$C182*BH181</f>
        <v/>
      </c>
      <c r="BI182">
        <f>$C182*BI181</f>
        <v/>
      </c>
      <c r="BJ182">
        <f>$C182*BJ181</f>
        <v/>
      </c>
      <c r="BK182">
        <f>$C182*BK181</f>
        <v/>
      </c>
      <c r="BL182">
        <f>$C182*BL181</f>
        <v/>
      </c>
      <c r="BM182">
        <f>$C182*BM181</f>
        <v/>
      </c>
      <c r="BN182">
        <f>$C182*BN181</f>
        <v/>
      </c>
      <c r="BO182">
        <f>$C182*BO181</f>
        <v/>
      </c>
      <c r="BP182">
        <f>$C182*BP181</f>
        <v/>
      </c>
      <c r="BQ182">
        <f>$C182*BQ181</f>
        <v/>
      </c>
      <c r="BR182">
        <f>$C182*BR181</f>
        <v/>
      </c>
      <c r="BS182">
        <f>$C182*BS181</f>
        <v/>
      </c>
      <c r="BT182">
        <f>$C182*BT181</f>
        <v/>
      </c>
      <c r="BU182">
        <f>$C182*BU181</f>
        <v/>
      </c>
      <c r="BV182">
        <f>$C182*BV181</f>
        <v/>
      </c>
      <c r="BW182">
        <f>$C182*BW181</f>
        <v/>
      </c>
      <c r="BX182">
        <f>$C182*BX181</f>
        <v/>
      </c>
      <c r="BY182">
        <f>$C182*BY181</f>
        <v/>
      </c>
      <c r="BZ182">
        <f>$C182*BZ181</f>
        <v/>
      </c>
      <c r="CA182">
        <f>$C182*CA181</f>
        <v/>
      </c>
      <c r="CB182">
        <f>$C182*CB181</f>
        <v/>
      </c>
      <c r="CC182">
        <f>$C182*CC181</f>
        <v/>
      </c>
      <c r="CD182">
        <f>$C182*CD181</f>
        <v/>
      </c>
      <c r="CE182">
        <f>$C182*CE181</f>
        <v/>
      </c>
      <c r="CF182">
        <f>$C182*CF181</f>
        <v/>
      </c>
      <c r="CG182">
        <f>$C182*CG181</f>
        <v/>
      </c>
      <c r="CH182">
        <f>$C182*CH181</f>
        <v/>
      </c>
      <c r="CI182">
        <f>$C182*CI181</f>
        <v/>
      </c>
      <c r="CJ182">
        <f>$C182*CJ181</f>
        <v/>
      </c>
      <c r="CK182">
        <f>$C182*CK181</f>
        <v/>
      </c>
      <c r="CL182">
        <f>$C182*CL181</f>
        <v/>
      </c>
      <c r="CM182">
        <f>$C182*CM181</f>
        <v/>
      </c>
      <c r="CN182">
        <f>$C182*CN181</f>
        <v/>
      </c>
      <c r="CO182">
        <f>$C182*CO181</f>
        <v/>
      </c>
      <c r="CP182">
        <f>$C182*CP181</f>
        <v/>
      </c>
      <c r="CQ182">
        <f>$C182*CQ181</f>
        <v/>
      </c>
      <c r="CR182">
        <f>$C182*CR181</f>
        <v/>
      </c>
      <c r="CS182">
        <f>$C182*CS181</f>
        <v/>
      </c>
      <c r="CT182">
        <f>$C182*CT181</f>
        <v/>
      </c>
      <c r="CU182">
        <f>$C182*CU181</f>
        <v/>
      </c>
      <c r="CV182">
        <f>$C182*CV181</f>
        <v/>
      </c>
      <c r="CW182">
        <f>$C182*CW181</f>
        <v/>
      </c>
      <c r="CX182">
        <f>$C182*CX181</f>
        <v/>
      </c>
      <c r="CY182">
        <f>$C182*CY181</f>
        <v/>
      </c>
      <c r="CZ182">
        <f>$C182*CZ181</f>
        <v/>
      </c>
      <c r="DA182">
        <f>$C182*DA181</f>
        <v/>
      </c>
      <c r="DB182">
        <f>$C182*DB181</f>
        <v/>
      </c>
      <c r="DC182">
        <f>$C182*DC181</f>
        <v/>
      </c>
    </row>
    <row r="183">
      <c r="B183" t="inlineStr">
        <is>
          <t>VSP-739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SUMIFS(M_BOM[RM_Qty_Per_Batch],M_BOM[Intermediate],$B183,M_BOM[Part Name],$A44)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VSP-740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SUMIFS(M_BOM[RM_Qty_Per_Batch],M_BOM[Intermediate],$B185,M_BOM[Part Name],$A44)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VSP-746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SUMIFS(M_BOM[RM_Qty_Per_Batch],M_BOM[Intermediate],$B187,M_BOM[Part Name],$A44)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VSP-820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SUMIFS(M_BOM[RM_Qty_Per_Batch],M_BOM[Intermediate],$B189,M_BOM[Part Name],$A44)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VSP-822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SUMIFS(M_BOM[RM_Qty_Per_Batch],M_BOM[Intermediate],$B191,M_BOM[Part Name],$A44)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t="inlineStr">
        <is>
          <t>VSP-869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7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Name],$A44)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t="inlineStr">
        <is>
          <t>VSP-870</t>
        </is>
      </c>
      <c r="C195" t="inlineStr">
        <is>
          <t>No. of batches</t>
        </is>
      </c>
      <c r="D195">
        <f>IFERROR(INDEX(PP_Grid[#Data],$DD195,2),0)</f>
        <v/>
      </c>
      <c r="E195">
        <f>IFERROR(INDEX(PP_Grid[#Data],$DD195,3),0)</f>
        <v/>
      </c>
      <c r="F195">
        <f>IFERROR(INDEX(PP_Grid[#Data],$DD195,4),0)</f>
        <v/>
      </c>
      <c r="G195">
        <f>IFERROR(INDEX(PP_Grid[#Data],$DD195,5),0)</f>
        <v/>
      </c>
      <c r="H195">
        <f>IFERROR(INDEX(PP_Grid[#Data],$DD195,6),0)</f>
        <v/>
      </c>
      <c r="I195">
        <f>IFERROR(INDEX(PP_Grid[#Data],$DD195,7),0)</f>
        <v/>
      </c>
      <c r="J195">
        <f>IFERROR(INDEX(PP_Grid[#Data],$DD195,8),0)</f>
        <v/>
      </c>
      <c r="K195">
        <f>IFERROR(INDEX(PP_Grid[#Data],$DD195,9),0)</f>
        <v/>
      </c>
      <c r="L195">
        <f>IFERROR(INDEX(PP_Grid[#Data],$DD195,10),0)</f>
        <v/>
      </c>
      <c r="M195">
        <f>IFERROR(INDEX(PP_Grid[#Data],$DD195,11),0)</f>
        <v/>
      </c>
      <c r="N195">
        <f>IFERROR(INDEX(PP_Grid[#Data],$DD195,12),0)</f>
        <v/>
      </c>
      <c r="O195">
        <f>IFERROR(INDEX(PP_Grid[#Data],$DD195,13),0)</f>
        <v/>
      </c>
      <c r="P195">
        <f>IFERROR(INDEX(PP_Grid[#Data],$DD195,14),0)</f>
        <v/>
      </c>
      <c r="Q195">
        <f>IFERROR(INDEX(PP_Grid[#Data],$DD195,15),0)</f>
        <v/>
      </c>
      <c r="R195">
        <f>IFERROR(INDEX(PP_Grid[#Data],$DD195,16),0)</f>
        <v/>
      </c>
      <c r="S195">
        <f>IFERROR(INDEX(PP_Grid[#Data],$DD195,17),0)</f>
        <v/>
      </c>
      <c r="T195">
        <f>IFERROR(INDEX(PP_Grid[#Data],$DD195,18),0)</f>
        <v/>
      </c>
      <c r="U195">
        <f>IFERROR(INDEX(PP_Grid[#Data],$DD195,19),0)</f>
        <v/>
      </c>
      <c r="V195">
        <f>IFERROR(INDEX(PP_Grid[#Data],$DD195,20),0)</f>
        <v/>
      </c>
      <c r="W195">
        <f>IFERROR(INDEX(PP_Grid[#Data],$DD195,21),0)</f>
        <v/>
      </c>
      <c r="X195">
        <f>IFERROR(INDEX(PP_Grid[#Data],$DD195,22),0)</f>
        <v/>
      </c>
      <c r="Y195">
        <f>IFERROR(INDEX(PP_Grid[#Data],$DD195,23),0)</f>
        <v/>
      </c>
      <c r="Z195">
        <f>IFERROR(INDEX(PP_Grid[#Data],$DD195,24),0)</f>
        <v/>
      </c>
      <c r="AA195">
        <f>IFERROR(INDEX(PP_Grid[#Data],$DD195,25),0)</f>
        <v/>
      </c>
      <c r="AB195">
        <f>IFERROR(INDEX(PP_Grid[#Data],$DD195,26),0)</f>
        <v/>
      </c>
      <c r="AC195">
        <f>IFERROR(INDEX(PP_Grid[#Data],$DD195,27),0)</f>
        <v/>
      </c>
      <c r="AD195">
        <f>IFERROR(INDEX(PP_Grid[#Data],$DD195,28),0)</f>
        <v/>
      </c>
      <c r="AE195">
        <f>IFERROR(INDEX(PP_Grid[#Data],$DD195,29),0)</f>
        <v/>
      </c>
      <c r="AF195">
        <f>IFERROR(INDEX(PP_Grid[#Data],$DD195,30),0)</f>
        <v/>
      </c>
      <c r="AG195">
        <f>IFERROR(INDEX(PP_Grid[#Data],$DD195,31),0)</f>
        <v/>
      </c>
      <c r="AH195">
        <f>IFERROR(INDEX(PP_Grid[#Data],$DD195,32),0)</f>
        <v/>
      </c>
      <c r="AI195">
        <f>IFERROR(INDEX(PP_Grid[#Data],$DD195,33),0)</f>
        <v/>
      </c>
      <c r="AJ195">
        <f>IFERROR(INDEX(PP_Grid[#Data],$DD195,34),0)</f>
        <v/>
      </c>
      <c r="AK195">
        <f>IFERROR(INDEX(PP_Grid[#Data],$DD195,35),0)</f>
        <v/>
      </c>
      <c r="AL195">
        <f>IFERROR(INDEX(PP_Grid[#Data],$DD195,36),0)</f>
        <v/>
      </c>
      <c r="AM195">
        <f>IFERROR(INDEX(PP_Grid[#Data],$DD195,37),0)</f>
        <v/>
      </c>
      <c r="AN195">
        <f>IFERROR(INDEX(PP_Grid[#Data],$DD195,38),0)</f>
        <v/>
      </c>
      <c r="AO195">
        <f>IFERROR(INDEX(PP_Grid[#Data],$DD195,39),0)</f>
        <v/>
      </c>
      <c r="AP195">
        <f>IFERROR(INDEX(PP_Grid[#Data],$DD195,40),0)</f>
        <v/>
      </c>
      <c r="AQ195">
        <f>IFERROR(INDEX(PP_Grid[#Data],$DD195,41),0)</f>
        <v/>
      </c>
      <c r="AR195">
        <f>IFERROR(INDEX(PP_Grid[#Data],$DD195,42),0)</f>
        <v/>
      </c>
      <c r="AS195">
        <f>IFERROR(INDEX(PP_Grid[#Data],$DD195,43),0)</f>
        <v/>
      </c>
      <c r="AT195">
        <f>IFERROR(INDEX(PP_Grid[#Data],$DD195,44),0)</f>
        <v/>
      </c>
      <c r="AU195">
        <f>IFERROR(INDEX(PP_Grid[#Data],$DD195,45),0)</f>
        <v/>
      </c>
      <c r="AV195">
        <f>IFERROR(INDEX(PP_Grid[#Data],$DD195,46),0)</f>
        <v/>
      </c>
      <c r="AW195">
        <f>IFERROR(INDEX(PP_Grid[#Data],$DD195,47),0)</f>
        <v/>
      </c>
      <c r="AX195">
        <f>IFERROR(INDEX(PP_Grid[#Data],$DD195,48),0)</f>
        <v/>
      </c>
      <c r="AY195">
        <f>IFERROR(INDEX(PP_Grid[#Data],$DD195,49),0)</f>
        <v/>
      </c>
      <c r="AZ195">
        <f>IFERROR(INDEX(PP_Grid[#Data],$DD195,50),0)</f>
        <v/>
      </c>
      <c r="BA195">
        <f>IFERROR(INDEX(PP_Grid[#Data],$DD195,51),0)</f>
        <v/>
      </c>
      <c r="BB195">
        <f>IFERROR(INDEX(PP_Grid[#Data],$DD195,52),0)</f>
        <v/>
      </c>
      <c r="BC195">
        <f>IFERROR(INDEX(PP_Grid[#Data],$DD195,53),0)</f>
        <v/>
      </c>
      <c r="BD195">
        <f>IFERROR(INDEX(PP_Grid[#Data],$DD195,54),0)</f>
        <v/>
      </c>
      <c r="BE195">
        <f>IFERROR(INDEX(PP_Grid[#Data],$DD195,55),0)</f>
        <v/>
      </c>
      <c r="BF195">
        <f>IFERROR(INDEX(PP_Grid[#Data],$DD195,56),0)</f>
        <v/>
      </c>
      <c r="BG195">
        <f>IFERROR(INDEX(PP_Grid[#Data],$DD195,57),0)</f>
        <v/>
      </c>
      <c r="BH195">
        <f>IFERROR(INDEX(PP_Grid[#Data],$DD195,58),0)</f>
        <v/>
      </c>
      <c r="BI195">
        <f>IFERROR(INDEX(PP_Grid[#Data],$DD195,59),0)</f>
        <v/>
      </c>
      <c r="BJ195">
        <f>IFERROR(INDEX(PP_Grid[#Data],$DD195,60),0)</f>
        <v/>
      </c>
      <c r="BK195">
        <f>IFERROR(INDEX(PP_Grid[#Data],$DD195,61),0)</f>
        <v/>
      </c>
      <c r="BL195">
        <f>IFERROR(INDEX(PP_Grid[#Data],$DD195,62),0)</f>
        <v/>
      </c>
      <c r="BM195">
        <f>IFERROR(INDEX(PP_Grid[#Data],$DD195,63),0)</f>
        <v/>
      </c>
      <c r="BN195">
        <f>IFERROR(INDEX(PP_Grid[#Data],$DD195,64),0)</f>
        <v/>
      </c>
      <c r="BO195">
        <f>IFERROR(INDEX(PP_Grid[#Data],$DD195,65),0)</f>
        <v/>
      </c>
      <c r="BP195">
        <f>IFERROR(INDEX(PP_Grid[#Data],$DD195,66),0)</f>
        <v/>
      </c>
      <c r="BQ195">
        <f>IFERROR(INDEX(PP_Grid[#Data],$DD195,67),0)</f>
        <v/>
      </c>
      <c r="BR195">
        <f>IFERROR(INDEX(PP_Grid[#Data],$DD195,68),0)</f>
        <v/>
      </c>
      <c r="BS195">
        <f>IFERROR(INDEX(PP_Grid[#Data],$DD195,69),0)</f>
        <v/>
      </c>
      <c r="BT195">
        <f>IFERROR(INDEX(PP_Grid[#Data],$DD195,70),0)</f>
        <v/>
      </c>
      <c r="BU195">
        <f>IFERROR(INDEX(PP_Grid[#Data],$DD195,71),0)</f>
        <v/>
      </c>
      <c r="BV195">
        <f>IFERROR(INDEX(PP_Grid[#Data],$DD195,72),0)</f>
        <v/>
      </c>
      <c r="BW195">
        <f>IFERROR(INDEX(PP_Grid[#Data],$DD195,73),0)</f>
        <v/>
      </c>
      <c r="BX195">
        <f>IFERROR(INDEX(PP_Grid[#Data],$DD195,74),0)</f>
        <v/>
      </c>
      <c r="BY195">
        <f>IFERROR(INDEX(PP_Grid[#Data],$DD195,75),0)</f>
        <v/>
      </c>
      <c r="BZ195">
        <f>IFERROR(INDEX(PP_Grid[#Data],$DD195,76),0)</f>
        <v/>
      </c>
      <c r="CA195">
        <f>IFERROR(INDEX(PP_Grid[#Data],$DD195,77),0)</f>
        <v/>
      </c>
      <c r="CB195">
        <f>IFERROR(INDEX(PP_Grid[#Data],$DD195,78),0)</f>
        <v/>
      </c>
      <c r="CC195">
        <f>IFERROR(INDEX(PP_Grid[#Data],$DD195,79),0)</f>
        <v/>
      </c>
      <c r="CD195">
        <f>IFERROR(INDEX(PP_Grid[#Data],$DD195,80),0)</f>
        <v/>
      </c>
      <c r="CE195">
        <f>IFERROR(INDEX(PP_Grid[#Data],$DD195,81),0)</f>
        <v/>
      </c>
      <c r="CF195">
        <f>IFERROR(INDEX(PP_Grid[#Data],$DD195,82),0)</f>
        <v/>
      </c>
      <c r="CG195">
        <f>IFERROR(INDEX(PP_Grid[#Data],$DD195,83),0)</f>
        <v/>
      </c>
      <c r="CH195">
        <f>IFERROR(INDEX(PP_Grid[#Data],$DD195,84),0)</f>
        <v/>
      </c>
      <c r="CI195">
        <f>IFERROR(INDEX(PP_Grid[#Data],$DD195,85),0)</f>
        <v/>
      </c>
      <c r="CJ195">
        <f>IFERROR(INDEX(PP_Grid[#Data],$DD195,86),0)</f>
        <v/>
      </c>
      <c r="CK195">
        <f>IFERROR(INDEX(PP_Grid[#Data],$DD195,87),0)</f>
        <v/>
      </c>
      <c r="CL195">
        <f>IFERROR(INDEX(PP_Grid[#Data],$DD195,88),0)</f>
        <v/>
      </c>
      <c r="CM195">
        <f>IFERROR(INDEX(PP_Grid[#Data],$DD195,89),0)</f>
        <v/>
      </c>
      <c r="CN195">
        <f>IFERROR(INDEX(PP_Grid[#Data],$DD195,90),0)</f>
        <v/>
      </c>
      <c r="CO195">
        <f>IFERROR(INDEX(PP_Grid[#Data],$DD195,91),0)</f>
        <v/>
      </c>
      <c r="CP195">
        <f>IFERROR(INDEX(PP_Grid[#Data],$DD195,92),0)</f>
        <v/>
      </c>
      <c r="CQ195">
        <f>IFERROR(INDEX(PP_Grid[#Data],$DD195,93),0)</f>
        <v/>
      </c>
      <c r="CR195">
        <f>IFERROR(INDEX(PP_Grid[#Data],$DD195,94),0)</f>
        <v/>
      </c>
      <c r="CS195">
        <f>IFERROR(INDEX(PP_Grid[#Data],$DD195,95),0)</f>
        <v/>
      </c>
      <c r="CT195">
        <f>IFERROR(INDEX(PP_Grid[#Data],$DD195,96),0)</f>
        <v/>
      </c>
      <c r="CU195">
        <f>IFERROR(INDEX(PP_Grid[#Data],$DD195,97),0)</f>
        <v/>
      </c>
      <c r="CV195">
        <f>IFERROR(INDEX(PP_Grid[#Data],$DD195,98),0)</f>
        <v/>
      </c>
      <c r="CW195">
        <f>IFERROR(INDEX(PP_Grid[#Data],$DD195,99),0)</f>
        <v/>
      </c>
      <c r="CX195">
        <f>IFERROR(INDEX(PP_Grid[#Data],$DD195,100),0)</f>
        <v/>
      </c>
      <c r="CY195">
        <f>IFERROR(INDEX(PP_Grid[#Data],$DD195,101),0)</f>
        <v/>
      </c>
      <c r="CZ195">
        <f>IFERROR(INDEX(PP_Grid[#Data],$DD195,102),0)</f>
        <v/>
      </c>
      <c r="DA195">
        <f>IFERROR(INDEX(PP_Grid[#Data],$DD195,103),0)</f>
        <v/>
      </c>
      <c r="DB195">
        <f>IFERROR(INDEX(PP_Grid[#Data],$DD195,104),0)</f>
        <v/>
      </c>
      <c r="DC195">
        <f>IFERROR(INDEX(PP_Grid[#Data],$DD195,105),0)</f>
        <v/>
      </c>
      <c r="DD195" s="7">
        <f>IFERROR(MATCH($B195,PP_Grid[Intermediate],0),99999)</f>
        <v/>
      </c>
    </row>
    <row r="196">
      <c r="B196" t="inlineStr">
        <is>
          <t>使用量(kg)</t>
        </is>
      </c>
      <c r="C196">
        <f>SUMIFS(M_BOM[RM_Qty_Per_Batch],M_BOM[Intermediate],$B195,M_BOM[Part Name],$A44)</f>
        <v/>
      </c>
      <c r="D196">
        <f>$C196*D195</f>
        <v/>
      </c>
      <c r="E196">
        <f>$C196*E195</f>
        <v/>
      </c>
      <c r="F196">
        <f>$C196*F195</f>
        <v/>
      </c>
      <c r="G196">
        <f>$C196*G195</f>
        <v/>
      </c>
      <c r="H196">
        <f>$C196*H195</f>
        <v/>
      </c>
      <c r="I196">
        <f>$C196*I195</f>
        <v/>
      </c>
      <c r="J196">
        <f>$C196*J195</f>
        <v/>
      </c>
      <c r="K196">
        <f>$C196*K195</f>
        <v/>
      </c>
      <c r="L196">
        <f>$C196*L195</f>
        <v/>
      </c>
      <c r="M196">
        <f>$C196*M195</f>
        <v/>
      </c>
      <c r="N196">
        <f>$C196*N195</f>
        <v/>
      </c>
      <c r="O196">
        <f>$C196*O195</f>
        <v/>
      </c>
      <c r="P196">
        <f>$C196*P195</f>
        <v/>
      </c>
      <c r="Q196">
        <f>$C196*Q195</f>
        <v/>
      </c>
      <c r="R196">
        <f>$C196*R195</f>
        <v/>
      </c>
      <c r="S196">
        <f>$C196*S195</f>
        <v/>
      </c>
      <c r="T196">
        <f>$C196*T195</f>
        <v/>
      </c>
      <c r="U196">
        <f>$C196*U195</f>
        <v/>
      </c>
      <c r="V196">
        <f>$C196*V195</f>
        <v/>
      </c>
      <c r="W196">
        <f>$C196*W195</f>
        <v/>
      </c>
      <c r="X196">
        <f>$C196*X195</f>
        <v/>
      </c>
      <c r="Y196">
        <f>$C196*Y195</f>
        <v/>
      </c>
      <c r="Z196">
        <f>$C196*Z195</f>
        <v/>
      </c>
      <c r="AA196">
        <f>$C196*AA195</f>
        <v/>
      </c>
      <c r="AB196">
        <f>$C196*AB195</f>
        <v/>
      </c>
      <c r="AC196">
        <f>$C196*AC195</f>
        <v/>
      </c>
      <c r="AD196">
        <f>$C196*AD195</f>
        <v/>
      </c>
      <c r="AE196">
        <f>$C196*AE195</f>
        <v/>
      </c>
      <c r="AF196">
        <f>$C196*AF195</f>
        <v/>
      </c>
      <c r="AG196">
        <f>$C196*AG195</f>
        <v/>
      </c>
      <c r="AH196">
        <f>$C196*AH195</f>
        <v/>
      </c>
      <c r="AI196">
        <f>$C196*AI195</f>
        <v/>
      </c>
      <c r="AJ196">
        <f>$C196*AJ195</f>
        <v/>
      </c>
      <c r="AK196">
        <f>$C196*AK195</f>
        <v/>
      </c>
      <c r="AL196">
        <f>$C196*AL195</f>
        <v/>
      </c>
      <c r="AM196">
        <f>$C196*AM195</f>
        <v/>
      </c>
      <c r="AN196">
        <f>$C196*AN195</f>
        <v/>
      </c>
      <c r="AO196">
        <f>$C196*AO195</f>
        <v/>
      </c>
      <c r="AP196">
        <f>$C196*AP195</f>
        <v/>
      </c>
      <c r="AQ196">
        <f>$C196*AQ195</f>
        <v/>
      </c>
      <c r="AR196">
        <f>$C196*AR195</f>
        <v/>
      </c>
      <c r="AS196">
        <f>$C196*AS195</f>
        <v/>
      </c>
      <c r="AT196">
        <f>$C196*AT195</f>
        <v/>
      </c>
      <c r="AU196">
        <f>$C196*AU195</f>
        <v/>
      </c>
      <c r="AV196">
        <f>$C196*AV195</f>
        <v/>
      </c>
      <c r="AW196">
        <f>$C196*AW195</f>
        <v/>
      </c>
      <c r="AX196">
        <f>$C196*AX195</f>
        <v/>
      </c>
      <c r="AY196">
        <f>$C196*AY195</f>
        <v/>
      </c>
      <c r="AZ196">
        <f>$C196*AZ195</f>
        <v/>
      </c>
      <c r="BA196">
        <f>$C196*BA195</f>
        <v/>
      </c>
      <c r="BB196">
        <f>$C196*BB195</f>
        <v/>
      </c>
      <c r="BC196">
        <f>$C196*BC195</f>
        <v/>
      </c>
      <c r="BD196">
        <f>$C196*BD195</f>
        <v/>
      </c>
      <c r="BE196">
        <f>$C196*BE195</f>
        <v/>
      </c>
      <c r="BF196">
        <f>$C196*BF195</f>
        <v/>
      </c>
      <c r="BG196">
        <f>$C196*BG195</f>
        <v/>
      </c>
      <c r="BH196">
        <f>$C196*BH195</f>
        <v/>
      </c>
      <c r="BI196">
        <f>$C196*BI195</f>
        <v/>
      </c>
      <c r="BJ196">
        <f>$C196*BJ195</f>
        <v/>
      </c>
      <c r="BK196">
        <f>$C196*BK195</f>
        <v/>
      </c>
      <c r="BL196">
        <f>$C196*BL195</f>
        <v/>
      </c>
      <c r="BM196">
        <f>$C196*BM195</f>
        <v/>
      </c>
      <c r="BN196">
        <f>$C196*BN195</f>
        <v/>
      </c>
      <c r="BO196">
        <f>$C196*BO195</f>
        <v/>
      </c>
      <c r="BP196">
        <f>$C196*BP195</f>
        <v/>
      </c>
      <c r="BQ196">
        <f>$C196*BQ195</f>
        <v/>
      </c>
      <c r="BR196">
        <f>$C196*BR195</f>
        <v/>
      </c>
      <c r="BS196">
        <f>$C196*BS195</f>
        <v/>
      </c>
      <c r="BT196">
        <f>$C196*BT195</f>
        <v/>
      </c>
      <c r="BU196">
        <f>$C196*BU195</f>
        <v/>
      </c>
      <c r="BV196">
        <f>$C196*BV195</f>
        <v/>
      </c>
      <c r="BW196">
        <f>$C196*BW195</f>
        <v/>
      </c>
      <c r="BX196">
        <f>$C196*BX195</f>
        <v/>
      </c>
      <c r="BY196">
        <f>$C196*BY195</f>
        <v/>
      </c>
      <c r="BZ196">
        <f>$C196*BZ195</f>
        <v/>
      </c>
      <c r="CA196">
        <f>$C196*CA195</f>
        <v/>
      </c>
      <c r="CB196">
        <f>$C196*CB195</f>
        <v/>
      </c>
      <c r="CC196">
        <f>$C196*CC195</f>
        <v/>
      </c>
      <c r="CD196">
        <f>$C196*CD195</f>
        <v/>
      </c>
      <c r="CE196">
        <f>$C196*CE195</f>
        <v/>
      </c>
      <c r="CF196">
        <f>$C196*CF195</f>
        <v/>
      </c>
      <c r="CG196">
        <f>$C196*CG195</f>
        <v/>
      </c>
      <c r="CH196">
        <f>$C196*CH195</f>
        <v/>
      </c>
      <c r="CI196">
        <f>$C196*CI195</f>
        <v/>
      </c>
      <c r="CJ196">
        <f>$C196*CJ195</f>
        <v/>
      </c>
      <c r="CK196">
        <f>$C196*CK195</f>
        <v/>
      </c>
      <c r="CL196">
        <f>$C196*CL195</f>
        <v/>
      </c>
      <c r="CM196">
        <f>$C196*CM195</f>
        <v/>
      </c>
      <c r="CN196">
        <f>$C196*CN195</f>
        <v/>
      </c>
      <c r="CO196">
        <f>$C196*CO195</f>
        <v/>
      </c>
      <c r="CP196">
        <f>$C196*CP195</f>
        <v/>
      </c>
      <c r="CQ196">
        <f>$C196*CQ195</f>
        <v/>
      </c>
      <c r="CR196">
        <f>$C196*CR195</f>
        <v/>
      </c>
      <c r="CS196">
        <f>$C196*CS195</f>
        <v/>
      </c>
      <c r="CT196">
        <f>$C196*CT195</f>
        <v/>
      </c>
      <c r="CU196">
        <f>$C196*CU195</f>
        <v/>
      </c>
      <c r="CV196">
        <f>$C196*CV195</f>
        <v/>
      </c>
      <c r="CW196">
        <f>$C196*CW195</f>
        <v/>
      </c>
      <c r="CX196">
        <f>$C196*CX195</f>
        <v/>
      </c>
      <c r="CY196">
        <f>$C196*CY195</f>
        <v/>
      </c>
      <c r="CZ196">
        <f>$C196*CZ195</f>
        <v/>
      </c>
      <c r="DA196">
        <f>$C196*DA195</f>
        <v/>
      </c>
      <c r="DB196">
        <f>$C196*DB195</f>
        <v/>
      </c>
      <c r="DC196">
        <f>$C196*DC195</f>
        <v/>
      </c>
    </row>
    <row r="197">
      <c r="B197" t="inlineStr">
        <is>
          <t>VSP-910</t>
        </is>
      </c>
      <c r="C197" t="inlineStr">
        <is>
          <t>No. of batches</t>
        </is>
      </c>
      <c r="D197">
        <f>IFERROR(INDEX(PP_Grid[#Data],$DD197,2),0)</f>
        <v/>
      </c>
      <c r="E197">
        <f>IFERROR(INDEX(PP_Grid[#Data],$DD197,3),0)</f>
        <v/>
      </c>
      <c r="F197">
        <f>IFERROR(INDEX(PP_Grid[#Data],$DD197,4),0)</f>
        <v/>
      </c>
      <c r="G197">
        <f>IFERROR(INDEX(PP_Grid[#Data],$DD197,5),0)</f>
        <v/>
      </c>
      <c r="H197">
        <f>IFERROR(INDEX(PP_Grid[#Data],$DD197,6),0)</f>
        <v/>
      </c>
      <c r="I197">
        <f>IFERROR(INDEX(PP_Grid[#Data],$DD197,7),0)</f>
        <v/>
      </c>
      <c r="J197">
        <f>IFERROR(INDEX(PP_Grid[#Data],$DD197,8),0)</f>
        <v/>
      </c>
      <c r="K197">
        <f>IFERROR(INDEX(PP_Grid[#Data],$DD197,9),0)</f>
        <v/>
      </c>
      <c r="L197">
        <f>IFERROR(INDEX(PP_Grid[#Data],$DD197,10),0)</f>
        <v/>
      </c>
      <c r="M197">
        <f>IFERROR(INDEX(PP_Grid[#Data],$DD197,11),0)</f>
        <v/>
      </c>
      <c r="N197">
        <f>IFERROR(INDEX(PP_Grid[#Data],$DD197,12),0)</f>
        <v/>
      </c>
      <c r="O197">
        <f>IFERROR(INDEX(PP_Grid[#Data],$DD197,13),0)</f>
        <v/>
      </c>
      <c r="P197">
        <f>IFERROR(INDEX(PP_Grid[#Data],$DD197,14),0)</f>
        <v/>
      </c>
      <c r="Q197">
        <f>IFERROR(INDEX(PP_Grid[#Data],$DD197,15),0)</f>
        <v/>
      </c>
      <c r="R197">
        <f>IFERROR(INDEX(PP_Grid[#Data],$DD197,16),0)</f>
        <v/>
      </c>
      <c r="S197">
        <f>IFERROR(INDEX(PP_Grid[#Data],$DD197,17),0)</f>
        <v/>
      </c>
      <c r="T197">
        <f>IFERROR(INDEX(PP_Grid[#Data],$DD197,18),0)</f>
        <v/>
      </c>
      <c r="U197">
        <f>IFERROR(INDEX(PP_Grid[#Data],$DD197,19),0)</f>
        <v/>
      </c>
      <c r="V197">
        <f>IFERROR(INDEX(PP_Grid[#Data],$DD197,20),0)</f>
        <v/>
      </c>
      <c r="W197">
        <f>IFERROR(INDEX(PP_Grid[#Data],$DD197,21),0)</f>
        <v/>
      </c>
      <c r="X197">
        <f>IFERROR(INDEX(PP_Grid[#Data],$DD197,22),0)</f>
        <v/>
      </c>
      <c r="Y197">
        <f>IFERROR(INDEX(PP_Grid[#Data],$DD197,23),0)</f>
        <v/>
      </c>
      <c r="Z197">
        <f>IFERROR(INDEX(PP_Grid[#Data],$DD197,24),0)</f>
        <v/>
      </c>
      <c r="AA197">
        <f>IFERROR(INDEX(PP_Grid[#Data],$DD197,25),0)</f>
        <v/>
      </c>
      <c r="AB197">
        <f>IFERROR(INDEX(PP_Grid[#Data],$DD197,26),0)</f>
        <v/>
      </c>
      <c r="AC197">
        <f>IFERROR(INDEX(PP_Grid[#Data],$DD197,27),0)</f>
        <v/>
      </c>
      <c r="AD197">
        <f>IFERROR(INDEX(PP_Grid[#Data],$DD197,28),0)</f>
        <v/>
      </c>
      <c r="AE197">
        <f>IFERROR(INDEX(PP_Grid[#Data],$DD197,29),0)</f>
        <v/>
      </c>
      <c r="AF197">
        <f>IFERROR(INDEX(PP_Grid[#Data],$DD197,30),0)</f>
        <v/>
      </c>
      <c r="AG197">
        <f>IFERROR(INDEX(PP_Grid[#Data],$DD197,31),0)</f>
        <v/>
      </c>
      <c r="AH197">
        <f>IFERROR(INDEX(PP_Grid[#Data],$DD197,32),0)</f>
        <v/>
      </c>
      <c r="AI197">
        <f>IFERROR(INDEX(PP_Grid[#Data],$DD197,33),0)</f>
        <v/>
      </c>
      <c r="AJ197">
        <f>IFERROR(INDEX(PP_Grid[#Data],$DD197,34),0)</f>
        <v/>
      </c>
      <c r="AK197">
        <f>IFERROR(INDEX(PP_Grid[#Data],$DD197,35),0)</f>
        <v/>
      </c>
      <c r="AL197">
        <f>IFERROR(INDEX(PP_Grid[#Data],$DD197,36),0)</f>
        <v/>
      </c>
      <c r="AM197">
        <f>IFERROR(INDEX(PP_Grid[#Data],$DD197,37),0)</f>
        <v/>
      </c>
      <c r="AN197">
        <f>IFERROR(INDEX(PP_Grid[#Data],$DD197,38),0)</f>
        <v/>
      </c>
      <c r="AO197">
        <f>IFERROR(INDEX(PP_Grid[#Data],$DD197,39),0)</f>
        <v/>
      </c>
      <c r="AP197">
        <f>IFERROR(INDEX(PP_Grid[#Data],$DD197,40),0)</f>
        <v/>
      </c>
      <c r="AQ197">
        <f>IFERROR(INDEX(PP_Grid[#Data],$DD197,41),0)</f>
        <v/>
      </c>
      <c r="AR197">
        <f>IFERROR(INDEX(PP_Grid[#Data],$DD197,42),0)</f>
        <v/>
      </c>
      <c r="AS197">
        <f>IFERROR(INDEX(PP_Grid[#Data],$DD197,43),0)</f>
        <v/>
      </c>
      <c r="AT197">
        <f>IFERROR(INDEX(PP_Grid[#Data],$DD197,44),0)</f>
        <v/>
      </c>
      <c r="AU197">
        <f>IFERROR(INDEX(PP_Grid[#Data],$DD197,45),0)</f>
        <v/>
      </c>
      <c r="AV197">
        <f>IFERROR(INDEX(PP_Grid[#Data],$DD197,46),0)</f>
        <v/>
      </c>
      <c r="AW197">
        <f>IFERROR(INDEX(PP_Grid[#Data],$DD197,47),0)</f>
        <v/>
      </c>
      <c r="AX197">
        <f>IFERROR(INDEX(PP_Grid[#Data],$DD197,48),0)</f>
        <v/>
      </c>
      <c r="AY197">
        <f>IFERROR(INDEX(PP_Grid[#Data],$DD197,49),0)</f>
        <v/>
      </c>
      <c r="AZ197">
        <f>IFERROR(INDEX(PP_Grid[#Data],$DD197,50),0)</f>
        <v/>
      </c>
      <c r="BA197">
        <f>IFERROR(INDEX(PP_Grid[#Data],$DD197,51),0)</f>
        <v/>
      </c>
      <c r="BB197">
        <f>IFERROR(INDEX(PP_Grid[#Data],$DD197,52),0)</f>
        <v/>
      </c>
      <c r="BC197">
        <f>IFERROR(INDEX(PP_Grid[#Data],$DD197,53),0)</f>
        <v/>
      </c>
      <c r="BD197">
        <f>IFERROR(INDEX(PP_Grid[#Data],$DD197,54),0)</f>
        <v/>
      </c>
      <c r="BE197">
        <f>IFERROR(INDEX(PP_Grid[#Data],$DD197,55),0)</f>
        <v/>
      </c>
      <c r="BF197">
        <f>IFERROR(INDEX(PP_Grid[#Data],$DD197,56),0)</f>
        <v/>
      </c>
      <c r="BG197">
        <f>IFERROR(INDEX(PP_Grid[#Data],$DD197,57),0)</f>
        <v/>
      </c>
      <c r="BH197">
        <f>IFERROR(INDEX(PP_Grid[#Data],$DD197,58),0)</f>
        <v/>
      </c>
      <c r="BI197">
        <f>IFERROR(INDEX(PP_Grid[#Data],$DD197,59),0)</f>
        <v/>
      </c>
      <c r="BJ197">
        <f>IFERROR(INDEX(PP_Grid[#Data],$DD197,60),0)</f>
        <v/>
      </c>
      <c r="BK197">
        <f>IFERROR(INDEX(PP_Grid[#Data],$DD197,61),0)</f>
        <v/>
      </c>
      <c r="BL197">
        <f>IFERROR(INDEX(PP_Grid[#Data],$DD197,62),0)</f>
        <v/>
      </c>
      <c r="BM197">
        <f>IFERROR(INDEX(PP_Grid[#Data],$DD197,63),0)</f>
        <v/>
      </c>
      <c r="BN197">
        <f>IFERROR(INDEX(PP_Grid[#Data],$DD197,64),0)</f>
        <v/>
      </c>
      <c r="BO197">
        <f>IFERROR(INDEX(PP_Grid[#Data],$DD197,65),0)</f>
        <v/>
      </c>
      <c r="BP197">
        <f>IFERROR(INDEX(PP_Grid[#Data],$DD197,66),0)</f>
        <v/>
      </c>
      <c r="BQ197">
        <f>IFERROR(INDEX(PP_Grid[#Data],$DD197,67),0)</f>
        <v/>
      </c>
      <c r="BR197">
        <f>IFERROR(INDEX(PP_Grid[#Data],$DD197,68),0)</f>
        <v/>
      </c>
      <c r="BS197">
        <f>IFERROR(INDEX(PP_Grid[#Data],$DD197,69),0)</f>
        <v/>
      </c>
      <c r="BT197">
        <f>IFERROR(INDEX(PP_Grid[#Data],$DD197,70),0)</f>
        <v/>
      </c>
      <c r="BU197">
        <f>IFERROR(INDEX(PP_Grid[#Data],$DD197,71),0)</f>
        <v/>
      </c>
      <c r="BV197">
        <f>IFERROR(INDEX(PP_Grid[#Data],$DD197,72),0)</f>
        <v/>
      </c>
      <c r="BW197">
        <f>IFERROR(INDEX(PP_Grid[#Data],$DD197,73),0)</f>
        <v/>
      </c>
      <c r="BX197">
        <f>IFERROR(INDEX(PP_Grid[#Data],$DD197,74),0)</f>
        <v/>
      </c>
      <c r="BY197">
        <f>IFERROR(INDEX(PP_Grid[#Data],$DD197,75),0)</f>
        <v/>
      </c>
      <c r="BZ197">
        <f>IFERROR(INDEX(PP_Grid[#Data],$DD197,76),0)</f>
        <v/>
      </c>
      <c r="CA197">
        <f>IFERROR(INDEX(PP_Grid[#Data],$DD197,77),0)</f>
        <v/>
      </c>
      <c r="CB197">
        <f>IFERROR(INDEX(PP_Grid[#Data],$DD197,78),0)</f>
        <v/>
      </c>
      <c r="CC197">
        <f>IFERROR(INDEX(PP_Grid[#Data],$DD197,79),0)</f>
        <v/>
      </c>
      <c r="CD197">
        <f>IFERROR(INDEX(PP_Grid[#Data],$DD197,80),0)</f>
        <v/>
      </c>
      <c r="CE197">
        <f>IFERROR(INDEX(PP_Grid[#Data],$DD197,81),0)</f>
        <v/>
      </c>
      <c r="CF197">
        <f>IFERROR(INDEX(PP_Grid[#Data],$DD197,82),0)</f>
        <v/>
      </c>
      <c r="CG197">
        <f>IFERROR(INDEX(PP_Grid[#Data],$DD197,83),0)</f>
        <v/>
      </c>
      <c r="CH197">
        <f>IFERROR(INDEX(PP_Grid[#Data],$DD197,84),0)</f>
        <v/>
      </c>
      <c r="CI197">
        <f>IFERROR(INDEX(PP_Grid[#Data],$DD197,85),0)</f>
        <v/>
      </c>
      <c r="CJ197">
        <f>IFERROR(INDEX(PP_Grid[#Data],$DD197,86),0)</f>
        <v/>
      </c>
      <c r="CK197">
        <f>IFERROR(INDEX(PP_Grid[#Data],$DD197,87),0)</f>
        <v/>
      </c>
      <c r="CL197">
        <f>IFERROR(INDEX(PP_Grid[#Data],$DD197,88),0)</f>
        <v/>
      </c>
      <c r="CM197">
        <f>IFERROR(INDEX(PP_Grid[#Data],$DD197,89),0)</f>
        <v/>
      </c>
      <c r="CN197">
        <f>IFERROR(INDEX(PP_Grid[#Data],$DD197,90),0)</f>
        <v/>
      </c>
      <c r="CO197">
        <f>IFERROR(INDEX(PP_Grid[#Data],$DD197,91),0)</f>
        <v/>
      </c>
      <c r="CP197">
        <f>IFERROR(INDEX(PP_Grid[#Data],$DD197,92),0)</f>
        <v/>
      </c>
      <c r="CQ197">
        <f>IFERROR(INDEX(PP_Grid[#Data],$DD197,93),0)</f>
        <v/>
      </c>
      <c r="CR197">
        <f>IFERROR(INDEX(PP_Grid[#Data],$DD197,94),0)</f>
        <v/>
      </c>
      <c r="CS197">
        <f>IFERROR(INDEX(PP_Grid[#Data],$DD197,95),0)</f>
        <v/>
      </c>
      <c r="CT197">
        <f>IFERROR(INDEX(PP_Grid[#Data],$DD197,96),0)</f>
        <v/>
      </c>
      <c r="CU197">
        <f>IFERROR(INDEX(PP_Grid[#Data],$DD197,97),0)</f>
        <v/>
      </c>
      <c r="CV197">
        <f>IFERROR(INDEX(PP_Grid[#Data],$DD197,98),0)</f>
        <v/>
      </c>
      <c r="CW197">
        <f>IFERROR(INDEX(PP_Grid[#Data],$DD197,99),0)</f>
        <v/>
      </c>
      <c r="CX197">
        <f>IFERROR(INDEX(PP_Grid[#Data],$DD197,100),0)</f>
        <v/>
      </c>
      <c r="CY197">
        <f>IFERROR(INDEX(PP_Grid[#Data],$DD197,101),0)</f>
        <v/>
      </c>
      <c r="CZ197">
        <f>IFERROR(INDEX(PP_Grid[#Data],$DD197,102),0)</f>
        <v/>
      </c>
      <c r="DA197">
        <f>IFERROR(INDEX(PP_Grid[#Data],$DD197,103),0)</f>
        <v/>
      </c>
      <c r="DB197">
        <f>IFERROR(INDEX(PP_Grid[#Data],$DD197,104),0)</f>
        <v/>
      </c>
      <c r="DC197">
        <f>IFERROR(INDEX(PP_Grid[#Data],$DD197,105),0)</f>
        <v/>
      </c>
      <c r="DD197" s="7">
        <f>IFERROR(MATCH($B197,PP_Grid[Intermediate],0),99999)</f>
        <v/>
      </c>
    </row>
    <row r="198">
      <c r="B198" t="inlineStr">
        <is>
          <t>使用量(kg)</t>
        </is>
      </c>
      <c r="C198">
        <f>SUMIFS(M_BOM[RM_Qty_Per_Batch],M_BOM[Intermediate],$B197,M_BOM[Part Name],$A44)</f>
        <v/>
      </c>
      <c r="D198">
        <f>$C198*D197</f>
        <v/>
      </c>
      <c r="E198">
        <f>$C198*E197</f>
        <v/>
      </c>
      <c r="F198">
        <f>$C198*F197</f>
        <v/>
      </c>
      <c r="G198">
        <f>$C198*G197</f>
        <v/>
      </c>
      <c r="H198">
        <f>$C198*H197</f>
        <v/>
      </c>
      <c r="I198">
        <f>$C198*I197</f>
        <v/>
      </c>
      <c r="J198">
        <f>$C198*J197</f>
        <v/>
      </c>
      <c r="K198">
        <f>$C198*K197</f>
        <v/>
      </c>
      <c r="L198">
        <f>$C198*L197</f>
        <v/>
      </c>
      <c r="M198">
        <f>$C198*M197</f>
        <v/>
      </c>
      <c r="N198">
        <f>$C198*N197</f>
        <v/>
      </c>
      <c r="O198">
        <f>$C198*O197</f>
        <v/>
      </c>
      <c r="P198">
        <f>$C198*P197</f>
        <v/>
      </c>
      <c r="Q198">
        <f>$C198*Q197</f>
        <v/>
      </c>
      <c r="R198">
        <f>$C198*R197</f>
        <v/>
      </c>
      <c r="S198">
        <f>$C198*S197</f>
        <v/>
      </c>
      <c r="T198">
        <f>$C198*T197</f>
        <v/>
      </c>
      <c r="U198">
        <f>$C198*U197</f>
        <v/>
      </c>
      <c r="V198">
        <f>$C198*V197</f>
        <v/>
      </c>
      <c r="W198">
        <f>$C198*W197</f>
        <v/>
      </c>
      <c r="X198">
        <f>$C198*X197</f>
        <v/>
      </c>
      <c r="Y198">
        <f>$C198*Y197</f>
        <v/>
      </c>
      <c r="Z198">
        <f>$C198*Z197</f>
        <v/>
      </c>
      <c r="AA198">
        <f>$C198*AA197</f>
        <v/>
      </c>
      <c r="AB198">
        <f>$C198*AB197</f>
        <v/>
      </c>
      <c r="AC198">
        <f>$C198*AC197</f>
        <v/>
      </c>
      <c r="AD198">
        <f>$C198*AD197</f>
        <v/>
      </c>
      <c r="AE198">
        <f>$C198*AE197</f>
        <v/>
      </c>
      <c r="AF198">
        <f>$C198*AF197</f>
        <v/>
      </c>
      <c r="AG198">
        <f>$C198*AG197</f>
        <v/>
      </c>
      <c r="AH198">
        <f>$C198*AH197</f>
        <v/>
      </c>
      <c r="AI198">
        <f>$C198*AI197</f>
        <v/>
      </c>
      <c r="AJ198">
        <f>$C198*AJ197</f>
        <v/>
      </c>
      <c r="AK198">
        <f>$C198*AK197</f>
        <v/>
      </c>
      <c r="AL198">
        <f>$C198*AL197</f>
        <v/>
      </c>
      <c r="AM198">
        <f>$C198*AM197</f>
        <v/>
      </c>
      <c r="AN198">
        <f>$C198*AN197</f>
        <v/>
      </c>
      <c r="AO198">
        <f>$C198*AO197</f>
        <v/>
      </c>
      <c r="AP198">
        <f>$C198*AP197</f>
        <v/>
      </c>
      <c r="AQ198">
        <f>$C198*AQ197</f>
        <v/>
      </c>
      <c r="AR198">
        <f>$C198*AR197</f>
        <v/>
      </c>
      <c r="AS198">
        <f>$C198*AS197</f>
        <v/>
      </c>
      <c r="AT198">
        <f>$C198*AT197</f>
        <v/>
      </c>
      <c r="AU198">
        <f>$C198*AU197</f>
        <v/>
      </c>
      <c r="AV198">
        <f>$C198*AV197</f>
        <v/>
      </c>
      <c r="AW198">
        <f>$C198*AW197</f>
        <v/>
      </c>
      <c r="AX198">
        <f>$C198*AX197</f>
        <v/>
      </c>
      <c r="AY198">
        <f>$C198*AY197</f>
        <v/>
      </c>
      <c r="AZ198">
        <f>$C198*AZ197</f>
        <v/>
      </c>
      <c r="BA198">
        <f>$C198*BA197</f>
        <v/>
      </c>
      <c r="BB198">
        <f>$C198*BB197</f>
        <v/>
      </c>
      <c r="BC198">
        <f>$C198*BC197</f>
        <v/>
      </c>
      <c r="BD198">
        <f>$C198*BD197</f>
        <v/>
      </c>
      <c r="BE198">
        <f>$C198*BE197</f>
        <v/>
      </c>
      <c r="BF198">
        <f>$C198*BF197</f>
        <v/>
      </c>
      <c r="BG198">
        <f>$C198*BG197</f>
        <v/>
      </c>
      <c r="BH198">
        <f>$C198*BH197</f>
        <v/>
      </c>
      <c r="BI198">
        <f>$C198*BI197</f>
        <v/>
      </c>
      <c r="BJ198">
        <f>$C198*BJ197</f>
        <v/>
      </c>
      <c r="BK198">
        <f>$C198*BK197</f>
        <v/>
      </c>
      <c r="BL198">
        <f>$C198*BL197</f>
        <v/>
      </c>
      <c r="BM198">
        <f>$C198*BM197</f>
        <v/>
      </c>
      <c r="BN198">
        <f>$C198*BN197</f>
        <v/>
      </c>
      <c r="BO198">
        <f>$C198*BO197</f>
        <v/>
      </c>
      <c r="BP198">
        <f>$C198*BP197</f>
        <v/>
      </c>
      <c r="BQ198">
        <f>$C198*BQ197</f>
        <v/>
      </c>
      <c r="BR198">
        <f>$C198*BR197</f>
        <v/>
      </c>
      <c r="BS198">
        <f>$C198*BS197</f>
        <v/>
      </c>
      <c r="BT198">
        <f>$C198*BT197</f>
        <v/>
      </c>
      <c r="BU198">
        <f>$C198*BU197</f>
        <v/>
      </c>
      <c r="BV198">
        <f>$C198*BV197</f>
        <v/>
      </c>
      <c r="BW198">
        <f>$C198*BW197</f>
        <v/>
      </c>
      <c r="BX198">
        <f>$C198*BX197</f>
        <v/>
      </c>
      <c r="BY198">
        <f>$C198*BY197</f>
        <v/>
      </c>
      <c r="BZ198">
        <f>$C198*BZ197</f>
        <v/>
      </c>
      <c r="CA198">
        <f>$C198*CA197</f>
        <v/>
      </c>
      <c r="CB198">
        <f>$C198*CB197</f>
        <v/>
      </c>
      <c r="CC198">
        <f>$C198*CC197</f>
        <v/>
      </c>
      <c r="CD198">
        <f>$C198*CD197</f>
        <v/>
      </c>
      <c r="CE198">
        <f>$C198*CE197</f>
        <v/>
      </c>
      <c r="CF198">
        <f>$C198*CF197</f>
        <v/>
      </c>
      <c r="CG198">
        <f>$C198*CG197</f>
        <v/>
      </c>
      <c r="CH198">
        <f>$C198*CH197</f>
        <v/>
      </c>
      <c r="CI198">
        <f>$C198*CI197</f>
        <v/>
      </c>
      <c r="CJ198">
        <f>$C198*CJ197</f>
        <v/>
      </c>
      <c r="CK198">
        <f>$C198*CK197</f>
        <v/>
      </c>
      <c r="CL198">
        <f>$C198*CL197</f>
        <v/>
      </c>
      <c r="CM198">
        <f>$C198*CM197</f>
        <v/>
      </c>
      <c r="CN198">
        <f>$C198*CN197</f>
        <v/>
      </c>
      <c r="CO198">
        <f>$C198*CO197</f>
        <v/>
      </c>
      <c r="CP198">
        <f>$C198*CP197</f>
        <v/>
      </c>
      <c r="CQ198">
        <f>$C198*CQ197</f>
        <v/>
      </c>
      <c r="CR198">
        <f>$C198*CR197</f>
        <v/>
      </c>
      <c r="CS198">
        <f>$C198*CS197</f>
        <v/>
      </c>
      <c r="CT198">
        <f>$C198*CT197</f>
        <v/>
      </c>
      <c r="CU198">
        <f>$C198*CU197</f>
        <v/>
      </c>
      <c r="CV198">
        <f>$C198*CV197</f>
        <v/>
      </c>
      <c r="CW198">
        <f>$C198*CW197</f>
        <v/>
      </c>
      <c r="CX198">
        <f>$C198*CX197</f>
        <v/>
      </c>
      <c r="CY198">
        <f>$C198*CY197</f>
        <v/>
      </c>
      <c r="CZ198">
        <f>$C198*CZ197</f>
        <v/>
      </c>
      <c r="DA198">
        <f>$C198*DA197</f>
        <v/>
      </c>
      <c r="DB198">
        <f>$C198*DB197</f>
        <v/>
      </c>
      <c r="DC198">
        <f>$C198*DC197</f>
        <v/>
      </c>
    </row>
    <row r="199">
      <c r="B199" t="inlineStr">
        <is>
          <t>VSP-989</t>
        </is>
      </c>
      <c r="C199" t="inlineStr">
        <is>
          <t>No. of batches</t>
        </is>
      </c>
      <c r="D199">
        <f>IFERROR(INDEX(PP_Grid[#Data],$DD199,2),0)</f>
        <v/>
      </c>
      <c r="E199">
        <f>IFERROR(INDEX(PP_Grid[#Data],$DD199,3),0)</f>
        <v/>
      </c>
      <c r="F199">
        <f>IFERROR(INDEX(PP_Grid[#Data],$DD199,4),0)</f>
        <v/>
      </c>
      <c r="G199">
        <f>IFERROR(INDEX(PP_Grid[#Data],$DD199,5),0)</f>
        <v/>
      </c>
      <c r="H199">
        <f>IFERROR(INDEX(PP_Grid[#Data],$DD199,6),0)</f>
        <v/>
      </c>
      <c r="I199">
        <f>IFERROR(INDEX(PP_Grid[#Data],$DD199,7),0)</f>
        <v/>
      </c>
      <c r="J199">
        <f>IFERROR(INDEX(PP_Grid[#Data],$DD199,8),0)</f>
        <v/>
      </c>
      <c r="K199">
        <f>IFERROR(INDEX(PP_Grid[#Data],$DD199,9),0)</f>
        <v/>
      </c>
      <c r="L199">
        <f>IFERROR(INDEX(PP_Grid[#Data],$DD199,10),0)</f>
        <v/>
      </c>
      <c r="M199">
        <f>IFERROR(INDEX(PP_Grid[#Data],$DD199,11),0)</f>
        <v/>
      </c>
      <c r="N199">
        <f>IFERROR(INDEX(PP_Grid[#Data],$DD199,12),0)</f>
        <v/>
      </c>
      <c r="O199">
        <f>IFERROR(INDEX(PP_Grid[#Data],$DD199,13),0)</f>
        <v/>
      </c>
      <c r="P199">
        <f>IFERROR(INDEX(PP_Grid[#Data],$DD199,14),0)</f>
        <v/>
      </c>
      <c r="Q199">
        <f>IFERROR(INDEX(PP_Grid[#Data],$DD199,15),0)</f>
        <v/>
      </c>
      <c r="R199">
        <f>IFERROR(INDEX(PP_Grid[#Data],$DD199,16),0)</f>
        <v/>
      </c>
      <c r="S199">
        <f>IFERROR(INDEX(PP_Grid[#Data],$DD199,17),0)</f>
        <v/>
      </c>
      <c r="T199">
        <f>IFERROR(INDEX(PP_Grid[#Data],$DD199,18),0)</f>
        <v/>
      </c>
      <c r="U199">
        <f>IFERROR(INDEX(PP_Grid[#Data],$DD199,19),0)</f>
        <v/>
      </c>
      <c r="V199">
        <f>IFERROR(INDEX(PP_Grid[#Data],$DD199,20),0)</f>
        <v/>
      </c>
      <c r="W199">
        <f>IFERROR(INDEX(PP_Grid[#Data],$DD199,21),0)</f>
        <v/>
      </c>
      <c r="X199">
        <f>IFERROR(INDEX(PP_Grid[#Data],$DD199,22),0)</f>
        <v/>
      </c>
      <c r="Y199">
        <f>IFERROR(INDEX(PP_Grid[#Data],$DD199,23),0)</f>
        <v/>
      </c>
      <c r="Z199">
        <f>IFERROR(INDEX(PP_Grid[#Data],$DD199,24),0)</f>
        <v/>
      </c>
      <c r="AA199">
        <f>IFERROR(INDEX(PP_Grid[#Data],$DD199,25),0)</f>
        <v/>
      </c>
      <c r="AB199">
        <f>IFERROR(INDEX(PP_Grid[#Data],$DD199,26),0)</f>
        <v/>
      </c>
      <c r="AC199">
        <f>IFERROR(INDEX(PP_Grid[#Data],$DD199,27),0)</f>
        <v/>
      </c>
      <c r="AD199">
        <f>IFERROR(INDEX(PP_Grid[#Data],$DD199,28),0)</f>
        <v/>
      </c>
      <c r="AE199">
        <f>IFERROR(INDEX(PP_Grid[#Data],$DD199,29),0)</f>
        <v/>
      </c>
      <c r="AF199">
        <f>IFERROR(INDEX(PP_Grid[#Data],$DD199,30),0)</f>
        <v/>
      </c>
      <c r="AG199">
        <f>IFERROR(INDEX(PP_Grid[#Data],$DD199,31),0)</f>
        <v/>
      </c>
      <c r="AH199">
        <f>IFERROR(INDEX(PP_Grid[#Data],$DD199,32),0)</f>
        <v/>
      </c>
      <c r="AI199">
        <f>IFERROR(INDEX(PP_Grid[#Data],$DD199,33),0)</f>
        <v/>
      </c>
      <c r="AJ199">
        <f>IFERROR(INDEX(PP_Grid[#Data],$DD199,34),0)</f>
        <v/>
      </c>
      <c r="AK199">
        <f>IFERROR(INDEX(PP_Grid[#Data],$DD199,35),0)</f>
        <v/>
      </c>
      <c r="AL199">
        <f>IFERROR(INDEX(PP_Grid[#Data],$DD199,36),0)</f>
        <v/>
      </c>
      <c r="AM199">
        <f>IFERROR(INDEX(PP_Grid[#Data],$DD199,37),0)</f>
        <v/>
      </c>
      <c r="AN199">
        <f>IFERROR(INDEX(PP_Grid[#Data],$DD199,38),0)</f>
        <v/>
      </c>
      <c r="AO199">
        <f>IFERROR(INDEX(PP_Grid[#Data],$DD199,39),0)</f>
        <v/>
      </c>
      <c r="AP199">
        <f>IFERROR(INDEX(PP_Grid[#Data],$DD199,40),0)</f>
        <v/>
      </c>
      <c r="AQ199">
        <f>IFERROR(INDEX(PP_Grid[#Data],$DD199,41),0)</f>
        <v/>
      </c>
      <c r="AR199">
        <f>IFERROR(INDEX(PP_Grid[#Data],$DD199,42),0)</f>
        <v/>
      </c>
      <c r="AS199">
        <f>IFERROR(INDEX(PP_Grid[#Data],$DD199,43),0)</f>
        <v/>
      </c>
      <c r="AT199">
        <f>IFERROR(INDEX(PP_Grid[#Data],$DD199,44),0)</f>
        <v/>
      </c>
      <c r="AU199">
        <f>IFERROR(INDEX(PP_Grid[#Data],$DD199,45),0)</f>
        <v/>
      </c>
      <c r="AV199">
        <f>IFERROR(INDEX(PP_Grid[#Data],$DD199,46),0)</f>
        <v/>
      </c>
      <c r="AW199">
        <f>IFERROR(INDEX(PP_Grid[#Data],$DD199,47),0)</f>
        <v/>
      </c>
      <c r="AX199">
        <f>IFERROR(INDEX(PP_Grid[#Data],$DD199,48),0)</f>
        <v/>
      </c>
      <c r="AY199">
        <f>IFERROR(INDEX(PP_Grid[#Data],$DD199,49),0)</f>
        <v/>
      </c>
      <c r="AZ199">
        <f>IFERROR(INDEX(PP_Grid[#Data],$DD199,50),0)</f>
        <v/>
      </c>
      <c r="BA199">
        <f>IFERROR(INDEX(PP_Grid[#Data],$DD199,51),0)</f>
        <v/>
      </c>
      <c r="BB199">
        <f>IFERROR(INDEX(PP_Grid[#Data],$DD199,52),0)</f>
        <v/>
      </c>
      <c r="BC199">
        <f>IFERROR(INDEX(PP_Grid[#Data],$DD199,53),0)</f>
        <v/>
      </c>
      <c r="BD199">
        <f>IFERROR(INDEX(PP_Grid[#Data],$DD199,54),0)</f>
        <v/>
      </c>
      <c r="BE199">
        <f>IFERROR(INDEX(PP_Grid[#Data],$DD199,55),0)</f>
        <v/>
      </c>
      <c r="BF199">
        <f>IFERROR(INDEX(PP_Grid[#Data],$DD199,56),0)</f>
        <v/>
      </c>
      <c r="BG199">
        <f>IFERROR(INDEX(PP_Grid[#Data],$DD199,57),0)</f>
        <v/>
      </c>
      <c r="BH199">
        <f>IFERROR(INDEX(PP_Grid[#Data],$DD199,58),0)</f>
        <v/>
      </c>
      <c r="BI199">
        <f>IFERROR(INDEX(PP_Grid[#Data],$DD199,59),0)</f>
        <v/>
      </c>
      <c r="BJ199">
        <f>IFERROR(INDEX(PP_Grid[#Data],$DD199,60),0)</f>
        <v/>
      </c>
      <c r="BK199">
        <f>IFERROR(INDEX(PP_Grid[#Data],$DD199,61),0)</f>
        <v/>
      </c>
      <c r="BL199">
        <f>IFERROR(INDEX(PP_Grid[#Data],$DD199,62),0)</f>
        <v/>
      </c>
      <c r="BM199">
        <f>IFERROR(INDEX(PP_Grid[#Data],$DD199,63),0)</f>
        <v/>
      </c>
      <c r="BN199">
        <f>IFERROR(INDEX(PP_Grid[#Data],$DD199,64),0)</f>
        <v/>
      </c>
      <c r="BO199">
        <f>IFERROR(INDEX(PP_Grid[#Data],$DD199,65),0)</f>
        <v/>
      </c>
      <c r="BP199">
        <f>IFERROR(INDEX(PP_Grid[#Data],$DD199,66),0)</f>
        <v/>
      </c>
      <c r="BQ199">
        <f>IFERROR(INDEX(PP_Grid[#Data],$DD199,67),0)</f>
        <v/>
      </c>
      <c r="BR199">
        <f>IFERROR(INDEX(PP_Grid[#Data],$DD199,68),0)</f>
        <v/>
      </c>
      <c r="BS199">
        <f>IFERROR(INDEX(PP_Grid[#Data],$DD199,69),0)</f>
        <v/>
      </c>
      <c r="BT199">
        <f>IFERROR(INDEX(PP_Grid[#Data],$DD199,70),0)</f>
        <v/>
      </c>
      <c r="BU199">
        <f>IFERROR(INDEX(PP_Grid[#Data],$DD199,71),0)</f>
        <v/>
      </c>
      <c r="BV199">
        <f>IFERROR(INDEX(PP_Grid[#Data],$DD199,72),0)</f>
        <v/>
      </c>
      <c r="BW199">
        <f>IFERROR(INDEX(PP_Grid[#Data],$DD199,73),0)</f>
        <v/>
      </c>
      <c r="BX199">
        <f>IFERROR(INDEX(PP_Grid[#Data],$DD199,74),0)</f>
        <v/>
      </c>
      <c r="BY199">
        <f>IFERROR(INDEX(PP_Grid[#Data],$DD199,75),0)</f>
        <v/>
      </c>
      <c r="BZ199">
        <f>IFERROR(INDEX(PP_Grid[#Data],$DD199,76),0)</f>
        <v/>
      </c>
      <c r="CA199">
        <f>IFERROR(INDEX(PP_Grid[#Data],$DD199,77),0)</f>
        <v/>
      </c>
      <c r="CB199">
        <f>IFERROR(INDEX(PP_Grid[#Data],$DD199,78),0)</f>
        <v/>
      </c>
      <c r="CC199">
        <f>IFERROR(INDEX(PP_Grid[#Data],$DD199,79),0)</f>
        <v/>
      </c>
      <c r="CD199">
        <f>IFERROR(INDEX(PP_Grid[#Data],$DD199,80),0)</f>
        <v/>
      </c>
      <c r="CE199">
        <f>IFERROR(INDEX(PP_Grid[#Data],$DD199,81),0)</f>
        <v/>
      </c>
      <c r="CF199">
        <f>IFERROR(INDEX(PP_Grid[#Data],$DD199,82),0)</f>
        <v/>
      </c>
      <c r="CG199">
        <f>IFERROR(INDEX(PP_Grid[#Data],$DD199,83),0)</f>
        <v/>
      </c>
      <c r="CH199">
        <f>IFERROR(INDEX(PP_Grid[#Data],$DD199,84),0)</f>
        <v/>
      </c>
      <c r="CI199">
        <f>IFERROR(INDEX(PP_Grid[#Data],$DD199,85),0)</f>
        <v/>
      </c>
      <c r="CJ199">
        <f>IFERROR(INDEX(PP_Grid[#Data],$DD199,86),0)</f>
        <v/>
      </c>
      <c r="CK199">
        <f>IFERROR(INDEX(PP_Grid[#Data],$DD199,87),0)</f>
        <v/>
      </c>
      <c r="CL199">
        <f>IFERROR(INDEX(PP_Grid[#Data],$DD199,88),0)</f>
        <v/>
      </c>
      <c r="CM199">
        <f>IFERROR(INDEX(PP_Grid[#Data],$DD199,89),0)</f>
        <v/>
      </c>
      <c r="CN199">
        <f>IFERROR(INDEX(PP_Grid[#Data],$DD199,90),0)</f>
        <v/>
      </c>
      <c r="CO199">
        <f>IFERROR(INDEX(PP_Grid[#Data],$DD199,91),0)</f>
        <v/>
      </c>
      <c r="CP199">
        <f>IFERROR(INDEX(PP_Grid[#Data],$DD199,92),0)</f>
        <v/>
      </c>
      <c r="CQ199">
        <f>IFERROR(INDEX(PP_Grid[#Data],$DD199,93),0)</f>
        <v/>
      </c>
      <c r="CR199">
        <f>IFERROR(INDEX(PP_Grid[#Data],$DD199,94),0)</f>
        <v/>
      </c>
      <c r="CS199">
        <f>IFERROR(INDEX(PP_Grid[#Data],$DD199,95),0)</f>
        <v/>
      </c>
      <c r="CT199">
        <f>IFERROR(INDEX(PP_Grid[#Data],$DD199,96),0)</f>
        <v/>
      </c>
      <c r="CU199">
        <f>IFERROR(INDEX(PP_Grid[#Data],$DD199,97),0)</f>
        <v/>
      </c>
      <c r="CV199">
        <f>IFERROR(INDEX(PP_Grid[#Data],$DD199,98),0)</f>
        <v/>
      </c>
      <c r="CW199">
        <f>IFERROR(INDEX(PP_Grid[#Data],$DD199,99),0)</f>
        <v/>
      </c>
      <c r="CX199">
        <f>IFERROR(INDEX(PP_Grid[#Data],$DD199,100),0)</f>
        <v/>
      </c>
      <c r="CY199">
        <f>IFERROR(INDEX(PP_Grid[#Data],$DD199,101),0)</f>
        <v/>
      </c>
      <c r="CZ199">
        <f>IFERROR(INDEX(PP_Grid[#Data],$DD199,102),0)</f>
        <v/>
      </c>
      <c r="DA199">
        <f>IFERROR(INDEX(PP_Grid[#Data],$DD199,103),0)</f>
        <v/>
      </c>
      <c r="DB199">
        <f>IFERROR(INDEX(PP_Grid[#Data],$DD199,104),0)</f>
        <v/>
      </c>
      <c r="DC199">
        <f>IFERROR(INDEX(PP_Grid[#Data],$DD199,105),0)</f>
        <v/>
      </c>
      <c r="DD199" s="7">
        <f>IFERROR(MATCH($B199,PP_Grid[Intermediate],0),99999)</f>
        <v/>
      </c>
    </row>
    <row r="200">
      <c r="B200" t="inlineStr">
        <is>
          <t>使用量(kg)</t>
        </is>
      </c>
      <c r="C200">
        <f>SUMIFS(M_BOM[RM_Qty_Per_Batch],M_BOM[Intermediate],$B199,M_BOM[Part Name],$A44)</f>
        <v/>
      </c>
      <c r="D200">
        <f>$C200*D199</f>
        <v/>
      </c>
      <c r="E200">
        <f>$C200*E199</f>
        <v/>
      </c>
      <c r="F200">
        <f>$C200*F199</f>
        <v/>
      </c>
      <c r="G200">
        <f>$C200*G199</f>
        <v/>
      </c>
      <c r="H200">
        <f>$C200*H199</f>
        <v/>
      </c>
      <c r="I200">
        <f>$C200*I199</f>
        <v/>
      </c>
      <c r="J200">
        <f>$C200*J199</f>
        <v/>
      </c>
      <c r="K200">
        <f>$C200*K199</f>
        <v/>
      </c>
      <c r="L200">
        <f>$C200*L199</f>
        <v/>
      </c>
      <c r="M200">
        <f>$C200*M199</f>
        <v/>
      </c>
      <c r="N200">
        <f>$C200*N199</f>
        <v/>
      </c>
      <c r="O200">
        <f>$C200*O199</f>
        <v/>
      </c>
      <c r="P200">
        <f>$C200*P199</f>
        <v/>
      </c>
      <c r="Q200">
        <f>$C200*Q199</f>
        <v/>
      </c>
      <c r="R200">
        <f>$C200*R199</f>
        <v/>
      </c>
      <c r="S200">
        <f>$C200*S199</f>
        <v/>
      </c>
      <c r="T200">
        <f>$C200*T199</f>
        <v/>
      </c>
      <c r="U200">
        <f>$C200*U199</f>
        <v/>
      </c>
      <c r="V200">
        <f>$C200*V199</f>
        <v/>
      </c>
      <c r="W200">
        <f>$C200*W199</f>
        <v/>
      </c>
      <c r="X200">
        <f>$C200*X199</f>
        <v/>
      </c>
      <c r="Y200">
        <f>$C200*Y199</f>
        <v/>
      </c>
      <c r="Z200">
        <f>$C200*Z199</f>
        <v/>
      </c>
      <c r="AA200">
        <f>$C200*AA199</f>
        <v/>
      </c>
      <c r="AB200">
        <f>$C200*AB199</f>
        <v/>
      </c>
      <c r="AC200">
        <f>$C200*AC199</f>
        <v/>
      </c>
      <c r="AD200">
        <f>$C200*AD199</f>
        <v/>
      </c>
      <c r="AE200">
        <f>$C200*AE199</f>
        <v/>
      </c>
      <c r="AF200">
        <f>$C200*AF199</f>
        <v/>
      </c>
      <c r="AG200">
        <f>$C200*AG199</f>
        <v/>
      </c>
      <c r="AH200">
        <f>$C200*AH199</f>
        <v/>
      </c>
      <c r="AI200">
        <f>$C200*AI199</f>
        <v/>
      </c>
      <c r="AJ200">
        <f>$C200*AJ199</f>
        <v/>
      </c>
      <c r="AK200">
        <f>$C200*AK199</f>
        <v/>
      </c>
      <c r="AL200">
        <f>$C200*AL199</f>
        <v/>
      </c>
      <c r="AM200">
        <f>$C200*AM199</f>
        <v/>
      </c>
      <c r="AN200">
        <f>$C200*AN199</f>
        <v/>
      </c>
      <c r="AO200">
        <f>$C200*AO199</f>
        <v/>
      </c>
      <c r="AP200">
        <f>$C200*AP199</f>
        <v/>
      </c>
      <c r="AQ200">
        <f>$C200*AQ199</f>
        <v/>
      </c>
      <c r="AR200">
        <f>$C200*AR199</f>
        <v/>
      </c>
      <c r="AS200">
        <f>$C200*AS199</f>
        <v/>
      </c>
      <c r="AT200">
        <f>$C200*AT199</f>
        <v/>
      </c>
      <c r="AU200">
        <f>$C200*AU199</f>
        <v/>
      </c>
      <c r="AV200">
        <f>$C200*AV199</f>
        <v/>
      </c>
      <c r="AW200">
        <f>$C200*AW199</f>
        <v/>
      </c>
      <c r="AX200">
        <f>$C200*AX199</f>
        <v/>
      </c>
      <c r="AY200">
        <f>$C200*AY199</f>
        <v/>
      </c>
      <c r="AZ200">
        <f>$C200*AZ199</f>
        <v/>
      </c>
      <c r="BA200">
        <f>$C200*BA199</f>
        <v/>
      </c>
      <c r="BB200">
        <f>$C200*BB199</f>
        <v/>
      </c>
      <c r="BC200">
        <f>$C200*BC199</f>
        <v/>
      </c>
      <c r="BD200">
        <f>$C200*BD199</f>
        <v/>
      </c>
      <c r="BE200">
        <f>$C200*BE199</f>
        <v/>
      </c>
      <c r="BF200">
        <f>$C200*BF199</f>
        <v/>
      </c>
      <c r="BG200">
        <f>$C200*BG199</f>
        <v/>
      </c>
      <c r="BH200">
        <f>$C200*BH199</f>
        <v/>
      </c>
      <c r="BI200">
        <f>$C200*BI199</f>
        <v/>
      </c>
      <c r="BJ200">
        <f>$C200*BJ199</f>
        <v/>
      </c>
      <c r="BK200">
        <f>$C200*BK199</f>
        <v/>
      </c>
      <c r="BL200">
        <f>$C200*BL199</f>
        <v/>
      </c>
      <c r="BM200">
        <f>$C200*BM199</f>
        <v/>
      </c>
      <c r="BN200">
        <f>$C200*BN199</f>
        <v/>
      </c>
      <c r="BO200">
        <f>$C200*BO199</f>
        <v/>
      </c>
      <c r="BP200">
        <f>$C200*BP199</f>
        <v/>
      </c>
      <c r="BQ200">
        <f>$C200*BQ199</f>
        <v/>
      </c>
      <c r="BR200">
        <f>$C200*BR199</f>
        <v/>
      </c>
      <c r="BS200">
        <f>$C200*BS199</f>
        <v/>
      </c>
      <c r="BT200">
        <f>$C200*BT199</f>
        <v/>
      </c>
      <c r="BU200">
        <f>$C200*BU199</f>
        <v/>
      </c>
      <c r="BV200">
        <f>$C200*BV199</f>
        <v/>
      </c>
      <c r="BW200">
        <f>$C200*BW199</f>
        <v/>
      </c>
      <c r="BX200">
        <f>$C200*BX199</f>
        <v/>
      </c>
      <c r="BY200">
        <f>$C200*BY199</f>
        <v/>
      </c>
      <c r="BZ200">
        <f>$C200*BZ199</f>
        <v/>
      </c>
      <c r="CA200">
        <f>$C200*CA199</f>
        <v/>
      </c>
      <c r="CB200">
        <f>$C200*CB199</f>
        <v/>
      </c>
      <c r="CC200">
        <f>$C200*CC199</f>
        <v/>
      </c>
      <c r="CD200">
        <f>$C200*CD199</f>
        <v/>
      </c>
      <c r="CE200">
        <f>$C200*CE199</f>
        <v/>
      </c>
      <c r="CF200">
        <f>$C200*CF199</f>
        <v/>
      </c>
      <c r="CG200">
        <f>$C200*CG199</f>
        <v/>
      </c>
      <c r="CH200">
        <f>$C200*CH199</f>
        <v/>
      </c>
      <c r="CI200">
        <f>$C200*CI199</f>
        <v/>
      </c>
      <c r="CJ200">
        <f>$C200*CJ199</f>
        <v/>
      </c>
      <c r="CK200">
        <f>$C200*CK199</f>
        <v/>
      </c>
      <c r="CL200">
        <f>$C200*CL199</f>
        <v/>
      </c>
      <c r="CM200">
        <f>$C200*CM199</f>
        <v/>
      </c>
      <c r="CN200">
        <f>$C200*CN199</f>
        <v/>
      </c>
      <c r="CO200">
        <f>$C200*CO199</f>
        <v/>
      </c>
      <c r="CP200">
        <f>$C200*CP199</f>
        <v/>
      </c>
      <c r="CQ200">
        <f>$C200*CQ199</f>
        <v/>
      </c>
      <c r="CR200">
        <f>$C200*CR199</f>
        <v/>
      </c>
      <c r="CS200">
        <f>$C200*CS199</f>
        <v/>
      </c>
      <c r="CT200">
        <f>$C200*CT199</f>
        <v/>
      </c>
      <c r="CU200">
        <f>$C200*CU199</f>
        <v/>
      </c>
      <c r="CV200">
        <f>$C200*CV199</f>
        <v/>
      </c>
      <c r="CW200">
        <f>$C200*CW199</f>
        <v/>
      </c>
      <c r="CX200">
        <f>$C200*CX199</f>
        <v/>
      </c>
      <c r="CY200">
        <f>$C200*CY199</f>
        <v/>
      </c>
      <c r="CZ200">
        <f>$C200*CZ199</f>
        <v/>
      </c>
      <c r="DA200">
        <f>$C200*DA199</f>
        <v/>
      </c>
      <c r="DB200">
        <f>$C200*DB199</f>
        <v/>
      </c>
      <c r="DC200">
        <f>$C200*DC199</f>
        <v/>
      </c>
    </row>
    <row r="201">
      <c r="B201" t="inlineStr">
        <is>
          <t>VSP-990</t>
        </is>
      </c>
      <c r="C201" t="inlineStr">
        <is>
          <t>No. of batches</t>
        </is>
      </c>
      <c r="D201">
        <f>IFERROR(INDEX(PP_Grid[#Data],$DD201,2),0)</f>
        <v/>
      </c>
      <c r="E201">
        <f>IFERROR(INDEX(PP_Grid[#Data],$DD201,3),0)</f>
        <v/>
      </c>
      <c r="F201">
        <f>IFERROR(INDEX(PP_Grid[#Data],$DD201,4),0)</f>
        <v/>
      </c>
      <c r="G201">
        <f>IFERROR(INDEX(PP_Grid[#Data],$DD201,5),0)</f>
        <v/>
      </c>
      <c r="H201">
        <f>IFERROR(INDEX(PP_Grid[#Data],$DD201,6),0)</f>
        <v/>
      </c>
      <c r="I201">
        <f>IFERROR(INDEX(PP_Grid[#Data],$DD201,7),0)</f>
        <v/>
      </c>
      <c r="J201">
        <f>IFERROR(INDEX(PP_Grid[#Data],$DD201,8),0)</f>
        <v/>
      </c>
      <c r="K201">
        <f>IFERROR(INDEX(PP_Grid[#Data],$DD201,9),0)</f>
        <v/>
      </c>
      <c r="L201">
        <f>IFERROR(INDEX(PP_Grid[#Data],$DD201,10),0)</f>
        <v/>
      </c>
      <c r="M201">
        <f>IFERROR(INDEX(PP_Grid[#Data],$DD201,11),0)</f>
        <v/>
      </c>
      <c r="N201">
        <f>IFERROR(INDEX(PP_Grid[#Data],$DD201,12),0)</f>
        <v/>
      </c>
      <c r="O201">
        <f>IFERROR(INDEX(PP_Grid[#Data],$DD201,13),0)</f>
        <v/>
      </c>
      <c r="P201">
        <f>IFERROR(INDEX(PP_Grid[#Data],$DD201,14),0)</f>
        <v/>
      </c>
      <c r="Q201">
        <f>IFERROR(INDEX(PP_Grid[#Data],$DD201,15),0)</f>
        <v/>
      </c>
      <c r="R201">
        <f>IFERROR(INDEX(PP_Grid[#Data],$DD201,16),0)</f>
        <v/>
      </c>
      <c r="S201">
        <f>IFERROR(INDEX(PP_Grid[#Data],$DD201,17),0)</f>
        <v/>
      </c>
      <c r="T201">
        <f>IFERROR(INDEX(PP_Grid[#Data],$DD201,18),0)</f>
        <v/>
      </c>
      <c r="U201">
        <f>IFERROR(INDEX(PP_Grid[#Data],$DD201,19),0)</f>
        <v/>
      </c>
      <c r="V201">
        <f>IFERROR(INDEX(PP_Grid[#Data],$DD201,20),0)</f>
        <v/>
      </c>
      <c r="W201">
        <f>IFERROR(INDEX(PP_Grid[#Data],$DD201,21),0)</f>
        <v/>
      </c>
      <c r="X201">
        <f>IFERROR(INDEX(PP_Grid[#Data],$DD201,22),0)</f>
        <v/>
      </c>
      <c r="Y201">
        <f>IFERROR(INDEX(PP_Grid[#Data],$DD201,23),0)</f>
        <v/>
      </c>
      <c r="Z201">
        <f>IFERROR(INDEX(PP_Grid[#Data],$DD201,24),0)</f>
        <v/>
      </c>
      <c r="AA201">
        <f>IFERROR(INDEX(PP_Grid[#Data],$DD201,25),0)</f>
        <v/>
      </c>
      <c r="AB201">
        <f>IFERROR(INDEX(PP_Grid[#Data],$DD201,26),0)</f>
        <v/>
      </c>
      <c r="AC201">
        <f>IFERROR(INDEX(PP_Grid[#Data],$DD201,27),0)</f>
        <v/>
      </c>
      <c r="AD201">
        <f>IFERROR(INDEX(PP_Grid[#Data],$DD201,28),0)</f>
        <v/>
      </c>
      <c r="AE201">
        <f>IFERROR(INDEX(PP_Grid[#Data],$DD201,29),0)</f>
        <v/>
      </c>
      <c r="AF201">
        <f>IFERROR(INDEX(PP_Grid[#Data],$DD201,30),0)</f>
        <v/>
      </c>
      <c r="AG201">
        <f>IFERROR(INDEX(PP_Grid[#Data],$DD201,31),0)</f>
        <v/>
      </c>
      <c r="AH201">
        <f>IFERROR(INDEX(PP_Grid[#Data],$DD201,32),0)</f>
        <v/>
      </c>
      <c r="AI201">
        <f>IFERROR(INDEX(PP_Grid[#Data],$DD201,33),0)</f>
        <v/>
      </c>
      <c r="AJ201">
        <f>IFERROR(INDEX(PP_Grid[#Data],$DD201,34),0)</f>
        <v/>
      </c>
      <c r="AK201">
        <f>IFERROR(INDEX(PP_Grid[#Data],$DD201,35),0)</f>
        <v/>
      </c>
      <c r="AL201">
        <f>IFERROR(INDEX(PP_Grid[#Data],$DD201,36),0)</f>
        <v/>
      </c>
      <c r="AM201">
        <f>IFERROR(INDEX(PP_Grid[#Data],$DD201,37),0)</f>
        <v/>
      </c>
      <c r="AN201">
        <f>IFERROR(INDEX(PP_Grid[#Data],$DD201,38),0)</f>
        <v/>
      </c>
      <c r="AO201">
        <f>IFERROR(INDEX(PP_Grid[#Data],$DD201,39),0)</f>
        <v/>
      </c>
      <c r="AP201">
        <f>IFERROR(INDEX(PP_Grid[#Data],$DD201,40),0)</f>
        <v/>
      </c>
      <c r="AQ201">
        <f>IFERROR(INDEX(PP_Grid[#Data],$DD201,41),0)</f>
        <v/>
      </c>
      <c r="AR201">
        <f>IFERROR(INDEX(PP_Grid[#Data],$DD201,42),0)</f>
        <v/>
      </c>
      <c r="AS201">
        <f>IFERROR(INDEX(PP_Grid[#Data],$DD201,43),0)</f>
        <v/>
      </c>
      <c r="AT201">
        <f>IFERROR(INDEX(PP_Grid[#Data],$DD201,44),0)</f>
        <v/>
      </c>
      <c r="AU201">
        <f>IFERROR(INDEX(PP_Grid[#Data],$DD201,45),0)</f>
        <v/>
      </c>
      <c r="AV201">
        <f>IFERROR(INDEX(PP_Grid[#Data],$DD201,46),0)</f>
        <v/>
      </c>
      <c r="AW201">
        <f>IFERROR(INDEX(PP_Grid[#Data],$DD201,47),0)</f>
        <v/>
      </c>
      <c r="AX201">
        <f>IFERROR(INDEX(PP_Grid[#Data],$DD201,48),0)</f>
        <v/>
      </c>
      <c r="AY201">
        <f>IFERROR(INDEX(PP_Grid[#Data],$DD201,49),0)</f>
        <v/>
      </c>
      <c r="AZ201">
        <f>IFERROR(INDEX(PP_Grid[#Data],$DD201,50),0)</f>
        <v/>
      </c>
      <c r="BA201">
        <f>IFERROR(INDEX(PP_Grid[#Data],$DD201,51),0)</f>
        <v/>
      </c>
      <c r="BB201">
        <f>IFERROR(INDEX(PP_Grid[#Data],$DD201,52),0)</f>
        <v/>
      </c>
      <c r="BC201">
        <f>IFERROR(INDEX(PP_Grid[#Data],$DD201,53),0)</f>
        <v/>
      </c>
      <c r="BD201">
        <f>IFERROR(INDEX(PP_Grid[#Data],$DD201,54),0)</f>
        <v/>
      </c>
      <c r="BE201">
        <f>IFERROR(INDEX(PP_Grid[#Data],$DD201,55),0)</f>
        <v/>
      </c>
      <c r="BF201">
        <f>IFERROR(INDEX(PP_Grid[#Data],$DD201,56),0)</f>
        <v/>
      </c>
      <c r="BG201">
        <f>IFERROR(INDEX(PP_Grid[#Data],$DD201,57),0)</f>
        <v/>
      </c>
      <c r="BH201">
        <f>IFERROR(INDEX(PP_Grid[#Data],$DD201,58),0)</f>
        <v/>
      </c>
      <c r="BI201">
        <f>IFERROR(INDEX(PP_Grid[#Data],$DD201,59),0)</f>
        <v/>
      </c>
      <c r="BJ201">
        <f>IFERROR(INDEX(PP_Grid[#Data],$DD201,60),0)</f>
        <v/>
      </c>
      <c r="BK201">
        <f>IFERROR(INDEX(PP_Grid[#Data],$DD201,61),0)</f>
        <v/>
      </c>
      <c r="BL201">
        <f>IFERROR(INDEX(PP_Grid[#Data],$DD201,62),0)</f>
        <v/>
      </c>
      <c r="BM201">
        <f>IFERROR(INDEX(PP_Grid[#Data],$DD201,63),0)</f>
        <v/>
      </c>
      <c r="BN201">
        <f>IFERROR(INDEX(PP_Grid[#Data],$DD201,64),0)</f>
        <v/>
      </c>
      <c r="BO201">
        <f>IFERROR(INDEX(PP_Grid[#Data],$DD201,65),0)</f>
        <v/>
      </c>
      <c r="BP201">
        <f>IFERROR(INDEX(PP_Grid[#Data],$DD201,66),0)</f>
        <v/>
      </c>
      <c r="BQ201">
        <f>IFERROR(INDEX(PP_Grid[#Data],$DD201,67),0)</f>
        <v/>
      </c>
      <c r="BR201">
        <f>IFERROR(INDEX(PP_Grid[#Data],$DD201,68),0)</f>
        <v/>
      </c>
      <c r="BS201">
        <f>IFERROR(INDEX(PP_Grid[#Data],$DD201,69),0)</f>
        <v/>
      </c>
      <c r="BT201">
        <f>IFERROR(INDEX(PP_Grid[#Data],$DD201,70),0)</f>
        <v/>
      </c>
      <c r="BU201">
        <f>IFERROR(INDEX(PP_Grid[#Data],$DD201,71),0)</f>
        <v/>
      </c>
      <c r="BV201">
        <f>IFERROR(INDEX(PP_Grid[#Data],$DD201,72),0)</f>
        <v/>
      </c>
      <c r="BW201">
        <f>IFERROR(INDEX(PP_Grid[#Data],$DD201,73),0)</f>
        <v/>
      </c>
      <c r="BX201">
        <f>IFERROR(INDEX(PP_Grid[#Data],$DD201,74),0)</f>
        <v/>
      </c>
      <c r="BY201">
        <f>IFERROR(INDEX(PP_Grid[#Data],$DD201,75),0)</f>
        <v/>
      </c>
      <c r="BZ201">
        <f>IFERROR(INDEX(PP_Grid[#Data],$DD201,76),0)</f>
        <v/>
      </c>
      <c r="CA201">
        <f>IFERROR(INDEX(PP_Grid[#Data],$DD201,77),0)</f>
        <v/>
      </c>
      <c r="CB201">
        <f>IFERROR(INDEX(PP_Grid[#Data],$DD201,78),0)</f>
        <v/>
      </c>
      <c r="CC201">
        <f>IFERROR(INDEX(PP_Grid[#Data],$DD201,79),0)</f>
        <v/>
      </c>
      <c r="CD201">
        <f>IFERROR(INDEX(PP_Grid[#Data],$DD201,80),0)</f>
        <v/>
      </c>
      <c r="CE201">
        <f>IFERROR(INDEX(PP_Grid[#Data],$DD201,81),0)</f>
        <v/>
      </c>
      <c r="CF201">
        <f>IFERROR(INDEX(PP_Grid[#Data],$DD201,82),0)</f>
        <v/>
      </c>
      <c r="CG201">
        <f>IFERROR(INDEX(PP_Grid[#Data],$DD201,83),0)</f>
        <v/>
      </c>
      <c r="CH201">
        <f>IFERROR(INDEX(PP_Grid[#Data],$DD201,84),0)</f>
        <v/>
      </c>
      <c r="CI201">
        <f>IFERROR(INDEX(PP_Grid[#Data],$DD201,85),0)</f>
        <v/>
      </c>
      <c r="CJ201">
        <f>IFERROR(INDEX(PP_Grid[#Data],$DD201,86),0)</f>
        <v/>
      </c>
      <c r="CK201">
        <f>IFERROR(INDEX(PP_Grid[#Data],$DD201,87),0)</f>
        <v/>
      </c>
      <c r="CL201">
        <f>IFERROR(INDEX(PP_Grid[#Data],$DD201,88),0)</f>
        <v/>
      </c>
      <c r="CM201">
        <f>IFERROR(INDEX(PP_Grid[#Data],$DD201,89),0)</f>
        <v/>
      </c>
      <c r="CN201">
        <f>IFERROR(INDEX(PP_Grid[#Data],$DD201,90),0)</f>
        <v/>
      </c>
      <c r="CO201">
        <f>IFERROR(INDEX(PP_Grid[#Data],$DD201,91),0)</f>
        <v/>
      </c>
      <c r="CP201">
        <f>IFERROR(INDEX(PP_Grid[#Data],$DD201,92),0)</f>
        <v/>
      </c>
      <c r="CQ201">
        <f>IFERROR(INDEX(PP_Grid[#Data],$DD201,93),0)</f>
        <v/>
      </c>
      <c r="CR201">
        <f>IFERROR(INDEX(PP_Grid[#Data],$DD201,94),0)</f>
        <v/>
      </c>
      <c r="CS201">
        <f>IFERROR(INDEX(PP_Grid[#Data],$DD201,95),0)</f>
        <v/>
      </c>
      <c r="CT201">
        <f>IFERROR(INDEX(PP_Grid[#Data],$DD201,96),0)</f>
        <v/>
      </c>
      <c r="CU201">
        <f>IFERROR(INDEX(PP_Grid[#Data],$DD201,97),0)</f>
        <v/>
      </c>
      <c r="CV201">
        <f>IFERROR(INDEX(PP_Grid[#Data],$DD201,98),0)</f>
        <v/>
      </c>
      <c r="CW201">
        <f>IFERROR(INDEX(PP_Grid[#Data],$DD201,99),0)</f>
        <v/>
      </c>
      <c r="CX201">
        <f>IFERROR(INDEX(PP_Grid[#Data],$DD201,100),0)</f>
        <v/>
      </c>
      <c r="CY201">
        <f>IFERROR(INDEX(PP_Grid[#Data],$DD201,101),0)</f>
        <v/>
      </c>
      <c r="CZ201">
        <f>IFERROR(INDEX(PP_Grid[#Data],$DD201,102),0)</f>
        <v/>
      </c>
      <c r="DA201">
        <f>IFERROR(INDEX(PP_Grid[#Data],$DD201,103),0)</f>
        <v/>
      </c>
      <c r="DB201">
        <f>IFERROR(INDEX(PP_Grid[#Data],$DD201,104),0)</f>
        <v/>
      </c>
      <c r="DC201">
        <f>IFERROR(INDEX(PP_Grid[#Data],$DD201,105),0)</f>
        <v/>
      </c>
      <c r="DD201" s="7">
        <f>IFERROR(MATCH($B201,PP_Grid[Intermediate],0),99999)</f>
        <v/>
      </c>
    </row>
    <row r="202">
      <c r="B202" t="inlineStr">
        <is>
          <t>使用量(kg)</t>
        </is>
      </c>
      <c r="C202">
        <f>SUMIFS(M_BOM[RM_Qty_Per_Batch],M_BOM[Intermediate],$B201,M_BOM[Part Name],$A44)</f>
        <v/>
      </c>
      <c r="D202">
        <f>$C202*D201</f>
        <v/>
      </c>
      <c r="E202">
        <f>$C202*E201</f>
        <v/>
      </c>
      <c r="F202">
        <f>$C202*F201</f>
        <v/>
      </c>
      <c r="G202">
        <f>$C202*G201</f>
        <v/>
      </c>
      <c r="H202">
        <f>$C202*H201</f>
        <v/>
      </c>
      <c r="I202">
        <f>$C202*I201</f>
        <v/>
      </c>
      <c r="J202">
        <f>$C202*J201</f>
        <v/>
      </c>
      <c r="K202">
        <f>$C202*K201</f>
        <v/>
      </c>
      <c r="L202">
        <f>$C202*L201</f>
        <v/>
      </c>
      <c r="M202">
        <f>$C202*M201</f>
        <v/>
      </c>
      <c r="N202">
        <f>$C202*N201</f>
        <v/>
      </c>
      <c r="O202">
        <f>$C202*O201</f>
        <v/>
      </c>
      <c r="P202">
        <f>$C202*P201</f>
        <v/>
      </c>
      <c r="Q202">
        <f>$C202*Q201</f>
        <v/>
      </c>
      <c r="R202">
        <f>$C202*R201</f>
        <v/>
      </c>
      <c r="S202">
        <f>$C202*S201</f>
        <v/>
      </c>
      <c r="T202">
        <f>$C202*T201</f>
        <v/>
      </c>
      <c r="U202">
        <f>$C202*U201</f>
        <v/>
      </c>
      <c r="V202">
        <f>$C202*V201</f>
        <v/>
      </c>
      <c r="W202">
        <f>$C202*W201</f>
        <v/>
      </c>
      <c r="X202">
        <f>$C202*X201</f>
        <v/>
      </c>
      <c r="Y202">
        <f>$C202*Y201</f>
        <v/>
      </c>
      <c r="Z202">
        <f>$C202*Z201</f>
        <v/>
      </c>
      <c r="AA202">
        <f>$C202*AA201</f>
        <v/>
      </c>
      <c r="AB202">
        <f>$C202*AB201</f>
        <v/>
      </c>
      <c r="AC202">
        <f>$C202*AC201</f>
        <v/>
      </c>
      <c r="AD202">
        <f>$C202*AD201</f>
        <v/>
      </c>
      <c r="AE202">
        <f>$C202*AE201</f>
        <v/>
      </c>
      <c r="AF202">
        <f>$C202*AF201</f>
        <v/>
      </c>
      <c r="AG202">
        <f>$C202*AG201</f>
        <v/>
      </c>
      <c r="AH202">
        <f>$C202*AH201</f>
        <v/>
      </c>
      <c r="AI202">
        <f>$C202*AI201</f>
        <v/>
      </c>
      <c r="AJ202">
        <f>$C202*AJ201</f>
        <v/>
      </c>
      <c r="AK202">
        <f>$C202*AK201</f>
        <v/>
      </c>
      <c r="AL202">
        <f>$C202*AL201</f>
        <v/>
      </c>
      <c r="AM202">
        <f>$C202*AM201</f>
        <v/>
      </c>
      <c r="AN202">
        <f>$C202*AN201</f>
        <v/>
      </c>
      <c r="AO202">
        <f>$C202*AO201</f>
        <v/>
      </c>
      <c r="AP202">
        <f>$C202*AP201</f>
        <v/>
      </c>
      <c r="AQ202">
        <f>$C202*AQ201</f>
        <v/>
      </c>
      <c r="AR202">
        <f>$C202*AR201</f>
        <v/>
      </c>
      <c r="AS202">
        <f>$C202*AS201</f>
        <v/>
      </c>
      <c r="AT202">
        <f>$C202*AT201</f>
        <v/>
      </c>
      <c r="AU202">
        <f>$C202*AU201</f>
        <v/>
      </c>
      <c r="AV202">
        <f>$C202*AV201</f>
        <v/>
      </c>
      <c r="AW202">
        <f>$C202*AW201</f>
        <v/>
      </c>
      <c r="AX202">
        <f>$C202*AX201</f>
        <v/>
      </c>
      <c r="AY202">
        <f>$C202*AY201</f>
        <v/>
      </c>
      <c r="AZ202">
        <f>$C202*AZ201</f>
        <v/>
      </c>
      <c r="BA202">
        <f>$C202*BA201</f>
        <v/>
      </c>
      <c r="BB202">
        <f>$C202*BB201</f>
        <v/>
      </c>
      <c r="BC202">
        <f>$C202*BC201</f>
        <v/>
      </c>
      <c r="BD202">
        <f>$C202*BD201</f>
        <v/>
      </c>
      <c r="BE202">
        <f>$C202*BE201</f>
        <v/>
      </c>
      <c r="BF202">
        <f>$C202*BF201</f>
        <v/>
      </c>
      <c r="BG202">
        <f>$C202*BG201</f>
        <v/>
      </c>
      <c r="BH202">
        <f>$C202*BH201</f>
        <v/>
      </c>
      <c r="BI202">
        <f>$C202*BI201</f>
        <v/>
      </c>
      <c r="BJ202">
        <f>$C202*BJ201</f>
        <v/>
      </c>
      <c r="BK202">
        <f>$C202*BK201</f>
        <v/>
      </c>
      <c r="BL202">
        <f>$C202*BL201</f>
        <v/>
      </c>
      <c r="BM202">
        <f>$C202*BM201</f>
        <v/>
      </c>
      <c r="BN202">
        <f>$C202*BN201</f>
        <v/>
      </c>
      <c r="BO202">
        <f>$C202*BO201</f>
        <v/>
      </c>
      <c r="BP202">
        <f>$C202*BP201</f>
        <v/>
      </c>
      <c r="BQ202">
        <f>$C202*BQ201</f>
        <v/>
      </c>
      <c r="BR202">
        <f>$C202*BR201</f>
        <v/>
      </c>
      <c r="BS202">
        <f>$C202*BS201</f>
        <v/>
      </c>
      <c r="BT202">
        <f>$C202*BT201</f>
        <v/>
      </c>
      <c r="BU202">
        <f>$C202*BU201</f>
        <v/>
      </c>
      <c r="BV202">
        <f>$C202*BV201</f>
        <v/>
      </c>
      <c r="BW202">
        <f>$C202*BW201</f>
        <v/>
      </c>
      <c r="BX202">
        <f>$C202*BX201</f>
        <v/>
      </c>
      <c r="BY202">
        <f>$C202*BY201</f>
        <v/>
      </c>
      <c r="BZ202">
        <f>$C202*BZ201</f>
        <v/>
      </c>
      <c r="CA202">
        <f>$C202*CA201</f>
        <v/>
      </c>
      <c r="CB202">
        <f>$C202*CB201</f>
        <v/>
      </c>
      <c r="CC202">
        <f>$C202*CC201</f>
        <v/>
      </c>
      <c r="CD202">
        <f>$C202*CD201</f>
        <v/>
      </c>
      <c r="CE202">
        <f>$C202*CE201</f>
        <v/>
      </c>
      <c r="CF202">
        <f>$C202*CF201</f>
        <v/>
      </c>
      <c r="CG202">
        <f>$C202*CG201</f>
        <v/>
      </c>
      <c r="CH202">
        <f>$C202*CH201</f>
        <v/>
      </c>
      <c r="CI202">
        <f>$C202*CI201</f>
        <v/>
      </c>
      <c r="CJ202">
        <f>$C202*CJ201</f>
        <v/>
      </c>
      <c r="CK202">
        <f>$C202*CK201</f>
        <v/>
      </c>
      <c r="CL202">
        <f>$C202*CL201</f>
        <v/>
      </c>
      <c r="CM202">
        <f>$C202*CM201</f>
        <v/>
      </c>
      <c r="CN202">
        <f>$C202*CN201</f>
        <v/>
      </c>
      <c r="CO202">
        <f>$C202*CO201</f>
        <v/>
      </c>
      <c r="CP202">
        <f>$C202*CP201</f>
        <v/>
      </c>
      <c r="CQ202">
        <f>$C202*CQ201</f>
        <v/>
      </c>
      <c r="CR202">
        <f>$C202*CR201</f>
        <v/>
      </c>
      <c r="CS202">
        <f>$C202*CS201</f>
        <v/>
      </c>
      <c r="CT202">
        <f>$C202*CT201</f>
        <v/>
      </c>
      <c r="CU202">
        <f>$C202*CU201</f>
        <v/>
      </c>
      <c r="CV202">
        <f>$C202*CV201</f>
        <v/>
      </c>
      <c r="CW202">
        <f>$C202*CW201</f>
        <v/>
      </c>
      <c r="CX202">
        <f>$C202*CX201</f>
        <v/>
      </c>
      <c r="CY202">
        <f>$C202*CY201</f>
        <v/>
      </c>
      <c r="CZ202">
        <f>$C202*CZ201</f>
        <v/>
      </c>
      <c r="DA202">
        <f>$C202*DA201</f>
        <v/>
      </c>
      <c r="DB202">
        <f>$C202*DB201</f>
        <v/>
      </c>
      <c r="DC202">
        <f>$C202*DC201</f>
        <v/>
      </c>
    </row>
    <row r="203">
      <c r="B203" t="inlineStr">
        <is>
          <t>VSZ-745</t>
        </is>
      </c>
      <c r="C203" t="inlineStr">
        <is>
          <t>No. of batches</t>
        </is>
      </c>
      <c r="D203">
        <f>IFERROR(INDEX(PP_Grid[#Data],$DD203,2),0)</f>
        <v/>
      </c>
      <c r="E203">
        <f>IFERROR(INDEX(PP_Grid[#Data],$DD203,3),0)</f>
        <v/>
      </c>
      <c r="F203">
        <f>IFERROR(INDEX(PP_Grid[#Data],$DD203,4),0)</f>
        <v/>
      </c>
      <c r="G203">
        <f>IFERROR(INDEX(PP_Grid[#Data],$DD203,5),0)</f>
        <v/>
      </c>
      <c r="H203">
        <f>IFERROR(INDEX(PP_Grid[#Data],$DD203,6),0)</f>
        <v/>
      </c>
      <c r="I203">
        <f>IFERROR(INDEX(PP_Grid[#Data],$DD203,7),0)</f>
        <v/>
      </c>
      <c r="J203">
        <f>IFERROR(INDEX(PP_Grid[#Data],$DD203,8),0)</f>
        <v/>
      </c>
      <c r="K203">
        <f>IFERROR(INDEX(PP_Grid[#Data],$DD203,9),0)</f>
        <v/>
      </c>
      <c r="L203">
        <f>IFERROR(INDEX(PP_Grid[#Data],$DD203,10),0)</f>
        <v/>
      </c>
      <c r="M203">
        <f>IFERROR(INDEX(PP_Grid[#Data],$DD203,11),0)</f>
        <v/>
      </c>
      <c r="N203">
        <f>IFERROR(INDEX(PP_Grid[#Data],$DD203,12),0)</f>
        <v/>
      </c>
      <c r="O203">
        <f>IFERROR(INDEX(PP_Grid[#Data],$DD203,13),0)</f>
        <v/>
      </c>
      <c r="P203">
        <f>IFERROR(INDEX(PP_Grid[#Data],$DD203,14),0)</f>
        <v/>
      </c>
      <c r="Q203">
        <f>IFERROR(INDEX(PP_Grid[#Data],$DD203,15),0)</f>
        <v/>
      </c>
      <c r="R203">
        <f>IFERROR(INDEX(PP_Grid[#Data],$DD203,16),0)</f>
        <v/>
      </c>
      <c r="S203">
        <f>IFERROR(INDEX(PP_Grid[#Data],$DD203,17),0)</f>
        <v/>
      </c>
      <c r="T203">
        <f>IFERROR(INDEX(PP_Grid[#Data],$DD203,18),0)</f>
        <v/>
      </c>
      <c r="U203">
        <f>IFERROR(INDEX(PP_Grid[#Data],$DD203,19),0)</f>
        <v/>
      </c>
      <c r="V203">
        <f>IFERROR(INDEX(PP_Grid[#Data],$DD203,20),0)</f>
        <v/>
      </c>
      <c r="W203">
        <f>IFERROR(INDEX(PP_Grid[#Data],$DD203,21),0)</f>
        <v/>
      </c>
      <c r="X203">
        <f>IFERROR(INDEX(PP_Grid[#Data],$DD203,22),0)</f>
        <v/>
      </c>
      <c r="Y203">
        <f>IFERROR(INDEX(PP_Grid[#Data],$DD203,23),0)</f>
        <v/>
      </c>
      <c r="Z203">
        <f>IFERROR(INDEX(PP_Grid[#Data],$DD203,24),0)</f>
        <v/>
      </c>
      <c r="AA203">
        <f>IFERROR(INDEX(PP_Grid[#Data],$DD203,25),0)</f>
        <v/>
      </c>
      <c r="AB203">
        <f>IFERROR(INDEX(PP_Grid[#Data],$DD203,26),0)</f>
        <v/>
      </c>
      <c r="AC203">
        <f>IFERROR(INDEX(PP_Grid[#Data],$DD203,27),0)</f>
        <v/>
      </c>
      <c r="AD203">
        <f>IFERROR(INDEX(PP_Grid[#Data],$DD203,28),0)</f>
        <v/>
      </c>
      <c r="AE203">
        <f>IFERROR(INDEX(PP_Grid[#Data],$DD203,29),0)</f>
        <v/>
      </c>
      <c r="AF203">
        <f>IFERROR(INDEX(PP_Grid[#Data],$DD203,30),0)</f>
        <v/>
      </c>
      <c r="AG203">
        <f>IFERROR(INDEX(PP_Grid[#Data],$DD203,31),0)</f>
        <v/>
      </c>
      <c r="AH203">
        <f>IFERROR(INDEX(PP_Grid[#Data],$DD203,32),0)</f>
        <v/>
      </c>
      <c r="AI203">
        <f>IFERROR(INDEX(PP_Grid[#Data],$DD203,33),0)</f>
        <v/>
      </c>
      <c r="AJ203">
        <f>IFERROR(INDEX(PP_Grid[#Data],$DD203,34),0)</f>
        <v/>
      </c>
      <c r="AK203">
        <f>IFERROR(INDEX(PP_Grid[#Data],$DD203,35),0)</f>
        <v/>
      </c>
      <c r="AL203">
        <f>IFERROR(INDEX(PP_Grid[#Data],$DD203,36),0)</f>
        <v/>
      </c>
      <c r="AM203">
        <f>IFERROR(INDEX(PP_Grid[#Data],$DD203,37),0)</f>
        <v/>
      </c>
      <c r="AN203">
        <f>IFERROR(INDEX(PP_Grid[#Data],$DD203,38),0)</f>
        <v/>
      </c>
      <c r="AO203">
        <f>IFERROR(INDEX(PP_Grid[#Data],$DD203,39),0)</f>
        <v/>
      </c>
      <c r="AP203">
        <f>IFERROR(INDEX(PP_Grid[#Data],$DD203,40),0)</f>
        <v/>
      </c>
      <c r="AQ203">
        <f>IFERROR(INDEX(PP_Grid[#Data],$DD203,41),0)</f>
        <v/>
      </c>
      <c r="AR203">
        <f>IFERROR(INDEX(PP_Grid[#Data],$DD203,42),0)</f>
        <v/>
      </c>
      <c r="AS203">
        <f>IFERROR(INDEX(PP_Grid[#Data],$DD203,43),0)</f>
        <v/>
      </c>
      <c r="AT203">
        <f>IFERROR(INDEX(PP_Grid[#Data],$DD203,44),0)</f>
        <v/>
      </c>
      <c r="AU203">
        <f>IFERROR(INDEX(PP_Grid[#Data],$DD203,45),0)</f>
        <v/>
      </c>
      <c r="AV203">
        <f>IFERROR(INDEX(PP_Grid[#Data],$DD203,46),0)</f>
        <v/>
      </c>
      <c r="AW203">
        <f>IFERROR(INDEX(PP_Grid[#Data],$DD203,47),0)</f>
        <v/>
      </c>
      <c r="AX203">
        <f>IFERROR(INDEX(PP_Grid[#Data],$DD203,48),0)</f>
        <v/>
      </c>
      <c r="AY203">
        <f>IFERROR(INDEX(PP_Grid[#Data],$DD203,49),0)</f>
        <v/>
      </c>
      <c r="AZ203">
        <f>IFERROR(INDEX(PP_Grid[#Data],$DD203,50),0)</f>
        <v/>
      </c>
      <c r="BA203">
        <f>IFERROR(INDEX(PP_Grid[#Data],$DD203,51),0)</f>
        <v/>
      </c>
      <c r="BB203">
        <f>IFERROR(INDEX(PP_Grid[#Data],$DD203,52),0)</f>
        <v/>
      </c>
      <c r="BC203">
        <f>IFERROR(INDEX(PP_Grid[#Data],$DD203,53),0)</f>
        <v/>
      </c>
      <c r="BD203">
        <f>IFERROR(INDEX(PP_Grid[#Data],$DD203,54),0)</f>
        <v/>
      </c>
      <c r="BE203">
        <f>IFERROR(INDEX(PP_Grid[#Data],$DD203,55),0)</f>
        <v/>
      </c>
      <c r="BF203">
        <f>IFERROR(INDEX(PP_Grid[#Data],$DD203,56),0)</f>
        <v/>
      </c>
      <c r="BG203">
        <f>IFERROR(INDEX(PP_Grid[#Data],$DD203,57),0)</f>
        <v/>
      </c>
      <c r="BH203">
        <f>IFERROR(INDEX(PP_Grid[#Data],$DD203,58),0)</f>
        <v/>
      </c>
      <c r="BI203">
        <f>IFERROR(INDEX(PP_Grid[#Data],$DD203,59),0)</f>
        <v/>
      </c>
      <c r="BJ203">
        <f>IFERROR(INDEX(PP_Grid[#Data],$DD203,60),0)</f>
        <v/>
      </c>
      <c r="BK203">
        <f>IFERROR(INDEX(PP_Grid[#Data],$DD203,61),0)</f>
        <v/>
      </c>
      <c r="BL203">
        <f>IFERROR(INDEX(PP_Grid[#Data],$DD203,62),0)</f>
        <v/>
      </c>
      <c r="BM203">
        <f>IFERROR(INDEX(PP_Grid[#Data],$DD203,63),0)</f>
        <v/>
      </c>
      <c r="BN203">
        <f>IFERROR(INDEX(PP_Grid[#Data],$DD203,64),0)</f>
        <v/>
      </c>
      <c r="BO203">
        <f>IFERROR(INDEX(PP_Grid[#Data],$DD203,65),0)</f>
        <v/>
      </c>
      <c r="BP203">
        <f>IFERROR(INDEX(PP_Grid[#Data],$DD203,66),0)</f>
        <v/>
      </c>
      <c r="BQ203">
        <f>IFERROR(INDEX(PP_Grid[#Data],$DD203,67),0)</f>
        <v/>
      </c>
      <c r="BR203">
        <f>IFERROR(INDEX(PP_Grid[#Data],$DD203,68),0)</f>
        <v/>
      </c>
      <c r="BS203">
        <f>IFERROR(INDEX(PP_Grid[#Data],$DD203,69),0)</f>
        <v/>
      </c>
      <c r="BT203">
        <f>IFERROR(INDEX(PP_Grid[#Data],$DD203,70),0)</f>
        <v/>
      </c>
      <c r="BU203">
        <f>IFERROR(INDEX(PP_Grid[#Data],$DD203,71),0)</f>
        <v/>
      </c>
      <c r="BV203">
        <f>IFERROR(INDEX(PP_Grid[#Data],$DD203,72),0)</f>
        <v/>
      </c>
      <c r="BW203">
        <f>IFERROR(INDEX(PP_Grid[#Data],$DD203,73),0)</f>
        <v/>
      </c>
      <c r="BX203">
        <f>IFERROR(INDEX(PP_Grid[#Data],$DD203,74),0)</f>
        <v/>
      </c>
      <c r="BY203">
        <f>IFERROR(INDEX(PP_Grid[#Data],$DD203,75),0)</f>
        <v/>
      </c>
      <c r="BZ203">
        <f>IFERROR(INDEX(PP_Grid[#Data],$DD203,76),0)</f>
        <v/>
      </c>
      <c r="CA203">
        <f>IFERROR(INDEX(PP_Grid[#Data],$DD203,77),0)</f>
        <v/>
      </c>
      <c r="CB203">
        <f>IFERROR(INDEX(PP_Grid[#Data],$DD203,78),0)</f>
        <v/>
      </c>
      <c r="CC203">
        <f>IFERROR(INDEX(PP_Grid[#Data],$DD203,79),0)</f>
        <v/>
      </c>
      <c r="CD203">
        <f>IFERROR(INDEX(PP_Grid[#Data],$DD203,80),0)</f>
        <v/>
      </c>
      <c r="CE203">
        <f>IFERROR(INDEX(PP_Grid[#Data],$DD203,81),0)</f>
        <v/>
      </c>
      <c r="CF203">
        <f>IFERROR(INDEX(PP_Grid[#Data],$DD203,82),0)</f>
        <v/>
      </c>
      <c r="CG203">
        <f>IFERROR(INDEX(PP_Grid[#Data],$DD203,83),0)</f>
        <v/>
      </c>
      <c r="CH203">
        <f>IFERROR(INDEX(PP_Grid[#Data],$DD203,84),0)</f>
        <v/>
      </c>
      <c r="CI203">
        <f>IFERROR(INDEX(PP_Grid[#Data],$DD203,85),0)</f>
        <v/>
      </c>
      <c r="CJ203">
        <f>IFERROR(INDEX(PP_Grid[#Data],$DD203,86),0)</f>
        <v/>
      </c>
      <c r="CK203">
        <f>IFERROR(INDEX(PP_Grid[#Data],$DD203,87),0)</f>
        <v/>
      </c>
      <c r="CL203">
        <f>IFERROR(INDEX(PP_Grid[#Data],$DD203,88),0)</f>
        <v/>
      </c>
      <c r="CM203">
        <f>IFERROR(INDEX(PP_Grid[#Data],$DD203,89),0)</f>
        <v/>
      </c>
      <c r="CN203">
        <f>IFERROR(INDEX(PP_Grid[#Data],$DD203,90),0)</f>
        <v/>
      </c>
      <c r="CO203">
        <f>IFERROR(INDEX(PP_Grid[#Data],$DD203,91),0)</f>
        <v/>
      </c>
      <c r="CP203">
        <f>IFERROR(INDEX(PP_Grid[#Data],$DD203,92),0)</f>
        <v/>
      </c>
      <c r="CQ203">
        <f>IFERROR(INDEX(PP_Grid[#Data],$DD203,93),0)</f>
        <v/>
      </c>
      <c r="CR203">
        <f>IFERROR(INDEX(PP_Grid[#Data],$DD203,94),0)</f>
        <v/>
      </c>
      <c r="CS203">
        <f>IFERROR(INDEX(PP_Grid[#Data],$DD203,95),0)</f>
        <v/>
      </c>
      <c r="CT203">
        <f>IFERROR(INDEX(PP_Grid[#Data],$DD203,96),0)</f>
        <v/>
      </c>
      <c r="CU203">
        <f>IFERROR(INDEX(PP_Grid[#Data],$DD203,97),0)</f>
        <v/>
      </c>
      <c r="CV203">
        <f>IFERROR(INDEX(PP_Grid[#Data],$DD203,98),0)</f>
        <v/>
      </c>
      <c r="CW203">
        <f>IFERROR(INDEX(PP_Grid[#Data],$DD203,99),0)</f>
        <v/>
      </c>
      <c r="CX203">
        <f>IFERROR(INDEX(PP_Grid[#Data],$DD203,100),0)</f>
        <v/>
      </c>
      <c r="CY203">
        <f>IFERROR(INDEX(PP_Grid[#Data],$DD203,101),0)</f>
        <v/>
      </c>
      <c r="CZ203">
        <f>IFERROR(INDEX(PP_Grid[#Data],$DD203,102),0)</f>
        <v/>
      </c>
      <c r="DA203">
        <f>IFERROR(INDEX(PP_Grid[#Data],$DD203,103),0)</f>
        <v/>
      </c>
      <c r="DB203">
        <f>IFERROR(INDEX(PP_Grid[#Data],$DD203,104),0)</f>
        <v/>
      </c>
      <c r="DC203">
        <f>IFERROR(INDEX(PP_Grid[#Data],$DD203,105),0)</f>
        <v/>
      </c>
      <c r="DD203" s="7">
        <f>IFERROR(MATCH($B203,PP_Grid[Intermediate],0),99999)</f>
        <v/>
      </c>
    </row>
    <row r="204">
      <c r="B204" t="inlineStr">
        <is>
          <t>使用量(kg)</t>
        </is>
      </c>
      <c r="C204">
        <f>SUMIFS(M_BOM[RM_Qty_Per_Batch],M_BOM[Intermediate],$B203,M_BOM[Part Name],$A44)</f>
        <v/>
      </c>
      <c r="D204">
        <f>$C204*D203</f>
        <v/>
      </c>
      <c r="E204">
        <f>$C204*E203</f>
        <v/>
      </c>
      <c r="F204">
        <f>$C204*F203</f>
        <v/>
      </c>
      <c r="G204">
        <f>$C204*G203</f>
        <v/>
      </c>
      <c r="H204">
        <f>$C204*H203</f>
        <v/>
      </c>
      <c r="I204">
        <f>$C204*I203</f>
        <v/>
      </c>
      <c r="J204">
        <f>$C204*J203</f>
        <v/>
      </c>
      <c r="K204">
        <f>$C204*K203</f>
        <v/>
      </c>
      <c r="L204">
        <f>$C204*L203</f>
        <v/>
      </c>
      <c r="M204">
        <f>$C204*M203</f>
        <v/>
      </c>
      <c r="N204">
        <f>$C204*N203</f>
        <v/>
      </c>
      <c r="O204">
        <f>$C204*O203</f>
        <v/>
      </c>
      <c r="P204">
        <f>$C204*P203</f>
        <v/>
      </c>
      <c r="Q204">
        <f>$C204*Q203</f>
        <v/>
      </c>
      <c r="R204">
        <f>$C204*R203</f>
        <v/>
      </c>
      <c r="S204">
        <f>$C204*S203</f>
        <v/>
      </c>
      <c r="T204">
        <f>$C204*T203</f>
        <v/>
      </c>
      <c r="U204">
        <f>$C204*U203</f>
        <v/>
      </c>
      <c r="V204">
        <f>$C204*V203</f>
        <v/>
      </c>
      <c r="W204">
        <f>$C204*W203</f>
        <v/>
      </c>
      <c r="X204">
        <f>$C204*X203</f>
        <v/>
      </c>
      <c r="Y204">
        <f>$C204*Y203</f>
        <v/>
      </c>
      <c r="Z204">
        <f>$C204*Z203</f>
        <v/>
      </c>
      <c r="AA204">
        <f>$C204*AA203</f>
        <v/>
      </c>
      <c r="AB204">
        <f>$C204*AB203</f>
        <v/>
      </c>
      <c r="AC204">
        <f>$C204*AC203</f>
        <v/>
      </c>
      <c r="AD204">
        <f>$C204*AD203</f>
        <v/>
      </c>
      <c r="AE204">
        <f>$C204*AE203</f>
        <v/>
      </c>
      <c r="AF204">
        <f>$C204*AF203</f>
        <v/>
      </c>
      <c r="AG204">
        <f>$C204*AG203</f>
        <v/>
      </c>
      <c r="AH204">
        <f>$C204*AH203</f>
        <v/>
      </c>
      <c r="AI204">
        <f>$C204*AI203</f>
        <v/>
      </c>
      <c r="AJ204">
        <f>$C204*AJ203</f>
        <v/>
      </c>
      <c r="AK204">
        <f>$C204*AK203</f>
        <v/>
      </c>
      <c r="AL204">
        <f>$C204*AL203</f>
        <v/>
      </c>
      <c r="AM204">
        <f>$C204*AM203</f>
        <v/>
      </c>
      <c r="AN204">
        <f>$C204*AN203</f>
        <v/>
      </c>
      <c r="AO204">
        <f>$C204*AO203</f>
        <v/>
      </c>
      <c r="AP204">
        <f>$C204*AP203</f>
        <v/>
      </c>
      <c r="AQ204">
        <f>$C204*AQ203</f>
        <v/>
      </c>
      <c r="AR204">
        <f>$C204*AR203</f>
        <v/>
      </c>
      <c r="AS204">
        <f>$C204*AS203</f>
        <v/>
      </c>
      <c r="AT204">
        <f>$C204*AT203</f>
        <v/>
      </c>
      <c r="AU204">
        <f>$C204*AU203</f>
        <v/>
      </c>
      <c r="AV204">
        <f>$C204*AV203</f>
        <v/>
      </c>
      <c r="AW204">
        <f>$C204*AW203</f>
        <v/>
      </c>
      <c r="AX204">
        <f>$C204*AX203</f>
        <v/>
      </c>
      <c r="AY204">
        <f>$C204*AY203</f>
        <v/>
      </c>
      <c r="AZ204">
        <f>$C204*AZ203</f>
        <v/>
      </c>
      <c r="BA204">
        <f>$C204*BA203</f>
        <v/>
      </c>
      <c r="BB204">
        <f>$C204*BB203</f>
        <v/>
      </c>
      <c r="BC204">
        <f>$C204*BC203</f>
        <v/>
      </c>
      <c r="BD204">
        <f>$C204*BD203</f>
        <v/>
      </c>
      <c r="BE204">
        <f>$C204*BE203</f>
        <v/>
      </c>
      <c r="BF204">
        <f>$C204*BF203</f>
        <v/>
      </c>
      <c r="BG204">
        <f>$C204*BG203</f>
        <v/>
      </c>
      <c r="BH204">
        <f>$C204*BH203</f>
        <v/>
      </c>
      <c r="BI204">
        <f>$C204*BI203</f>
        <v/>
      </c>
      <c r="BJ204">
        <f>$C204*BJ203</f>
        <v/>
      </c>
      <c r="BK204">
        <f>$C204*BK203</f>
        <v/>
      </c>
      <c r="BL204">
        <f>$C204*BL203</f>
        <v/>
      </c>
      <c r="BM204">
        <f>$C204*BM203</f>
        <v/>
      </c>
      <c r="BN204">
        <f>$C204*BN203</f>
        <v/>
      </c>
      <c r="BO204">
        <f>$C204*BO203</f>
        <v/>
      </c>
      <c r="BP204">
        <f>$C204*BP203</f>
        <v/>
      </c>
      <c r="BQ204">
        <f>$C204*BQ203</f>
        <v/>
      </c>
      <c r="BR204">
        <f>$C204*BR203</f>
        <v/>
      </c>
      <c r="BS204">
        <f>$C204*BS203</f>
        <v/>
      </c>
      <c r="BT204">
        <f>$C204*BT203</f>
        <v/>
      </c>
      <c r="BU204">
        <f>$C204*BU203</f>
        <v/>
      </c>
      <c r="BV204">
        <f>$C204*BV203</f>
        <v/>
      </c>
      <c r="BW204">
        <f>$C204*BW203</f>
        <v/>
      </c>
      <c r="BX204">
        <f>$C204*BX203</f>
        <v/>
      </c>
      <c r="BY204">
        <f>$C204*BY203</f>
        <v/>
      </c>
      <c r="BZ204">
        <f>$C204*BZ203</f>
        <v/>
      </c>
      <c r="CA204">
        <f>$C204*CA203</f>
        <v/>
      </c>
      <c r="CB204">
        <f>$C204*CB203</f>
        <v/>
      </c>
      <c r="CC204">
        <f>$C204*CC203</f>
        <v/>
      </c>
      <c r="CD204">
        <f>$C204*CD203</f>
        <v/>
      </c>
      <c r="CE204">
        <f>$C204*CE203</f>
        <v/>
      </c>
      <c r="CF204">
        <f>$C204*CF203</f>
        <v/>
      </c>
      <c r="CG204">
        <f>$C204*CG203</f>
        <v/>
      </c>
      <c r="CH204">
        <f>$C204*CH203</f>
        <v/>
      </c>
      <c r="CI204">
        <f>$C204*CI203</f>
        <v/>
      </c>
      <c r="CJ204">
        <f>$C204*CJ203</f>
        <v/>
      </c>
      <c r="CK204">
        <f>$C204*CK203</f>
        <v/>
      </c>
      <c r="CL204">
        <f>$C204*CL203</f>
        <v/>
      </c>
      <c r="CM204">
        <f>$C204*CM203</f>
        <v/>
      </c>
      <c r="CN204">
        <f>$C204*CN203</f>
        <v/>
      </c>
      <c r="CO204">
        <f>$C204*CO203</f>
        <v/>
      </c>
      <c r="CP204">
        <f>$C204*CP203</f>
        <v/>
      </c>
      <c r="CQ204">
        <f>$C204*CQ203</f>
        <v/>
      </c>
      <c r="CR204">
        <f>$C204*CR203</f>
        <v/>
      </c>
      <c r="CS204">
        <f>$C204*CS203</f>
        <v/>
      </c>
      <c r="CT204">
        <f>$C204*CT203</f>
        <v/>
      </c>
      <c r="CU204">
        <f>$C204*CU203</f>
        <v/>
      </c>
      <c r="CV204">
        <f>$C204*CV203</f>
        <v/>
      </c>
      <c r="CW204">
        <f>$C204*CW203</f>
        <v/>
      </c>
      <c r="CX204">
        <f>$C204*CX203</f>
        <v/>
      </c>
      <c r="CY204">
        <f>$C204*CY203</f>
        <v/>
      </c>
      <c r="CZ204">
        <f>$C204*CZ203</f>
        <v/>
      </c>
      <c r="DA204">
        <f>$C204*DA203</f>
        <v/>
      </c>
      <c r="DB204">
        <f>$C204*DB203</f>
        <v/>
      </c>
      <c r="DC204">
        <f>$C204*DC203</f>
        <v/>
      </c>
    </row>
    <row r="205">
      <c r="B205" t="inlineStr">
        <is>
          <t>TVS-267</t>
        </is>
      </c>
      <c r="C205" t="inlineStr">
        <is>
          <t>No. of batches</t>
        </is>
      </c>
      <c r="D205">
        <f>IFERROR(INDEX(PP_Grid[#Data],$DD205,2),0)</f>
        <v/>
      </c>
      <c r="E205">
        <f>IFERROR(INDEX(PP_Grid[#Data],$DD205,3),0)</f>
        <v/>
      </c>
      <c r="F205">
        <f>IFERROR(INDEX(PP_Grid[#Data],$DD205,4),0)</f>
        <v/>
      </c>
      <c r="G205">
        <f>IFERROR(INDEX(PP_Grid[#Data],$DD205,5),0)</f>
        <v/>
      </c>
      <c r="H205">
        <f>IFERROR(INDEX(PP_Grid[#Data],$DD205,6),0)</f>
        <v/>
      </c>
      <c r="I205">
        <f>IFERROR(INDEX(PP_Grid[#Data],$DD205,7),0)</f>
        <v/>
      </c>
      <c r="J205">
        <f>IFERROR(INDEX(PP_Grid[#Data],$DD205,8),0)</f>
        <v/>
      </c>
      <c r="K205">
        <f>IFERROR(INDEX(PP_Grid[#Data],$DD205,9),0)</f>
        <v/>
      </c>
      <c r="L205">
        <f>IFERROR(INDEX(PP_Grid[#Data],$DD205,10),0)</f>
        <v/>
      </c>
      <c r="M205">
        <f>IFERROR(INDEX(PP_Grid[#Data],$DD205,11),0)</f>
        <v/>
      </c>
      <c r="N205">
        <f>IFERROR(INDEX(PP_Grid[#Data],$DD205,12),0)</f>
        <v/>
      </c>
      <c r="O205">
        <f>IFERROR(INDEX(PP_Grid[#Data],$DD205,13),0)</f>
        <v/>
      </c>
      <c r="P205">
        <f>IFERROR(INDEX(PP_Grid[#Data],$DD205,14),0)</f>
        <v/>
      </c>
      <c r="Q205">
        <f>IFERROR(INDEX(PP_Grid[#Data],$DD205,15),0)</f>
        <v/>
      </c>
      <c r="R205">
        <f>IFERROR(INDEX(PP_Grid[#Data],$DD205,16),0)</f>
        <v/>
      </c>
      <c r="S205">
        <f>IFERROR(INDEX(PP_Grid[#Data],$DD205,17),0)</f>
        <v/>
      </c>
      <c r="T205">
        <f>IFERROR(INDEX(PP_Grid[#Data],$DD205,18),0)</f>
        <v/>
      </c>
      <c r="U205">
        <f>IFERROR(INDEX(PP_Grid[#Data],$DD205,19),0)</f>
        <v/>
      </c>
      <c r="V205">
        <f>IFERROR(INDEX(PP_Grid[#Data],$DD205,20),0)</f>
        <v/>
      </c>
      <c r="W205">
        <f>IFERROR(INDEX(PP_Grid[#Data],$DD205,21),0)</f>
        <v/>
      </c>
      <c r="X205">
        <f>IFERROR(INDEX(PP_Grid[#Data],$DD205,22),0)</f>
        <v/>
      </c>
      <c r="Y205">
        <f>IFERROR(INDEX(PP_Grid[#Data],$DD205,23),0)</f>
        <v/>
      </c>
      <c r="Z205">
        <f>IFERROR(INDEX(PP_Grid[#Data],$DD205,24),0)</f>
        <v/>
      </c>
      <c r="AA205">
        <f>IFERROR(INDEX(PP_Grid[#Data],$DD205,25),0)</f>
        <v/>
      </c>
      <c r="AB205">
        <f>IFERROR(INDEX(PP_Grid[#Data],$DD205,26),0)</f>
        <v/>
      </c>
      <c r="AC205">
        <f>IFERROR(INDEX(PP_Grid[#Data],$DD205,27),0)</f>
        <v/>
      </c>
      <c r="AD205">
        <f>IFERROR(INDEX(PP_Grid[#Data],$DD205,28),0)</f>
        <v/>
      </c>
      <c r="AE205">
        <f>IFERROR(INDEX(PP_Grid[#Data],$DD205,29),0)</f>
        <v/>
      </c>
      <c r="AF205">
        <f>IFERROR(INDEX(PP_Grid[#Data],$DD205,30),0)</f>
        <v/>
      </c>
      <c r="AG205">
        <f>IFERROR(INDEX(PP_Grid[#Data],$DD205,31),0)</f>
        <v/>
      </c>
      <c r="AH205">
        <f>IFERROR(INDEX(PP_Grid[#Data],$DD205,32),0)</f>
        <v/>
      </c>
      <c r="AI205">
        <f>IFERROR(INDEX(PP_Grid[#Data],$DD205,33),0)</f>
        <v/>
      </c>
      <c r="AJ205">
        <f>IFERROR(INDEX(PP_Grid[#Data],$DD205,34),0)</f>
        <v/>
      </c>
      <c r="AK205">
        <f>IFERROR(INDEX(PP_Grid[#Data],$DD205,35),0)</f>
        <v/>
      </c>
      <c r="AL205">
        <f>IFERROR(INDEX(PP_Grid[#Data],$DD205,36),0)</f>
        <v/>
      </c>
      <c r="AM205">
        <f>IFERROR(INDEX(PP_Grid[#Data],$DD205,37),0)</f>
        <v/>
      </c>
      <c r="AN205">
        <f>IFERROR(INDEX(PP_Grid[#Data],$DD205,38),0)</f>
        <v/>
      </c>
      <c r="AO205">
        <f>IFERROR(INDEX(PP_Grid[#Data],$DD205,39),0)</f>
        <v/>
      </c>
      <c r="AP205">
        <f>IFERROR(INDEX(PP_Grid[#Data],$DD205,40),0)</f>
        <v/>
      </c>
      <c r="AQ205">
        <f>IFERROR(INDEX(PP_Grid[#Data],$DD205,41),0)</f>
        <v/>
      </c>
      <c r="AR205">
        <f>IFERROR(INDEX(PP_Grid[#Data],$DD205,42),0)</f>
        <v/>
      </c>
      <c r="AS205">
        <f>IFERROR(INDEX(PP_Grid[#Data],$DD205,43),0)</f>
        <v/>
      </c>
      <c r="AT205">
        <f>IFERROR(INDEX(PP_Grid[#Data],$DD205,44),0)</f>
        <v/>
      </c>
      <c r="AU205">
        <f>IFERROR(INDEX(PP_Grid[#Data],$DD205,45),0)</f>
        <v/>
      </c>
      <c r="AV205">
        <f>IFERROR(INDEX(PP_Grid[#Data],$DD205,46),0)</f>
        <v/>
      </c>
      <c r="AW205">
        <f>IFERROR(INDEX(PP_Grid[#Data],$DD205,47),0)</f>
        <v/>
      </c>
      <c r="AX205">
        <f>IFERROR(INDEX(PP_Grid[#Data],$DD205,48),0)</f>
        <v/>
      </c>
      <c r="AY205">
        <f>IFERROR(INDEX(PP_Grid[#Data],$DD205,49),0)</f>
        <v/>
      </c>
      <c r="AZ205">
        <f>IFERROR(INDEX(PP_Grid[#Data],$DD205,50),0)</f>
        <v/>
      </c>
      <c r="BA205">
        <f>IFERROR(INDEX(PP_Grid[#Data],$DD205,51),0)</f>
        <v/>
      </c>
      <c r="BB205">
        <f>IFERROR(INDEX(PP_Grid[#Data],$DD205,52),0)</f>
        <v/>
      </c>
      <c r="BC205">
        <f>IFERROR(INDEX(PP_Grid[#Data],$DD205,53),0)</f>
        <v/>
      </c>
      <c r="BD205">
        <f>IFERROR(INDEX(PP_Grid[#Data],$DD205,54),0)</f>
        <v/>
      </c>
      <c r="BE205">
        <f>IFERROR(INDEX(PP_Grid[#Data],$DD205,55),0)</f>
        <v/>
      </c>
      <c r="BF205">
        <f>IFERROR(INDEX(PP_Grid[#Data],$DD205,56),0)</f>
        <v/>
      </c>
      <c r="BG205">
        <f>IFERROR(INDEX(PP_Grid[#Data],$DD205,57),0)</f>
        <v/>
      </c>
      <c r="BH205">
        <f>IFERROR(INDEX(PP_Grid[#Data],$DD205,58),0)</f>
        <v/>
      </c>
      <c r="BI205">
        <f>IFERROR(INDEX(PP_Grid[#Data],$DD205,59),0)</f>
        <v/>
      </c>
      <c r="BJ205">
        <f>IFERROR(INDEX(PP_Grid[#Data],$DD205,60),0)</f>
        <v/>
      </c>
      <c r="BK205">
        <f>IFERROR(INDEX(PP_Grid[#Data],$DD205,61),0)</f>
        <v/>
      </c>
      <c r="BL205">
        <f>IFERROR(INDEX(PP_Grid[#Data],$DD205,62),0)</f>
        <v/>
      </c>
      <c r="BM205">
        <f>IFERROR(INDEX(PP_Grid[#Data],$DD205,63),0)</f>
        <v/>
      </c>
      <c r="BN205">
        <f>IFERROR(INDEX(PP_Grid[#Data],$DD205,64),0)</f>
        <v/>
      </c>
      <c r="BO205">
        <f>IFERROR(INDEX(PP_Grid[#Data],$DD205,65),0)</f>
        <v/>
      </c>
      <c r="BP205">
        <f>IFERROR(INDEX(PP_Grid[#Data],$DD205,66),0)</f>
        <v/>
      </c>
      <c r="BQ205">
        <f>IFERROR(INDEX(PP_Grid[#Data],$DD205,67),0)</f>
        <v/>
      </c>
      <c r="BR205">
        <f>IFERROR(INDEX(PP_Grid[#Data],$DD205,68),0)</f>
        <v/>
      </c>
      <c r="BS205">
        <f>IFERROR(INDEX(PP_Grid[#Data],$DD205,69),0)</f>
        <v/>
      </c>
      <c r="BT205">
        <f>IFERROR(INDEX(PP_Grid[#Data],$DD205,70),0)</f>
        <v/>
      </c>
      <c r="BU205">
        <f>IFERROR(INDEX(PP_Grid[#Data],$DD205,71),0)</f>
        <v/>
      </c>
      <c r="BV205">
        <f>IFERROR(INDEX(PP_Grid[#Data],$DD205,72),0)</f>
        <v/>
      </c>
      <c r="BW205">
        <f>IFERROR(INDEX(PP_Grid[#Data],$DD205,73),0)</f>
        <v/>
      </c>
      <c r="BX205">
        <f>IFERROR(INDEX(PP_Grid[#Data],$DD205,74),0)</f>
        <v/>
      </c>
      <c r="BY205">
        <f>IFERROR(INDEX(PP_Grid[#Data],$DD205,75),0)</f>
        <v/>
      </c>
      <c r="BZ205">
        <f>IFERROR(INDEX(PP_Grid[#Data],$DD205,76),0)</f>
        <v/>
      </c>
      <c r="CA205">
        <f>IFERROR(INDEX(PP_Grid[#Data],$DD205,77),0)</f>
        <v/>
      </c>
      <c r="CB205">
        <f>IFERROR(INDEX(PP_Grid[#Data],$DD205,78),0)</f>
        <v/>
      </c>
      <c r="CC205">
        <f>IFERROR(INDEX(PP_Grid[#Data],$DD205,79),0)</f>
        <v/>
      </c>
      <c r="CD205">
        <f>IFERROR(INDEX(PP_Grid[#Data],$DD205,80),0)</f>
        <v/>
      </c>
      <c r="CE205">
        <f>IFERROR(INDEX(PP_Grid[#Data],$DD205,81),0)</f>
        <v/>
      </c>
      <c r="CF205">
        <f>IFERROR(INDEX(PP_Grid[#Data],$DD205,82),0)</f>
        <v/>
      </c>
      <c r="CG205">
        <f>IFERROR(INDEX(PP_Grid[#Data],$DD205,83),0)</f>
        <v/>
      </c>
      <c r="CH205">
        <f>IFERROR(INDEX(PP_Grid[#Data],$DD205,84),0)</f>
        <v/>
      </c>
      <c r="CI205">
        <f>IFERROR(INDEX(PP_Grid[#Data],$DD205,85),0)</f>
        <v/>
      </c>
      <c r="CJ205">
        <f>IFERROR(INDEX(PP_Grid[#Data],$DD205,86),0)</f>
        <v/>
      </c>
      <c r="CK205">
        <f>IFERROR(INDEX(PP_Grid[#Data],$DD205,87),0)</f>
        <v/>
      </c>
      <c r="CL205">
        <f>IFERROR(INDEX(PP_Grid[#Data],$DD205,88),0)</f>
        <v/>
      </c>
      <c r="CM205">
        <f>IFERROR(INDEX(PP_Grid[#Data],$DD205,89),0)</f>
        <v/>
      </c>
      <c r="CN205">
        <f>IFERROR(INDEX(PP_Grid[#Data],$DD205,90),0)</f>
        <v/>
      </c>
      <c r="CO205">
        <f>IFERROR(INDEX(PP_Grid[#Data],$DD205,91),0)</f>
        <v/>
      </c>
      <c r="CP205">
        <f>IFERROR(INDEX(PP_Grid[#Data],$DD205,92),0)</f>
        <v/>
      </c>
      <c r="CQ205">
        <f>IFERROR(INDEX(PP_Grid[#Data],$DD205,93),0)</f>
        <v/>
      </c>
      <c r="CR205">
        <f>IFERROR(INDEX(PP_Grid[#Data],$DD205,94),0)</f>
        <v/>
      </c>
      <c r="CS205">
        <f>IFERROR(INDEX(PP_Grid[#Data],$DD205,95),0)</f>
        <v/>
      </c>
      <c r="CT205">
        <f>IFERROR(INDEX(PP_Grid[#Data],$DD205,96),0)</f>
        <v/>
      </c>
      <c r="CU205">
        <f>IFERROR(INDEX(PP_Grid[#Data],$DD205,97),0)</f>
        <v/>
      </c>
      <c r="CV205">
        <f>IFERROR(INDEX(PP_Grid[#Data],$DD205,98),0)</f>
        <v/>
      </c>
      <c r="CW205">
        <f>IFERROR(INDEX(PP_Grid[#Data],$DD205,99),0)</f>
        <v/>
      </c>
      <c r="CX205">
        <f>IFERROR(INDEX(PP_Grid[#Data],$DD205,100),0)</f>
        <v/>
      </c>
      <c r="CY205">
        <f>IFERROR(INDEX(PP_Grid[#Data],$DD205,101),0)</f>
        <v/>
      </c>
      <c r="CZ205">
        <f>IFERROR(INDEX(PP_Grid[#Data],$DD205,102),0)</f>
        <v/>
      </c>
      <c r="DA205">
        <f>IFERROR(INDEX(PP_Grid[#Data],$DD205,103),0)</f>
        <v/>
      </c>
      <c r="DB205">
        <f>IFERROR(INDEX(PP_Grid[#Data],$DD205,104),0)</f>
        <v/>
      </c>
      <c r="DC205">
        <f>IFERROR(INDEX(PP_Grid[#Data],$DD205,105),0)</f>
        <v/>
      </c>
      <c r="DD205" s="7">
        <f>IFERROR(MATCH($B205,PP_Grid[Intermediate],0),99999)</f>
        <v/>
      </c>
    </row>
    <row r="206">
      <c r="B206" t="inlineStr">
        <is>
          <t>使用量(kg)</t>
        </is>
      </c>
      <c r="C206">
        <f>SUMIFS(M_BOM[RM_Qty_Per_Batch],M_BOM[Intermediate],$B205,M_BOM[Part Name],$A44)</f>
        <v/>
      </c>
      <c r="D206">
        <f>$C206*D205</f>
        <v/>
      </c>
      <c r="E206">
        <f>$C206*E205</f>
        <v/>
      </c>
      <c r="F206">
        <f>$C206*F205</f>
        <v/>
      </c>
      <c r="G206">
        <f>$C206*G205</f>
        <v/>
      </c>
      <c r="H206">
        <f>$C206*H205</f>
        <v/>
      </c>
      <c r="I206">
        <f>$C206*I205</f>
        <v/>
      </c>
      <c r="J206">
        <f>$C206*J205</f>
        <v/>
      </c>
      <c r="K206">
        <f>$C206*K205</f>
        <v/>
      </c>
      <c r="L206">
        <f>$C206*L205</f>
        <v/>
      </c>
      <c r="M206">
        <f>$C206*M205</f>
        <v/>
      </c>
      <c r="N206">
        <f>$C206*N205</f>
        <v/>
      </c>
      <c r="O206">
        <f>$C206*O205</f>
        <v/>
      </c>
      <c r="P206">
        <f>$C206*P205</f>
        <v/>
      </c>
      <c r="Q206">
        <f>$C206*Q205</f>
        <v/>
      </c>
      <c r="R206">
        <f>$C206*R205</f>
        <v/>
      </c>
      <c r="S206">
        <f>$C206*S205</f>
        <v/>
      </c>
      <c r="T206">
        <f>$C206*T205</f>
        <v/>
      </c>
      <c r="U206">
        <f>$C206*U205</f>
        <v/>
      </c>
      <c r="V206">
        <f>$C206*V205</f>
        <v/>
      </c>
      <c r="W206">
        <f>$C206*W205</f>
        <v/>
      </c>
      <c r="X206">
        <f>$C206*X205</f>
        <v/>
      </c>
      <c r="Y206">
        <f>$C206*Y205</f>
        <v/>
      </c>
      <c r="Z206">
        <f>$C206*Z205</f>
        <v/>
      </c>
      <c r="AA206">
        <f>$C206*AA205</f>
        <v/>
      </c>
      <c r="AB206">
        <f>$C206*AB205</f>
        <v/>
      </c>
      <c r="AC206">
        <f>$C206*AC205</f>
        <v/>
      </c>
      <c r="AD206">
        <f>$C206*AD205</f>
        <v/>
      </c>
      <c r="AE206">
        <f>$C206*AE205</f>
        <v/>
      </c>
      <c r="AF206">
        <f>$C206*AF205</f>
        <v/>
      </c>
      <c r="AG206">
        <f>$C206*AG205</f>
        <v/>
      </c>
      <c r="AH206">
        <f>$C206*AH205</f>
        <v/>
      </c>
      <c r="AI206">
        <f>$C206*AI205</f>
        <v/>
      </c>
      <c r="AJ206">
        <f>$C206*AJ205</f>
        <v/>
      </c>
      <c r="AK206">
        <f>$C206*AK205</f>
        <v/>
      </c>
      <c r="AL206">
        <f>$C206*AL205</f>
        <v/>
      </c>
      <c r="AM206">
        <f>$C206*AM205</f>
        <v/>
      </c>
      <c r="AN206">
        <f>$C206*AN205</f>
        <v/>
      </c>
      <c r="AO206">
        <f>$C206*AO205</f>
        <v/>
      </c>
      <c r="AP206">
        <f>$C206*AP205</f>
        <v/>
      </c>
      <c r="AQ206">
        <f>$C206*AQ205</f>
        <v/>
      </c>
      <c r="AR206">
        <f>$C206*AR205</f>
        <v/>
      </c>
      <c r="AS206">
        <f>$C206*AS205</f>
        <v/>
      </c>
      <c r="AT206">
        <f>$C206*AT205</f>
        <v/>
      </c>
      <c r="AU206">
        <f>$C206*AU205</f>
        <v/>
      </c>
      <c r="AV206">
        <f>$C206*AV205</f>
        <v/>
      </c>
      <c r="AW206">
        <f>$C206*AW205</f>
        <v/>
      </c>
      <c r="AX206">
        <f>$C206*AX205</f>
        <v/>
      </c>
      <c r="AY206">
        <f>$C206*AY205</f>
        <v/>
      </c>
      <c r="AZ206">
        <f>$C206*AZ205</f>
        <v/>
      </c>
      <c r="BA206">
        <f>$C206*BA205</f>
        <v/>
      </c>
      <c r="BB206">
        <f>$C206*BB205</f>
        <v/>
      </c>
      <c r="BC206">
        <f>$C206*BC205</f>
        <v/>
      </c>
      <c r="BD206">
        <f>$C206*BD205</f>
        <v/>
      </c>
      <c r="BE206">
        <f>$C206*BE205</f>
        <v/>
      </c>
      <c r="BF206">
        <f>$C206*BF205</f>
        <v/>
      </c>
      <c r="BG206">
        <f>$C206*BG205</f>
        <v/>
      </c>
      <c r="BH206">
        <f>$C206*BH205</f>
        <v/>
      </c>
      <c r="BI206">
        <f>$C206*BI205</f>
        <v/>
      </c>
      <c r="BJ206">
        <f>$C206*BJ205</f>
        <v/>
      </c>
      <c r="BK206">
        <f>$C206*BK205</f>
        <v/>
      </c>
      <c r="BL206">
        <f>$C206*BL205</f>
        <v/>
      </c>
      <c r="BM206">
        <f>$C206*BM205</f>
        <v/>
      </c>
      <c r="BN206">
        <f>$C206*BN205</f>
        <v/>
      </c>
      <c r="BO206">
        <f>$C206*BO205</f>
        <v/>
      </c>
      <c r="BP206">
        <f>$C206*BP205</f>
        <v/>
      </c>
      <c r="BQ206">
        <f>$C206*BQ205</f>
        <v/>
      </c>
      <c r="BR206">
        <f>$C206*BR205</f>
        <v/>
      </c>
      <c r="BS206">
        <f>$C206*BS205</f>
        <v/>
      </c>
      <c r="BT206">
        <f>$C206*BT205</f>
        <v/>
      </c>
      <c r="BU206">
        <f>$C206*BU205</f>
        <v/>
      </c>
      <c r="BV206">
        <f>$C206*BV205</f>
        <v/>
      </c>
      <c r="BW206">
        <f>$C206*BW205</f>
        <v/>
      </c>
      <c r="BX206">
        <f>$C206*BX205</f>
        <v/>
      </c>
      <c r="BY206">
        <f>$C206*BY205</f>
        <v/>
      </c>
      <c r="BZ206">
        <f>$C206*BZ205</f>
        <v/>
      </c>
      <c r="CA206">
        <f>$C206*CA205</f>
        <v/>
      </c>
      <c r="CB206">
        <f>$C206*CB205</f>
        <v/>
      </c>
      <c r="CC206">
        <f>$C206*CC205</f>
        <v/>
      </c>
      <c r="CD206">
        <f>$C206*CD205</f>
        <v/>
      </c>
      <c r="CE206">
        <f>$C206*CE205</f>
        <v/>
      </c>
      <c r="CF206">
        <f>$C206*CF205</f>
        <v/>
      </c>
      <c r="CG206">
        <f>$C206*CG205</f>
        <v/>
      </c>
      <c r="CH206">
        <f>$C206*CH205</f>
        <v/>
      </c>
      <c r="CI206">
        <f>$C206*CI205</f>
        <v/>
      </c>
      <c r="CJ206">
        <f>$C206*CJ205</f>
        <v/>
      </c>
      <c r="CK206">
        <f>$C206*CK205</f>
        <v/>
      </c>
      <c r="CL206">
        <f>$C206*CL205</f>
        <v/>
      </c>
      <c r="CM206">
        <f>$C206*CM205</f>
        <v/>
      </c>
      <c r="CN206">
        <f>$C206*CN205</f>
        <v/>
      </c>
      <c r="CO206">
        <f>$C206*CO205</f>
        <v/>
      </c>
      <c r="CP206">
        <f>$C206*CP205</f>
        <v/>
      </c>
      <c r="CQ206">
        <f>$C206*CQ205</f>
        <v/>
      </c>
      <c r="CR206">
        <f>$C206*CR205</f>
        <v/>
      </c>
      <c r="CS206">
        <f>$C206*CS205</f>
        <v/>
      </c>
      <c r="CT206">
        <f>$C206*CT205</f>
        <v/>
      </c>
      <c r="CU206">
        <f>$C206*CU205</f>
        <v/>
      </c>
      <c r="CV206">
        <f>$C206*CV205</f>
        <v/>
      </c>
      <c r="CW206">
        <f>$C206*CW205</f>
        <v/>
      </c>
      <c r="CX206">
        <f>$C206*CX205</f>
        <v/>
      </c>
      <c r="CY206">
        <f>$C206*CY205</f>
        <v/>
      </c>
      <c r="CZ206">
        <f>$C206*CZ205</f>
        <v/>
      </c>
      <c r="DA206">
        <f>$C206*DA205</f>
        <v/>
      </c>
      <c r="DB206">
        <f>$C206*DB205</f>
        <v/>
      </c>
      <c r="DC206">
        <f>$C206*DC205</f>
        <v/>
      </c>
    </row>
    <row r="207">
      <c r="B207" t="inlineStr">
        <is>
          <t>TVS-500</t>
        </is>
      </c>
      <c r="C207" t="inlineStr">
        <is>
          <t>No. of batches</t>
        </is>
      </c>
      <c r="D207">
        <f>IFERROR(INDEX(PP_Grid[#Data],$DD207,2),0)</f>
        <v/>
      </c>
      <c r="E207">
        <f>IFERROR(INDEX(PP_Grid[#Data],$DD207,3),0)</f>
        <v/>
      </c>
      <c r="F207">
        <f>IFERROR(INDEX(PP_Grid[#Data],$DD207,4),0)</f>
        <v/>
      </c>
      <c r="G207">
        <f>IFERROR(INDEX(PP_Grid[#Data],$DD207,5),0)</f>
        <v/>
      </c>
      <c r="H207">
        <f>IFERROR(INDEX(PP_Grid[#Data],$DD207,6),0)</f>
        <v/>
      </c>
      <c r="I207">
        <f>IFERROR(INDEX(PP_Grid[#Data],$DD207,7),0)</f>
        <v/>
      </c>
      <c r="J207">
        <f>IFERROR(INDEX(PP_Grid[#Data],$DD207,8),0)</f>
        <v/>
      </c>
      <c r="K207">
        <f>IFERROR(INDEX(PP_Grid[#Data],$DD207,9),0)</f>
        <v/>
      </c>
      <c r="L207">
        <f>IFERROR(INDEX(PP_Grid[#Data],$DD207,10),0)</f>
        <v/>
      </c>
      <c r="M207">
        <f>IFERROR(INDEX(PP_Grid[#Data],$DD207,11),0)</f>
        <v/>
      </c>
      <c r="N207">
        <f>IFERROR(INDEX(PP_Grid[#Data],$DD207,12),0)</f>
        <v/>
      </c>
      <c r="O207">
        <f>IFERROR(INDEX(PP_Grid[#Data],$DD207,13),0)</f>
        <v/>
      </c>
      <c r="P207">
        <f>IFERROR(INDEX(PP_Grid[#Data],$DD207,14),0)</f>
        <v/>
      </c>
      <c r="Q207">
        <f>IFERROR(INDEX(PP_Grid[#Data],$DD207,15),0)</f>
        <v/>
      </c>
      <c r="R207">
        <f>IFERROR(INDEX(PP_Grid[#Data],$DD207,16),0)</f>
        <v/>
      </c>
      <c r="S207">
        <f>IFERROR(INDEX(PP_Grid[#Data],$DD207,17),0)</f>
        <v/>
      </c>
      <c r="T207">
        <f>IFERROR(INDEX(PP_Grid[#Data],$DD207,18),0)</f>
        <v/>
      </c>
      <c r="U207">
        <f>IFERROR(INDEX(PP_Grid[#Data],$DD207,19),0)</f>
        <v/>
      </c>
      <c r="V207">
        <f>IFERROR(INDEX(PP_Grid[#Data],$DD207,20),0)</f>
        <v/>
      </c>
      <c r="W207">
        <f>IFERROR(INDEX(PP_Grid[#Data],$DD207,21),0)</f>
        <v/>
      </c>
      <c r="X207">
        <f>IFERROR(INDEX(PP_Grid[#Data],$DD207,22),0)</f>
        <v/>
      </c>
      <c r="Y207">
        <f>IFERROR(INDEX(PP_Grid[#Data],$DD207,23),0)</f>
        <v/>
      </c>
      <c r="Z207">
        <f>IFERROR(INDEX(PP_Grid[#Data],$DD207,24),0)</f>
        <v/>
      </c>
      <c r="AA207">
        <f>IFERROR(INDEX(PP_Grid[#Data],$DD207,25),0)</f>
        <v/>
      </c>
      <c r="AB207">
        <f>IFERROR(INDEX(PP_Grid[#Data],$DD207,26),0)</f>
        <v/>
      </c>
      <c r="AC207">
        <f>IFERROR(INDEX(PP_Grid[#Data],$DD207,27),0)</f>
        <v/>
      </c>
      <c r="AD207">
        <f>IFERROR(INDEX(PP_Grid[#Data],$DD207,28),0)</f>
        <v/>
      </c>
      <c r="AE207">
        <f>IFERROR(INDEX(PP_Grid[#Data],$DD207,29),0)</f>
        <v/>
      </c>
      <c r="AF207">
        <f>IFERROR(INDEX(PP_Grid[#Data],$DD207,30),0)</f>
        <v/>
      </c>
      <c r="AG207">
        <f>IFERROR(INDEX(PP_Grid[#Data],$DD207,31),0)</f>
        <v/>
      </c>
      <c r="AH207">
        <f>IFERROR(INDEX(PP_Grid[#Data],$DD207,32),0)</f>
        <v/>
      </c>
      <c r="AI207">
        <f>IFERROR(INDEX(PP_Grid[#Data],$DD207,33),0)</f>
        <v/>
      </c>
      <c r="AJ207">
        <f>IFERROR(INDEX(PP_Grid[#Data],$DD207,34),0)</f>
        <v/>
      </c>
      <c r="AK207">
        <f>IFERROR(INDEX(PP_Grid[#Data],$DD207,35),0)</f>
        <v/>
      </c>
      <c r="AL207">
        <f>IFERROR(INDEX(PP_Grid[#Data],$DD207,36),0)</f>
        <v/>
      </c>
      <c r="AM207">
        <f>IFERROR(INDEX(PP_Grid[#Data],$DD207,37),0)</f>
        <v/>
      </c>
      <c r="AN207">
        <f>IFERROR(INDEX(PP_Grid[#Data],$DD207,38),0)</f>
        <v/>
      </c>
      <c r="AO207">
        <f>IFERROR(INDEX(PP_Grid[#Data],$DD207,39),0)</f>
        <v/>
      </c>
      <c r="AP207">
        <f>IFERROR(INDEX(PP_Grid[#Data],$DD207,40),0)</f>
        <v/>
      </c>
      <c r="AQ207">
        <f>IFERROR(INDEX(PP_Grid[#Data],$DD207,41),0)</f>
        <v/>
      </c>
      <c r="AR207">
        <f>IFERROR(INDEX(PP_Grid[#Data],$DD207,42),0)</f>
        <v/>
      </c>
      <c r="AS207">
        <f>IFERROR(INDEX(PP_Grid[#Data],$DD207,43),0)</f>
        <v/>
      </c>
      <c r="AT207">
        <f>IFERROR(INDEX(PP_Grid[#Data],$DD207,44),0)</f>
        <v/>
      </c>
      <c r="AU207">
        <f>IFERROR(INDEX(PP_Grid[#Data],$DD207,45),0)</f>
        <v/>
      </c>
      <c r="AV207">
        <f>IFERROR(INDEX(PP_Grid[#Data],$DD207,46),0)</f>
        <v/>
      </c>
      <c r="AW207">
        <f>IFERROR(INDEX(PP_Grid[#Data],$DD207,47),0)</f>
        <v/>
      </c>
      <c r="AX207">
        <f>IFERROR(INDEX(PP_Grid[#Data],$DD207,48),0)</f>
        <v/>
      </c>
      <c r="AY207">
        <f>IFERROR(INDEX(PP_Grid[#Data],$DD207,49),0)</f>
        <v/>
      </c>
      <c r="AZ207">
        <f>IFERROR(INDEX(PP_Grid[#Data],$DD207,50),0)</f>
        <v/>
      </c>
      <c r="BA207">
        <f>IFERROR(INDEX(PP_Grid[#Data],$DD207,51),0)</f>
        <v/>
      </c>
      <c r="BB207">
        <f>IFERROR(INDEX(PP_Grid[#Data],$DD207,52),0)</f>
        <v/>
      </c>
      <c r="BC207">
        <f>IFERROR(INDEX(PP_Grid[#Data],$DD207,53),0)</f>
        <v/>
      </c>
      <c r="BD207">
        <f>IFERROR(INDEX(PP_Grid[#Data],$DD207,54),0)</f>
        <v/>
      </c>
      <c r="BE207">
        <f>IFERROR(INDEX(PP_Grid[#Data],$DD207,55),0)</f>
        <v/>
      </c>
      <c r="BF207">
        <f>IFERROR(INDEX(PP_Grid[#Data],$DD207,56),0)</f>
        <v/>
      </c>
      <c r="BG207">
        <f>IFERROR(INDEX(PP_Grid[#Data],$DD207,57),0)</f>
        <v/>
      </c>
      <c r="BH207">
        <f>IFERROR(INDEX(PP_Grid[#Data],$DD207,58),0)</f>
        <v/>
      </c>
      <c r="BI207">
        <f>IFERROR(INDEX(PP_Grid[#Data],$DD207,59),0)</f>
        <v/>
      </c>
      <c r="BJ207">
        <f>IFERROR(INDEX(PP_Grid[#Data],$DD207,60),0)</f>
        <v/>
      </c>
      <c r="BK207">
        <f>IFERROR(INDEX(PP_Grid[#Data],$DD207,61),0)</f>
        <v/>
      </c>
      <c r="BL207">
        <f>IFERROR(INDEX(PP_Grid[#Data],$DD207,62),0)</f>
        <v/>
      </c>
      <c r="BM207">
        <f>IFERROR(INDEX(PP_Grid[#Data],$DD207,63),0)</f>
        <v/>
      </c>
      <c r="BN207">
        <f>IFERROR(INDEX(PP_Grid[#Data],$DD207,64),0)</f>
        <v/>
      </c>
      <c r="BO207">
        <f>IFERROR(INDEX(PP_Grid[#Data],$DD207,65),0)</f>
        <v/>
      </c>
      <c r="BP207">
        <f>IFERROR(INDEX(PP_Grid[#Data],$DD207,66),0)</f>
        <v/>
      </c>
      <c r="BQ207">
        <f>IFERROR(INDEX(PP_Grid[#Data],$DD207,67),0)</f>
        <v/>
      </c>
      <c r="BR207">
        <f>IFERROR(INDEX(PP_Grid[#Data],$DD207,68),0)</f>
        <v/>
      </c>
      <c r="BS207">
        <f>IFERROR(INDEX(PP_Grid[#Data],$DD207,69),0)</f>
        <v/>
      </c>
      <c r="BT207">
        <f>IFERROR(INDEX(PP_Grid[#Data],$DD207,70),0)</f>
        <v/>
      </c>
      <c r="BU207">
        <f>IFERROR(INDEX(PP_Grid[#Data],$DD207,71),0)</f>
        <v/>
      </c>
      <c r="BV207">
        <f>IFERROR(INDEX(PP_Grid[#Data],$DD207,72),0)</f>
        <v/>
      </c>
      <c r="BW207">
        <f>IFERROR(INDEX(PP_Grid[#Data],$DD207,73),0)</f>
        <v/>
      </c>
      <c r="BX207">
        <f>IFERROR(INDEX(PP_Grid[#Data],$DD207,74),0)</f>
        <v/>
      </c>
      <c r="BY207">
        <f>IFERROR(INDEX(PP_Grid[#Data],$DD207,75),0)</f>
        <v/>
      </c>
      <c r="BZ207">
        <f>IFERROR(INDEX(PP_Grid[#Data],$DD207,76),0)</f>
        <v/>
      </c>
      <c r="CA207">
        <f>IFERROR(INDEX(PP_Grid[#Data],$DD207,77),0)</f>
        <v/>
      </c>
      <c r="CB207">
        <f>IFERROR(INDEX(PP_Grid[#Data],$DD207,78),0)</f>
        <v/>
      </c>
      <c r="CC207">
        <f>IFERROR(INDEX(PP_Grid[#Data],$DD207,79),0)</f>
        <v/>
      </c>
      <c r="CD207">
        <f>IFERROR(INDEX(PP_Grid[#Data],$DD207,80),0)</f>
        <v/>
      </c>
      <c r="CE207">
        <f>IFERROR(INDEX(PP_Grid[#Data],$DD207,81),0)</f>
        <v/>
      </c>
      <c r="CF207">
        <f>IFERROR(INDEX(PP_Grid[#Data],$DD207,82),0)</f>
        <v/>
      </c>
      <c r="CG207">
        <f>IFERROR(INDEX(PP_Grid[#Data],$DD207,83),0)</f>
        <v/>
      </c>
      <c r="CH207">
        <f>IFERROR(INDEX(PP_Grid[#Data],$DD207,84),0)</f>
        <v/>
      </c>
      <c r="CI207">
        <f>IFERROR(INDEX(PP_Grid[#Data],$DD207,85),0)</f>
        <v/>
      </c>
      <c r="CJ207">
        <f>IFERROR(INDEX(PP_Grid[#Data],$DD207,86),0)</f>
        <v/>
      </c>
      <c r="CK207">
        <f>IFERROR(INDEX(PP_Grid[#Data],$DD207,87),0)</f>
        <v/>
      </c>
      <c r="CL207">
        <f>IFERROR(INDEX(PP_Grid[#Data],$DD207,88),0)</f>
        <v/>
      </c>
      <c r="CM207">
        <f>IFERROR(INDEX(PP_Grid[#Data],$DD207,89),0)</f>
        <v/>
      </c>
      <c r="CN207">
        <f>IFERROR(INDEX(PP_Grid[#Data],$DD207,90),0)</f>
        <v/>
      </c>
      <c r="CO207">
        <f>IFERROR(INDEX(PP_Grid[#Data],$DD207,91),0)</f>
        <v/>
      </c>
      <c r="CP207">
        <f>IFERROR(INDEX(PP_Grid[#Data],$DD207,92),0)</f>
        <v/>
      </c>
      <c r="CQ207">
        <f>IFERROR(INDEX(PP_Grid[#Data],$DD207,93),0)</f>
        <v/>
      </c>
      <c r="CR207">
        <f>IFERROR(INDEX(PP_Grid[#Data],$DD207,94),0)</f>
        <v/>
      </c>
      <c r="CS207">
        <f>IFERROR(INDEX(PP_Grid[#Data],$DD207,95),0)</f>
        <v/>
      </c>
      <c r="CT207">
        <f>IFERROR(INDEX(PP_Grid[#Data],$DD207,96),0)</f>
        <v/>
      </c>
      <c r="CU207">
        <f>IFERROR(INDEX(PP_Grid[#Data],$DD207,97),0)</f>
        <v/>
      </c>
      <c r="CV207">
        <f>IFERROR(INDEX(PP_Grid[#Data],$DD207,98),0)</f>
        <v/>
      </c>
      <c r="CW207">
        <f>IFERROR(INDEX(PP_Grid[#Data],$DD207,99),0)</f>
        <v/>
      </c>
      <c r="CX207">
        <f>IFERROR(INDEX(PP_Grid[#Data],$DD207,100),0)</f>
        <v/>
      </c>
      <c r="CY207">
        <f>IFERROR(INDEX(PP_Grid[#Data],$DD207,101),0)</f>
        <v/>
      </c>
      <c r="CZ207">
        <f>IFERROR(INDEX(PP_Grid[#Data],$DD207,102),0)</f>
        <v/>
      </c>
      <c r="DA207">
        <f>IFERROR(INDEX(PP_Grid[#Data],$DD207,103),0)</f>
        <v/>
      </c>
      <c r="DB207">
        <f>IFERROR(INDEX(PP_Grid[#Data],$DD207,104),0)</f>
        <v/>
      </c>
      <c r="DC207">
        <f>IFERROR(INDEX(PP_Grid[#Data],$DD207,105),0)</f>
        <v/>
      </c>
      <c r="DD207" s="7">
        <f>IFERROR(MATCH($B207,PP_Grid[Intermediate],0),99999)</f>
        <v/>
      </c>
    </row>
    <row r="208">
      <c r="B208" t="inlineStr">
        <is>
          <t>使用量(kg)</t>
        </is>
      </c>
      <c r="C208">
        <f>SUMIFS(M_BOM[RM_Qty_Per_Batch],M_BOM[Intermediate],$B207,M_BOM[Part Name],$A44)</f>
        <v/>
      </c>
      <c r="D208">
        <f>$C208*D207</f>
        <v/>
      </c>
      <c r="E208">
        <f>$C208*E207</f>
        <v/>
      </c>
      <c r="F208">
        <f>$C208*F207</f>
        <v/>
      </c>
      <c r="G208">
        <f>$C208*G207</f>
        <v/>
      </c>
      <c r="H208">
        <f>$C208*H207</f>
        <v/>
      </c>
      <c r="I208">
        <f>$C208*I207</f>
        <v/>
      </c>
      <c r="J208">
        <f>$C208*J207</f>
        <v/>
      </c>
      <c r="K208">
        <f>$C208*K207</f>
        <v/>
      </c>
      <c r="L208">
        <f>$C208*L207</f>
        <v/>
      </c>
      <c r="M208">
        <f>$C208*M207</f>
        <v/>
      </c>
      <c r="N208">
        <f>$C208*N207</f>
        <v/>
      </c>
      <c r="O208">
        <f>$C208*O207</f>
        <v/>
      </c>
      <c r="P208">
        <f>$C208*P207</f>
        <v/>
      </c>
      <c r="Q208">
        <f>$C208*Q207</f>
        <v/>
      </c>
      <c r="R208">
        <f>$C208*R207</f>
        <v/>
      </c>
      <c r="S208">
        <f>$C208*S207</f>
        <v/>
      </c>
      <c r="T208">
        <f>$C208*T207</f>
        <v/>
      </c>
      <c r="U208">
        <f>$C208*U207</f>
        <v/>
      </c>
      <c r="V208">
        <f>$C208*V207</f>
        <v/>
      </c>
      <c r="W208">
        <f>$C208*W207</f>
        <v/>
      </c>
      <c r="X208">
        <f>$C208*X207</f>
        <v/>
      </c>
      <c r="Y208">
        <f>$C208*Y207</f>
        <v/>
      </c>
      <c r="Z208">
        <f>$C208*Z207</f>
        <v/>
      </c>
      <c r="AA208">
        <f>$C208*AA207</f>
        <v/>
      </c>
      <c r="AB208">
        <f>$C208*AB207</f>
        <v/>
      </c>
      <c r="AC208">
        <f>$C208*AC207</f>
        <v/>
      </c>
      <c r="AD208">
        <f>$C208*AD207</f>
        <v/>
      </c>
      <c r="AE208">
        <f>$C208*AE207</f>
        <v/>
      </c>
      <c r="AF208">
        <f>$C208*AF207</f>
        <v/>
      </c>
      <c r="AG208">
        <f>$C208*AG207</f>
        <v/>
      </c>
      <c r="AH208">
        <f>$C208*AH207</f>
        <v/>
      </c>
      <c r="AI208">
        <f>$C208*AI207</f>
        <v/>
      </c>
      <c r="AJ208">
        <f>$C208*AJ207</f>
        <v/>
      </c>
      <c r="AK208">
        <f>$C208*AK207</f>
        <v/>
      </c>
      <c r="AL208">
        <f>$C208*AL207</f>
        <v/>
      </c>
      <c r="AM208">
        <f>$C208*AM207</f>
        <v/>
      </c>
      <c r="AN208">
        <f>$C208*AN207</f>
        <v/>
      </c>
      <c r="AO208">
        <f>$C208*AO207</f>
        <v/>
      </c>
      <c r="AP208">
        <f>$C208*AP207</f>
        <v/>
      </c>
      <c r="AQ208">
        <f>$C208*AQ207</f>
        <v/>
      </c>
      <c r="AR208">
        <f>$C208*AR207</f>
        <v/>
      </c>
      <c r="AS208">
        <f>$C208*AS207</f>
        <v/>
      </c>
      <c r="AT208">
        <f>$C208*AT207</f>
        <v/>
      </c>
      <c r="AU208">
        <f>$C208*AU207</f>
        <v/>
      </c>
      <c r="AV208">
        <f>$C208*AV207</f>
        <v/>
      </c>
      <c r="AW208">
        <f>$C208*AW207</f>
        <v/>
      </c>
      <c r="AX208">
        <f>$C208*AX207</f>
        <v/>
      </c>
      <c r="AY208">
        <f>$C208*AY207</f>
        <v/>
      </c>
      <c r="AZ208">
        <f>$C208*AZ207</f>
        <v/>
      </c>
      <c r="BA208">
        <f>$C208*BA207</f>
        <v/>
      </c>
      <c r="BB208">
        <f>$C208*BB207</f>
        <v/>
      </c>
      <c r="BC208">
        <f>$C208*BC207</f>
        <v/>
      </c>
      <c r="BD208">
        <f>$C208*BD207</f>
        <v/>
      </c>
      <c r="BE208">
        <f>$C208*BE207</f>
        <v/>
      </c>
      <c r="BF208">
        <f>$C208*BF207</f>
        <v/>
      </c>
      <c r="BG208">
        <f>$C208*BG207</f>
        <v/>
      </c>
      <c r="BH208">
        <f>$C208*BH207</f>
        <v/>
      </c>
      <c r="BI208">
        <f>$C208*BI207</f>
        <v/>
      </c>
      <c r="BJ208">
        <f>$C208*BJ207</f>
        <v/>
      </c>
      <c r="BK208">
        <f>$C208*BK207</f>
        <v/>
      </c>
      <c r="BL208">
        <f>$C208*BL207</f>
        <v/>
      </c>
      <c r="BM208">
        <f>$C208*BM207</f>
        <v/>
      </c>
      <c r="BN208">
        <f>$C208*BN207</f>
        <v/>
      </c>
      <c r="BO208">
        <f>$C208*BO207</f>
        <v/>
      </c>
      <c r="BP208">
        <f>$C208*BP207</f>
        <v/>
      </c>
      <c r="BQ208">
        <f>$C208*BQ207</f>
        <v/>
      </c>
      <c r="BR208">
        <f>$C208*BR207</f>
        <v/>
      </c>
      <c r="BS208">
        <f>$C208*BS207</f>
        <v/>
      </c>
      <c r="BT208">
        <f>$C208*BT207</f>
        <v/>
      </c>
      <c r="BU208">
        <f>$C208*BU207</f>
        <v/>
      </c>
      <c r="BV208">
        <f>$C208*BV207</f>
        <v/>
      </c>
      <c r="BW208">
        <f>$C208*BW207</f>
        <v/>
      </c>
      <c r="BX208">
        <f>$C208*BX207</f>
        <v/>
      </c>
      <c r="BY208">
        <f>$C208*BY207</f>
        <v/>
      </c>
      <c r="BZ208">
        <f>$C208*BZ207</f>
        <v/>
      </c>
      <c r="CA208">
        <f>$C208*CA207</f>
        <v/>
      </c>
      <c r="CB208">
        <f>$C208*CB207</f>
        <v/>
      </c>
      <c r="CC208">
        <f>$C208*CC207</f>
        <v/>
      </c>
      <c r="CD208">
        <f>$C208*CD207</f>
        <v/>
      </c>
      <c r="CE208">
        <f>$C208*CE207</f>
        <v/>
      </c>
      <c r="CF208">
        <f>$C208*CF207</f>
        <v/>
      </c>
      <c r="CG208">
        <f>$C208*CG207</f>
        <v/>
      </c>
      <c r="CH208">
        <f>$C208*CH207</f>
        <v/>
      </c>
      <c r="CI208">
        <f>$C208*CI207</f>
        <v/>
      </c>
      <c r="CJ208">
        <f>$C208*CJ207</f>
        <v/>
      </c>
      <c r="CK208">
        <f>$C208*CK207</f>
        <v/>
      </c>
      <c r="CL208">
        <f>$C208*CL207</f>
        <v/>
      </c>
      <c r="CM208">
        <f>$C208*CM207</f>
        <v/>
      </c>
      <c r="CN208">
        <f>$C208*CN207</f>
        <v/>
      </c>
      <c r="CO208">
        <f>$C208*CO207</f>
        <v/>
      </c>
      <c r="CP208">
        <f>$C208*CP207</f>
        <v/>
      </c>
      <c r="CQ208">
        <f>$C208*CQ207</f>
        <v/>
      </c>
      <c r="CR208">
        <f>$C208*CR207</f>
        <v/>
      </c>
      <c r="CS208">
        <f>$C208*CS207</f>
        <v/>
      </c>
      <c r="CT208">
        <f>$C208*CT207</f>
        <v/>
      </c>
      <c r="CU208">
        <f>$C208*CU207</f>
        <v/>
      </c>
      <c r="CV208">
        <f>$C208*CV207</f>
        <v/>
      </c>
      <c r="CW208">
        <f>$C208*CW207</f>
        <v/>
      </c>
      <c r="CX208">
        <f>$C208*CX207</f>
        <v/>
      </c>
      <c r="CY208">
        <f>$C208*CY207</f>
        <v/>
      </c>
      <c r="CZ208">
        <f>$C208*CZ207</f>
        <v/>
      </c>
      <c r="DA208">
        <f>$C208*DA207</f>
        <v/>
      </c>
      <c r="DB208">
        <f>$C208*DB207</f>
        <v/>
      </c>
      <c r="DC208">
        <f>$C208*DC207</f>
        <v/>
      </c>
    </row>
    <row r="209">
      <c r="B209" t="inlineStr">
        <is>
          <t>TSP-1499</t>
        </is>
      </c>
      <c r="C209" t="inlineStr">
        <is>
          <t>No. of batches</t>
        </is>
      </c>
      <c r="D209">
        <f>IFERROR(INDEX(PP_Grid[#Data],$DD209,2),0)</f>
        <v/>
      </c>
      <c r="E209">
        <f>IFERROR(INDEX(PP_Grid[#Data],$DD209,3),0)</f>
        <v/>
      </c>
      <c r="F209">
        <f>IFERROR(INDEX(PP_Grid[#Data],$DD209,4),0)</f>
        <v/>
      </c>
      <c r="G209">
        <f>IFERROR(INDEX(PP_Grid[#Data],$DD209,5),0)</f>
        <v/>
      </c>
      <c r="H209">
        <f>IFERROR(INDEX(PP_Grid[#Data],$DD209,6),0)</f>
        <v/>
      </c>
      <c r="I209">
        <f>IFERROR(INDEX(PP_Grid[#Data],$DD209,7),0)</f>
        <v/>
      </c>
      <c r="J209">
        <f>IFERROR(INDEX(PP_Grid[#Data],$DD209,8),0)</f>
        <v/>
      </c>
      <c r="K209">
        <f>IFERROR(INDEX(PP_Grid[#Data],$DD209,9),0)</f>
        <v/>
      </c>
      <c r="L209">
        <f>IFERROR(INDEX(PP_Grid[#Data],$DD209,10),0)</f>
        <v/>
      </c>
      <c r="M209">
        <f>IFERROR(INDEX(PP_Grid[#Data],$DD209,11),0)</f>
        <v/>
      </c>
      <c r="N209">
        <f>IFERROR(INDEX(PP_Grid[#Data],$DD209,12),0)</f>
        <v/>
      </c>
      <c r="O209">
        <f>IFERROR(INDEX(PP_Grid[#Data],$DD209,13),0)</f>
        <v/>
      </c>
      <c r="P209">
        <f>IFERROR(INDEX(PP_Grid[#Data],$DD209,14),0)</f>
        <v/>
      </c>
      <c r="Q209">
        <f>IFERROR(INDEX(PP_Grid[#Data],$DD209,15),0)</f>
        <v/>
      </c>
      <c r="R209">
        <f>IFERROR(INDEX(PP_Grid[#Data],$DD209,16),0)</f>
        <v/>
      </c>
      <c r="S209">
        <f>IFERROR(INDEX(PP_Grid[#Data],$DD209,17),0)</f>
        <v/>
      </c>
      <c r="T209">
        <f>IFERROR(INDEX(PP_Grid[#Data],$DD209,18),0)</f>
        <v/>
      </c>
      <c r="U209">
        <f>IFERROR(INDEX(PP_Grid[#Data],$DD209,19),0)</f>
        <v/>
      </c>
      <c r="V209">
        <f>IFERROR(INDEX(PP_Grid[#Data],$DD209,20),0)</f>
        <v/>
      </c>
      <c r="W209">
        <f>IFERROR(INDEX(PP_Grid[#Data],$DD209,21),0)</f>
        <v/>
      </c>
      <c r="X209">
        <f>IFERROR(INDEX(PP_Grid[#Data],$DD209,22),0)</f>
        <v/>
      </c>
      <c r="Y209">
        <f>IFERROR(INDEX(PP_Grid[#Data],$DD209,23),0)</f>
        <v/>
      </c>
      <c r="Z209">
        <f>IFERROR(INDEX(PP_Grid[#Data],$DD209,24),0)</f>
        <v/>
      </c>
      <c r="AA209">
        <f>IFERROR(INDEX(PP_Grid[#Data],$DD209,25),0)</f>
        <v/>
      </c>
      <c r="AB209">
        <f>IFERROR(INDEX(PP_Grid[#Data],$DD209,26),0)</f>
        <v/>
      </c>
      <c r="AC209">
        <f>IFERROR(INDEX(PP_Grid[#Data],$DD209,27),0)</f>
        <v/>
      </c>
      <c r="AD209">
        <f>IFERROR(INDEX(PP_Grid[#Data],$DD209,28),0)</f>
        <v/>
      </c>
      <c r="AE209">
        <f>IFERROR(INDEX(PP_Grid[#Data],$DD209,29),0)</f>
        <v/>
      </c>
      <c r="AF209">
        <f>IFERROR(INDEX(PP_Grid[#Data],$DD209,30),0)</f>
        <v/>
      </c>
      <c r="AG209">
        <f>IFERROR(INDEX(PP_Grid[#Data],$DD209,31),0)</f>
        <v/>
      </c>
      <c r="AH209">
        <f>IFERROR(INDEX(PP_Grid[#Data],$DD209,32),0)</f>
        <v/>
      </c>
      <c r="AI209">
        <f>IFERROR(INDEX(PP_Grid[#Data],$DD209,33),0)</f>
        <v/>
      </c>
      <c r="AJ209">
        <f>IFERROR(INDEX(PP_Grid[#Data],$DD209,34),0)</f>
        <v/>
      </c>
      <c r="AK209">
        <f>IFERROR(INDEX(PP_Grid[#Data],$DD209,35),0)</f>
        <v/>
      </c>
      <c r="AL209">
        <f>IFERROR(INDEX(PP_Grid[#Data],$DD209,36),0)</f>
        <v/>
      </c>
      <c r="AM209">
        <f>IFERROR(INDEX(PP_Grid[#Data],$DD209,37),0)</f>
        <v/>
      </c>
      <c r="AN209">
        <f>IFERROR(INDEX(PP_Grid[#Data],$DD209,38),0)</f>
        <v/>
      </c>
      <c r="AO209">
        <f>IFERROR(INDEX(PP_Grid[#Data],$DD209,39),0)</f>
        <v/>
      </c>
      <c r="AP209">
        <f>IFERROR(INDEX(PP_Grid[#Data],$DD209,40),0)</f>
        <v/>
      </c>
      <c r="AQ209">
        <f>IFERROR(INDEX(PP_Grid[#Data],$DD209,41),0)</f>
        <v/>
      </c>
      <c r="AR209">
        <f>IFERROR(INDEX(PP_Grid[#Data],$DD209,42),0)</f>
        <v/>
      </c>
      <c r="AS209">
        <f>IFERROR(INDEX(PP_Grid[#Data],$DD209,43),0)</f>
        <v/>
      </c>
      <c r="AT209">
        <f>IFERROR(INDEX(PP_Grid[#Data],$DD209,44),0)</f>
        <v/>
      </c>
      <c r="AU209">
        <f>IFERROR(INDEX(PP_Grid[#Data],$DD209,45),0)</f>
        <v/>
      </c>
      <c r="AV209">
        <f>IFERROR(INDEX(PP_Grid[#Data],$DD209,46),0)</f>
        <v/>
      </c>
      <c r="AW209">
        <f>IFERROR(INDEX(PP_Grid[#Data],$DD209,47),0)</f>
        <v/>
      </c>
      <c r="AX209">
        <f>IFERROR(INDEX(PP_Grid[#Data],$DD209,48),0)</f>
        <v/>
      </c>
      <c r="AY209">
        <f>IFERROR(INDEX(PP_Grid[#Data],$DD209,49),0)</f>
        <v/>
      </c>
      <c r="AZ209">
        <f>IFERROR(INDEX(PP_Grid[#Data],$DD209,50),0)</f>
        <v/>
      </c>
      <c r="BA209">
        <f>IFERROR(INDEX(PP_Grid[#Data],$DD209,51),0)</f>
        <v/>
      </c>
      <c r="BB209">
        <f>IFERROR(INDEX(PP_Grid[#Data],$DD209,52),0)</f>
        <v/>
      </c>
      <c r="BC209">
        <f>IFERROR(INDEX(PP_Grid[#Data],$DD209,53),0)</f>
        <v/>
      </c>
      <c r="BD209">
        <f>IFERROR(INDEX(PP_Grid[#Data],$DD209,54),0)</f>
        <v/>
      </c>
      <c r="BE209">
        <f>IFERROR(INDEX(PP_Grid[#Data],$DD209,55),0)</f>
        <v/>
      </c>
      <c r="BF209">
        <f>IFERROR(INDEX(PP_Grid[#Data],$DD209,56),0)</f>
        <v/>
      </c>
      <c r="BG209">
        <f>IFERROR(INDEX(PP_Grid[#Data],$DD209,57),0)</f>
        <v/>
      </c>
      <c r="BH209">
        <f>IFERROR(INDEX(PP_Grid[#Data],$DD209,58),0)</f>
        <v/>
      </c>
      <c r="BI209">
        <f>IFERROR(INDEX(PP_Grid[#Data],$DD209,59),0)</f>
        <v/>
      </c>
      <c r="BJ209">
        <f>IFERROR(INDEX(PP_Grid[#Data],$DD209,60),0)</f>
        <v/>
      </c>
      <c r="BK209">
        <f>IFERROR(INDEX(PP_Grid[#Data],$DD209,61),0)</f>
        <v/>
      </c>
      <c r="BL209">
        <f>IFERROR(INDEX(PP_Grid[#Data],$DD209,62),0)</f>
        <v/>
      </c>
      <c r="BM209">
        <f>IFERROR(INDEX(PP_Grid[#Data],$DD209,63),0)</f>
        <v/>
      </c>
      <c r="BN209">
        <f>IFERROR(INDEX(PP_Grid[#Data],$DD209,64),0)</f>
        <v/>
      </c>
      <c r="BO209">
        <f>IFERROR(INDEX(PP_Grid[#Data],$DD209,65),0)</f>
        <v/>
      </c>
      <c r="BP209">
        <f>IFERROR(INDEX(PP_Grid[#Data],$DD209,66),0)</f>
        <v/>
      </c>
      <c r="BQ209">
        <f>IFERROR(INDEX(PP_Grid[#Data],$DD209,67),0)</f>
        <v/>
      </c>
      <c r="BR209">
        <f>IFERROR(INDEX(PP_Grid[#Data],$DD209,68),0)</f>
        <v/>
      </c>
      <c r="BS209">
        <f>IFERROR(INDEX(PP_Grid[#Data],$DD209,69),0)</f>
        <v/>
      </c>
      <c r="BT209">
        <f>IFERROR(INDEX(PP_Grid[#Data],$DD209,70),0)</f>
        <v/>
      </c>
      <c r="BU209">
        <f>IFERROR(INDEX(PP_Grid[#Data],$DD209,71),0)</f>
        <v/>
      </c>
      <c r="BV209">
        <f>IFERROR(INDEX(PP_Grid[#Data],$DD209,72),0)</f>
        <v/>
      </c>
      <c r="BW209">
        <f>IFERROR(INDEX(PP_Grid[#Data],$DD209,73),0)</f>
        <v/>
      </c>
      <c r="BX209">
        <f>IFERROR(INDEX(PP_Grid[#Data],$DD209,74),0)</f>
        <v/>
      </c>
      <c r="BY209">
        <f>IFERROR(INDEX(PP_Grid[#Data],$DD209,75),0)</f>
        <v/>
      </c>
      <c r="BZ209">
        <f>IFERROR(INDEX(PP_Grid[#Data],$DD209,76),0)</f>
        <v/>
      </c>
      <c r="CA209">
        <f>IFERROR(INDEX(PP_Grid[#Data],$DD209,77),0)</f>
        <v/>
      </c>
      <c r="CB209">
        <f>IFERROR(INDEX(PP_Grid[#Data],$DD209,78),0)</f>
        <v/>
      </c>
      <c r="CC209">
        <f>IFERROR(INDEX(PP_Grid[#Data],$DD209,79),0)</f>
        <v/>
      </c>
      <c r="CD209">
        <f>IFERROR(INDEX(PP_Grid[#Data],$DD209,80),0)</f>
        <v/>
      </c>
      <c r="CE209">
        <f>IFERROR(INDEX(PP_Grid[#Data],$DD209,81),0)</f>
        <v/>
      </c>
      <c r="CF209">
        <f>IFERROR(INDEX(PP_Grid[#Data],$DD209,82),0)</f>
        <v/>
      </c>
      <c r="CG209">
        <f>IFERROR(INDEX(PP_Grid[#Data],$DD209,83),0)</f>
        <v/>
      </c>
      <c r="CH209">
        <f>IFERROR(INDEX(PP_Grid[#Data],$DD209,84),0)</f>
        <v/>
      </c>
      <c r="CI209">
        <f>IFERROR(INDEX(PP_Grid[#Data],$DD209,85),0)</f>
        <v/>
      </c>
      <c r="CJ209">
        <f>IFERROR(INDEX(PP_Grid[#Data],$DD209,86),0)</f>
        <v/>
      </c>
      <c r="CK209">
        <f>IFERROR(INDEX(PP_Grid[#Data],$DD209,87),0)</f>
        <v/>
      </c>
      <c r="CL209">
        <f>IFERROR(INDEX(PP_Grid[#Data],$DD209,88),0)</f>
        <v/>
      </c>
      <c r="CM209">
        <f>IFERROR(INDEX(PP_Grid[#Data],$DD209,89),0)</f>
        <v/>
      </c>
      <c r="CN209">
        <f>IFERROR(INDEX(PP_Grid[#Data],$DD209,90),0)</f>
        <v/>
      </c>
      <c r="CO209">
        <f>IFERROR(INDEX(PP_Grid[#Data],$DD209,91),0)</f>
        <v/>
      </c>
      <c r="CP209">
        <f>IFERROR(INDEX(PP_Grid[#Data],$DD209,92),0)</f>
        <v/>
      </c>
      <c r="CQ209">
        <f>IFERROR(INDEX(PP_Grid[#Data],$DD209,93),0)</f>
        <v/>
      </c>
      <c r="CR209">
        <f>IFERROR(INDEX(PP_Grid[#Data],$DD209,94),0)</f>
        <v/>
      </c>
      <c r="CS209">
        <f>IFERROR(INDEX(PP_Grid[#Data],$DD209,95),0)</f>
        <v/>
      </c>
      <c r="CT209">
        <f>IFERROR(INDEX(PP_Grid[#Data],$DD209,96),0)</f>
        <v/>
      </c>
      <c r="CU209">
        <f>IFERROR(INDEX(PP_Grid[#Data],$DD209,97),0)</f>
        <v/>
      </c>
      <c r="CV209">
        <f>IFERROR(INDEX(PP_Grid[#Data],$DD209,98),0)</f>
        <v/>
      </c>
      <c r="CW209">
        <f>IFERROR(INDEX(PP_Grid[#Data],$DD209,99),0)</f>
        <v/>
      </c>
      <c r="CX209">
        <f>IFERROR(INDEX(PP_Grid[#Data],$DD209,100),0)</f>
        <v/>
      </c>
      <c r="CY209">
        <f>IFERROR(INDEX(PP_Grid[#Data],$DD209,101),0)</f>
        <v/>
      </c>
      <c r="CZ209">
        <f>IFERROR(INDEX(PP_Grid[#Data],$DD209,102),0)</f>
        <v/>
      </c>
      <c r="DA209">
        <f>IFERROR(INDEX(PP_Grid[#Data],$DD209,103),0)</f>
        <v/>
      </c>
      <c r="DB209">
        <f>IFERROR(INDEX(PP_Grid[#Data],$DD209,104),0)</f>
        <v/>
      </c>
      <c r="DC209">
        <f>IFERROR(INDEX(PP_Grid[#Data],$DD209,105),0)</f>
        <v/>
      </c>
      <c r="DD209" s="7">
        <f>IFERROR(MATCH($B209,PP_Grid[Intermediate],0),99999)</f>
        <v/>
      </c>
    </row>
    <row r="210">
      <c r="B210" t="inlineStr">
        <is>
          <t>使用量(kg)</t>
        </is>
      </c>
      <c r="C210">
        <f>SUMIFS(M_BOM[RM_Qty_Per_Batch],M_BOM[Intermediate],$B209,M_BOM[Part Name],$A44)</f>
        <v/>
      </c>
      <c r="D210">
        <f>$C210*D209</f>
        <v/>
      </c>
      <c r="E210">
        <f>$C210*E209</f>
        <v/>
      </c>
      <c r="F210">
        <f>$C210*F209</f>
        <v/>
      </c>
      <c r="G210">
        <f>$C210*G209</f>
        <v/>
      </c>
      <c r="H210">
        <f>$C210*H209</f>
        <v/>
      </c>
      <c r="I210">
        <f>$C210*I209</f>
        <v/>
      </c>
      <c r="J210">
        <f>$C210*J209</f>
        <v/>
      </c>
      <c r="K210">
        <f>$C210*K209</f>
        <v/>
      </c>
      <c r="L210">
        <f>$C210*L209</f>
        <v/>
      </c>
      <c r="M210">
        <f>$C210*M209</f>
        <v/>
      </c>
      <c r="N210">
        <f>$C210*N209</f>
        <v/>
      </c>
      <c r="O210">
        <f>$C210*O209</f>
        <v/>
      </c>
      <c r="P210">
        <f>$C210*P209</f>
        <v/>
      </c>
      <c r="Q210">
        <f>$C210*Q209</f>
        <v/>
      </c>
      <c r="R210">
        <f>$C210*R209</f>
        <v/>
      </c>
      <c r="S210">
        <f>$C210*S209</f>
        <v/>
      </c>
      <c r="T210">
        <f>$C210*T209</f>
        <v/>
      </c>
      <c r="U210">
        <f>$C210*U209</f>
        <v/>
      </c>
      <c r="V210">
        <f>$C210*V209</f>
        <v/>
      </c>
      <c r="W210">
        <f>$C210*W209</f>
        <v/>
      </c>
      <c r="X210">
        <f>$C210*X209</f>
        <v/>
      </c>
      <c r="Y210">
        <f>$C210*Y209</f>
        <v/>
      </c>
      <c r="Z210">
        <f>$C210*Z209</f>
        <v/>
      </c>
      <c r="AA210">
        <f>$C210*AA209</f>
        <v/>
      </c>
      <c r="AB210">
        <f>$C210*AB209</f>
        <v/>
      </c>
      <c r="AC210">
        <f>$C210*AC209</f>
        <v/>
      </c>
      <c r="AD210">
        <f>$C210*AD209</f>
        <v/>
      </c>
      <c r="AE210">
        <f>$C210*AE209</f>
        <v/>
      </c>
      <c r="AF210">
        <f>$C210*AF209</f>
        <v/>
      </c>
      <c r="AG210">
        <f>$C210*AG209</f>
        <v/>
      </c>
      <c r="AH210">
        <f>$C210*AH209</f>
        <v/>
      </c>
      <c r="AI210">
        <f>$C210*AI209</f>
        <v/>
      </c>
      <c r="AJ210">
        <f>$C210*AJ209</f>
        <v/>
      </c>
      <c r="AK210">
        <f>$C210*AK209</f>
        <v/>
      </c>
      <c r="AL210">
        <f>$C210*AL209</f>
        <v/>
      </c>
      <c r="AM210">
        <f>$C210*AM209</f>
        <v/>
      </c>
      <c r="AN210">
        <f>$C210*AN209</f>
        <v/>
      </c>
      <c r="AO210">
        <f>$C210*AO209</f>
        <v/>
      </c>
      <c r="AP210">
        <f>$C210*AP209</f>
        <v/>
      </c>
      <c r="AQ210">
        <f>$C210*AQ209</f>
        <v/>
      </c>
      <c r="AR210">
        <f>$C210*AR209</f>
        <v/>
      </c>
      <c r="AS210">
        <f>$C210*AS209</f>
        <v/>
      </c>
      <c r="AT210">
        <f>$C210*AT209</f>
        <v/>
      </c>
      <c r="AU210">
        <f>$C210*AU209</f>
        <v/>
      </c>
      <c r="AV210">
        <f>$C210*AV209</f>
        <v/>
      </c>
      <c r="AW210">
        <f>$C210*AW209</f>
        <v/>
      </c>
      <c r="AX210">
        <f>$C210*AX209</f>
        <v/>
      </c>
      <c r="AY210">
        <f>$C210*AY209</f>
        <v/>
      </c>
      <c r="AZ210">
        <f>$C210*AZ209</f>
        <v/>
      </c>
      <c r="BA210">
        <f>$C210*BA209</f>
        <v/>
      </c>
      <c r="BB210">
        <f>$C210*BB209</f>
        <v/>
      </c>
      <c r="BC210">
        <f>$C210*BC209</f>
        <v/>
      </c>
      <c r="BD210">
        <f>$C210*BD209</f>
        <v/>
      </c>
      <c r="BE210">
        <f>$C210*BE209</f>
        <v/>
      </c>
      <c r="BF210">
        <f>$C210*BF209</f>
        <v/>
      </c>
      <c r="BG210">
        <f>$C210*BG209</f>
        <v/>
      </c>
      <c r="BH210">
        <f>$C210*BH209</f>
        <v/>
      </c>
      <c r="BI210">
        <f>$C210*BI209</f>
        <v/>
      </c>
      <c r="BJ210">
        <f>$C210*BJ209</f>
        <v/>
      </c>
      <c r="BK210">
        <f>$C210*BK209</f>
        <v/>
      </c>
      <c r="BL210">
        <f>$C210*BL209</f>
        <v/>
      </c>
      <c r="BM210">
        <f>$C210*BM209</f>
        <v/>
      </c>
      <c r="BN210">
        <f>$C210*BN209</f>
        <v/>
      </c>
      <c r="BO210">
        <f>$C210*BO209</f>
        <v/>
      </c>
      <c r="BP210">
        <f>$C210*BP209</f>
        <v/>
      </c>
      <c r="BQ210">
        <f>$C210*BQ209</f>
        <v/>
      </c>
      <c r="BR210">
        <f>$C210*BR209</f>
        <v/>
      </c>
      <c r="BS210">
        <f>$C210*BS209</f>
        <v/>
      </c>
      <c r="BT210">
        <f>$C210*BT209</f>
        <v/>
      </c>
      <c r="BU210">
        <f>$C210*BU209</f>
        <v/>
      </c>
      <c r="BV210">
        <f>$C210*BV209</f>
        <v/>
      </c>
      <c r="BW210">
        <f>$C210*BW209</f>
        <v/>
      </c>
      <c r="BX210">
        <f>$C210*BX209</f>
        <v/>
      </c>
      <c r="BY210">
        <f>$C210*BY209</f>
        <v/>
      </c>
      <c r="BZ210">
        <f>$C210*BZ209</f>
        <v/>
      </c>
      <c r="CA210">
        <f>$C210*CA209</f>
        <v/>
      </c>
      <c r="CB210">
        <f>$C210*CB209</f>
        <v/>
      </c>
      <c r="CC210">
        <f>$C210*CC209</f>
        <v/>
      </c>
      <c r="CD210">
        <f>$C210*CD209</f>
        <v/>
      </c>
      <c r="CE210">
        <f>$C210*CE209</f>
        <v/>
      </c>
      <c r="CF210">
        <f>$C210*CF209</f>
        <v/>
      </c>
      <c r="CG210">
        <f>$C210*CG209</f>
        <v/>
      </c>
      <c r="CH210">
        <f>$C210*CH209</f>
        <v/>
      </c>
      <c r="CI210">
        <f>$C210*CI209</f>
        <v/>
      </c>
      <c r="CJ210">
        <f>$C210*CJ209</f>
        <v/>
      </c>
      <c r="CK210">
        <f>$C210*CK209</f>
        <v/>
      </c>
      <c r="CL210">
        <f>$C210*CL209</f>
        <v/>
      </c>
      <c r="CM210">
        <f>$C210*CM209</f>
        <v/>
      </c>
      <c r="CN210">
        <f>$C210*CN209</f>
        <v/>
      </c>
      <c r="CO210">
        <f>$C210*CO209</f>
        <v/>
      </c>
      <c r="CP210">
        <f>$C210*CP209</f>
        <v/>
      </c>
      <c r="CQ210">
        <f>$C210*CQ209</f>
        <v/>
      </c>
      <c r="CR210">
        <f>$C210*CR209</f>
        <v/>
      </c>
      <c r="CS210">
        <f>$C210*CS209</f>
        <v/>
      </c>
      <c r="CT210">
        <f>$C210*CT209</f>
        <v/>
      </c>
      <c r="CU210">
        <f>$C210*CU209</f>
        <v/>
      </c>
      <c r="CV210">
        <f>$C210*CV209</f>
        <v/>
      </c>
      <c r="CW210">
        <f>$C210*CW209</f>
        <v/>
      </c>
      <c r="CX210">
        <f>$C210*CX209</f>
        <v/>
      </c>
      <c r="CY210">
        <f>$C210*CY209</f>
        <v/>
      </c>
      <c r="CZ210">
        <f>$C210*CZ209</f>
        <v/>
      </c>
      <c r="DA210">
        <f>$C210*DA209</f>
        <v/>
      </c>
      <c r="DB210">
        <f>$C210*DB209</f>
        <v/>
      </c>
      <c r="DC210">
        <f>$C210*DC209</f>
        <v/>
      </c>
    </row>
    <row r="211">
      <c r="B211" t="inlineStr">
        <is>
          <t>TSP-1558</t>
        </is>
      </c>
      <c r="C211" t="inlineStr">
        <is>
          <t>No. of batches</t>
        </is>
      </c>
      <c r="D211">
        <f>IFERROR(INDEX(PP_Grid[#Data],$DD211,2),0)</f>
        <v/>
      </c>
      <c r="E211">
        <f>IFERROR(INDEX(PP_Grid[#Data],$DD211,3),0)</f>
        <v/>
      </c>
      <c r="F211">
        <f>IFERROR(INDEX(PP_Grid[#Data],$DD211,4),0)</f>
        <v/>
      </c>
      <c r="G211">
        <f>IFERROR(INDEX(PP_Grid[#Data],$DD211,5),0)</f>
        <v/>
      </c>
      <c r="H211">
        <f>IFERROR(INDEX(PP_Grid[#Data],$DD211,6),0)</f>
        <v/>
      </c>
      <c r="I211">
        <f>IFERROR(INDEX(PP_Grid[#Data],$DD211,7),0)</f>
        <v/>
      </c>
      <c r="J211">
        <f>IFERROR(INDEX(PP_Grid[#Data],$DD211,8),0)</f>
        <v/>
      </c>
      <c r="K211">
        <f>IFERROR(INDEX(PP_Grid[#Data],$DD211,9),0)</f>
        <v/>
      </c>
      <c r="L211">
        <f>IFERROR(INDEX(PP_Grid[#Data],$DD211,10),0)</f>
        <v/>
      </c>
      <c r="M211">
        <f>IFERROR(INDEX(PP_Grid[#Data],$DD211,11),0)</f>
        <v/>
      </c>
      <c r="N211">
        <f>IFERROR(INDEX(PP_Grid[#Data],$DD211,12),0)</f>
        <v/>
      </c>
      <c r="O211">
        <f>IFERROR(INDEX(PP_Grid[#Data],$DD211,13),0)</f>
        <v/>
      </c>
      <c r="P211">
        <f>IFERROR(INDEX(PP_Grid[#Data],$DD211,14),0)</f>
        <v/>
      </c>
      <c r="Q211">
        <f>IFERROR(INDEX(PP_Grid[#Data],$DD211,15),0)</f>
        <v/>
      </c>
      <c r="R211">
        <f>IFERROR(INDEX(PP_Grid[#Data],$DD211,16),0)</f>
        <v/>
      </c>
      <c r="S211">
        <f>IFERROR(INDEX(PP_Grid[#Data],$DD211,17),0)</f>
        <v/>
      </c>
      <c r="T211">
        <f>IFERROR(INDEX(PP_Grid[#Data],$DD211,18),0)</f>
        <v/>
      </c>
      <c r="U211">
        <f>IFERROR(INDEX(PP_Grid[#Data],$DD211,19),0)</f>
        <v/>
      </c>
      <c r="V211">
        <f>IFERROR(INDEX(PP_Grid[#Data],$DD211,20),0)</f>
        <v/>
      </c>
      <c r="W211">
        <f>IFERROR(INDEX(PP_Grid[#Data],$DD211,21),0)</f>
        <v/>
      </c>
      <c r="X211">
        <f>IFERROR(INDEX(PP_Grid[#Data],$DD211,22),0)</f>
        <v/>
      </c>
      <c r="Y211">
        <f>IFERROR(INDEX(PP_Grid[#Data],$DD211,23),0)</f>
        <v/>
      </c>
      <c r="Z211">
        <f>IFERROR(INDEX(PP_Grid[#Data],$DD211,24),0)</f>
        <v/>
      </c>
      <c r="AA211">
        <f>IFERROR(INDEX(PP_Grid[#Data],$DD211,25),0)</f>
        <v/>
      </c>
      <c r="AB211">
        <f>IFERROR(INDEX(PP_Grid[#Data],$DD211,26),0)</f>
        <v/>
      </c>
      <c r="AC211">
        <f>IFERROR(INDEX(PP_Grid[#Data],$DD211,27),0)</f>
        <v/>
      </c>
      <c r="AD211">
        <f>IFERROR(INDEX(PP_Grid[#Data],$DD211,28),0)</f>
        <v/>
      </c>
      <c r="AE211">
        <f>IFERROR(INDEX(PP_Grid[#Data],$DD211,29),0)</f>
        <v/>
      </c>
      <c r="AF211">
        <f>IFERROR(INDEX(PP_Grid[#Data],$DD211,30),0)</f>
        <v/>
      </c>
      <c r="AG211">
        <f>IFERROR(INDEX(PP_Grid[#Data],$DD211,31),0)</f>
        <v/>
      </c>
      <c r="AH211">
        <f>IFERROR(INDEX(PP_Grid[#Data],$DD211,32),0)</f>
        <v/>
      </c>
      <c r="AI211">
        <f>IFERROR(INDEX(PP_Grid[#Data],$DD211,33),0)</f>
        <v/>
      </c>
      <c r="AJ211">
        <f>IFERROR(INDEX(PP_Grid[#Data],$DD211,34),0)</f>
        <v/>
      </c>
      <c r="AK211">
        <f>IFERROR(INDEX(PP_Grid[#Data],$DD211,35),0)</f>
        <v/>
      </c>
      <c r="AL211">
        <f>IFERROR(INDEX(PP_Grid[#Data],$DD211,36),0)</f>
        <v/>
      </c>
      <c r="AM211">
        <f>IFERROR(INDEX(PP_Grid[#Data],$DD211,37),0)</f>
        <v/>
      </c>
      <c r="AN211">
        <f>IFERROR(INDEX(PP_Grid[#Data],$DD211,38),0)</f>
        <v/>
      </c>
      <c r="AO211">
        <f>IFERROR(INDEX(PP_Grid[#Data],$DD211,39),0)</f>
        <v/>
      </c>
      <c r="AP211">
        <f>IFERROR(INDEX(PP_Grid[#Data],$DD211,40),0)</f>
        <v/>
      </c>
      <c r="AQ211">
        <f>IFERROR(INDEX(PP_Grid[#Data],$DD211,41),0)</f>
        <v/>
      </c>
      <c r="AR211">
        <f>IFERROR(INDEX(PP_Grid[#Data],$DD211,42),0)</f>
        <v/>
      </c>
      <c r="AS211">
        <f>IFERROR(INDEX(PP_Grid[#Data],$DD211,43),0)</f>
        <v/>
      </c>
      <c r="AT211">
        <f>IFERROR(INDEX(PP_Grid[#Data],$DD211,44),0)</f>
        <v/>
      </c>
      <c r="AU211">
        <f>IFERROR(INDEX(PP_Grid[#Data],$DD211,45),0)</f>
        <v/>
      </c>
      <c r="AV211">
        <f>IFERROR(INDEX(PP_Grid[#Data],$DD211,46),0)</f>
        <v/>
      </c>
      <c r="AW211">
        <f>IFERROR(INDEX(PP_Grid[#Data],$DD211,47),0)</f>
        <v/>
      </c>
      <c r="AX211">
        <f>IFERROR(INDEX(PP_Grid[#Data],$DD211,48),0)</f>
        <v/>
      </c>
      <c r="AY211">
        <f>IFERROR(INDEX(PP_Grid[#Data],$DD211,49),0)</f>
        <v/>
      </c>
      <c r="AZ211">
        <f>IFERROR(INDEX(PP_Grid[#Data],$DD211,50),0)</f>
        <v/>
      </c>
      <c r="BA211">
        <f>IFERROR(INDEX(PP_Grid[#Data],$DD211,51),0)</f>
        <v/>
      </c>
      <c r="BB211">
        <f>IFERROR(INDEX(PP_Grid[#Data],$DD211,52),0)</f>
        <v/>
      </c>
      <c r="BC211">
        <f>IFERROR(INDEX(PP_Grid[#Data],$DD211,53),0)</f>
        <v/>
      </c>
      <c r="BD211">
        <f>IFERROR(INDEX(PP_Grid[#Data],$DD211,54),0)</f>
        <v/>
      </c>
      <c r="BE211">
        <f>IFERROR(INDEX(PP_Grid[#Data],$DD211,55),0)</f>
        <v/>
      </c>
      <c r="BF211">
        <f>IFERROR(INDEX(PP_Grid[#Data],$DD211,56),0)</f>
        <v/>
      </c>
      <c r="BG211">
        <f>IFERROR(INDEX(PP_Grid[#Data],$DD211,57),0)</f>
        <v/>
      </c>
      <c r="BH211">
        <f>IFERROR(INDEX(PP_Grid[#Data],$DD211,58),0)</f>
        <v/>
      </c>
      <c r="BI211">
        <f>IFERROR(INDEX(PP_Grid[#Data],$DD211,59),0)</f>
        <v/>
      </c>
      <c r="BJ211">
        <f>IFERROR(INDEX(PP_Grid[#Data],$DD211,60),0)</f>
        <v/>
      </c>
      <c r="BK211">
        <f>IFERROR(INDEX(PP_Grid[#Data],$DD211,61),0)</f>
        <v/>
      </c>
      <c r="BL211">
        <f>IFERROR(INDEX(PP_Grid[#Data],$DD211,62),0)</f>
        <v/>
      </c>
      <c r="BM211">
        <f>IFERROR(INDEX(PP_Grid[#Data],$DD211,63),0)</f>
        <v/>
      </c>
      <c r="BN211">
        <f>IFERROR(INDEX(PP_Grid[#Data],$DD211,64),0)</f>
        <v/>
      </c>
      <c r="BO211">
        <f>IFERROR(INDEX(PP_Grid[#Data],$DD211,65),0)</f>
        <v/>
      </c>
      <c r="BP211">
        <f>IFERROR(INDEX(PP_Grid[#Data],$DD211,66),0)</f>
        <v/>
      </c>
      <c r="BQ211">
        <f>IFERROR(INDEX(PP_Grid[#Data],$DD211,67),0)</f>
        <v/>
      </c>
      <c r="BR211">
        <f>IFERROR(INDEX(PP_Grid[#Data],$DD211,68),0)</f>
        <v/>
      </c>
      <c r="BS211">
        <f>IFERROR(INDEX(PP_Grid[#Data],$DD211,69),0)</f>
        <v/>
      </c>
      <c r="BT211">
        <f>IFERROR(INDEX(PP_Grid[#Data],$DD211,70),0)</f>
        <v/>
      </c>
      <c r="BU211">
        <f>IFERROR(INDEX(PP_Grid[#Data],$DD211,71),0)</f>
        <v/>
      </c>
      <c r="BV211">
        <f>IFERROR(INDEX(PP_Grid[#Data],$DD211,72),0)</f>
        <v/>
      </c>
      <c r="BW211">
        <f>IFERROR(INDEX(PP_Grid[#Data],$DD211,73),0)</f>
        <v/>
      </c>
      <c r="BX211">
        <f>IFERROR(INDEX(PP_Grid[#Data],$DD211,74),0)</f>
        <v/>
      </c>
      <c r="BY211">
        <f>IFERROR(INDEX(PP_Grid[#Data],$DD211,75),0)</f>
        <v/>
      </c>
      <c r="BZ211">
        <f>IFERROR(INDEX(PP_Grid[#Data],$DD211,76),0)</f>
        <v/>
      </c>
      <c r="CA211">
        <f>IFERROR(INDEX(PP_Grid[#Data],$DD211,77),0)</f>
        <v/>
      </c>
      <c r="CB211">
        <f>IFERROR(INDEX(PP_Grid[#Data],$DD211,78),0)</f>
        <v/>
      </c>
      <c r="CC211">
        <f>IFERROR(INDEX(PP_Grid[#Data],$DD211,79),0)</f>
        <v/>
      </c>
      <c r="CD211">
        <f>IFERROR(INDEX(PP_Grid[#Data],$DD211,80),0)</f>
        <v/>
      </c>
      <c r="CE211">
        <f>IFERROR(INDEX(PP_Grid[#Data],$DD211,81),0)</f>
        <v/>
      </c>
      <c r="CF211">
        <f>IFERROR(INDEX(PP_Grid[#Data],$DD211,82),0)</f>
        <v/>
      </c>
      <c r="CG211">
        <f>IFERROR(INDEX(PP_Grid[#Data],$DD211,83),0)</f>
        <v/>
      </c>
      <c r="CH211">
        <f>IFERROR(INDEX(PP_Grid[#Data],$DD211,84),0)</f>
        <v/>
      </c>
      <c r="CI211">
        <f>IFERROR(INDEX(PP_Grid[#Data],$DD211,85),0)</f>
        <v/>
      </c>
      <c r="CJ211">
        <f>IFERROR(INDEX(PP_Grid[#Data],$DD211,86),0)</f>
        <v/>
      </c>
      <c r="CK211">
        <f>IFERROR(INDEX(PP_Grid[#Data],$DD211,87),0)</f>
        <v/>
      </c>
      <c r="CL211">
        <f>IFERROR(INDEX(PP_Grid[#Data],$DD211,88),0)</f>
        <v/>
      </c>
      <c r="CM211">
        <f>IFERROR(INDEX(PP_Grid[#Data],$DD211,89),0)</f>
        <v/>
      </c>
      <c r="CN211">
        <f>IFERROR(INDEX(PP_Grid[#Data],$DD211,90),0)</f>
        <v/>
      </c>
      <c r="CO211">
        <f>IFERROR(INDEX(PP_Grid[#Data],$DD211,91),0)</f>
        <v/>
      </c>
      <c r="CP211">
        <f>IFERROR(INDEX(PP_Grid[#Data],$DD211,92),0)</f>
        <v/>
      </c>
      <c r="CQ211">
        <f>IFERROR(INDEX(PP_Grid[#Data],$DD211,93),0)</f>
        <v/>
      </c>
      <c r="CR211">
        <f>IFERROR(INDEX(PP_Grid[#Data],$DD211,94),0)</f>
        <v/>
      </c>
      <c r="CS211">
        <f>IFERROR(INDEX(PP_Grid[#Data],$DD211,95),0)</f>
        <v/>
      </c>
      <c r="CT211">
        <f>IFERROR(INDEX(PP_Grid[#Data],$DD211,96),0)</f>
        <v/>
      </c>
      <c r="CU211">
        <f>IFERROR(INDEX(PP_Grid[#Data],$DD211,97),0)</f>
        <v/>
      </c>
      <c r="CV211">
        <f>IFERROR(INDEX(PP_Grid[#Data],$DD211,98),0)</f>
        <v/>
      </c>
      <c r="CW211">
        <f>IFERROR(INDEX(PP_Grid[#Data],$DD211,99),0)</f>
        <v/>
      </c>
      <c r="CX211">
        <f>IFERROR(INDEX(PP_Grid[#Data],$DD211,100),0)</f>
        <v/>
      </c>
      <c r="CY211">
        <f>IFERROR(INDEX(PP_Grid[#Data],$DD211,101),0)</f>
        <v/>
      </c>
      <c r="CZ211">
        <f>IFERROR(INDEX(PP_Grid[#Data],$DD211,102),0)</f>
        <v/>
      </c>
      <c r="DA211">
        <f>IFERROR(INDEX(PP_Grid[#Data],$DD211,103),0)</f>
        <v/>
      </c>
      <c r="DB211">
        <f>IFERROR(INDEX(PP_Grid[#Data],$DD211,104),0)</f>
        <v/>
      </c>
      <c r="DC211">
        <f>IFERROR(INDEX(PP_Grid[#Data],$DD211,105),0)</f>
        <v/>
      </c>
      <c r="DD211" s="7">
        <f>IFERROR(MATCH($B211,PP_Grid[Intermediate],0),99999)</f>
        <v/>
      </c>
    </row>
    <row r="212">
      <c r="B212" t="inlineStr">
        <is>
          <t>使用量(kg)</t>
        </is>
      </c>
      <c r="C212">
        <f>SUMIFS(M_BOM[RM_Qty_Per_Batch],M_BOM[Intermediate],$B211,M_BOM[Part Name],$A44)</f>
        <v/>
      </c>
      <c r="D212">
        <f>$C212*D211</f>
        <v/>
      </c>
      <c r="E212">
        <f>$C212*E211</f>
        <v/>
      </c>
      <c r="F212">
        <f>$C212*F211</f>
        <v/>
      </c>
      <c r="G212">
        <f>$C212*G211</f>
        <v/>
      </c>
      <c r="H212">
        <f>$C212*H211</f>
        <v/>
      </c>
      <c r="I212">
        <f>$C212*I211</f>
        <v/>
      </c>
      <c r="J212">
        <f>$C212*J211</f>
        <v/>
      </c>
      <c r="K212">
        <f>$C212*K211</f>
        <v/>
      </c>
      <c r="L212">
        <f>$C212*L211</f>
        <v/>
      </c>
      <c r="M212">
        <f>$C212*M211</f>
        <v/>
      </c>
      <c r="N212">
        <f>$C212*N211</f>
        <v/>
      </c>
      <c r="O212">
        <f>$C212*O211</f>
        <v/>
      </c>
      <c r="P212">
        <f>$C212*P211</f>
        <v/>
      </c>
      <c r="Q212">
        <f>$C212*Q211</f>
        <v/>
      </c>
      <c r="R212">
        <f>$C212*R211</f>
        <v/>
      </c>
      <c r="S212">
        <f>$C212*S211</f>
        <v/>
      </c>
      <c r="T212">
        <f>$C212*T211</f>
        <v/>
      </c>
      <c r="U212">
        <f>$C212*U211</f>
        <v/>
      </c>
      <c r="V212">
        <f>$C212*V211</f>
        <v/>
      </c>
      <c r="W212">
        <f>$C212*W211</f>
        <v/>
      </c>
      <c r="X212">
        <f>$C212*X211</f>
        <v/>
      </c>
      <c r="Y212">
        <f>$C212*Y211</f>
        <v/>
      </c>
      <c r="Z212">
        <f>$C212*Z211</f>
        <v/>
      </c>
      <c r="AA212">
        <f>$C212*AA211</f>
        <v/>
      </c>
      <c r="AB212">
        <f>$C212*AB211</f>
        <v/>
      </c>
      <c r="AC212">
        <f>$C212*AC211</f>
        <v/>
      </c>
      <c r="AD212">
        <f>$C212*AD211</f>
        <v/>
      </c>
      <c r="AE212">
        <f>$C212*AE211</f>
        <v/>
      </c>
      <c r="AF212">
        <f>$C212*AF211</f>
        <v/>
      </c>
      <c r="AG212">
        <f>$C212*AG211</f>
        <v/>
      </c>
      <c r="AH212">
        <f>$C212*AH211</f>
        <v/>
      </c>
      <c r="AI212">
        <f>$C212*AI211</f>
        <v/>
      </c>
      <c r="AJ212">
        <f>$C212*AJ211</f>
        <v/>
      </c>
      <c r="AK212">
        <f>$C212*AK211</f>
        <v/>
      </c>
      <c r="AL212">
        <f>$C212*AL211</f>
        <v/>
      </c>
      <c r="AM212">
        <f>$C212*AM211</f>
        <v/>
      </c>
      <c r="AN212">
        <f>$C212*AN211</f>
        <v/>
      </c>
      <c r="AO212">
        <f>$C212*AO211</f>
        <v/>
      </c>
      <c r="AP212">
        <f>$C212*AP211</f>
        <v/>
      </c>
      <c r="AQ212">
        <f>$C212*AQ211</f>
        <v/>
      </c>
      <c r="AR212">
        <f>$C212*AR211</f>
        <v/>
      </c>
      <c r="AS212">
        <f>$C212*AS211</f>
        <v/>
      </c>
      <c r="AT212">
        <f>$C212*AT211</f>
        <v/>
      </c>
      <c r="AU212">
        <f>$C212*AU211</f>
        <v/>
      </c>
      <c r="AV212">
        <f>$C212*AV211</f>
        <v/>
      </c>
      <c r="AW212">
        <f>$C212*AW211</f>
        <v/>
      </c>
      <c r="AX212">
        <f>$C212*AX211</f>
        <v/>
      </c>
      <c r="AY212">
        <f>$C212*AY211</f>
        <v/>
      </c>
      <c r="AZ212">
        <f>$C212*AZ211</f>
        <v/>
      </c>
      <c r="BA212">
        <f>$C212*BA211</f>
        <v/>
      </c>
      <c r="BB212">
        <f>$C212*BB211</f>
        <v/>
      </c>
      <c r="BC212">
        <f>$C212*BC211</f>
        <v/>
      </c>
      <c r="BD212">
        <f>$C212*BD211</f>
        <v/>
      </c>
      <c r="BE212">
        <f>$C212*BE211</f>
        <v/>
      </c>
      <c r="BF212">
        <f>$C212*BF211</f>
        <v/>
      </c>
      <c r="BG212">
        <f>$C212*BG211</f>
        <v/>
      </c>
      <c r="BH212">
        <f>$C212*BH211</f>
        <v/>
      </c>
      <c r="BI212">
        <f>$C212*BI211</f>
        <v/>
      </c>
      <c r="BJ212">
        <f>$C212*BJ211</f>
        <v/>
      </c>
      <c r="BK212">
        <f>$C212*BK211</f>
        <v/>
      </c>
      <c r="BL212">
        <f>$C212*BL211</f>
        <v/>
      </c>
      <c r="BM212">
        <f>$C212*BM211</f>
        <v/>
      </c>
      <c r="BN212">
        <f>$C212*BN211</f>
        <v/>
      </c>
      <c r="BO212">
        <f>$C212*BO211</f>
        <v/>
      </c>
      <c r="BP212">
        <f>$C212*BP211</f>
        <v/>
      </c>
      <c r="BQ212">
        <f>$C212*BQ211</f>
        <v/>
      </c>
      <c r="BR212">
        <f>$C212*BR211</f>
        <v/>
      </c>
      <c r="BS212">
        <f>$C212*BS211</f>
        <v/>
      </c>
      <c r="BT212">
        <f>$C212*BT211</f>
        <v/>
      </c>
      <c r="BU212">
        <f>$C212*BU211</f>
        <v/>
      </c>
      <c r="BV212">
        <f>$C212*BV211</f>
        <v/>
      </c>
      <c r="BW212">
        <f>$C212*BW211</f>
        <v/>
      </c>
      <c r="BX212">
        <f>$C212*BX211</f>
        <v/>
      </c>
      <c r="BY212">
        <f>$C212*BY211</f>
        <v/>
      </c>
      <c r="BZ212">
        <f>$C212*BZ211</f>
        <v/>
      </c>
      <c r="CA212">
        <f>$C212*CA211</f>
        <v/>
      </c>
      <c r="CB212">
        <f>$C212*CB211</f>
        <v/>
      </c>
      <c r="CC212">
        <f>$C212*CC211</f>
        <v/>
      </c>
      <c r="CD212">
        <f>$C212*CD211</f>
        <v/>
      </c>
      <c r="CE212">
        <f>$C212*CE211</f>
        <v/>
      </c>
      <c r="CF212">
        <f>$C212*CF211</f>
        <v/>
      </c>
      <c r="CG212">
        <f>$C212*CG211</f>
        <v/>
      </c>
      <c r="CH212">
        <f>$C212*CH211</f>
        <v/>
      </c>
      <c r="CI212">
        <f>$C212*CI211</f>
        <v/>
      </c>
      <c r="CJ212">
        <f>$C212*CJ211</f>
        <v/>
      </c>
      <c r="CK212">
        <f>$C212*CK211</f>
        <v/>
      </c>
      <c r="CL212">
        <f>$C212*CL211</f>
        <v/>
      </c>
      <c r="CM212">
        <f>$C212*CM211</f>
        <v/>
      </c>
      <c r="CN212">
        <f>$C212*CN211</f>
        <v/>
      </c>
      <c r="CO212">
        <f>$C212*CO211</f>
        <v/>
      </c>
      <c r="CP212">
        <f>$C212*CP211</f>
        <v/>
      </c>
      <c r="CQ212">
        <f>$C212*CQ211</f>
        <v/>
      </c>
      <c r="CR212">
        <f>$C212*CR211</f>
        <v/>
      </c>
      <c r="CS212">
        <f>$C212*CS211</f>
        <v/>
      </c>
      <c r="CT212">
        <f>$C212*CT211</f>
        <v/>
      </c>
      <c r="CU212">
        <f>$C212*CU211</f>
        <v/>
      </c>
      <c r="CV212">
        <f>$C212*CV211</f>
        <v/>
      </c>
      <c r="CW212">
        <f>$C212*CW211</f>
        <v/>
      </c>
      <c r="CX212">
        <f>$C212*CX211</f>
        <v/>
      </c>
      <c r="CY212">
        <f>$C212*CY211</f>
        <v/>
      </c>
      <c r="CZ212">
        <f>$C212*CZ211</f>
        <v/>
      </c>
      <c r="DA212">
        <f>$C212*DA211</f>
        <v/>
      </c>
      <c r="DB212">
        <f>$C212*DB211</f>
        <v/>
      </c>
      <c r="DC212">
        <f>$C212*DC211</f>
        <v/>
      </c>
    </row>
    <row r="213">
      <c r="B213" s="4" t="inlineStr">
        <is>
          <t>合計使用量(kg)/週</t>
        </is>
      </c>
      <c r="D213">
        <f>'Grid_Requirement'!B5</f>
        <v/>
      </c>
      <c r="E213">
        <f>'Grid_Requirement'!C5</f>
        <v/>
      </c>
      <c r="F213">
        <f>'Grid_Requirement'!D5</f>
        <v/>
      </c>
      <c r="G213">
        <f>'Grid_Requirement'!E5</f>
        <v/>
      </c>
      <c r="H213">
        <f>'Grid_Requirement'!F5</f>
        <v/>
      </c>
      <c r="I213">
        <f>'Grid_Requirement'!G5</f>
        <v/>
      </c>
      <c r="J213">
        <f>'Grid_Requirement'!H5</f>
        <v/>
      </c>
      <c r="K213">
        <f>'Grid_Requirement'!I5</f>
        <v/>
      </c>
      <c r="L213">
        <f>'Grid_Requirement'!J5</f>
        <v/>
      </c>
      <c r="M213">
        <f>'Grid_Requirement'!K5</f>
        <v/>
      </c>
      <c r="N213">
        <f>'Grid_Requirement'!L5</f>
        <v/>
      </c>
      <c r="O213">
        <f>'Grid_Requirement'!M5</f>
        <v/>
      </c>
      <c r="P213">
        <f>'Grid_Requirement'!N5</f>
        <v/>
      </c>
      <c r="Q213">
        <f>'Grid_Requirement'!O5</f>
        <v/>
      </c>
      <c r="R213">
        <f>'Grid_Requirement'!P5</f>
        <v/>
      </c>
      <c r="S213">
        <f>'Grid_Requirement'!Q5</f>
        <v/>
      </c>
      <c r="T213">
        <f>'Grid_Requirement'!R5</f>
        <v/>
      </c>
      <c r="U213">
        <f>'Grid_Requirement'!S5</f>
        <v/>
      </c>
      <c r="V213">
        <f>'Grid_Requirement'!T5</f>
        <v/>
      </c>
      <c r="W213">
        <f>'Grid_Requirement'!U5</f>
        <v/>
      </c>
      <c r="X213">
        <f>'Grid_Requirement'!V5</f>
        <v/>
      </c>
      <c r="Y213">
        <f>'Grid_Requirement'!W5</f>
        <v/>
      </c>
      <c r="Z213">
        <f>'Grid_Requirement'!X5</f>
        <v/>
      </c>
      <c r="AA213">
        <f>'Grid_Requirement'!Y5</f>
        <v/>
      </c>
      <c r="AB213">
        <f>'Grid_Requirement'!Z5</f>
        <v/>
      </c>
      <c r="AC213">
        <f>'Grid_Requirement'!AA5</f>
        <v/>
      </c>
      <c r="AD213">
        <f>'Grid_Requirement'!AB5</f>
        <v/>
      </c>
      <c r="AE213">
        <f>'Grid_Requirement'!AC5</f>
        <v/>
      </c>
      <c r="AF213">
        <f>'Grid_Requirement'!AD5</f>
        <v/>
      </c>
      <c r="AG213">
        <f>'Grid_Requirement'!AE5</f>
        <v/>
      </c>
      <c r="AH213">
        <f>'Grid_Requirement'!AF5</f>
        <v/>
      </c>
      <c r="AI213">
        <f>'Grid_Requirement'!AG5</f>
        <v/>
      </c>
      <c r="AJ213">
        <f>'Grid_Requirement'!AH5</f>
        <v/>
      </c>
      <c r="AK213">
        <f>'Grid_Requirement'!AI5</f>
        <v/>
      </c>
      <c r="AL213">
        <f>'Grid_Requirement'!AJ5</f>
        <v/>
      </c>
      <c r="AM213">
        <f>'Grid_Requirement'!AK5</f>
        <v/>
      </c>
      <c r="AN213">
        <f>'Grid_Requirement'!AL5</f>
        <v/>
      </c>
      <c r="AO213">
        <f>'Grid_Requirement'!AM5</f>
        <v/>
      </c>
      <c r="AP213">
        <f>'Grid_Requirement'!AN5</f>
        <v/>
      </c>
      <c r="AQ213">
        <f>'Grid_Requirement'!AO5</f>
        <v/>
      </c>
      <c r="AR213">
        <f>'Grid_Requirement'!AP5</f>
        <v/>
      </c>
      <c r="AS213">
        <f>'Grid_Requirement'!AQ5</f>
        <v/>
      </c>
      <c r="AT213">
        <f>'Grid_Requirement'!AR5</f>
        <v/>
      </c>
      <c r="AU213">
        <f>'Grid_Requirement'!AS5</f>
        <v/>
      </c>
      <c r="AV213">
        <f>'Grid_Requirement'!AT5</f>
        <v/>
      </c>
      <c r="AW213">
        <f>'Grid_Requirement'!AU5</f>
        <v/>
      </c>
      <c r="AX213">
        <f>'Grid_Requirement'!AV5</f>
        <v/>
      </c>
      <c r="AY213">
        <f>'Grid_Requirement'!AW5</f>
        <v/>
      </c>
      <c r="AZ213">
        <f>'Grid_Requirement'!AX5</f>
        <v/>
      </c>
      <c r="BA213">
        <f>'Grid_Requirement'!AY5</f>
        <v/>
      </c>
      <c r="BB213">
        <f>'Grid_Requirement'!AZ5</f>
        <v/>
      </c>
      <c r="BC213">
        <f>'Grid_Requirement'!BA5</f>
        <v/>
      </c>
      <c r="BD213">
        <f>'Grid_Requirement'!BB5</f>
        <v/>
      </c>
      <c r="BE213">
        <f>'Grid_Requirement'!BC5</f>
        <v/>
      </c>
      <c r="BF213">
        <f>'Grid_Requirement'!BD5</f>
        <v/>
      </c>
      <c r="BG213">
        <f>'Grid_Requirement'!BE5</f>
        <v/>
      </c>
      <c r="BH213">
        <f>'Grid_Requirement'!BF5</f>
        <v/>
      </c>
      <c r="BI213">
        <f>'Grid_Requirement'!BG5</f>
        <v/>
      </c>
      <c r="BJ213">
        <f>'Grid_Requirement'!BH5</f>
        <v/>
      </c>
      <c r="BK213">
        <f>'Grid_Requirement'!BI5</f>
        <v/>
      </c>
      <c r="BL213">
        <f>'Grid_Requirement'!BJ5</f>
        <v/>
      </c>
      <c r="BM213">
        <f>'Grid_Requirement'!BK5</f>
        <v/>
      </c>
      <c r="BN213">
        <f>'Grid_Requirement'!BL5</f>
        <v/>
      </c>
      <c r="BO213">
        <f>'Grid_Requirement'!BM5</f>
        <v/>
      </c>
      <c r="BP213">
        <f>'Grid_Requirement'!BN5</f>
        <v/>
      </c>
      <c r="BQ213">
        <f>'Grid_Requirement'!BO5</f>
        <v/>
      </c>
      <c r="BR213">
        <f>'Grid_Requirement'!BP5</f>
        <v/>
      </c>
      <c r="BS213">
        <f>'Grid_Requirement'!BQ5</f>
        <v/>
      </c>
      <c r="BT213">
        <f>'Grid_Requirement'!BR5</f>
        <v/>
      </c>
      <c r="BU213">
        <f>'Grid_Requirement'!BS5</f>
        <v/>
      </c>
      <c r="BV213">
        <f>'Grid_Requirement'!BT5</f>
        <v/>
      </c>
      <c r="BW213">
        <f>'Grid_Requirement'!BU5</f>
        <v/>
      </c>
      <c r="BX213">
        <f>'Grid_Requirement'!BV5</f>
        <v/>
      </c>
      <c r="BY213">
        <f>'Grid_Requirement'!BW5</f>
        <v/>
      </c>
      <c r="BZ213">
        <f>'Grid_Requirement'!BX5</f>
        <v/>
      </c>
      <c r="CA213">
        <f>'Grid_Requirement'!BY5</f>
        <v/>
      </c>
      <c r="CB213">
        <f>'Grid_Requirement'!BZ5</f>
        <v/>
      </c>
      <c r="CC213">
        <f>'Grid_Requirement'!CA5</f>
        <v/>
      </c>
      <c r="CD213">
        <f>'Grid_Requirement'!CB5</f>
        <v/>
      </c>
      <c r="CE213">
        <f>'Grid_Requirement'!CC5</f>
        <v/>
      </c>
      <c r="CF213">
        <f>'Grid_Requirement'!CD5</f>
        <v/>
      </c>
      <c r="CG213">
        <f>'Grid_Requirement'!CE5</f>
        <v/>
      </c>
      <c r="CH213">
        <f>'Grid_Requirement'!CF5</f>
        <v/>
      </c>
      <c r="CI213">
        <f>'Grid_Requirement'!CG5</f>
        <v/>
      </c>
      <c r="CJ213">
        <f>'Grid_Requirement'!CH5</f>
        <v/>
      </c>
      <c r="CK213">
        <f>'Grid_Requirement'!CI5</f>
        <v/>
      </c>
      <c r="CL213">
        <f>'Grid_Requirement'!CJ5</f>
        <v/>
      </c>
      <c r="CM213">
        <f>'Grid_Requirement'!CK5</f>
        <v/>
      </c>
      <c r="CN213">
        <f>'Grid_Requirement'!CL5</f>
        <v/>
      </c>
      <c r="CO213">
        <f>'Grid_Requirement'!CM5</f>
        <v/>
      </c>
      <c r="CP213">
        <f>'Grid_Requirement'!CN5</f>
        <v/>
      </c>
      <c r="CQ213">
        <f>'Grid_Requirement'!CO5</f>
        <v/>
      </c>
      <c r="CR213">
        <f>'Grid_Requirement'!CP5</f>
        <v/>
      </c>
      <c r="CS213">
        <f>'Grid_Requirement'!CQ5</f>
        <v/>
      </c>
      <c r="CT213">
        <f>'Grid_Requirement'!CR5</f>
        <v/>
      </c>
      <c r="CU213">
        <f>'Grid_Requirement'!CS5</f>
        <v/>
      </c>
      <c r="CV213">
        <f>'Grid_Requirement'!CT5</f>
        <v/>
      </c>
      <c r="CW213">
        <f>'Grid_Requirement'!CU5</f>
        <v/>
      </c>
      <c r="CX213">
        <f>'Grid_Requirement'!CV5</f>
        <v/>
      </c>
      <c r="CY213">
        <f>'Grid_Requirement'!CW5</f>
        <v/>
      </c>
      <c r="CZ213">
        <f>'Grid_Requirement'!CX5</f>
        <v/>
      </c>
      <c r="DA213">
        <f>'Grid_Requirement'!CY5</f>
        <v/>
      </c>
      <c r="DB213">
        <f>'Grid_Requirement'!CZ5</f>
        <v/>
      </c>
      <c r="DC213">
        <f>'Grid_Requirement'!DA5</f>
        <v/>
      </c>
    </row>
    <row r="214">
      <c r="B214" t="inlineStr">
        <is>
          <t>TTAF在庫(実績,kg)</t>
        </is>
      </c>
      <c r="D214">
        <f>'T_TTAFStock'!B9</f>
        <v/>
      </c>
      <c r="E214">
        <f>'T_TTAFStock'!C9</f>
        <v/>
      </c>
      <c r="F214">
        <f>'T_TTAFStock'!D9</f>
        <v/>
      </c>
      <c r="G214">
        <f>'T_TTAFStock'!E9</f>
        <v/>
      </c>
      <c r="H214">
        <f>'T_TTAFStock'!F9</f>
        <v/>
      </c>
      <c r="I214">
        <f>'T_TTAFStock'!G9</f>
        <v/>
      </c>
      <c r="J214">
        <f>'T_TTAFStock'!H9</f>
        <v/>
      </c>
      <c r="K214">
        <f>'T_TTAFStock'!I9</f>
        <v/>
      </c>
      <c r="L214">
        <f>'T_TTAFStock'!J9</f>
        <v/>
      </c>
      <c r="M214">
        <f>'T_TTAFStock'!K9</f>
        <v/>
      </c>
      <c r="N214">
        <f>'T_TTAFStock'!L9</f>
        <v/>
      </c>
      <c r="O214">
        <f>'T_TTAFStock'!M9</f>
        <v/>
      </c>
      <c r="P214">
        <f>'T_TTAFStock'!N9</f>
        <v/>
      </c>
      <c r="Q214">
        <f>'T_TTAFStock'!O9</f>
        <v/>
      </c>
      <c r="R214">
        <f>'T_TTAFStock'!P9</f>
        <v/>
      </c>
      <c r="S214">
        <f>'T_TTAFStock'!Q9</f>
        <v/>
      </c>
      <c r="T214">
        <f>'T_TTAFStock'!R9</f>
        <v/>
      </c>
      <c r="U214">
        <f>'T_TTAFStock'!S9</f>
        <v/>
      </c>
      <c r="V214">
        <f>'T_TTAFStock'!T9</f>
        <v/>
      </c>
      <c r="W214">
        <f>'T_TTAFStock'!U9</f>
        <v/>
      </c>
      <c r="X214">
        <f>'T_TTAFStock'!V9</f>
        <v/>
      </c>
      <c r="Y214">
        <f>'T_TTAFStock'!W9</f>
        <v/>
      </c>
      <c r="Z214">
        <f>'T_TTAFStock'!X9</f>
        <v/>
      </c>
      <c r="AA214">
        <f>'T_TTAFStock'!Y9</f>
        <v/>
      </c>
      <c r="AB214">
        <f>'T_TTAFStock'!Z9</f>
        <v/>
      </c>
      <c r="AC214">
        <f>'T_TTAFStock'!AA9</f>
        <v/>
      </c>
      <c r="AD214">
        <f>'T_TTAFStock'!AB9</f>
        <v/>
      </c>
      <c r="AE214">
        <f>'T_TTAFStock'!AC9</f>
        <v/>
      </c>
      <c r="AF214">
        <f>'T_TTAFStock'!AD9</f>
        <v/>
      </c>
      <c r="AG214">
        <f>'T_TTAFStock'!AE9</f>
        <v/>
      </c>
      <c r="AH214">
        <f>'T_TTAFStock'!AF9</f>
        <v/>
      </c>
      <c r="AI214">
        <f>'T_TTAFStock'!AG9</f>
        <v/>
      </c>
      <c r="AJ214">
        <f>'T_TTAFStock'!AH9</f>
        <v/>
      </c>
      <c r="AK214">
        <f>'T_TTAFStock'!AI9</f>
        <v/>
      </c>
      <c r="AL214">
        <f>'T_TTAFStock'!AJ9</f>
        <v/>
      </c>
      <c r="AM214">
        <f>'T_TTAFStock'!AK9</f>
        <v/>
      </c>
      <c r="AN214">
        <f>'T_TTAFStock'!AL9</f>
        <v/>
      </c>
      <c r="AO214">
        <f>'T_TTAFStock'!AM9</f>
        <v/>
      </c>
      <c r="AP214">
        <f>'T_TTAFStock'!AN9</f>
        <v/>
      </c>
      <c r="AQ214">
        <f>'T_TTAFStock'!AO9</f>
        <v/>
      </c>
      <c r="AR214">
        <f>'T_TTAFStock'!AP9</f>
        <v/>
      </c>
      <c r="AS214">
        <f>'T_TTAFStock'!AQ9</f>
        <v/>
      </c>
      <c r="AT214">
        <f>'T_TTAFStock'!AR9</f>
        <v/>
      </c>
      <c r="AU214">
        <f>'T_TTAFStock'!AS9</f>
        <v/>
      </c>
      <c r="AV214">
        <f>'T_TTAFStock'!AT9</f>
        <v/>
      </c>
      <c r="AW214">
        <f>'T_TTAFStock'!AU9</f>
        <v/>
      </c>
      <c r="AX214">
        <f>'T_TTAFStock'!AV9</f>
        <v/>
      </c>
      <c r="AY214">
        <f>'T_TTAFStock'!AW9</f>
        <v/>
      </c>
      <c r="AZ214">
        <f>'T_TTAFStock'!AX9</f>
        <v/>
      </c>
      <c r="BA214">
        <f>'T_TTAFStock'!AY9</f>
        <v/>
      </c>
      <c r="BB214">
        <f>'T_TTAFStock'!AZ9</f>
        <v/>
      </c>
      <c r="BC214">
        <f>'T_TTAFStock'!BA9</f>
        <v/>
      </c>
      <c r="BD214">
        <f>'T_TTAFStock'!BB9</f>
        <v/>
      </c>
      <c r="BE214">
        <f>'T_TTAFStock'!BC9</f>
        <v/>
      </c>
      <c r="BF214">
        <f>'T_TTAFStock'!BD9</f>
        <v/>
      </c>
      <c r="BG214">
        <f>'T_TTAFStock'!BE9</f>
        <v/>
      </c>
      <c r="BH214">
        <f>'T_TTAFStock'!BF9</f>
        <v/>
      </c>
      <c r="BI214">
        <f>'T_TTAFStock'!BG9</f>
        <v/>
      </c>
      <c r="BJ214">
        <f>'T_TTAFStock'!BH9</f>
        <v/>
      </c>
      <c r="BK214">
        <f>'T_TTAFStock'!BI9</f>
        <v/>
      </c>
      <c r="BL214">
        <f>'T_TTAFStock'!BJ9</f>
        <v/>
      </c>
      <c r="BM214">
        <f>'T_TTAFStock'!BK9</f>
        <v/>
      </c>
      <c r="BN214">
        <f>'T_TTAFStock'!BL9</f>
        <v/>
      </c>
      <c r="BO214">
        <f>'T_TTAFStock'!BM9</f>
        <v/>
      </c>
      <c r="BP214">
        <f>'T_TTAFStock'!BN9</f>
        <v/>
      </c>
      <c r="BQ214">
        <f>'T_TTAFStock'!BO9</f>
        <v/>
      </c>
      <c r="BR214">
        <f>'T_TTAFStock'!BP9</f>
        <v/>
      </c>
      <c r="BS214">
        <f>'T_TTAFStock'!BQ9</f>
        <v/>
      </c>
      <c r="BT214">
        <f>'T_TTAFStock'!BR9</f>
        <v/>
      </c>
      <c r="BU214">
        <f>'T_TTAFStock'!BS9</f>
        <v/>
      </c>
      <c r="BV214">
        <f>'T_TTAFStock'!BT9</f>
        <v/>
      </c>
      <c r="BW214">
        <f>'T_TTAFStock'!BU9</f>
        <v/>
      </c>
      <c r="BX214">
        <f>'T_TTAFStock'!BV9</f>
        <v/>
      </c>
      <c r="BY214">
        <f>'T_TTAFStock'!BW9</f>
        <v/>
      </c>
      <c r="BZ214">
        <f>'T_TTAFStock'!BX9</f>
        <v/>
      </c>
      <c r="CA214">
        <f>'T_TTAFStock'!BY9</f>
        <v/>
      </c>
      <c r="CB214">
        <f>'T_TTAFStock'!BZ9</f>
        <v/>
      </c>
      <c r="CC214">
        <f>'T_TTAFStock'!CA9</f>
        <v/>
      </c>
      <c r="CD214">
        <f>'T_TTAFStock'!CB9</f>
        <v/>
      </c>
      <c r="CE214">
        <f>'T_TTAFStock'!CC9</f>
        <v/>
      </c>
      <c r="CF214">
        <f>'T_TTAFStock'!CD9</f>
        <v/>
      </c>
      <c r="CG214">
        <f>'T_TTAFStock'!CE9</f>
        <v/>
      </c>
      <c r="CH214">
        <f>'T_TTAFStock'!CF9</f>
        <v/>
      </c>
      <c r="CI214">
        <f>'T_TTAFStock'!CG9</f>
        <v/>
      </c>
      <c r="CJ214">
        <f>'T_TTAFStock'!CH9</f>
        <v/>
      </c>
      <c r="CK214">
        <f>'T_TTAFStock'!CI9</f>
        <v/>
      </c>
      <c r="CL214">
        <f>'T_TTAFStock'!CJ9</f>
        <v/>
      </c>
      <c r="CM214">
        <f>'T_TTAFStock'!CK9</f>
        <v/>
      </c>
      <c r="CN214">
        <f>'T_TTAFStock'!CL9</f>
        <v/>
      </c>
      <c r="CO214">
        <f>'T_TTAFStock'!CM9</f>
        <v/>
      </c>
      <c r="CP214">
        <f>'T_TTAFStock'!CN9</f>
        <v/>
      </c>
      <c r="CQ214">
        <f>'T_TTAFStock'!CO9</f>
        <v/>
      </c>
      <c r="CR214">
        <f>'T_TTAFStock'!CP9</f>
        <v/>
      </c>
      <c r="CS214">
        <f>'T_TTAFStock'!CQ9</f>
        <v/>
      </c>
      <c r="CT214">
        <f>'T_TTAFStock'!CR9</f>
        <v/>
      </c>
      <c r="CU214">
        <f>'T_TTAFStock'!CS9</f>
        <v/>
      </c>
      <c r="CV214">
        <f>'T_TTAFStock'!CT9</f>
        <v/>
      </c>
      <c r="CW214">
        <f>'T_TTAFStock'!CU9</f>
        <v/>
      </c>
      <c r="CX214">
        <f>'T_TTAFStock'!CV9</f>
        <v/>
      </c>
      <c r="CY214">
        <f>'T_TTAFStock'!CW9</f>
        <v/>
      </c>
      <c r="CZ214">
        <f>'T_TTAFStock'!CX9</f>
        <v/>
      </c>
      <c r="DA214">
        <f>'T_TTAFStock'!CY9</f>
        <v/>
      </c>
      <c r="DB214">
        <f>'T_TTAFStock'!CZ9</f>
        <v/>
      </c>
      <c r="DC214">
        <f>'T_TTAFStock'!DA9</f>
        <v/>
      </c>
    </row>
    <row r="215">
      <c r="B215" t="inlineStr">
        <is>
          <t>自社在庫(実績,kg)</t>
        </is>
      </c>
      <c r="D215">
        <f>'T_SelfStock'!B9</f>
        <v/>
      </c>
      <c r="E215">
        <f>'T_SelfStock'!C9</f>
        <v/>
      </c>
      <c r="F215">
        <f>'T_SelfStock'!D9</f>
        <v/>
      </c>
      <c r="G215">
        <f>'T_SelfStock'!E9</f>
        <v/>
      </c>
      <c r="H215">
        <f>'T_SelfStock'!F9</f>
        <v/>
      </c>
      <c r="I215">
        <f>'T_SelfStock'!G9</f>
        <v/>
      </c>
      <c r="J215">
        <f>'T_SelfStock'!H9</f>
        <v/>
      </c>
      <c r="K215">
        <f>'T_SelfStock'!I9</f>
        <v/>
      </c>
      <c r="L215">
        <f>'T_SelfStock'!J9</f>
        <v/>
      </c>
      <c r="M215">
        <f>'T_SelfStock'!K9</f>
        <v/>
      </c>
      <c r="N215">
        <f>'T_SelfStock'!L9</f>
        <v/>
      </c>
      <c r="O215">
        <f>'T_SelfStock'!M9</f>
        <v/>
      </c>
      <c r="P215">
        <f>'T_SelfStock'!N9</f>
        <v/>
      </c>
      <c r="Q215">
        <f>'T_SelfStock'!O9</f>
        <v/>
      </c>
      <c r="R215">
        <f>'T_SelfStock'!P9</f>
        <v/>
      </c>
      <c r="S215">
        <f>'T_SelfStock'!Q9</f>
        <v/>
      </c>
      <c r="T215">
        <f>'T_SelfStock'!R9</f>
        <v/>
      </c>
      <c r="U215">
        <f>'T_SelfStock'!S9</f>
        <v/>
      </c>
      <c r="V215">
        <f>'T_SelfStock'!T9</f>
        <v/>
      </c>
      <c r="W215">
        <f>'T_SelfStock'!U9</f>
        <v/>
      </c>
      <c r="X215">
        <f>'T_SelfStock'!V9</f>
        <v/>
      </c>
      <c r="Y215">
        <f>'T_SelfStock'!W9</f>
        <v/>
      </c>
      <c r="Z215">
        <f>'T_SelfStock'!X9</f>
        <v/>
      </c>
      <c r="AA215">
        <f>'T_SelfStock'!Y9</f>
        <v/>
      </c>
      <c r="AB215">
        <f>'T_SelfStock'!Z9</f>
        <v/>
      </c>
      <c r="AC215">
        <f>'T_SelfStock'!AA9</f>
        <v/>
      </c>
      <c r="AD215">
        <f>'T_SelfStock'!AB9</f>
        <v/>
      </c>
      <c r="AE215">
        <f>'T_SelfStock'!AC9</f>
        <v/>
      </c>
      <c r="AF215">
        <f>'T_SelfStock'!AD9</f>
        <v/>
      </c>
      <c r="AG215">
        <f>'T_SelfStock'!AE9</f>
        <v/>
      </c>
      <c r="AH215">
        <f>'T_SelfStock'!AF9</f>
        <v/>
      </c>
      <c r="AI215">
        <f>'T_SelfStock'!AG9</f>
        <v/>
      </c>
      <c r="AJ215">
        <f>'T_SelfStock'!AH9</f>
        <v/>
      </c>
      <c r="AK215">
        <f>'T_SelfStock'!AI9</f>
        <v/>
      </c>
      <c r="AL215">
        <f>'T_SelfStock'!AJ9</f>
        <v/>
      </c>
      <c r="AM215">
        <f>'T_SelfStock'!AK9</f>
        <v/>
      </c>
      <c r="AN215">
        <f>'T_SelfStock'!AL9</f>
        <v/>
      </c>
      <c r="AO215">
        <f>'T_SelfStock'!AM9</f>
        <v/>
      </c>
      <c r="AP215">
        <f>'T_SelfStock'!AN9</f>
        <v/>
      </c>
      <c r="AQ215">
        <f>'T_SelfStock'!AO9</f>
        <v/>
      </c>
      <c r="AR215">
        <f>'T_SelfStock'!AP9</f>
        <v/>
      </c>
      <c r="AS215">
        <f>'T_SelfStock'!AQ9</f>
        <v/>
      </c>
      <c r="AT215">
        <f>'T_SelfStock'!AR9</f>
        <v/>
      </c>
      <c r="AU215">
        <f>'T_SelfStock'!AS9</f>
        <v/>
      </c>
      <c r="AV215">
        <f>'T_SelfStock'!AT9</f>
        <v/>
      </c>
      <c r="AW215">
        <f>'T_SelfStock'!AU9</f>
        <v/>
      </c>
      <c r="AX215">
        <f>'T_SelfStock'!AV9</f>
        <v/>
      </c>
      <c r="AY215">
        <f>'T_SelfStock'!AW9</f>
        <v/>
      </c>
      <c r="AZ215">
        <f>'T_SelfStock'!AX9</f>
        <v/>
      </c>
      <c r="BA215">
        <f>'T_SelfStock'!AY9</f>
        <v/>
      </c>
      <c r="BB215">
        <f>'T_SelfStock'!AZ9</f>
        <v/>
      </c>
      <c r="BC215">
        <f>'T_SelfStock'!BA9</f>
        <v/>
      </c>
      <c r="BD215">
        <f>'T_SelfStock'!BB9</f>
        <v/>
      </c>
      <c r="BE215">
        <f>'T_SelfStock'!BC9</f>
        <v/>
      </c>
      <c r="BF215">
        <f>'T_SelfStock'!BD9</f>
        <v/>
      </c>
      <c r="BG215">
        <f>'T_SelfStock'!BE9</f>
        <v/>
      </c>
      <c r="BH215">
        <f>'T_SelfStock'!BF9</f>
        <v/>
      </c>
      <c r="BI215">
        <f>'T_SelfStock'!BG9</f>
        <v/>
      </c>
      <c r="BJ215">
        <f>'T_SelfStock'!BH9</f>
        <v/>
      </c>
      <c r="BK215">
        <f>'T_SelfStock'!BI9</f>
        <v/>
      </c>
      <c r="BL215">
        <f>'T_SelfStock'!BJ9</f>
        <v/>
      </c>
      <c r="BM215">
        <f>'T_SelfStock'!BK9</f>
        <v/>
      </c>
      <c r="BN215">
        <f>'T_SelfStock'!BL9</f>
        <v/>
      </c>
      <c r="BO215">
        <f>'T_SelfStock'!BM9</f>
        <v/>
      </c>
      <c r="BP215">
        <f>'T_SelfStock'!BN9</f>
        <v/>
      </c>
      <c r="BQ215">
        <f>'T_SelfStock'!BO9</f>
        <v/>
      </c>
      <c r="BR215">
        <f>'T_SelfStock'!BP9</f>
        <v/>
      </c>
      <c r="BS215">
        <f>'T_SelfStock'!BQ9</f>
        <v/>
      </c>
      <c r="BT215">
        <f>'T_SelfStock'!BR9</f>
        <v/>
      </c>
      <c r="BU215">
        <f>'T_SelfStock'!BS9</f>
        <v/>
      </c>
      <c r="BV215">
        <f>'T_SelfStock'!BT9</f>
        <v/>
      </c>
      <c r="BW215">
        <f>'T_SelfStock'!BU9</f>
        <v/>
      </c>
      <c r="BX215">
        <f>'T_SelfStock'!BV9</f>
        <v/>
      </c>
      <c r="BY215">
        <f>'T_SelfStock'!BW9</f>
        <v/>
      </c>
      <c r="BZ215">
        <f>'T_SelfStock'!BX9</f>
        <v/>
      </c>
      <c r="CA215">
        <f>'T_SelfStock'!BY9</f>
        <v/>
      </c>
      <c r="CB215">
        <f>'T_SelfStock'!BZ9</f>
        <v/>
      </c>
      <c r="CC215">
        <f>'T_SelfStock'!CA9</f>
        <v/>
      </c>
      <c r="CD215">
        <f>'T_SelfStock'!CB9</f>
        <v/>
      </c>
      <c r="CE215">
        <f>'T_SelfStock'!CC9</f>
        <v/>
      </c>
      <c r="CF215">
        <f>'T_SelfStock'!CD9</f>
        <v/>
      </c>
      <c r="CG215">
        <f>'T_SelfStock'!CE9</f>
        <v/>
      </c>
      <c r="CH215">
        <f>'T_SelfStock'!CF9</f>
        <v/>
      </c>
      <c r="CI215">
        <f>'T_SelfStock'!CG9</f>
        <v/>
      </c>
      <c r="CJ215">
        <f>'T_SelfStock'!CH9</f>
        <v/>
      </c>
      <c r="CK215">
        <f>'T_SelfStock'!CI9</f>
        <v/>
      </c>
      <c r="CL215">
        <f>'T_SelfStock'!CJ9</f>
        <v/>
      </c>
      <c r="CM215">
        <f>'T_SelfStock'!CK9</f>
        <v/>
      </c>
      <c r="CN215">
        <f>'T_SelfStock'!CL9</f>
        <v/>
      </c>
      <c r="CO215">
        <f>'T_SelfStock'!CM9</f>
        <v/>
      </c>
      <c r="CP215">
        <f>'T_SelfStock'!CN9</f>
        <v/>
      </c>
      <c r="CQ215">
        <f>'T_SelfStock'!CO9</f>
        <v/>
      </c>
      <c r="CR215">
        <f>'T_SelfStock'!CP9</f>
        <v/>
      </c>
      <c r="CS215">
        <f>'T_SelfStock'!CQ9</f>
        <v/>
      </c>
      <c r="CT215">
        <f>'T_SelfStock'!CR9</f>
        <v/>
      </c>
      <c r="CU215">
        <f>'T_SelfStock'!CS9</f>
        <v/>
      </c>
      <c r="CV215">
        <f>'T_SelfStock'!CT9</f>
        <v/>
      </c>
      <c r="CW215">
        <f>'T_SelfStock'!CU9</f>
        <v/>
      </c>
      <c r="CX215">
        <f>'T_SelfStock'!CV9</f>
        <v/>
      </c>
      <c r="CY215">
        <f>'T_SelfStock'!CW9</f>
        <v/>
      </c>
      <c r="CZ215">
        <f>'T_SelfStock'!CX9</f>
        <v/>
      </c>
      <c r="DA215">
        <f>'T_SelfStock'!CY9</f>
        <v/>
      </c>
      <c r="DB215">
        <f>'T_SelfStock'!CZ9</f>
        <v/>
      </c>
      <c r="DC215">
        <f>'T_SelfStock'!DA9</f>
        <v/>
      </c>
    </row>
    <row r="216">
      <c r="B216" s="4" t="inlineStr">
        <is>
          <t>合計在庫(週末時点,kg)</t>
        </is>
      </c>
      <c r="D216">
        <f>'Grid_Stock'!B5</f>
        <v/>
      </c>
      <c r="E216">
        <f>'Grid_Stock'!C5</f>
        <v/>
      </c>
      <c r="F216">
        <f>'Grid_Stock'!D5</f>
        <v/>
      </c>
      <c r="G216">
        <f>'Grid_Stock'!E5</f>
        <v/>
      </c>
      <c r="H216">
        <f>'Grid_Stock'!F5</f>
        <v/>
      </c>
      <c r="I216">
        <f>'Grid_Stock'!G5</f>
        <v/>
      </c>
      <c r="J216">
        <f>'Grid_Stock'!H5</f>
        <v/>
      </c>
      <c r="K216">
        <f>'Grid_Stock'!I5</f>
        <v/>
      </c>
      <c r="L216">
        <f>'Grid_Stock'!J5</f>
        <v/>
      </c>
      <c r="M216">
        <f>'Grid_Stock'!K5</f>
        <v/>
      </c>
      <c r="N216">
        <f>'Grid_Stock'!L5</f>
        <v/>
      </c>
      <c r="O216">
        <f>'Grid_Stock'!M5</f>
        <v/>
      </c>
      <c r="P216">
        <f>'Grid_Stock'!N5</f>
        <v/>
      </c>
      <c r="Q216">
        <f>'Grid_Stock'!O5</f>
        <v/>
      </c>
      <c r="R216">
        <f>'Grid_Stock'!P5</f>
        <v/>
      </c>
      <c r="S216">
        <f>'Grid_Stock'!Q5</f>
        <v/>
      </c>
      <c r="T216">
        <f>'Grid_Stock'!R5</f>
        <v/>
      </c>
      <c r="U216">
        <f>'Grid_Stock'!S5</f>
        <v/>
      </c>
      <c r="V216">
        <f>'Grid_Stock'!T5</f>
        <v/>
      </c>
      <c r="W216">
        <f>'Grid_Stock'!U5</f>
        <v/>
      </c>
      <c r="X216">
        <f>'Grid_Stock'!V5</f>
        <v/>
      </c>
      <c r="Y216">
        <f>'Grid_Stock'!W5</f>
        <v/>
      </c>
      <c r="Z216">
        <f>'Grid_Stock'!X5</f>
        <v/>
      </c>
      <c r="AA216">
        <f>'Grid_Stock'!Y5</f>
        <v/>
      </c>
      <c r="AB216">
        <f>'Grid_Stock'!Z5</f>
        <v/>
      </c>
      <c r="AC216">
        <f>'Grid_Stock'!AA5</f>
        <v/>
      </c>
      <c r="AD216">
        <f>'Grid_Stock'!AB5</f>
        <v/>
      </c>
      <c r="AE216">
        <f>'Grid_Stock'!AC5</f>
        <v/>
      </c>
      <c r="AF216">
        <f>'Grid_Stock'!AD5</f>
        <v/>
      </c>
      <c r="AG216">
        <f>'Grid_Stock'!AE5</f>
        <v/>
      </c>
      <c r="AH216">
        <f>'Grid_Stock'!AF5</f>
        <v/>
      </c>
      <c r="AI216">
        <f>'Grid_Stock'!AG5</f>
        <v/>
      </c>
      <c r="AJ216">
        <f>'Grid_Stock'!AH5</f>
        <v/>
      </c>
      <c r="AK216">
        <f>'Grid_Stock'!AI5</f>
        <v/>
      </c>
      <c r="AL216">
        <f>'Grid_Stock'!AJ5</f>
        <v/>
      </c>
      <c r="AM216">
        <f>'Grid_Stock'!AK5</f>
        <v/>
      </c>
      <c r="AN216">
        <f>'Grid_Stock'!AL5</f>
        <v/>
      </c>
      <c r="AO216">
        <f>'Grid_Stock'!AM5</f>
        <v/>
      </c>
      <c r="AP216">
        <f>'Grid_Stock'!AN5</f>
        <v/>
      </c>
      <c r="AQ216">
        <f>'Grid_Stock'!AO5</f>
        <v/>
      </c>
      <c r="AR216">
        <f>'Grid_Stock'!AP5</f>
        <v/>
      </c>
      <c r="AS216">
        <f>'Grid_Stock'!AQ5</f>
        <v/>
      </c>
      <c r="AT216">
        <f>'Grid_Stock'!AR5</f>
        <v/>
      </c>
      <c r="AU216">
        <f>'Grid_Stock'!AS5</f>
        <v/>
      </c>
      <c r="AV216">
        <f>'Grid_Stock'!AT5</f>
        <v/>
      </c>
      <c r="AW216">
        <f>'Grid_Stock'!AU5</f>
        <v/>
      </c>
      <c r="AX216">
        <f>'Grid_Stock'!AV5</f>
        <v/>
      </c>
      <c r="AY216">
        <f>'Grid_Stock'!AW5</f>
        <v/>
      </c>
      <c r="AZ216">
        <f>'Grid_Stock'!AX5</f>
        <v/>
      </c>
      <c r="BA216">
        <f>'Grid_Stock'!AY5</f>
        <v/>
      </c>
      <c r="BB216">
        <f>'Grid_Stock'!AZ5</f>
        <v/>
      </c>
      <c r="BC216">
        <f>'Grid_Stock'!BA5</f>
        <v/>
      </c>
      <c r="BD216">
        <f>'Grid_Stock'!BB5</f>
        <v/>
      </c>
      <c r="BE216">
        <f>'Grid_Stock'!BC5</f>
        <v/>
      </c>
      <c r="BF216">
        <f>'Grid_Stock'!BD5</f>
        <v/>
      </c>
      <c r="BG216">
        <f>'Grid_Stock'!BE5</f>
        <v/>
      </c>
      <c r="BH216">
        <f>'Grid_Stock'!BF5</f>
        <v/>
      </c>
      <c r="BI216">
        <f>'Grid_Stock'!BG5</f>
        <v/>
      </c>
      <c r="BJ216">
        <f>'Grid_Stock'!BH5</f>
        <v/>
      </c>
      <c r="BK216">
        <f>'Grid_Stock'!BI5</f>
        <v/>
      </c>
      <c r="BL216">
        <f>'Grid_Stock'!BJ5</f>
        <v/>
      </c>
      <c r="BM216">
        <f>'Grid_Stock'!BK5</f>
        <v/>
      </c>
      <c r="BN216">
        <f>'Grid_Stock'!BL5</f>
        <v/>
      </c>
      <c r="BO216">
        <f>'Grid_Stock'!BM5</f>
        <v/>
      </c>
      <c r="BP216">
        <f>'Grid_Stock'!BN5</f>
        <v/>
      </c>
      <c r="BQ216">
        <f>'Grid_Stock'!BO5</f>
        <v/>
      </c>
      <c r="BR216">
        <f>'Grid_Stock'!BP5</f>
        <v/>
      </c>
      <c r="BS216">
        <f>'Grid_Stock'!BQ5</f>
        <v/>
      </c>
      <c r="BT216">
        <f>'Grid_Stock'!BR5</f>
        <v/>
      </c>
      <c r="BU216">
        <f>'Grid_Stock'!BS5</f>
        <v/>
      </c>
      <c r="BV216">
        <f>'Grid_Stock'!BT5</f>
        <v/>
      </c>
      <c r="BW216">
        <f>'Grid_Stock'!BU5</f>
        <v/>
      </c>
      <c r="BX216">
        <f>'Grid_Stock'!BV5</f>
        <v/>
      </c>
      <c r="BY216">
        <f>'Grid_Stock'!BW5</f>
        <v/>
      </c>
      <c r="BZ216">
        <f>'Grid_Stock'!BX5</f>
        <v/>
      </c>
      <c r="CA216">
        <f>'Grid_Stock'!BY5</f>
        <v/>
      </c>
      <c r="CB216">
        <f>'Grid_Stock'!BZ5</f>
        <v/>
      </c>
      <c r="CC216">
        <f>'Grid_Stock'!CA5</f>
        <v/>
      </c>
      <c r="CD216">
        <f>'Grid_Stock'!CB5</f>
        <v/>
      </c>
      <c r="CE216">
        <f>'Grid_Stock'!CC5</f>
        <v/>
      </c>
      <c r="CF216">
        <f>'Grid_Stock'!CD5</f>
        <v/>
      </c>
      <c r="CG216">
        <f>'Grid_Stock'!CE5</f>
        <v/>
      </c>
      <c r="CH216">
        <f>'Grid_Stock'!CF5</f>
        <v/>
      </c>
      <c r="CI216">
        <f>'Grid_Stock'!CG5</f>
        <v/>
      </c>
      <c r="CJ216">
        <f>'Grid_Stock'!CH5</f>
        <v/>
      </c>
      <c r="CK216">
        <f>'Grid_Stock'!CI5</f>
        <v/>
      </c>
      <c r="CL216">
        <f>'Grid_Stock'!CJ5</f>
        <v/>
      </c>
      <c r="CM216">
        <f>'Grid_Stock'!CK5</f>
        <v/>
      </c>
      <c r="CN216">
        <f>'Grid_Stock'!CL5</f>
        <v/>
      </c>
      <c r="CO216">
        <f>'Grid_Stock'!CM5</f>
        <v/>
      </c>
      <c r="CP216">
        <f>'Grid_Stock'!CN5</f>
        <v/>
      </c>
      <c r="CQ216">
        <f>'Grid_Stock'!CO5</f>
        <v/>
      </c>
      <c r="CR216">
        <f>'Grid_Stock'!CP5</f>
        <v/>
      </c>
      <c r="CS216">
        <f>'Grid_Stock'!CQ5</f>
        <v/>
      </c>
      <c r="CT216">
        <f>'Grid_Stock'!CR5</f>
        <v/>
      </c>
      <c r="CU216">
        <f>'Grid_Stock'!CS5</f>
        <v/>
      </c>
      <c r="CV216">
        <f>'Grid_Stock'!CT5</f>
        <v/>
      </c>
      <c r="CW216">
        <f>'Grid_Stock'!CU5</f>
        <v/>
      </c>
      <c r="CX216">
        <f>'Grid_Stock'!CV5</f>
        <v/>
      </c>
      <c r="CY216">
        <f>'Grid_Stock'!CW5</f>
        <v/>
      </c>
      <c r="CZ216">
        <f>'Grid_Stock'!CX5</f>
        <v/>
      </c>
      <c r="DA216">
        <f>'Grid_Stock'!CY5</f>
        <v/>
      </c>
      <c r="DB216">
        <f>'Grid_Stock'!CZ5</f>
        <v/>
      </c>
      <c r="DC216">
        <f>'Grid_Stock'!DA5</f>
        <v/>
      </c>
    </row>
    <row r="217">
      <c r="B217" s="16" t="inlineStr">
        <is>
          <t>（発注の目安はDashboardの基準在庫[下限/上限]と色分けを参照）</t>
        </is>
      </c>
    </row>
    <row r="219">
      <c r="A219" s="14" t="inlineStr">
        <is>
          <t>CHEM-1440</t>
        </is>
      </c>
      <c r="B219" s="14" t="inlineStr">
        <is>
          <t>CITRIC ACID</t>
        </is>
      </c>
      <c r="C219" s="15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  <c r="AO219" s="14" t="n"/>
      <c r="AP219" s="14" t="n"/>
      <c r="AQ219" s="14" t="n"/>
      <c r="AR219" s="14" t="n"/>
      <c r="AS219" s="14" t="n"/>
      <c r="AT219" s="14" t="n"/>
      <c r="AU219" s="14" t="n"/>
      <c r="AV219" s="14" t="n"/>
      <c r="AW219" s="14" t="n"/>
      <c r="AX219" s="14" t="n"/>
      <c r="AY219" s="14" t="n"/>
      <c r="AZ219" s="14" t="n"/>
      <c r="BA219" s="14" t="n"/>
      <c r="BB219" s="14" t="n"/>
      <c r="BC219" s="14" t="n"/>
      <c r="BD219" s="14" t="n"/>
      <c r="BE219" s="14" t="n"/>
      <c r="BF219" s="14" t="n"/>
      <c r="BG219" s="14" t="n"/>
      <c r="BH219" s="14" t="n"/>
      <c r="BI219" s="14" t="n"/>
      <c r="BJ219" s="14" t="n"/>
      <c r="BK219" s="14" t="n"/>
      <c r="BL219" s="14" t="n"/>
      <c r="BM219" s="14" t="n"/>
      <c r="BN219" s="14" t="n"/>
      <c r="BO219" s="14" t="n"/>
      <c r="BP219" s="14" t="n"/>
      <c r="BQ219" s="14" t="n"/>
      <c r="BR219" s="14" t="n"/>
      <c r="BS219" s="14" t="n"/>
      <c r="BT219" s="14" t="n"/>
      <c r="BU219" s="14" t="n"/>
      <c r="BV219" s="14" t="n"/>
      <c r="BW219" s="14" t="n"/>
      <c r="BX219" s="14" t="n"/>
      <c r="BY219" s="14" t="n"/>
      <c r="BZ219" s="14" t="n"/>
      <c r="CA219" s="14" t="n"/>
      <c r="CB219" s="14" t="n"/>
      <c r="CC219" s="14" t="n"/>
      <c r="CD219" s="14" t="n"/>
      <c r="CE219" s="14" t="n"/>
      <c r="CF219" s="14" t="n"/>
      <c r="CG219" s="14" t="n"/>
      <c r="CH219" s="14" t="n"/>
      <c r="CI219" s="14" t="n"/>
      <c r="CJ219" s="14" t="n"/>
      <c r="CK219" s="14" t="n"/>
      <c r="CL219" s="14" t="n"/>
      <c r="CM219" s="14" t="n"/>
      <c r="CN219" s="14" t="n"/>
      <c r="CO219" s="14" t="n"/>
      <c r="CP219" s="14" t="n"/>
      <c r="CQ219" s="14" t="n"/>
      <c r="CR219" s="14" t="n"/>
      <c r="CS219" s="14" t="n"/>
      <c r="CT219" s="14" t="n"/>
      <c r="CU219" s="14" t="n"/>
      <c r="CV219" s="14" t="n"/>
      <c r="CW219" s="14" t="n"/>
      <c r="CX219" s="14" t="n"/>
      <c r="CY219" s="14" t="n"/>
      <c r="CZ219" s="14" t="n"/>
      <c r="DA219" s="14" t="n"/>
      <c r="DB219" s="14" t="n"/>
      <c r="DC219" s="14" t="n"/>
    </row>
    <row r="220">
      <c r="B220" t="inlineStr">
        <is>
          <t>TSP-049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SUMIFS(M_BOM[RM_Qty_Per_Batch],M_BOM[Intermediate],$B220,M_BOM[Part Name],$A219)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TSP-067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Name],$A219)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TSP-069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Name],$A219)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TSP-077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Name],$A219)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TSP-104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Name],$A219)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TSP-199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Name],$A219)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TSP-205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Name],$A219)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TSP-206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Name],$A219)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TSP-224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Name],$A219)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TSP-367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Name],$A219)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TSP-369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Name],$A219)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TSP-390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Name],$A219)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TSP-399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Name],$A219)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TSP-544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Name],$A219)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TSP-618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Name],$A219)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TSP-620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Name],$A219)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TSP-623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Name],$A219)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TSP-668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Name],$A219)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Name],$A219)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TSP-670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Name],$A219)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TSP-699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Name],$A219)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TSP-710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Name],$A219)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TSP-828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Name],$A219)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TSP-903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Name],$A219)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TSP-924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Name],$A219)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TSP-925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Name],$A219)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TSP-927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Name],$A219)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TSP-928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Name],$A219)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TSP-929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Name],$A219)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Name],$A219)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TSP-934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Name],$A219)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TSP-935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Name],$A219)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TSP-936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Name],$A219)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TSP-937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Name],$A219)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TSP-1388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Name],$A219)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TSP-1444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Name],$A219)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TSP-1448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Name],$A219)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TSP-1445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Name],$A219)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TSP-1446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Name],$A219)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Name],$A219)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VSP-567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Name],$A219)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Name],$A219)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Name],$A219)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Name],$A219)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VSP-605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Name],$A219)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VSP-606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Name],$A219)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VSP-607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Name],$A219)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VSP-739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Name],$A219)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VSP-740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Name],$A219)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VSP-746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Name],$A219)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VSP-822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Name],$A219)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VSP-870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Name],$A219)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VSP-910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Name],$A219)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VSP-989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Name],$A219)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VSP-990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Name],$A219)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VSZ-745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Name],$A219)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TSP-1558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Name],$A219)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'Grid_Requirement'!B10</f>
        <v/>
      </c>
      <c r="E334">
        <f>'Grid_Requirement'!C10</f>
        <v/>
      </c>
      <c r="F334">
        <f>'Grid_Requirement'!D10</f>
        <v/>
      </c>
      <c r="G334">
        <f>'Grid_Requirement'!E10</f>
        <v/>
      </c>
      <c r="H334">
        <f>'Grid_Requirement'!F10</f>
        <v/>
      </c>
      <c r="I334">
        <f>'Grid_Requirement'!G10</f>
        <v/>
      </c>
      <c r="J334">
        <f>'Grid_Requirement'!H10</f>
        <v/>
      </c>
      <c r="K334">
        <f>'Grid_Requirement'!I10</f>
        <v/>
      </c>
      <c r="L334">
        <f>'Grid_Requirement'!J10</f>
        <v/>
      </c>
      <c r="M334">
        <f>'Grid_Requirement'!K10</f>
        <v/>
      </c>
      <c r="N334">
        <f>'Grid_Requirement'!L10</f>
        <v/>
      </c>
      <c r="O334">
        <f>'Grid_Requirement'!M10</f>
        <v/>
      </c>
      <c r="P334">
        <f>'Grid_Requirement'!N10</f>
        <v/>
      </c>
      <c r="Q334">
        <f>'Grid_Requirement'!O10</f>
        <v/>
      </c>
      <c r="R334">
        <f>'Grid_Requirement'!P10</f>
        <v/>
      </c>
      <c r="S334">
        <f>'Grid_Requirement'!Q10</f>
        <v/>
      </c>
      <c r="T334">
        <f>'Grid_Requirement'!R10</f>
        <v/>
      </c>
      <c r="U334">
        <f>'Grid_Requirement'!S10</f>
        <v/>
      </c>
      <c r="V334">
        <f>'Grid_Requirement'!T10</f>
        <v/>
      </c>
      <c r="W334">
        <f>'Grid_Requirement'!U10</f>
        <v/>
      </c>
      <c r="X334">
        <f>'Grid_Requirement'!V10</f>
        <v/>
      </c>
      <c r="Y334">
        <f>'Grid_Requirement'!W10</f>
        <v/>
      </c>
      <c r="Z334">
        <f>'Grid_Requirement'!X10</f>
        <v/>
      </c>
      <c r="AA334">
        <f>'Grid_Requirement'!Y10</f>
        <v/>
      </c>
      <c r="AB334">
        <f>'Grid_Requirement'!Z10</f>
        <v/>
      </c>
      <c r="AC334">
        <f>'Grid_Requirement'!AA10</f>
        <v/>
      </c>
      <c r="AD334">
        <f>'Grid_Requirement'!AB10</f>
        <v/>
      </c>
      <c r="AE334">
        <f>'Grid_Requirement'!AC10</f>
        <v/>
      </c>
      <c r="AF334">
        <f>'Grid_Requirement'!AD10</f>
        <v/>
      </c>
      <c r="AG334">
        <f>'Grid_Requirement'!AE10</f>
        <v/>
      </c>
      <c r="AH334">
        <f>'Grid_Requirement'!AF10</f>
        <v/>
      </c>
      <c r="AI334">
        <f>'Grid_Requirement'!AG10</f>
        <v/>
      </c>
      <c r="AJ334">
        <f>'Grid_Requirement'!AH10</f>
        <v/>
      </c>
      <c r="AK334">
        <f>'Grid_Requirement'!AI10</f>
        <v/>
      </c>
      <c r="AL334">
        <f>'Grid_Requirement'!AJ10</f>
        <v/>
      </c>
      <c r="AM334">
        <f>'Grid_Requirement'!AK10</f>
        <v/>
      </c>
      <c r="AN334">
        <f>'Grid_Requirement'!AL10</f>
        <v/>
      </c>
      <c r="AO334">
        <f>'Grid_Requirement'!AM10</f>
        <v/>
      </c>
      <c r="AP334">
        <f>'Grid_Requirement'!AN10</f>
        <v/>
      </c>
      <c r="AQ334">
        <f>'Grid_Requirement'!AO10</f>
        <v/>
      </c>
      <c r="AR334">
        <f>'Grid_Requirement'!AP10</f>
        <v/>
      </c>
      <c r="AS334">
        <f>'Grid_Requirement'!AQ10</f>
        <v/>
      </c>
      <c r="AT334">
        <f>'Grid_Requirement'!AR10</f>
        <v/>
      </c>
      <c r="AU334">
        <f>'Grid_Requirement'!AS10</f>
        <v/>
      </c>
      <c r="AV334">
        <f>'Grid_Requirement'!AT10</f>
        <v/>
      </c>
      <c r="AW334">
        <f>'Grid_Requirement'!AU10</f>
        <v/>
      </c>
      <c r="AX334">
        <f>'Grid_Requirement'!AV10</f>
        <v/>
      </c>
      <c r="AY334">
        <f>'Grid_Requirement'!AW10</f>
        <v/>
      </c>
      <c r="AZ334">
        <f>'Grid_Requirement'!AX10</f>
        <v/>
      </c>
      <c r="BA334">
        <f>'Grid_Requirement'!AY10</f>
        <v/>
      </c>
      <c r="BB334">
        <f>'Grid_Requirement'!AZ10</f>
        <v/>
      </c>
      <c r="BC334">
        <f>'Grid_Requirement'!BA10</f>
        <v/>
      </c>
      <c r="BD334">
        <f>'Grid_Requirement'!BB10</f>
        <v/>
      </c>
      <c r="BE334">
        <f>'Grid_Requirement'!BC10</f>
        <v/>
      </c>
      <c r="BF334">
        <f>'Grid_Requirement'!BD10</f>
        <v/>
      </c>
      <c r="BG334">
        <f>'Grid_Requirement'!BE10</f>
        <v/>
      </c>
      <c r="BH334">
        <f>'Grid_Requirement'!BF10</f>
        <v/>
      </c>
      <c r="BI334">
        <f>'Grid_Requirement'!BG10</f>
        <v/>
      </c>
      <c r="BJ334">
        <f>'Grid_Requirement'!BH10</f>
        <v/>
      </c>
      <c r="BK334">
        <f>'Grid_Requirement'!BI10</f>
        <v/>
      </c>
      <c r="BL334">
        <f>'Grid_Requirement'!BJ10</f>
        <v/>
      </c>
      <c r="BM334">
        <f>'Grid_Requirement'!BK10</f>
        <v/>
      </c>
      <c r="BN334">
        <f>'Grid_Requirement'!BL10</f>
        <v/>
      </c>
      <c r="BO334">
        <f>'Grid_Requirement'!BM10</f>
        <v/>
      </c>
      <c r="BP334">
        <f>'Grid_Requirement'!BN10</f>
        <v/>
      </c>
      <c r="BQ334">
        <f>'Grid_Requirement'!BO10</f>
        <v/>
      </c>
      <c r="BR334">
        <f>'Grid_Requirement'!BP10</f>
        <v/>
      </c>
      <c r="BS334">
        <f>'Grid_Requirement'!BQ10</f>
        <v/>
      </c>
      <c r="BT334">
        <f>'Grid_Requirement'!BR10</f>
        <v/>
      </c>
      <c r="BU334">
        <f>'Grid_Requirement'!BS10</f>
        <v/>
      </c>
      <c r="BV334">
        <f>'Grid_Requirement'!BT10</f>
        <v/>
      </c>
      <c r="BW334">
        <f>'Grid_Requirement'!BU10</f>
        <v/>
      </c>
      <c r="BX334">
        <f>'Grid_Requirement'!BV10</f>
        <v/>
      </c>
      <c r="BY334">
        <f>'Grid_Requirement'!BW10</f>
        <v/>
      </c>
      <c r="BZ334">
        <f>'Grid_Requirement'!BX10</f>
        <v/>
      </c>
      <c r="CA334">
        <f>'Grid_Requirement'!BY10</f>
        <v/>
      </c>
      <c r="CB334">
        <f>'Grid_Requirement'!BZ10</f>
        <v/>
      </c>
      <c r="CC334">
        <f>'Grid_Requirement'!CA10</f>
        <v/>
      </c>
      <c r="CD334">
        <f>'Grid_Requirement'!CB10</f>
        <v/>
      </c>
      <c r="CE334">
        <f>'Grid_Requirement'!CC10</f>
        <v/>
      </c>
      <c r="CF334">
        <f>'Grid_Requirement'!CD10</f>
        <v/>
      </c>
      <c r="CG334">
        <f>'Grid_Requirement'!CE10</f>
        <v/>
      </c>
      <c r="CH334">
        <f>'Grid_Requirement'!CF10</f>
        <v/>
      </c>
      <c r="CI334">
        <f>'Grid_Requirement'!CG10</f>
        <v/>
      </c>
      <c r="CJ334">
        <f>'Grid_Requirement'!CH10</f>
        <v/>
      </c>
      <c r="CK334">
        <f>'Grid_Requirement'!CI10</f>
        <v/>
      </c>
      <c r="CL334">
        <f>'Grid_Requirement'!CJ10</f>
        <v/>
      </c>
      <c r="CM334">
        <f>'Grid_Requirement'!CK10</f>
        <v/>
      </c>
      <c r="CN334">
        <f>'Grid_Requirement'!CL10</f>
        <v/>
      </c>
      <c r="CO334">
        <f>'Grid_Requirement'!CM10</f>
        <v/>
      </c>
      <c r="CP334">
        <f>'Grid_Requirement'!CN10</f>
        <v/>
      </c>
      <c r="CQ334">
        <f>'Grid_Requirement'!CO10</f>
        <v/>
      </c>
      <c r="CR334">
        <f>'Grid_Requirement'!CP10</f>
        <v/>
      </c>
      <c r="CS334">
        <f>'Grid_Requirement'!CQ10</f>
        <v/>
      </c>
      <c r="CT334">
        <f>'Grid_Requirement'!CR10</f>
        <v/>
      </c>
      <c r="CU334">
        <f>'Grid_Requirement'!CS10</f>
        <v/>
      </c>
      <c r="CV334">
        <f>'Grid_Requirement'!CT10</f>
        <v/>
      </c>
      <c r="CW334">
        <f>'Grid_Requirement'!CU10</f>
        <v/>
      </c>
      <c r="CX334">
        <f>'Grid_Requirement'!CV10</f>
        <v/>
      </c>
      <c r="CY334">
        <f>'Grid_Requirement'!CW10</f>
        <v/>
      </c>
      <c r="CZ334">
        <f>'Grid_Requirement'!CX10</f>
        <v/>
      </c>
      <c r="DA334">
        <f>'Grid_Requirement'!CY10</f>
        <v/>
      </c>
      <c r="DB334">
        <f>'Grid_Requirement'!CZ10</f>
        <v/>
      </c>
      <c r="DC334">
        <f>'Grid_Requirement'!DA10</f>
        <v/>
      </c>
    </row>
    <row r="335">
      <c r="B335" t="inlineStr">
        <is>
          <t>TTAF在庫(実績,kg)</t>
        </is>
      </c>
      <c r="D335">
        <f>'T_TTAFStock'!B14</f>
        <v/>
      </c>
      <c r="E335">
        <f>'T_TTAFStock'!C14</f>
        <v/>
      </c>
      <c r="F335">
        <f>'T_TTAFStock'!D14</f>
        <v/>
      </c>
      <c r="G335">
        <f>'T_TTAFStock'!E14</f>
        <v/>
      </c>
      <c r="H335">
        <f>'T_TTAFStock'!F14</f>
        <v/>
      </c>
      <c r="I335">
        <f>'T_TTAFStock'!G14</f>
        <v/>
      </c>
      <c r="J335">
        <f>'T_TTAFStock'!H14</f>
        <v/>
      </c>
      <c r="K335">
        <f>'T_TTAFStock'!I14</f>
        <v/>
      </c>
      <c r="L335">
        <f>'T_TTAFStock'!J14</f>
        <v/>
      </c>
      <c r="M335">
        <f>'T_TTAFStock'!K14</f>
        <v/>
      </c>
      <c r="N335">
        <f>'T_TTAFStock'!L14</f>
        <v/>
      </c>
      <c r="O335">
        <f>'T_TTAFStock'!M14</f>
        <v/>
      </c>
      <c r="P335">
        <f>'T_TTAFStock'!N14</f>
        <v/>
      </c>
      <c r="Q335">
        <f>'T_TTAFStock'!O14</f>
        <v/>
      </c>
      <c r="R335">
        <f>'T_TTAFStock'!P14</f>
        <v/>
      </c>
      <c r="S335">
        <f>'T_TTAFStock'!Q14</f>
        <v/>
      </c>
      <c r="T335">
        <f>'T_TTAFStock'!R14</f>
        <v/>
      </c>
      <c r="U335">
        <f>'T_TTAFStock'!S14</f>
        <v/>
      </c>
      <c r="V335">
        <f>'T_TTAFStock'!T14</f>
        <v/>
      </c>
      <c r="W335">
        <f>'T_TTAFStock'!U14</f>
        <v/>
      </c>
      <c r="X335">
        <f>'T_TTAFStock'!V14</f>
        <v/>
      </c>
      <c r="Y335">
        <f>'T_TTAFStock'!W14</f>
        <v/>
      </c>
      <c r="Z335">
        <f>'T_TTAFStock'!X14</f>
        <v/>
      </c>
      <c r="AA335">
        <f>'T_TTAFStock'!Y14</f>
        <v/>
      </c>
      <c r="AB335">
        <f>'T_TTAFStock'!Z14</f>
        <v/>
      </c>
      <c r="AC335">
        <f>'T_TTAFStock'!AA14</f>
        <v/>
      </c>
      <c r="AD335">
        <f>'T_TTAFStock'!AB14</f>
        <v/>
      </c>
      <c r="AE335">
        <f>'T_TTAFStock'!AC14</f>
        <v/>
      </c>
      <c r="AF335">
        <f>'T_TTAFStock'!AD14</f>
        <v/>
      </c>
      <c r="AG335">
        <f>'T_TTAFStock'!AE14</f>
        <v/>
      </c>
      <c r="AH335">
        <f>'T_TTAFStock'!AF14</f>
        <v/>
      </c>
      <c r="AI335">
        <f>'T_TTAFStock'!AG14</f>
        <v/>
      </c>
      <c r="AJ335">
        <f>'T_TTAFStock'!AH14</f>
        <v/>
      </c>
      <c r="AK335">
        <f>'T_TTAFStock'!AI14</f>
        <v/>
      </c>
      <c r="AL335">
        <f>'T_TTAFStock'!AJ14</f>
        <v/>
      </c>
      <c r="AM335">
        <f>'T_TTAFStock'!AK14</f>
        <v/>
      </c>
      <c r="AN335">
        <f>'T_TTAFStock'!AL14</f>
        <v/>
      </c>
      <c r="AO335">
        <f>'T_TTAFStock'!AM14</f>
        <v/>
      </c>
      <c r="AP335">
        <f>'T_TTAFStock'!AN14</f>
        <v/>
      </c>
      <c r="AQ335">
        <f>'T_TTAFStock'!AO14</f>
        <v/>
      </c>
      <c r="AR335">
        <f>'T_TTAFStock'!AP14</f>
        <v/>
      </c>
      <c r="AS335">
        <f>'T_TTAFStock'!AQ14</f>
        <v/>
      </c>
      <c r="AT335">
        <f>'T_TTAFStock'!AR14</f>
        <v/>
      </c>
      <c r="AU335">
        <f>'T_TTAFStock'!AS14</f>
        <v/>
      </c>
      <c r="AV335">
        <f>'T_TTAFStock'!AT14</f>
        <v/>
      </c>
      <c r="AW335">
        <f>'T_TTAFStock'!AU14</f>
        <v/>
      </c>
      <c r="AX335">
        <f>'T_TTAFStock'!AV14</f>
        <v/>
      </c>
      <c r="AY335">
        <f>'T_TTAFStock'!AW14</f>
        <v/>
      </c>
      <c r="AZ335">
        <f>'T_TTAFStock'!AX14</f>
        <v/>
      </c>
      <c r="BA335">
        <f>'T_TTAFStock'!AY14</f>
        <v/>
      </c>
      <c r="BB335">
        <f>'T_TTAFStock'!AZ14</f>
        <v/>
      </c>
      <c r="BC335">
        <f>'T_TTAFStock'!BA14</f>
        <v/>
      </c>
      <c r="BD335">
        <f>'T_TTAFStock'!BB14</f>
        <v/>
      </c>
      <c r="BE335">
        <f>'T_TTAFStock'!BC14</f>
        <v/>
      </c>
      <c r="BF335">
        <f>'T_TTAFStock'!BD14</f>
        <v/>
      </c>
      <c r="BG335">
        <f>'T_TTAFStock'!BE14</f>
        <v/>
      </c>
      <c r="BH335">
        <f>'T_TTAFStock'!BF14</f>
        <v/>
      </c>
      <c r="BI335">
        <f>'T_TTAFStock'!BG14</f>
        <v/>
      </c>
      <c r="BJ335">
        <f>'T_TTAFStock'!BH14</f>
        <v/>
      </c>
      <c r="BK335">
        <f>'T_TTAFStock'!BI14</f>
        <v/>
      </c>
      <c r="BL335">
        <f>'T_TTAFStock'!BJ14</f>
        <v/>
      </c>
      <c r="BM335">
        <f>'T_TTAFStock'!BK14</f>
        <v/>
      </c>
      <c r="BN335">
        <f>'T_TTAFStock'!BL14</f>
        <v/>
      </c>
      <c r="BO335">
        <f>'T_TTAFStock'!BM14</f>
        <v/>
      </c>
      <c r="BP335">
        <f>'T_TTAFStock'!BN14</f>
        <v/>
      </c>
      <c r="BQ335">
        <f>'T_TTAFStock'!BO14</f>
        <v/>
      </c>
      <c r="BR335">
        <f>'T_TTAFStock'!BP14</f>
        <v/>
      </c>
      <c r="BS335">
        <f>'T_TTAFStock'!BQ14</f>
        <v/>
      </c>
      <c r="BT335">
        <f>'T_TTAFStock'!BR14</f>
        <v/>
      </c>
      <c r="BU335">
        <f>'T_TTAFStock'!BS14</f>
        <v/>
      </c>
      <c r="BV335">
        <f>'T_TTAFStock'!BT14</f>
        <v/>
      </c>
      <c r="BW335">
        <f>'T_TTAFStock'!BU14</f>
        <v/>
      </c>
      <c r="BX335">
        <f>'T_TTAFStock'!BV14</f>
        <v/>
      </c>
      <c r="BY335">
        <f>'T_TTAFStock'!BW14</f>
        <v/>
      </c>
      <c r="BZ335">
        <f>'T_TTAFStock'!BX14</f>
        <v/>
      </c>
      <c r="CA335">
        <f>'T_TTAFStock'!BY14</f>
        <v/>
      </c>
      <c r="CB335">
        <f>'T_TTAFStock'!BZ14</f>
        <v/>
      </c>
      <c r="CC335">
        <f>'T_TTAFStock'!CA14</f>
        <v/>
      </c>
      <c r="CD335">
        <f>'T_TTAFStock'!CB14</f>
        <v/>
      </c>
      <c r="CE335">
        <f>'T_TTAFStock'!CC14</f>
        <v/>
      </c>
      <c r="CF335">
        <f>'T_TTAFStock'!CD14</f>
        <v/>
      </c>
      <c r="CG335">
        <f>'T_TTAFStock'!CE14</f>
        <v/>
      </c>
      <c r="CH335">
        <f>'T_TTAFStock'!CF14</f>
        <v/>
      </c>
      <c r="CI335">
        <f>'T_TTAFStock'!CG14</f>
        <v/>
      </c>
      <c r="CJ335">
        <f>'T_TTAFStock'!CH14</f>
        <v/>
      </c>
      <c r="CK335">
        <f>'T_TTAFStock'!CI14</f>
        <v/>
      </c>
      <c r="CL335">
        <f>'T_TTAFStock'!CJ14</f>
        <v/>
      </c>
      <c r="CM335">
        <f>'T_TTAFStock'!CK14</f>
        <v/>
      </c>
      <c r="CN335">
        <f>'T_TTAFStock'!CL14</f>
        <v/>
      </c>
      <c r="CO335">
        <f>'T_TTAFStock'!CM14</f>
        <v/>
      </c>
      <c r="CP335">
        <f>'T_TTAFStock'!CN14</f>
        <v/>
      </c>
      <c r="CQ335">
        <f>'T_TTAFStock'!CO14</f>
        <v/>
      </c>
      <c r="CR335">
        <f>'T_TTAFStock'!CP14</f>
        <v/>
      </c>
      <c r="CS335">
        <f>'T_TTAFStock'!CQ14</f>
        <v/>
      </c>
      <c r="CT335">
        <f>'T_TTAFStock'!CR14</f>
        <v/>
      </c>
      <c r="CU335">
        <f>'T_TTAFStock'!CS14</f>
        <v/>
      </c>
      <c r="CV335">
        <f>'T_TTAFStock'!CT14</f>
        <v/>
      </c>
      <c r="CW335">
        <f>'T_TTAFStock'!CU14</f>
        <v/>
      </c>
      <c r="CX335">
        <f>'T_TTAFStock'!CV14</f>
        <v/>
      </c>
      <c r="CY335">
        <f>'T_TTAFStock'!CW14</f>
        <v/>
      </c>
      <c r="CZ335">
        <f>'T_TTAFStock'!CX14</f>
        <v/>
      </c>
      <c r="DA335">
        <f>'T_TTAFStock'!CY14</f>
        <v/>
      </c>
      <c r="DB335">
        <f>'T_TTAFStock'!CZ14</f>
        <v/>
      </c>
      <c r="DC335">
        <f>'T_TTAFStock'!DA14</f>
        <v/>
      </c>
    </row>
    <row r="336">
      <c r="B336" t="inlineStr">
        <is>
          <t>自社在庫(実績,kg)</t>
        </is>
      </c>
      <c r="D336">
        <f>'T_SelfStock'!B14</f>
        <v/>
      </c>
      <c r="E336">
        <f>'T_SelfStock'!C14</f>
        <v/>
      </c>
      <c r="F336">
        <f>'T_SelfStock'!D14</f>
        <v/>
      </c>
      <c r="G336">
        <f>'T_SelfStock'!E14</f>
        <v/>
      </c>
      <c r="H336">
        <f>'T_SelfStock'!F14</f>
        <v/>
      </c>
      <c r="I336">
        <f>'T_SelfStock'!G14</f>
        <v/>
      </c>
      <c r="J336">
        <f>'T_SelfStock'!H14</f>
        <v/>
      </c>
      <c r="K336">
        <f>'T_SelfStock'!I14</f>
        <v/>
      </c>
      <c r="L336">
        <f>'T_SelfStock'!J14</f>
        <v/>
      </c>
      <c r="M336">
        <f>'T_SelfStock'!K14</f>
        <v/>
      </c>
      <c r="N336">
        <f>'T_SelfStock'!L14</f>
        <v/>
      </c>
      <c r="O336">
        <f>'T_SelfStock'!M14</f>
        <v/>
      </c>
      <c r="P336">
        <f>'T_SelfStock'!N14</f>
        <v/>
      </c>
      <c r="Q336">
        <f>'T_SelfStock'!O14</f>
        <v/>
      </c>
      <c r="R336">
        <f>'T_SelfStock'!P14</f>
        <v/>
      </c>
      <c r="S336">
        <f>'T_SelfStock'!Q14</f>
        <v/>
      </c>
      <c r="T336">
        <f>'T_SelfStock'!R14</f>
        <v/>
      </c>
      <c r="U336">
        <f>'T_SelfStock'!S14</f>
        <v/>
      </c>
      <c r="V336">
        <f>'T_SelfStock'!T14</f>
        <v/>
      </c>
      <c r="W336">
        <f>'T_SelfStock'!U14</f>
        <v/>
      </c>
      <c r="X336">
        <f>'T_SelfStock'!V14</f>
        <v/>
      </c>
      <c r="Y336">
        <f>'T_SelfStock'!W14</f>
        <v/>
      </c>
      <c r="Z336">
        <f>'T_SelfStock'!X14</f>
        <v/>
      </c>
      <c r="AA336">
        <f>'T_SelfStock'!Y14</f>
        <v/>
      </c>
      <c r="AB336">
        <f>'T_SelfStock'!Z14</f>
        <v/>
      </c>
      <c r="AC336">
        <f>'T_SelfStock'!AA14</f>
        <v/>
      </c>
      <c r="AD336">
        <f>'T_SelfStock'!AB14</f>
        <v/>
      </c>
      <c r="AE336">
        <f>'T_SelfStock'!AC14</f>
        <v/>
      </c>
      <c r="AF336">
        <f>'T_SelfStock'!AD14</f>
        <v/>
      </c>
      <c r="AG336">
        <f>'T_SelfStock'!AE14</f>
        <v/>
      </c>
      <c r="AH336">
        <f>'T_SelfStock'!AF14</f>
        <v/>
      </c>
      <c r="AI336">
        <f>'T_SelfStock'!AG14</f>
        <v/>
      </c>
      <c r="AJ336">
        <f>'T_SelfStock'!AH14</f>
        <v/>
      </c>
      <c r="AK336">
        <f>'T_SelfStock'!AI14</f>
        <v/>
      </c>
      <c r="AL336">
        <f>'T_SelfStock'!AJ14</f>
        <v/>
      </c>
      <c r="AM336">
        <f>'T_SelfStock'!AK14</f>
        <v/>
      </c>
      <c r="AN336">
        <f>'T_SelfStock'!AL14</f>
        <v/>
      </c>
      <c r="AO336">
        <f>'T_SelfStock'!AM14</f>
        <v/>
      </c>
      <c r="AP336">
        <f>'T_SelfStock'!AN14</f>
        <v/>
      </c>
      <c r="AQ336">
        <f>'T_SelfStock'!AO14</f>
        <v/>
      </c>
      <c r="AR336">
        <f>'T_SelfStock'!AP14</f>
        <v/>
      </c>
      <c r="AS336">
        <f>'T_SelfStock'!AQ14</f>
        <v/>
      </c>
      <c r="AT336">
        <f>'T_SelfStock'!AR14</f>
        <v/>
      </c>
      <c r="AU336">
        <f>'T_SelfStock'!AS14</f>
        <v/>
      </c>
      <c r="AV336">
        <f>'T_SelfStock'!AT14</f>
        <v/>
      </c>
      <c r="AW336">
        <f>'T_SelfStock'!AU14</f>
        <v/>
      </c>
      <c r="AX336">
        <f>'T_SelfStock'!AV14</f>
        <v/>
      </c>
      <c r="AY336">
        <f>'T_SelfStock'!AW14</f>
        <v/>
      </c>
      <c r="AZ336">
        <f>'T_SelfStock'!AX14</f>
        <v/>
      </c>
      <c r="BA336">
        <f>'T_SelfStock'!AY14</f>
        <v/>
      </c>
      <c r="BB336">
        <f>'T_SelfStock'!AZ14</f>
        <v/>
      </c>
      <c r="BC336">
        <f>'T_SelfStock'!BA14</f>
        <v/>
      </c>
      <c r="BD336">
        <f>'T_SelfStock'!BB14</f>
        <v/>
      </c>
      <c r="BE336">
        <f>'T_SelfStock'!BC14</f>
        <v/>
      </c>
      <c r="BF336">
        <f>'T_SelfStock'!BD14</f>
        <v/>
      </c>
      <c r="BG336">
        <f>'T_SelfStock'!BE14</f>
        <v/>
      </c>
      <c r="BH336">
        <f>'T_SelfStock'!BF14</f>
        <v/>
      </c>
      <c r="BI336">
        <f>'T_SelfStock'!BG14</f>
        <v/>
      </c>
      <c r="BJ336">
        <f>'T_SelfStock'!BH14</f>
        <v/>
      </c>
      <c r="BK336">
        <f>'T_SelfStock'!BI14</f>
        <v/>
      </c>
      <c r="BL336">
        <f>'T_SelfStock'!BJ14</f>
        <v/>
      </c>
      <c r="BM336">
        <f>'T_SelfStock'!BK14</f>
        <v/>
      </c>
      <c r="BN336">
        <f>'T_SelfStock'!BL14</f>
        <v/>
      </c>
      <c r="BO336">
        <f>'T_SelfStock'!BM14</f>
        <v/>
      </c>
      <c r="BP336">
        <f>'T_SelfStock'!BN14</f>
        <v/>
      </c>
      <c r="BQ336">
        <f>'T_SelfStock'!BO14</f>
        <v/>
      </c>
      <c r="BR336">
        <f>'T_SelfStock'!BP14</f>
        <v/>
      </c>
      <c r="BS336">
        <f>'T_SelfStock'!BQ14</f>
        <v/>
      </c>
      <c r="BT336">
        <f>'T_SelfStock'!BR14</f>
        <v/>
      </c>
      <c r="BU336">
        <f>'T_SelfStock'!BS14</f>
        <v/>
      </c>
      <c r="BV336">
        <f>'T_SelfStock'!BT14</f>
        <v/>
      </c>
      <c r="BW336">
        <f>'T_SelfStock'!BU14</f>
        <v/>
      </c>
      <c r="BX336">
        <f>'T_SelfStock'!BV14</f>
        <v/>
      </c>
      <c r="BY336">
        <f>'T_SelfStock'!BW14</f>
        <v/>
      </c>
      <c r="BZ336">
        <f>'T_SelfStock'!BX14</f>
        <v/>
      </c>
      <c r="CA336">
        <f>'T_SelfStock'!BY14</f>
        <v/>
      </c>
      <c r="CB336">
        <f>'T_SelfStock'!BZ14</f>
        <v/>
      </c>
      <c r="CC336">
        <f>'T_SelfStock'!CA14</f>
        <v/>
      </c>
      <c r="CD336">
        <f>'T_SelfStock'!CB14</f>
        <v/>
      </c>
      <c r="CE336">
        <f>'T_SelfStock'!CC14</f>
        <v/>
      </c>
      <c r="CF336">
        <f>'T_SelfStock'!CD14</f>
        <v/>
      </c>
      <c r="CG336">
        <f>'T_SelfStock'!CE14</f>
        <v/>
      </c>
      <c r="CH336">
        <f>'T_SelfStock'!CF14</f>
        <v/>
      </c>
      <c r="CI336">
        <f>'T_SelfStock'!CG14</f>
        <v/>
      </c>
      <c r="CJ336">
        <f>'T_SelfStock'!CH14</f>
        <v/>
      </c>
      <c r="CK336">
        <f>'T_SelfStock'!CI14</f>
        <v/>
      </c>
      <c r="CL336">
        <f>'T_SelfStock'!CJ14</f>
        <v/>
      </c>
      <c r="CM336">
        <f>'T_SelfStock'!CK14</f>
        <v/>
      </c>
      <c r="CN336">
        <f>'T_SelfStock'!CL14</f>
        <v/>
      </c>
      <c r="CO336">
        <f>'T_SelfStock'!CM14</f>
        <v/>
      </c>
      <c r="CP336">
        <f>'T_SelfStock'!CN14</f>
        <v/>
      </c>
      <c r="CQ336">
        <f>'T_SelfStock'!CO14</f>
        <v/>
      </c>
      <c r="CR336">
        <f>'T_SelfStock'!CP14</f>
        <v/>
      </c>
      <c r="CS336">
        <f>'T_SelfStock'!CQ14</f>
        <v/>
      </c>
      <c r="CT336">
        <f>'T_SelfStock'!CR14</f>
        <v/>
      </c>
      <c r="CU336">
        <f>'T_SelfStock'!CS14</f>
        <v/>
      </c>
      <c r="CV336">
        <f>'T_SelfStock'!CT14</f>
        <v/>
      </c>
      <c r="CW336">
        <f>'T_SelfStock'!CU14</f>
        <v/>
      </c>
      <c r="CX336">
        <f>'T_SelfStock'!CV14</f>
        <v/>
      </c>
      <c r="CY336">
        <f>'T_SelfStock'!CW14</f>
        <v/>
      </c>
      <c r="CZ336">
        <f>'T_SelfStock'!CX14</f>
        <v/>
      </c>
      <c r="DA336">
        <f>'T_SelfStock'!CY14</f>
        <v/>
      </c>
      <c r="DB336">
        <f>'T_SelfStock'!CZ14</f>
        <v/>
      </c>
      <c r="DC336">
        <f>'T_SelfStock'!DA14</f>
        <v/>
      </c>
    </row>
    <row r="337">
      <c r="B337" s="4" t="inlineStr">
        <is>
          <t>合計在庫(週末時点,kg)</t>
        </is>
      </c>
      <c r="D337">
        <f>'Grid_Stock'!B10</f>
        <v/>
      </c>
      <c r="E337">
        <f>'Grid_Stock'!C10</f>
        <v/>
      </c>
      <c r="F337">
        <f>'Grid_Stock'!D10</f>
        <v/>
      </c>
      <c r="G337">
        <f>'Grid_Stock'!E10</f>
        <v/>
      </c>
      <c r="H337">
        <f>'Grid_Stock'!F10</f>
        <v/>
      </c>
      <c r="I337">
        <f>'Grid_Stock'!G10</f>
        <v/>
      </c>
      <c r="J337">
        <f>'Grid_Stock'!H10</f>
        <v/>
      </c>
      <c r="K337">
        <f>'Grid_Stock'!I10</f>
        <v/>
      </c>
      <c r="L337">
        <f>'Grid_Stock'!J10</f>
        <v/>
      </c>
      <c r="M337">
        <f>'Grid_Stock'!K10</f>
        <v/>
      </c>
      <c r="N337">
        <f>'Grid_Stock'!L10</f>
        <v/>
      </c>
      <c r="O337">
        <f>'Grid_Stock'!M10</f>
        <v/>
      </c>
      <c r="P337">
        <f>'Grid_Stock'!N10</f>
        <v/>
      </c>
      <c r="Q337">
        <f>'Grid_Stock'!O10</f>
        <v/>
      </c>
      <c r="R337">
        <f>'Grid_Stock'!P10</f>
        <v/>
      </c>
      <c r="S337">
        <f>'Grid_Stock'!Q10</f>
        <v/>
      </c>
      <c r="T337">
        <f>'Grid_Stock'!R10</f>
        <v/>
      </c>
      <c r="U337">
        <f>'Grid_Stock'!S10</f>
        <v/>
      </c>
      <c r="V337">
        <f>'Grid_Stock'!T10</f>
        <v/>
      </c>
      <c r="W337">
        <f>'Grid_Stock'!U10</f>
        <v/>
      </c>
      <c r="X337">
        <f>'Grid_Stock'!V10</f>
        <v/>
      </c>
      <c r="Y337">
        <f>'Grid_Stock'!W10</f>
        <v/>
      </c>
      <c r="Z337">
        <f>'Grid_Stock'!X10</f>
        <v/>
      </c>
      <c r="AA337">
        <f>'Grid_Stock'!Y10</f>
        <v/>
      </c>
      <c r="AB337">
        <f>'Grid_Stock'!Z10</f>
        <v/>
      </c>
      <c r="AC337">
        <f>'Grid_Stock'!AA10</f>
        <v/>
      </c>
      <c r="AD337">
        <f>'Grid_Stock'!AB10</f>
        <v/>
      </c>
      <c r="AE337">
        <f>'Grid_Stock'!AC10</f>
        <v/>
      </c>
      <c r="AF337">
        <f>'Grid_Stock'!AD10</f>
        <v/>
      </c>
      <c r="AG337">
        <f>'Grid_Stock'!AE10</f>
        <v/>
      </c>
      <c r="AH337">
        <f>'Grid_Stock'!AF10</f>
        <v/>
      </c>
      <c r="AI337">
        <f>'Grid_Stock'!AG10</f>
        <v/>
      </c>
      <c r="AJ337">
        <f>'Grid_Stock'!AH10</f>
        <v/>
      </c>
      <c r="AK337">
        <f>'Grid_Stock'!AI10</f>
        <v/>
      </c>
      <c r="AL337">
        <f>'Grid_Stock'!AJ10</f>
        <v/>
      </c>
      <c r="AM337">
        <f>'Grid_Stock'!AK10</f>
        <v/>
      </c>
      <c r="AN337">
        <f>'Grid_Stock'!AL10</f>
        <v/>
      </c>
      <c r="AO337">
        <f>'Grid_Stock'!AM10</f>
        <v/>
      </c>
      <c r="AP337">
        <f>'Grid_Stock'!AN10</f>
        <v/>
      </c>
      <c r="AQ337">
        <f>'Grid_Stock'!AO10</f>
        <v/>
      </c>
      <c r="AR337">
        <f>'Grid_Stock'!AP10</f>
        <v/>
      </c>
      <c r="AS337">
        <f>'Grid_Stock'!AQ10</f>
        <v/>
      </c>
      <c r="AT337">
        <f>'Grid_Stock'!AR10</f>
        <v/>
      </c>
      <c r="AU337">
        <f>'Grid_Stock'!AS10</f>
        <v/>
      </c>
      <c r="AV337">
        <f>'Grid_Stock'!AT10</f>
        <v/>
      </c>
      <c r="AW337">
        <f>'Grid_Stock'!AU10</f>
        <v/>
      </c>
      <c r="AX337">
        <f>'Grid_Stock'!AV10</f>
        <v/>
      </c>
      <c r="AY337">
        <f>'Grid_Stock'!AW10</f>
        <v/>
      </c>
      <c r="AZ337">
        <f>'Grid_Stock'!AX10</f>
        <v/>
      </c>
      <c r="BA337">
        <f>'Grid_Stock'!AY10</f>
        <v/>
      </c>
      <c r="BB337">
        <f>'Grid_Stock'!AZ10</f>
        <v/>
      </c>
      <c r="BC337">
        <f>'Grid_Stock'!BA10</f>
        <v/>
      </c>
      <c r="BD337">
        <f>'Grid_Stock'!BB10</f>
        <v/>
      </c>
      <c r="BE337">
        <f>'Grid_Stock'!BC10</f>
        <v/>
      </c>
      <c r="BF337">
        <f>'Grid_Stock'!BD10</f>
        <v/>
      </c>
      <c r="BG337">
        <f>'Grid_Stock'!BE10</f>
        <v/>
      </c>
      <c r="BH337">
        <f>'Grid_Stock'!BF10</f>
        <v/>
      </c>
      <c r="BI337">
        <f>'Grid_Stock'!BG10</f>
        <v/>
      </c>
      <c r="BJ337">
        <f>'Grid_Stock'!BH10</f>
        <v/>
      </c>
      <c r="BK337">
        <f>'Grid_Stock'!BI10</f>
        <v/>
      </c>
      <c r="BL337">
        <f>'Grid_Stock'!BJ10</f>
        <v/>
      </c>
      <c r="BM337">
        <f>'Grid_Stock'!BK10</f>
        <v/>
      </c>
      <c r="BN337">
        <f>'Grid_Stock'!BL10</f>
        <v/>
      </c>
      <c r="BO337">
        <f>'Grid_Stock'!BM10</f>
        <v/>
      </c>
      <c r="BP337">
        <f>'Grid_Stock'!BN10</f>
        <v/>
      </c>
      <c r="BQ337">
        <f>'Grid_Stock'!BO10</f>
        <v/>
      </c>
      <c r="BR337">
        <f>'Grid_Stock'!BP10</f>
        <v/>
      </c>
      <c r="BS337">
        <f>'Grid_Stock'!BQ10</f>
        <v/>
      </c>
      <c r="BT337">
        <f>'Grid_Stock'!BR10</f>
        <v/>
      </c>
      <c r="BU337">
        <f>'Grid_Stock'!BS10</f>
        <v/>
      </c>
      <c r="BV337">
        <f>'Grid_Stock'!BT10</f>
        <v/>
      </c>
      <c r="BW337">
        <f>'Grid_Stock'!BU10</f>
        <v/>
      </c>
      <c r="BX337">
        <f>'Grid_Stock'!BV10</f>
        <v/>
      </c>
      <c r="BY337">
        <f>'Grid_Stock'!BW10</f>
        <v/>
      </c>
      <c r="BZ337">
        <f>'Grid_Stock'!BX10</f>
        <v/>
      </c>
      <c r="CA337">
        <f>'Grid_Stock'!BY10</f>
        <v/>
      </c>
      <c r="CB337">
        <f>'Grid_Stock'!BZ10</f>
        <v/>
      </c>
      <c r="CC337">
        <f>'Grid_Stock'!CA10</f>
        <v/>
      </c>
      <c r="CD337">
        <f>'Grid_Stock'!CB10</f>
        <v/>
      </c>
      <c r="CE337">
        <f>'Grid_Stock'!CC10</f>
        <v/>
      </c>
      <c r="CF337">
        <f>'Grid_Stock'!CD10</f>
        <v/>
      </c>
      <c r="CG337">
        <f>'Grid_Stock'!CE10</f>
        <v/>
      </c>
      <c r="CH337">
        <f>'Grid_Stock'!CF10</f>
        <v/>
      </c>
      <c r="CI337">
        <f>'Grid_Stock'!CG10</f>
        <v/>
      </c>
      <c r="CJ337">
        <f>'Grid_Stock'!CH10</f>
        <v/>
      </c>
      <c r="CK337">
        <f>'Grid_Stock'!CI10</f>
        <v/>
      </c>
      <c r="CL337">
        <f>'Grid_Stock'!CJ10</f>
        <v/>
      </c>
      <c r="CM337">
        <f>'Grid_Stock'!CK10</f>
        <v/>
      </c>
      <c r="CN337">
        <f>'Grid_Stock'!CL10</f>
        <v/>
      </c>
      <c r="CO337">
        <f>'Grid_Stock'!CM10</f>
        <v/>
      </c>
      <c r="CP337">
        <f>'Grid_Stock'!CN10</f>
        <v/>
      </c>
      <c r="CQ337">
        <f>'Grid_Stock'!CO10</f>
        <v/>
      </c>
      <c r="CR337">
        <f>'Grid_Stock'!CP10</f>
        <v/>
      </c>
      <c r="CS337">
        <f>'Grid_Stock'!CQ10</f>
        <v/>
      </c>
      <c r="CT337">
        <f>'Grid_Stock'!CR10</f>
        <v/>
      </c>
      <c r="CU337">
        <f>'Grid_Stock'!CS10</f>
        <v/>
      </c>
      <c r="CV337">
        <f>'Grid_Stock'!CT10</f>
        <v/>
      </c>
      <c r="CW337">
        <f>'Grid_Stock'!CU10</f>
        <v/>
      </c>
      <c r="CX337">
        <f>'Grid_Stock'!CV10</f>
        <v/>
      </c>
      <c r="CY337">
        <f>'Grid_Stock'!CW10</f>
        <v/>
      </c>
      <c r="CZ337">
        <f>'Grid_Stock'!CX10</f>
        <v/>
      </c>
      <c r="DA337">
        <f>'Grid_Stock'!CY10</f>
        <v/>
      </c>
      <c r="DB337">
        <f>'Grid_Stock'!CZ10</f>
        <v/>
      </c>
      <c r="DC337">
        <f>'Grid_Stock'!DA10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CHEM-1400</t>
        </is>
      </c>
      <c r="B340" s="14" t="inlineStr">
        <is>
          <t>DISPAL 23N4-80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TSP-050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SUMIFS(M_BOM[RM_Qty_Per_Batch],M_BOM[Intermediate],$B341,M_BOM[Part Name],$A340)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TSP-078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SUMIFS(M_BOM[RM_Qty_Per_Batch],M_BOM[Intermediate],$B343,M_BOM[Part Name],$A340)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TSP-105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SUMIFS(M_BOM[RM_Qty_Per_Batch],M_BOM[Intermediate],$B345,M_BOM[Part Name],$A340)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TSP-199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SUMIFS(M_BOM[RM_Qty_Per_Batch],M_BOM[Intermediate],$B347,M_BOM[Part Name],$A340)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TSP-205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SUMIFS(M_BOM[RM_Qty_Per_Batch],M_BOM[Intermediate],$B349,M_BOM[Part Name],$A340)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TSP-206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SUMIFS(M_BOM[RM_Qty_Per_Batch],M_BOM[Intermediate],$B351,M_BOM[Part Name],$A340)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TSP-218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SUMIFS(M_BOM[RM_Qty_Per_Batch],M_BOM[Intermediate],$B353,M_BOM[Part Name],$A340)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TSP-219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SUMIFS(M_BOM[RM_Qty_Per_Batch],M_BOM[Intermediate],$B355,M_BOM[Part Name],$A340)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TSP-225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SUMIFS(M_BOM[RM_Qty_Per_Batch],M_BOM[Intermediate],$B357,M_BOM[Part Name],$A340)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TSP-360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SUMIFS(M_BOM[RM_Qty_Per_Batch],M_BOM[Intermediate],$B359,M_BOM[Part Name],$A340)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TSP-367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SUMIFS(M_BOM[RM_Qty_Per_Batch],M_BOM[Intermediate],$B361,M_BOM[Part Name],$A340)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TSP-369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SUMIFS(M_BOM[RM_Qty_Per_Batch],M_BOM[Intermediate],$B363,M_BOM[Part Name],$A340)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TSP-402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SUMIFS(M_BOM[RM_Qty_Per_Batch],M_BOM[Intermediate],$B365,M_BOM[Part Name],$A340)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TSP-403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SUMIFS(M_BOM[RM_Qty_Per_Batch],M_BOM[Intermediate],$B367,M_BOM[Part Name],$A340)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TSP-404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SUMIFS(M_BOM[RM_Qty_Per_Batch],M_BOM[Intermediate],$B369,M_BOM[Part Name],$A340)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TSP-405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SUMIFS(M_BOM[RM_Qty_Per_Batch],M_BOM[Intermediate],$B371,M_BOM[Part Name],$A340)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TSP-544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TSP-558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TSP-618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TSP-620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TSP-623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SUMIFS(M_BOM[RM_Qty_Per_Batch],M_BOM[Intermediate],$B381,M_BOM[Part Name],$A340)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TSP-655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SUMIFS(M_BOM[RM_Qty_Per_Batch],M_BOM[Intermediate],$B383,M_BOM[Part Name],$A340)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TSP-656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SUMIFS(M_BOM[RM_Qty_Per_Batch],M_BOM[Intermediate],$B385,M_BOM[Part Name],$A340)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TSP-710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SUMIFS(M_BOM[RM_Qty_Per_Batch],M_BOM[Intermediate],$B387,M_BOM[Part Name],$A340)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TSP-828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SUMIFS(M_BOM[RM_Qty_Per_Batch],M_BOM[Intermediate],$B389,M_BOM[Part Name],$A340)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TSP-903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SUMIFS(M_BOM[RM_Qty_Per_Batch],M_BOM[Intermediate],$B391,M_BOM[Part Name],$A340)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TSP-959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SUMIFS(M_BOM[RM_Qty_Per_Batch],M_BOM[Intermediate],$B393,M_BOM[Part Name],$A340)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TSP-966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SUMIFS(M_BOM[RM_Qty_Per_Batch],M_BOM[Intermediate],$B395,M_BOM[Part Name],$A340)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TSP-1449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SUMIFS(M_BOM[RM_Qty_Per_Batch],M_BOM[Intermediate],$B397,M_BOM[Part Name],$A340)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VSP-567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SUMIFS(M_BOM[RM_Qty_Per_Batch],M_BOM[Intermediate],$B399,M_BOM[Part Name],$A340)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VSP-600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SUMIFS(M_BOM[RM_Qty_Per_Batch],M_BOM[Intermediate],$B401,M_BOM[Part Name],$A340)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VSP-601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SUMIFS(M_BOM[RM_Qty_Per_Batch],M_BOM[Intermediate],$B403,M_BOM[Part Name],$A340)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VSP-602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SUMIFS(M_BOM[RM_Qty_Per_Batch],M_BOM[Intermediate],$B405,M_BOM[Part Name],$A340)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VSP-603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VSP-604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VSP-605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VSP-606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VSP-607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VSP-738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VSP-739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VSP-740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VSP-746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VSP-820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VSP-822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VSP-869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VSP-870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VSP-910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VSP-989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VSP-990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VSZ-745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TSP-1499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s="4" t="inlineStr">
        <is>
          <t>合計使用量(kg)/週</t>
        </is>
      </c>
      <c r="D443">
        <f>'Grid_Requirement'!B15</f>
        <v/>
      </c>
      <c r="E443">
        <f>'Grid_Requirement'!C15</f>
        <v/>
      </c>
      <c r="F443">
        <f>'Grid_Requirement'!D15</f>
        <v/>
      </c>
      <c r="G443">
        <f>'Grid_Requirement'!E15</f>
        <v/>
      </c>
      <c r="H443">
        <f>'Grid_Requirement'!F15</f>
        <v/>
      </c>
      <c r="I443">
        <f>'Grid_Requirement'!G15</f>
        <v/>
      </c>
      <c r="J443">
        <f>'Grid_Requirement'!H15</f>
        <v/>
      </c>
      <c r="K443">
        <f>'Grid_Requirement'!I15</f>
        <v/>
      </c>
      <c r="L443">
        <f>'Grid_Requirement'!J15</f>
        <v/>
      </c>
      <c r="M443">
        <f>'Grid_Requirement'!K15</f>
        <v/>
      </c>
      <c r="N443">
        <f>'Grid_Requirement'!L15</f>
        <v/>
      </c>
      <c r="O443">
        <f>'Grid_Requirement'!M15</f>
        <v/>
      </c>
      <c r="P443">
        <f>'Grid_Requirement'!N15</f>
        <v/>
      </c>
      <c r="Q443">
        <f>'Grid_Requirement'!O15</f>
        <v/>
      </c>
      <c r="R443">
        <f>'Grid_Requirement'!P15</f>
        <v/>
      </c>
      <c r="S443">
        <f>'Grid_Requirement'!Q15</f>
        <v/>
      </c>
      <c r="T443">
        <f>'Grid_Requirement'!R15</f>
        <v/>
      </c>
      <c r="U443">
        <f>'Grid_Requirement'!S15</f>
        <v/>
      </c>
      <c r="V443">
        <f>'Grid_Requirement'!T15</f>
        <v/>
      </c>
      <c r="W443">
        <f>'Grid_Requirement'!U15</f>
        <v/>
      </c>
      <c r="X443">
        <f>'Grid_Requirement'!V15</f>
        <v/>
      </c>
      <c r="Y443">
        <f>'Grid_Requirement'!W15</f>
        <v/>
      </c>
      <c r="Z443">
        <f>'Grid_Requirement'!X15</f>
        <v/>
      </c>
      <c r="AA443">
        <f>'Grid_Requirement'!Y15</f>
        <v/>
      </c>
      <c r="AB443">
        <f>'Grid_Requirement'!Z15</f>
        <v/>
      </c>
      <c r="AC443">
        <f>'Grid_Requirement'!AA15</f>
        <v/>
      </c>
      <c r="AD443">
        <f>'Grid_Requirement'!AB15</f>
        <v/>
      </c>
      <c r="AE443">
        <f>'Grid_Requirement'!AC15</f>
        <v/>
      </c>
      <c r="AF443">
        <f>'Grid_Requirement'!AD15</f>
        <v/>
      </c>
      <c r="AG443">
        <f>'Grid_Requirement'!AE15</f>
        <v/>
      </c>
      <c r="AH443">
        <f>'Grid_Requirement'!AF15</f>
        <v/>
      </c>
      <c r="AI443">
        <f>'Grid_Requirement'!AG15</f>
        <v/>
      </c>
      <c r="AJ443">
        <f>'Grid_Requirement'!AH15</f>
        <v/>
      </c>
      <c r="AK443">
        <f>'Grid_Requirement'!AI15</f>
        <v/>
      </c>
      <c r="AL443">
        <f>'Grid_Requirement'!AJ15</f>
        <v/>
      </c>
      <c r="AM443">
        <f>'Grid_Requirement'!AK15</f>
        <v/>
      </c>
      <c r="AN443">
        <f>'Grid_Requirement'!AL15</f>
        <v/>
      </c>
      <c r="AO443">
        <f>'Grid_Requirement'!AM15</f>
        <v/>
      </c>
      <c r="AP443">
        <f>'Grid_Requirement'!AN15</f>
        <v/>
      </c>
      <c r="AQ443">
        <f>'Grid_Requirement'!AO15</f>
        <v/>
      </c>
      <c r="AR443">
        <f>'Grid_Requirement'!AP15</f>
        <v/>
      </c>
      <c r="AS443">
        <f>'Grid_Requirement'!AQ15</f>
        <v/>
      </c>
      <c r="AT443">
        <f>'Grid_Requirement'!AR15</f>
        <v/>
      </c>
      <c r="AU443">
        <f>'Grid_Requirement'!AS15</f>
        <v/>
      </c>
      <c r="AV443">
        <f>'Grid_Requirement'!AT15</f>
        <v/>
      </c>
      <c r="AW443">
        <f>'Grid_Requirement'!AU15</f>
        <v/>
      </c>
      <c r="AX443">
        <f>'Grid_Requirement'!AV15</f>
        <v/>
      </c>
      <c r="AY443">
        <f>'Grid_Requirement'!AW15</f>
        <v/>
      </c>
      <c r="AZ443">
        <f>'Grid_Requirement'!AX15</f>
        <v/>
      </c>
      <c r="BA443">
        <f>'Grid_Requirement'!AY15</f>
        <v/>
      </c>
      <c r="BB443">
        <f>'Grid_Requirement'!AZ15</f>
        <v/>
      </c>
      <c r="BC443">
        <f>'Grid_Requirement'!BA15</f>
        <v/>
      </c>
      <c r="BD443">
        <f>'Grid_Requirement'!BB15</f>
        <v/>
      </c>
      <c r="BE443">
        <f>'Grid_Requirement'!BC15</f>
        <v/>
      </c>
      <c r="BF443">
        <f>'Grid_Requirement'!BD15</f>
        <v/>
      </c>
      <c r="BG443">
        <f>'Grid_Requirement'!BE15</f>
        <v/>
      </c>
      <c r="BH443">
        <f>'Grid_Requirement'!BF15</f>
        <v/>
      </c>
      <c r="BI443">
        <f>'Grid_Requirement'!BG15</f>
        <v/>
      </c>
      <c r="BJ443">
        <f>'Grid_Requirement'!BH15</f>
        <v/>
      </c>
      <c r="BK443">
        <f>'Grid_Requirement'!BI15</f>
        <v/>
      </c>
      <c r="BL443">
        <f>'Grid_Requirement'!BJ15</f>
        <v/>
      </c>
      <c r="BM443">
        <f>'Grid_Requirement'!BK15</f>
        <v/>
      </c>
      <c r="BN443">
        <f>'Grid_Requirement'!BL15</f>
        <v/>
      </c>
      <c r="BO443">
        <f>'Grid_Requirement'!BM15</f>
        <v/>
      </c>
      <c r="BP443">
        <f>'Grid_Requirement'!BN15</f>
        <v/>
      </c>
      <c r="BQ443">
        <f>'Grid_Requirement'!BO15</f>
        <v/>
      </c>
      <c r="BR443">
        <f>'Grid_Requirement'!BP15</f>
        <v/>
      </c>
      <c r="BS443">
        <f>'Grid_Requirement'!BQ15</f>
        <v/>
      </c>
      <c r="BT443">
        <f>'Grid_Requirement'!BR15</f>
        <v/>
      </c>
      <c r="BU443">
        <f>'Grid_Requirement'!BS15</f>
        <v/>
      </c>
      <c r="BV443">
        <f>'Grid_Requirement'!BT15</f>
        <v/>
      </c>
      <c r="BW443">
        <f>'Grid_Requirement'!BU15</f>
        <v/>
      </c>
      <c r="BX443">
        <f>'Grid_Requirement'!BV15</f>
        <v/>
      </c>
      <c r="BY443">
        <f>'Grid_Requirement'!BW15</f>
        <v/>
      </c>
      <c r="BZ443">
        <f>'Grid_Requirement'!BX15</f>
        <v/>
      </c>
      <c r="CA443">
        <f>'Grid_Requirement'!BY15</f>
        <v/>
      </c>
      <c r="CB443">
        <f>'Grid_Requirement'!BZ15</f>
        <v/>
      </c>
      <c r="CC443">
        <f>'Grid_Requirement'!CA15</f>
        <v/>
      </c>
      <c r="CD443">
        <f>'Grid_Requirement'!CB15</f>
        <v/>
      </c>
      <c r="CE443">
        <f>'Grid_Requirement'!CC15</f>
        <v/>
      </c>
      <c r="CF443">
        <f>'Grid_Requirement'!CD15</f>
        <v/>
      </c>
      <c r="CG443">
        <f>'Grid_Requirement'!CE15</f>
        <v/>
      </c>
      <c r="CH443">
        <f>'Grid_Requirement'!CF15</f>
        <v/>
      </c>
      <c r="CI443">
        <f>'Grid_Requirement'!CG15</f>
        <v/>
      </c>
      <c r="CJ443">
        <f>'Grid_Requirement'!CH15</f>
        <v/>
      </c>
      <c r="CK443">
        <f>'Grid_Requirement'!CI15</f>
        <v/>
      </c>
      <c r="CL443">
        <f>'Grid_Requirement'!CJ15</f>
        <v/>
      </c>
      <c r="CM443">
        <f>'Grid_Requirement'!CK15</f>
        <v/>
      </c>
      <c r="CN443">
        <f>'Grid_Requirement'!CL15</f>
        <v/>
      </c>
      <c r="CO443">
        <f>'Grid_Requirement'!CM15</f>
        <v/>
      </c>
      <c r="CP443">
        <f>'Grid_Requirement'!CN15</f>
        <v/>
      </c>
      <c r="CQ443">
        <f>'Grid_Requirement'!CO15</f>
        <v/>
      </c>
      <c r="CR443">
        <f>'Grid_Requirement'!CP15</f>
        <v/>
      </c>
      <c r="CS443">
        <f>'Grid_Requirement'!CQ15</f>
        <v/>
      </c>
      <c r="CT443">
        <f>'Grid_Requirement'!CR15</f>
        <v/>
      </c>
      <c r="CU443">
        <f>'Grid_Requirement'!CS15</f>
        <v/>
      </c>
      <c r="CV443">
        <f>'Grid_Requirement'!CT15</f>
        <v/>
      </c>
      <c r="CW443">
        <f>'Grid_Requirement'!CU15</f>
        <v/>
      </c>
      <c r="CX443">
        <f>'Grid_Requirement'!CV15</f>
        <v/>
      </c>
      <c r="CY443">
        <f>'Grid_Requirement'!CW15</f>
        <v/>
      </c>
      <c r="CZ443">
        <f>'Grid_Requirement'!CX15</f>
        <v/>
      </c>
      <c r="DA443">
        <f>'Grid_Requirement'!CY15</f>
        <v/>
      </c>
      <c r="DB443">
        <f>'Grid_Requirement'!CZ15</f>
        <v/>
      </c>
      <c r="DC443">
        <f>'Grid_Requirement'!DA15</f>
        <v/>
      </c>
    </row>
    <row r="444">
      <c r="B444" t="inlineStr">
        <is>
          <t>TTAF在庫(実績,kg)</t>
        </is>
      </c>
      <c r="D444">
        <f>'T_TTAFStock'!B19</f>
        <v/>
      </c>
      <c r="E444">
        <f>'T_TTAFStock'!C19</f>
        <v/>
      </c>
      <c r="F444">
        <f>'T_TTAFStock'!D19</f>
        <v/>
      </c>
      <c r="G444">
        <f>'T_TTAFStock'!E19</f>
        <v/>
      </c>
      <c r="H444">
        <f>'T_TTAFStock'!F19</f>
        <v/>
      </c>
      <c r="I444">
        <f>'T_TTAFStock'!G19</f>
        <v/>
      </c>
      <c r="J444">
        <f>'T_TTAFStock'!H19</f>
        <v/>
      </c>
      <c r="K444">
        <f>'T_TTAFStock'!I19</f>
        <v/>
      </c>
      <c r="L444">
        <f>'T_TTAFStock'!J19</f>
        <v/>
      </c>
      <c r="M444">
        <f>'T_TTAFStock'!K19</f>
        <v/>
      </c>
      <c r="N444">
        <f>'T_TTAFStock'!L19</f>
        <v/>
      </c>
      <c r="O444">
        <f>'T_TTAFStock'!M19</f>
        <v/>
      </c>
      <c r="P444">
        <f>'T_TTAFStock'!N19</f>
        <v/>
      </c>
      <c r="Q444">
        <f>'T_TTAFStock'!O19</f>
        <v/>
      </c>
      <c r="R444">
        <f>'T_TTAFStock'!P19</f>
        <v/>
      </c>
      <c r="S444">
        <f>'T_TTAFStock'!Q19</f>
        <v/>
      </c>
      <c r="T444">
        <f>'T_TTAFStock'!R19</f>
        <v/>
      </c>
      <c r="U444">
        <f>'T_TTAFStock'!S19</f>
        <v/>
      </c>
      <c r="V444">
        <f>'T_TTAFStock'!T19</f>
        <v/>
      </c>
      <c r="W444">
        <f>'T_TTAFStock'!U19</f>
        <v/>
      </c>
      <c r="X444">
        <f>'T_TTAFStock'!V19</f>
        <v/>
      </c>
      <c r="Y444">
        <f>'T_TTAFStock'!W19</f>
        <v/>
      </c>
      <c r="Z444">
        <f>'T_TTAFStock'!X19</f>
        <v/>
      </c>
      <c r="AA444">
        <f>'T_TTAFStock'!Y19</f>
        <v/>
      </c>
      <c r="AB444">
        <f>'T_TTAFStock'!Z19</f>
        <v/>
      </c>
      <c r="AC444">
        <f>'T_TTAFStock'!AA19</f>
        <v/>
      </c>
      <c r="AD444">
        <f>'T_TTAFStock'!AB19</f>
        <v/>
      </c>
      <c r="AE444">
        <f>'T_TTAFStock'!AC19</f>
        <v/>
      </c>
      <c r="AF444">
        <f>'T_TTAFStock'!AD19</f>
        <v/>
      </c>
      <c r="AG444">
        <f>'T_TTAFStock'!AE19</f>
        <v/>
      </c>
      <c r="AH444">
        <f>'T_TTAFStock'!AF19</f>
        <v/>
      </c>
      <c r="AI444">
        <f>'T_TTAFStock'!AG19</f>
        <v/>
      </c>
      <c r="AJ444">
        <f>'T_TTAFStock'!AH19</f>
        <v/>
      </c>
      <c r="AK444">
        <f>'T_TTAFStock'!AI19</f>
        <v/>
      </c>
      <c r="AL444">
        <f>'T_TTAFStock'!AJ19</f>
        <v/>
      </c>
      <c r="AM444">
        <f>'T_TTAFStock'!AK19</f>
        <v/>
      </c>
      <c r="AN444">
        <f>'T_TTAFStock'!AL19</f>
        <v/>
      </c>
      <c r="AO444">
        <f>'T_TTAFStock'!AM19</f>
        <v/>
      </c>
      <c r="AP444">
        <f>'T_TTAFStock'!AN19</f>
        <v/>
      </c>
      <c r="AQ444">
        <f>'T_TTAFStock'!AO19</f>
        <v/>
      </c>
      <c r="AR444">
        <f>'T_TTAFStock'!AP19</f>
        <v/>
      </c>
      <c r="AS444">
        <f>'T_TTAFStock'!AQ19</f>
        <v/>
      </c>
      <c r="AT444">
        <f>'T_TTAFStock'!AR19</f>
        <v/>
      </c>
      <c r="AU444">
        <f>'T_TTAFStock'!AS19</f>
        <v/>
      </c>
      <c r="AV444">
        <f>'T_TTAFStock'!AT19</f>
        <v/>
      </c>
      <c r="AW444">
        <f>'T_TTAFStock'!AU19</f>
        <v/>
      </c>
      <c r="AX444">
        <f>'T_TTAFStock'!AV19</f>
        <v/>
      </c>
      <c r="AY444">
        <f>'T_TTAFStock'!AW19</f>
        <v/>
      </c>
      <c r="AZ444">
        <f>'T_TTAFStock'!AX19</f>
        <v/>
      </c>
      <c r="BA444">
        <f>'T_TTAFStock'!AY19</f>
        <v/>
      </c>
      <c r="BB444">
        <f>'T_TTAFStock'!AZ19</f>
        <v/>
      </c>
      <c r="BC444">
        <f>'T_TTAFStock'!BA19</f>
        <v/>
      </c>
      <c r="BD444">
        <f>'T_TTAFStock'!BB19</f>
        <v/>
      </c>
      <c r="BE444">
        <f>'T_TTAFStock'!BC19</f>
        <v/>
      </c>
      <c r="BF444">
        <f>'T_TTAFStock'!BD19</f>
        <v/>
      </c>
      <c r="BG444">
        <f>'T_TTAFStock'!BE19</f>
        <v/>
      </c>
      <c r="BH444">
        <f>'T_TTAFStock'!BF19</f>
        <v/>
      </c>
      <c r="BI444">
        <f>'T_TTAFStock'!BG19</f>
        <v/>
      </c>
      <c r="BJ444">
        <f>'T_TTAFStock'!BH19</f>
        <v/>
      </c>
      <c r="BK444">
        <f>'T_TTAFStock'!BI19</f>
        <v/>
      </c>
      <c r="BL444">
        <f>'T_TTAFStock'!BJ19</f>
        <v/>
      </c>
      <c r="BM444">
        <f>'T_TTAFStock'!BK19</f>
        <v/>
      </c>
      <c r="BN444">
        <f>'T_TTAFStock'!BL19</f>
        <v/>
      </c>
      <c r="BO444">
        <f>'T_TTAFStock'!BM19</f>
        <v/>
      </c>
      <c r="BP444">
        <f>'T_TTAFStock'!BN19</f>
        <v/>
      </c>
      <c r="BQ444">
        <f>'T_TTAFStock'!BO19</f>
        <v/>
      </c>
      <c r="BR444">
        <f>'T_TTAFStock'!BP19</f>
        <v/>
      </c>
      <c r="BS444">
        <f>'T_TTAFStock'!BQ19</f>
        <v/>
      </c>
      <c r="BT444">
        <f>'T_TTAFStock'!BR19</f>
        <v/>
      </c>
      <c r="BU444">
        <f>'T_TTAFStock'!BS19</f>
        <v/>
      </c>
      <c r="BV444">
        <f>'T_TTAFStock'!BT19</f>
        <v/>
      </c>
      <c r="BW444">
        <f>'T_TTAFStock'!BU19</f>
        <v/>
      </c>
      <c r="BX444">
        <f>'T_TTAFStock'!BV19</f>
        <v/>
      </c>
      <c r="BY444">
        <f>'T_TTAFStock'!BW19</f>
        <v/>
      </c>
      <c r="BZ444">
        <f>'T_TTAFStock'!BX19</f>
        <v/>
      </c>
      <c r="CA444">
        <f>'T_TTAFStock'!BY19</f>
        <v/>
      </c>
      <c r="CB444">
        <f>'T_TTAFStock'!BZ19</f>
        <v/>
      </c>
      <c r="CC444">
        <f>'T_TTAFStock'!CA19</f>
        <v/>
      </c>
      <c r="CD444">
        <f>'T_TTAFStock'!CB19</f>
        <v/>
      </c>
      <c r="CE444">
        <f>'T_TTAFStock'!CC19</f>
        <v/>
      </c>
      <c r="CF444">
        <f>'T_TTAFStock'!CD19</f>
        <v/>
      </c>
      <c r="CG444">
        <f>'T_TTAFStock'!CE19</f>
        <v/>
      </c>
      <c r="CH444">
        <f>'T_TTAFStock'!CF19</f>
        <v/>
      </c>
      <c r="CI444">
        <f>'T_TTAFStock'!CG19</f>
        <v/>
      </c>
      <c r="CJ444">
        <f>'T_TTAFStock'!CH19</f>
        <v/>
      </c>
      <c r="CK444">
        <f>'T_TTAFStock'!CI19</f>
        <v/>
      </c>
      <c r="CL444">
        <f>'T_TTAFStock'!CJ19</f>
        <v/>
      </c>
      <c r="CM444">
        <f>'T_TTAFStock'!CK19</f>
        <v/>
      </c>
      <c r="CN444">
        <f>'T_TTAFStock'!CL19</f>
        <v/>
      </c>
      <c r="CO444">
        <f>'T_TTAFStock'!CM19</f>
        <v/>
      </c>
      <c r="CP444">
        <f>'T_TTAFStock'!CN19</f>
        <v/>
      </c>
      <c r="CQ444">
        <f>'T_TTAFStock'!CO19</f>
        <v/>
      </c>
      <c r="CR444">
        <f>'T_TTAFStock'!CP19</f>
        <v/>
      </c>
      <c r="CS444">
        <f>'T_TTAFStock'!CQ19</f>
        <v/>
      </c>
      <c r="CT444">
        <f>'T_TTAFStock'!CR19</f>
        <v/>
      </c>
      <c r="CU444">
        <f>'T_TTAFStock'!CS19</f>
        <v/>
      </c>
      <c r="CV444">
        <f>'T_TTAFStock'!CT19</f>
        <v/>
      </c>
      <c r="CW444">
        <f>'T_TTAFStock'!CU19</f>
        <v/>
      </c>
      <c r="CX444">
        <f>'T_TTAFStock'!CV19</f>
        <v/>
      </c>
      <c r="CY444">
        <f>'T_TTAFStock'!CW19</f>
        <v/>
      </c>
      <c r="CZ444">
        <f>'T_TTAFStock'!CX19</f>
        <v/>
      </c>
      <c r="DA444">
        <f>'T_TTAFStock'!CY19</f>
        <v/>
      </c>
      <c r="DB444">
        <f>'T_TTAFStock'!CZ19</f>
        <v/>
      </c>
      <c r="DC444">
        <f>'T_TTAFStock'!DA19</f>
        <v/>
      </c>
    </row>
    <row r="445">
      <c r="B445" t="inlineStr">
        <is>
          <t>自社在庫(実績,kg)</t>
        </is>
      </c>
      <c r="D445">
        <f>'T_SelfStock'!B19</f>
        <v/>
      </c>
      <c r="E445">
        <f>'T_SelfStock'!C19</f>
        <v/>
      </c>
      <c r="F445">
        <f>'T_SelfStock'!D19</f>
        <v/>
      </c>
      <c r="G445">
        <f>'T_SelfStock'!E19</f>
        <v/>
      </c>
      <c r="H445">
        <f>'T_SelfStock'!F19</f>
        <v/>
      </c>
      <c r="I445">
        <f>'T_SelfStock'!G19</f>
        <v/>
      </c>
      <c r="J445">
        <f>'T_SelfStock'!H19</f>
        <v/>
      </c>
      <c r="K445">
        <f>'T_SelfStock'!I19</f>
        <v/>
      </c>
      <c r="L445">
        <f>'T_SelfStock'!J19</f>
        <v/>
      </c>
      <c r="M445">
        <f>'T_SelfStock'!K19</f>
        <v/>
      </c>
      <c r="N445">
        <f>'T_SelfStock'!L19</f>
        <v/>
      </c>
      <c r="O445">
        <f>'T_SelfStock'!M19</f>
        <v/>
      </c>
      <c r="P445">
        <f>'T_SelfStock'!N19</f>
        <v/>
      </c>
      <c r="Q445">
        <f>'T_SelfStock'!O19</f>
        <v/>
      </c>
      <c r="R445">
        <f>'T_SelfStock'!P19</f>
        <v/>
      </c>
      <c r="S445">
        <f>'T_SelfStock'!Q19</f>
        <v/>
      </c>
      <c r="T445">
        <f>'T_SelfStock'!R19</f>
        <v/>
      </c>
      <c r="U445">
        <f>'T_SelfStock'!S19</f>
        <v/>
      </c>
      <c r="V445">
        <f>'T_SelfStock'!T19</f>
        <v/>
      </c>
      <c r="W445">
        <f>'T_SelfStock'!U19</f>
        <v/>
      </c>
      <c r="X445">
        <f>'T_SelfStock'!V19</f>
        <v/>
      </c>
      <c r="Y445">
        <f>'T_SelfStock'!W19</f>
        <v/>
      </c>
      <c r="Z445">
        <f>'T_SelfStock'!X19</f>
        <v/>
      </c>
      <c r="AA445">
        <f>'T_SelfStock'!Y19</f>
        <v/>
      </c>
      <c r="AB445">
        <f>'T_SelfStock'!Z19</f>
        <v/>
      </c>
      <c r="AC445">
        <f>'T_SelfStock'!AA19</f>
        <v/>
      </c>
      <c r="AD445">
        <f>'T_SelfStock'!AB19</f>
        <v/>
      </c>
      <c r="AE445">
        <f>'T_SelfStock'!AC19</f>
        <v/>
      </c>
      <c r="AF445">
        <f>'T_SelfStock'!AD19</f>
        <v/>
      </c>
      <c r="AG445">
        <f>'T_SelfStock'!AE19</f>
        <v/>
      </c>
      <c r="AH445">
        <f>'T_SelfStock'!AF19</f>
        <v/>
      </c>
      <c r="AI445">
        <f>'T_SelfStock'!AG19</f>
        <v/>
      </c>
      <c r="AJ445">
        <f>'T_SelfStock'!AH19</f>
        <v/>
      </c>
      <c r="AK445">
        <f>'T_SelfStock'!AI19</f>
        <v/>
      </c>
      <c r="AL445">
        <f>'T_SelfStock'!AJ19</f>
        <v/>
      </c>
      <c r="AM445">
        <f>'T_SelfStock'!AK19</f>
        <v/>
      </c>
      <c r="AN445">
        <f>'T_SelfStock'!AL19</f>
        <v/>
      </c>
      <c r="AO445">
        <f>'T_SelfStock'!AM19</f>
        <v/>
      </c>
      <c r="AP445">
        <f>'T_SelfStock'!AN19</f>
        <v/>
      </c>
      <c r="AQ445">
        <f>'T_SelfStock'!AO19</f>
        <v/>
      </c>
      <c r="AR445">
        <f>'T_SelfStock'!AP19</f>
        <v/>
      </c>
      <c r="AS445">
        <f>'T_SelfStock'!AQ19</f>
        <v/>
      </c>
      <c r="AT445">
        <f>'T_SelfStock'!AR19</f>
        <v/>
      </c>
      <c r="AU445">
        <f>'T_SelfStock'!AS19</f>
        <v/>
      </c>
      <c r="AV445">
        <f>'T_SelfStock'!AT19</f>
        <v/>
      </c>
      <c r="AW445">
        <f>'T_SelfStock'!AU19</f>
        <v/>
      </c>
      <c r="AX445">
        <f>'T_SelfStock'!AV19</f>
        <v/>
      </c>
      <c r="AY445">
        <f>'T_SelfStock'!AW19</f>
        <v/>
      </c>
      <c r="AZ445">
        <f>'T_SelfStock'!AX19</f>
        <v/>
      </c>
      <c r="BA445">
        <f>'T_SelfStock'!AY19</f>
        <v/>
      </c>
      <c r="BB445">
        <f>'T_SelfStock'!AZ19</f>
        <v/>
      </c>
      <c r="BC445">
        <f>'T_SelfStock'!BA19</f>
        <v/>
      </c>
      <c r="BD445">
        <f>'T_SelfStock'!BB19</f>
        <v/>
      </c>
      <c r="BE445">
        <f>'T_SelfStock'!BC19</f>
        <v/>
      </c>
      <c r="BF445">
        <f>'T_SelfStock'!BD19</f>
        <v/>
      </c>
      <c r="BG445">
        <f>'T_SelfStock'!BE19</f>
        <v/>
      </c>
      <c r="BH445">
        <f>'T_SelfStock'!BF19</f>
        <v/>
      </c>
      <c r="BI445">
        <f>'T_SelfStock'!BG19</f>
        <v/>
      </c>
      <c r="BJ445">
        <f>'T_SelfStock'!BH19</f>
        <v/>
      </c>
      <c r="BK445">
        <f>'T_SelfStock'!BI19</f>
        <v/>
      </c>
      <c r="BL445">
        <f>'T_SelfStock'!BJ19</f>
        <v/>
      </c>
      <c r="BM445">
        <f>'T_SelfStock'!BK19</f>
        <v/>
      </c>
      <c r="BN445">
        <f>'T_SelfStock'!BL19</f>
        <v/>
      </c>
      <c r="BO445">
        <f>'T_SelfStock'!BM19</f>
        <v/>
      </c>
      <c r="BP445">
        <f>'T_SelfStock'!BN19</f>
        <v/>
      </c>
      <c r="BQ445">
        <f>'T_SelfStock'!BO19</f>
        <v/>
      </c>
      <c r="BR445">
        <f>'T_SelfStock'!BP19</f>
        <v/>
      </c>
      <c r="BS445">
        <f>'T_SelfStock'!BQ19</f>
        <v/>
      </c>
      <c r="BT445">
        <f>'T_SelfStock'!BR19</f>
        <v/>
      </c>
      <c r="BU445">
        <f>'T_SelfStock'!BS19</f>
        <v/>
      </c>
      <c r="BV445">
        <f>'T_SelfStock'!BT19</f>
        <v/>
      </c>
      <c r="BW445">
        <f>'T_SelfStock'!BU19</f>
        <v/>
      </c>
      <c r="BX445">
        <f>'T_SelfStock'!BV19</f>
        <v/>
      </c>
      <c r="BY445">
        <f>'T_SelfStock'!BW19</f>
        <v/>
      </c>
      <c r="BZ445">
        <f>'T_SelfStock'!BX19</f>
        <v/>
      </c>
      <c r="CA445">
        <f>'T_SelfStock'!BY19</f>
        <v/>
      </c>
      <c r="CB445">
        <f>'T_SelfStock'!BZ19</f>
        <v/>
      </c>
      <c r="CC445">
        <f>'T_SelfStock'!CA19</f>
        <v/>
      </c>
      <c r="CD445">
        <f>'T_SelfStock'!CB19</f>
        <v/>
      </c>
      <c r="CE445">
        <f>'T_SelfStock'!CC19</f>
        <v/>
      </c>
      <c r="CF445">
        <f>'T_SelfStock'!CD19</f>
        <v/>
      </c>
      <c r="CG445">
        <f>'T_SelfStock'!CE19</f>
        <v/>
      </c>
      <c r="CH445">
        <f>'T_SelfStock'!CF19</f>
        <v/>
      </c>
      <c r="CI445">
        <f>'T_SelfStock'!CG19</f>
        <v/>
      </c>
      <c r="CJ445">
        <f>'T_SelfStock'!CH19</f>
        <v/>
      </c>
      <c r="CK445">
        <f>'T_SelfStock'!CI19</f>
        <v/>
      </c>
      <c r="CL445">
        <f>'T_SelfStock'!CJ19</f>
        <v/>
      </c>
      <c r="CM445">
        <f>'T_SelfStock'!CK19</f>
        <v/>
      </c>
      <c r="CN445">
        <f>'T_SelfStock'!CL19</f>
        <v/>
      </c>
      <c r="CO445">
        <f>'T_SelfStock'!CM19</f>
        <v/>
      </c>
      <c r="CP445">
        <f>'T_SelfStock'!CN19</f>
        <v/>
      </c>
      <c r="CQ445">
        <f>'T_SelfStock'!CO19</f>
        <v/>
      </c>
      <c r="CR445">
        <f>'T_SelfStock'!CP19</f>
        <v/>
      </c>
      <c r="CS445">
        <f>'T_SelfStock'!CQ19</f>
        <v/>
      </c>
      <c r="CT445">
        <f>'T_SelfStock'!CR19</f>
        <v/>
      </c>
      <c r="CU445">
        <f>'T_SelfStock'!CS19</f>
        <v/>
      </c>
      <c r="CV445">
        <f>'T_SelfStock'!CT19</f>
        <v/>
      </c>
      <c r="CW445">
        <f>'T_SelfStock'!CU19</f>
        <v/>
      </c>
      <c r="CX445">
        <f>'T_SelfStock'!CV19</f>
        <v/>
      </c>
      <c r="CY445">
        <f>'T_SelfStock'!CW19</f>
        <v/>
      </c>
      <c r="CZ445">
        <f>'T_SelfStock'!CX19</f>
        <v/>
      </c>
      <c r="DA445">
        <f>'T_SelfStock'!CY19</f>
        <v/>
      </c>
      <c r="DB445">
        <f>'T_SelfStock'!CZ19</f>
        <v/>
      </c>
      <c r="DC445">
        <f>'T_SelfStock'!DA19</f>
        <v/>
      </c>
    </row>
    <row r="446">
      <c r="B446" s="4" t="inlineStr">
        <is>
          <t>合計在庫(週末時点,kg)</t>
        </is>
      </c>
      <c r="D446">
        <f>'Grid_Stock'!B15</f>
        <v/>
      </c>
      <c r="E446">
        <f>'Grid_Stock'!C15</f>
        <v/>
      </c>
      <c r="F446">
        <f>'Grid_Stock'!D15</f>
        <v/>
      </c>
      <c r="G446">
        <f>'Grid_Stock'!E15</f>
        <v/>
      </c>
      <c r="H446">
        <f>'Grid_Stock'!F15</f>
        <v/>
      </c>
      <c r="I446">
        <f>'Grid_Stock'!G15</f>
        <v/>
      </c>
      <c r="J446">
        <f>'Grid_Stock'!H15</f>
        <v/>
      </c>
      <c r="K446">
        <f>'Grid_Stock'!I15</f>
        <v/>
      </c>
      <c r="L446">
        <f>'Grid_Stock'!J15</f>
        <v/>
      </c>
      <c r="M446">
        <f>'Grid_Stock'!K15</f>
        <v/>
      </c>
      <c r="N446">
        <f>'Grid_Stock'!L15</f>
        <v/>
      </c>
      <c r="O446">
        <f>'Grid_Stock'!M15</f>
        <v/>
      </c>
      <c r="P446">
        <f>'Grid_Stock'!N15</f>
        <v/>
      </c>
      <c r="Q446">
        <f>'Grid_Stock'!O15</f>
        <v/>
      </c>
      <c r="R446">
        <f>'Grid_Stock'!P15</f>
        <v/>
      </c>
      <c r="S446">
        <f>'Grid_Stock'!Q15</f>
        <v/>
      </c>
      <c r="T446">
        <f>'Grid_Stock'!R15</f>
        <v/>
      </c>
      <c r="U446">
        <f>'Grid_Stock'!S15</f>
        <v/>
      </c>
      <c r="V446">
        <f>'Grid_Stock'!T15</f>
        <v/>
      </c>
      <c r="W446">
        <f>'Grid_Stock'!U15</f>
        <v/>
      </c>
      <c r="X446">
        <f>'Grid_Stock'!V15</f>
        <v/>
      </c>
      <c r="Y446">
        <f>'Grid_Stock'!W15</f>
        <v/>
      </c>
      <c r="Z446">
        <f>'Grid_Stock'!X15</f>
        <v/>
      </c>
      <c r="AA446">
        <f>'Grid_Stock'!Y15</f>
        <v/>
      </c>
      <c r="AB446">
        <f>'Grid_Stock'!Z15</f>
        <v/>
      </c>
      <c r="AC446">
        <f>'Grid_Stock'!AA15</f>
        <v/>
      </c>
      <c r="AD446">
        <f>'Grid_Stock'!AB15</f>
        <v/>
      </c>
      <c r="AE446">
        <f>'Grid_Stock'!AC15</f>
        <v/>
      </c>
      <c r="AF446">
        <f>'Grid_Stock'!AD15</f>
        <v/>
      </c>
      <c r="AG446">
        <f>'Grid_Stock'!AE15</f>
        <v/>
      </c>
      <c r="AH446">
        <f>'Grid_Stock'!AF15</f>
        <v/>
      </c>
      <c r="AI446">
        <f>'Grid_Stock'!AG15</f>
        <v/>
      </c>
      <c r="AJ446">
        <f>'Grid_Stock'!AH15</f>
        <v/>
      </c>
      <c r="AK446">
        <f>'Grid_Stock'!AI15</f>
        <v/>
      </c>
      <c r="AL446">
        <f>'Grid_Stock'!AJ15</f>
        <v/>
      </c>
      <c r="AM446">
        <f>'Grid_Stock'!AK15</f>
        <v/>
      </c>
      <c r="AN446">
        <f>'Grid_Stock'!AL15</f>
        <v/>
      </c>
      <c r="AO446">
        <f>'Grid_Stock'!AM15</f>
        <v/>
      </c>
      <c r="AP446">
        <f>'Grid_Stock'!AN15</f>
        <v/>
      </c>
      <c r="AQ446">
        <f>'Grid_Stock'!AO15</f>
        <v/>
      </c>
      <c r="AR446">
        <f>'Grid_Stock'!AP15</f>
        <v/>
      </c>
      <c r="AS446">
        <f>'Grid_Stock'!AQ15</f>
        <v/>
      </c>
      <c r="AT446">
        <f>'Grid_Stock'!AR15</f>
        <v/>
      </c>
      <c r="AU446">
        <f>'Grid_Stock'!AS15</f>
        <v/>
      </c>
      <c r="AV446">
        <f>'Grid_Stock'!AT15</f>
        <v/>
      </c>
      <c r="AW446">
        <f>'Grid_Stock'!AU15</f>
        <v/>
      </c>
      <c r="AX446">
        <f>'Grid_Stock'!AV15</f>
        <v/>
      </c>
      <c r="AY446">
        <f>'Grid_Stock'!AW15</f>
        <v/>
      </c>
      <c r="AZ446">
        <f>'Grid_Stock'!AX15</f>
        <v/>
      </c>
      <c r="BA446">
        <f>'Grid_Stock'!AY15</f>
        <v/>
      </c>
      <c r="BB446">
        <f>'Grid_Stock'!AZ15</f>
        <v/>
      </c>
      <c r="BC446">
        <f>'Grid_Stock'!BA15</f>
        <v/>
      </c>
      <c r="BD446">
        <f>'Grid_Stock'!BB15</f>
        <v/>
      </c>
      <c r="BE446">
        <f>'Grid_Stock'!BC15</f>
        <v/>
      </c>
      <c r="BF446">
        <f>'Grid_Stock'!BD15</f>
        <v/>
      </c>
      <c r="BG446">
        <f>'Grid_Stock'!BE15</f>
        <v/>
      </c>
      <c r="BH446">
        <f>'Grid_Stock'!BF15</f>
        <v/>
      </c>
      <c r="BI446">
        <f>'Grid_Stock'!BG15</f>
        <v/>
      </c>
      <c r="BJ446">
        <f>'Grid_Stock'!BH15</f>
        <v/>
      </c>
      <c r="BK446">
        <f>'Grid_Stock'!BI15</f>
        <v/>
      </c>
      <c r="BL446">
        <f>'Grid_Stock'!BJ15</f>
        <v/>
      </c>
      <c r="BM446">
        <f>'Grid_Stock'!BK15</f>
        <v/>
      </c>
      <c r="BN446">
        <f>'Grid_Stock'!BL15</f>
        <v/>
      </c>
      <c r="BO446">
        <f>'Grid_Stock'!BM15</f>
        <v/>
      </c>
      <c r="BP446">
        <f>'Grid_Stock'!BN15</f>
        <v/>
      </c>
      <c r="BQ446">
        <f>'Grid_Stock'!BO15</f>
        <v/>
      </c>
      <c r="BR446">
        <f>'Grid_Stock'!BP15</f>
        <v/>
      </c>
      <c r="BS446">
        <f>'Grid_Stock'!BQ15</f>
        <v/>
      </c>
      <c r="BT446">
        <f>'Grid_Stock'!BR15</f>
        <v/>
      </c>
      <c r="BU446">
        <f>'Grid_Stock'!BS15</f>
        <v/>
      </c>
      <c r="BV446">
        <f>'Grid_Stock'!BT15</f>
        <v/>
      </c>
      <c r="BW446">
        <f>'Grid_Stock'!BU15</f>
        <v/>
      </c>
      <c r="BX446">
        <f>'Grid_Stock'!BV15</f>
        <v/>
      </c>
      <c r="BY446">
        <f>'Grid_Stock'!BW15</f>
        <v/>
      </c>
      <c r="BZ446">
        <f>'Grid_Stock'!BX15</f>
        <v/>
      </c>
      <c r="CA446">
        <f>'Grid_Stock'!BY15</f>
        <v/>
      </c>
      <c r="CB446">
        <f>'Grid_Stock'!BZ15</f>
        <v/>
      </c>
      <c r="CC446">
        <f>'Grid_Stock'!CA15</f>
        <v/>
      </c>
      <c r="CD446">
        <f>'Grid_Stock'!CB15</f>
        <v/>
      </c>
      <c r="CE446">
        <f>'Grid_Stock'!CC15</f>
        <v/>
      </c>
      <c r="CF446">
        <f>'Grid_Stock'!CD15</f>
        <v/>
      </c>
      <c r="CG446">
        <f>'Grid_Stock'!CE15</f>
        <v/>
      </c>
      <c r="CH446">
        <f>'Grid_Stock'!CF15</f>
        <v/>
      </c>
      <c r="CI446">
        <f>'Grid_Stock'!CG15</f>
        <v/>
      </c>
      <c r="CJ446">
        <f>'Grid_Stock'!CH15</f>
        <v/>
      </c>
      <c r="CK446">
        <f>'Grid_Stock'!CI15</f>
        <v/>
      </c>
      <c r="CL446">
        <f>'Grid_Stock'!CJ15</f>
        <v/>
      </c>
      <c r="CM446">
        <f>'Grid_Stock'!CK15</f>
        <v/>
      </c>
      <c r="CN446">
        <f>'Grid_Stock'!CL15</f>
        <v/>
      </c>
      <c r="CO446">
        <f>'Grid_Stock'!CM15</f>
        <v/>
      </c>
      <c r="CP446">
        <f>'Grid_Stock'!CN15</f>
        <v/>
      </c>
      <c r="CQ446">
        <f>'Grid_Stock'!CO15</f>
        <v/>
      </c>
      <c r="CR446">
        <f>'Grid_Stock'!CP15</f>
        <v/>
      </c>
      <c r="CS446">
        <f>'Grid_Stock'!CQ15</f>
        <v/>
      </c>
      <c r="CT446">
        <f>'Grid_Stock'!CR15</f>
        <v/>
      </c>
      <c r="CU446">
        <f>'Grid_Stock'!CS15</f>
        <v/>
      </c>
      <c r="CV446">
        <f>'Grid_Stock'!CT15</f>
        <v/>
      </c>
      <c r="CW446">
        <f>'Grid_Stock'!CU15</f>
        <v/>
      </c>
      <c r="CX446">
        <f>'Grid_Stock'!CV15</f>
        <v/>
      </c>
      <c r="CY446">
        <f>'Grid_Stock'!CW15</f>
        <v/>
      </c>
      <c r="CZ446">
        <f>'Grid_Stock'!CX15</f>
        <v/>
      </c>
      <c r="DA446">
        <f>'Grid_Stock'!CY15</f>
        <v/>
      </c>
      <c r="DB446">
        <f>'Grid_Stock'!CZ15</f>
        <v/>
      </c>
      <c r="DC446">
        <f>'Grid_Stock'!DA15</f>
        <v/>
      </c>
    </row>
    <row r="447">
      <c r="B447" s="16" t="inlineStr">
        <is>
          <t>（発注の目安はDashboardの基準在庫[下限/上限]と色分けを参照）</t>
        </is>
      </c>
    </row>
    <row r="449">
      <c r="A449" s="14" t="inlineStr">
        <is>
          <t>CHEM-1430</t>
        </is>
      </c>
      <c r="B449" s="14" t="inlineStr">
        <is>
          <t>RCT22</t>
        </is>
      </c>
      <c r="C449" s="15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  <c r="BS449" s="14" t="n"/>
      <c r="BT449" s="14" t="n"/>
      <c r="BU449" s="14" t="n"/>
      <c r="BV449" s="14" t="n"/>
      <c r="BW449" s="14" t="n"/>
      <c r="BX449" s="14" t="n"/>
      <c r="BY449" s="14" t="n"/>
      <c r="BZ449" s="14" t="n"/>
      <c r="CA449" s="14" t="n"/>
      <c r="CB449" s="14" t="n"/>
      <c r="CC449" s="14" t="n"/>
      <c r="CD449" s="14" t="n"/>
      <c r="CE449" s="14" t="n"/>
      <c r="CF449" s="14" t="n"/>
      <c r="CG449" s="14" t="n"/>
      <c r="CH449" s="14" t="n"/>
      <c r="CI449" s="14" t="n"/>
      <c r="CJ449" s="14" t="n"/>
      <c r="CK449" s="14" t="n"/>
      <c r="CL449" s="14" t="n"/>
      <c r="CM449" s="14" t="n"/>
      <c r="CN449" s="14" t="n"/>
      <c r="CO449" s="14" t="n"/>
      <c r="CP449" s="14" t="n"/>
      <c r="CQ449" s="14" t="n"/>
      <c r="CR449" s="14" t="n"/>
      <c r="CS449" s="14" t="n"/>
      <c r="CT449" s="14" t="n"/>
      <c r="CU449" s="14" t="n"/>
      <c r="CV449" s="14" t="n"/>
      <c r="CW449" s="14" t="n"/>
      <c r="CX449" s="14" t="n"/>
      <c r="CY449" s="14" t="n"/>
      <c r="CZ449" s="14" t="n"/>
      <c r="DA449" s="14" t="n"/>
      <c r="DB449" s="14" t="n"/>
      <c r="DC449" s="14" t="n"/>
    </row>
    <row r="450">
      <c r="B450" t="inlineStr">
        <is>
          <t>TSP-050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Name],$A449)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TSP-078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Name],$A449)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TSP-080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Name],$A449)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Name],$A449)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TSP-089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Name],$A449)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TSP-105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Name],$A449)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TSP-225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Name],$A449)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s="4" t="inlineStr">
        <is>
          <t>合計使用量(kg)/週</t>
        </is>
      </c>
      <c r="D464">
        <f>'Grid_Requirement'!B32</f>
        <v/>
      </c>
      <c r="E464">
        <f>'Grid_Requirement'!C32</f>
        <v/>
      </c>
      <c r="F464">
        <f>'Grid_Requirement'!D32</f>
        <v/>
      </c>
      <c r="G464">
        <f>'Grid_Requirement'!E32</f>
        <v/>
      </c>
      <c r="H464">
        <f>'Grid_Requirement'!F32</f>
        <v/>
      </c>
      <c r="I464">
        <f>'Grid_Requirement'!G32</f>
        <v/>
      </c>
      <c r="J464">
        <f>'Grid_Requirement'!H32</f>
        <v/>
      </c>
      <c r="K464">
        <f>'Grid_Requirement'!I32</f>
        <v/>
      </c>
      <c r="L464">
        <f>'Grid_Requirement'!J32</f>
        <v/>
      </c>
      <c r="M464">
        <f>'Grid_Requirement'!K32</f>
        <v/>
      </c>
      <c r="N464">
        <f>'Grid_Requirement'!L32</f>
        <v/>
      </c>
      <c r="O464">
        <f>'Grid_Requirement'!M32</f>
        <v/>
      </c>
      <c r="P464">
        <f>'Grid_Requirement'!N32</f>
        <v/>
      </c>
      <c r="Q464">
        <f>'Grid_Requirement'!O32</f>
        <v/>
      </c>
      <c r="R464">
        <f>'Grid_Requirement'!P32</f>
        <v/>
      </c>
      <c r="S464">
        <f>'Grid_Requirement'!Q32</f>
        <v/>
      </c>
      <c r="T464">
        <f>'Grid_Requirement'!R32</f>
        <v/>
      </c>
      <c r="U464">
        <f>'Grid_Requirement'!S32</f>
        <v/>
      </c>
      <c r="V464">
        <f>'Grid_Requirement'!T32</f>
        <v/>
      </c>
      <c r="W464">
        <f>'Grid_Requirement'!U32</f>
        <v/>
      </c>
      <c r="X464">
        <f>'Grid_Requirement'!V32</f>
        <v/>
      </c>
      <c r="Y464">
        <f>'Grid_Requirement'!W32</f>
        <v/>
      </c>
      <c r="Z464">
        <f>'Grid_Requirement'!X32</f>
        <v/>
      </c>
      <c r="AA464">
        <f>'Grid_Requirement'!Y32</f>
        <v/>
      </c>
      <c r="AB464">
        <f>'Grid_Requirement'!Z32</f>
        <v/>
      </c>
      <c r="AC464">
        <f>'Grid_Requirement'!AA32</f>
        <v/>
      </c>
      <c r="AD464">
        <f>'Grid_Requirement'!AB32</f>
        <v/>
      </c>
      <c r="AE464">
        <f>'Grid_Requirement'!AC32</f>
        <v/>
      </c>
      <c r="AF464">
        <f>'Grid_Requirement'!AD32</f>
        <v/>
      </c>
      <c r="AG464">
        <f>'Grid_Requirement'!AE32</f>
        <v/>
      </c>
      <c r="AH464">
        <f>'Grid_Requirement'!AF32</f>
        <v/>
      </c>
      <c r="AI464">
        <f>'Grid_Requirement'!AG32</f>
        <v/>
      </c>
      <c r="AJ464">
        <f>'Grid_Requirement'!AH32</f>
        <v/>
      </c>
      <c r="AK464">
        <f>'Grid_Requirement'!AI32</f>
        <v/>
      </c>
      <c r="AL464">
        <f>'Grid_Requirement'!AJ32</f>
        <v/>
      </c>
      <c r="AM464">
        <f>'Grid_Requirement'!AK32</f>
        <v/>
      </c>
      <c r="AN464">
        <f>'Grid_Requirement'!AL32</f>
        <v/>
      </c>
      <c r="AO464">
        <f>'Grid_Requirement'!AM32</f>
        <v/>
      </c>
      <c r="AP464">
        <f>'Grid_Requirement'!AN32</f>
        <v/>
      </c>
      <c r="AQ464">
        <f>'Grid_Requirement'!AO32</f>
        <v/>
      </c>
      <c r="AR464">
        <f>'Grid_Requirement'!AP32</f>
        <v/>
      </c>
      <c r="AS464">
        <f>'Grid_Requirement'!AQ32</f>
        <v/>
      </c>
      <c r="AT464">
        <f>'Grid_Requirement'!AR32</f>
        <v/>
      </c>
      <c r="AU464">
        <f>'Grid_Requirement'!AS32</f>
        <v/>
      </c>
      <c r="AV464">
        <f>'Grid_Requirement'!AT32</f>
        <v/>
      </c>
      <c r="AW464">
        <f>'Grid_Requirement'!AU32</f>
        <v/>
      </c>
      <c r="AX464">
        <f>'Grid_Requirement'!AV32</f>
        <v/>
      </c>
      <c r="AY464">
        <f>'Grid_Requirement'!AW32</f>
        <v/>
      </c>
      <c r="AZ464">
        <f>'Grid_Requirement'!AX32</f>
        <v/>
      </c>
      <c r="BA464">
        <f>'Grid_Requirement'!AY32</f>
        <v/>
      </c>
      <c r="BB464">
        <f>'Grid_Requirement'!AZ32</f>
        <v/>
      </c>
      <c r="BC464">
        <f>'Grid_Requirement'!BA32</f>
        <v/>
      </c>
      <c r="BD464">
        <f>'Grid_Requirement'!BB32</f>
        <v/>
      </c>
      <c r="BE464">
        <f>'Grid_Requirement'!BC32</f>
        <v/>
      </c>
      <c r="BF464">
        <f>'Grid_Requirement'!BD32</f>
        <v/>
      </c>
      <c r="BG464">
        <f>'Grid_Requirement'!BE32</f>
        <v/>
      </c>
      <c r="BH464">
        <f>'Grid_Requirement'!BF32</f>
        <v/>
      </c>
      <c r="BI464">
        <f>'Grid_Requirement'!BG32</f>
        <v/>
      </c>
      <c r="BJ464">
        <f>'Grid_Requirement'!BH32</f>
        <v/>
      </c>
      <c r="BK464">
        <f>'Grid_Requirement'!BI32</f>
        <v/>
      </c>
      <c r="BL464">
        <f>'Grid_Requirement'!BJ32</f>
        <v/>
      </c>
      <c r="BM464">
        <f>'Grid_Requirement'!BK32</f>
        <v/>
      </c>
      <c r="BN464">
        <f>'Grid_Requirement'!BL32</f>
        <v/>
      </c>
      <c r="BO464">
        <f>'Grid_Requirement'!BM32</f>
        <v/>
      </c>
      <c r="BP464">
        <f>'Grid_Requirement'!BN32</f>
        <v/>
      </c>
      <c r="BQ464">
        <f>'Grid_Requirement'!BO32</f>
        <v/>
      </c>
      <c r="BR464">
        <f>'Grid_Requirement'!BP32</f>
        <v/>
      </c>
      <c r="BS464">
        <f>'Grid_Requirement'!BQ32</f>
        <v/>
      </c>
      <c r="BT464">
        <f>'Grid_Requirement'!BR32</f>
        <v/>
      </c>
      <c r="BU464">
        <f>'Grid_Requirement'!BS32</f>
        <v/>
      </c>
      <c r="BV464">
        <f>'Grid_Requirement'!BT32</f>
        <v/>
      </c>
      <c r="BW464">
        <f>'Grid_Requirement'!BU32</f>
        <v/>
      </c>
      <c r="BX464">
        <f>'Grid_Requirement'!BV32</f>
        <v/>
      </c>
      <c r="BY464">
        <f>'Grid_Requirement'!BW32</f>
        <v/>
      </c>
      <c r="BZ464">
        <f>'Grid_Requirement'!BX32</f>
        <v/>
      </c>
      <c r="CA464">
        <f>'Grid_Requirement'!BY32</f>
        <v/>
      </c>
      <c r="CB464">
        <f>'Grid_Requirement'!BZ32</f>
        <v/>
      </c>
      <c r="CC464">
        <f>'Grid_Requirement'!CA32</f>
        <v/>
      </c>
      <c r="CD464">
        <f>'Grid_Requirement'!CB32</f>
        <v/>
      </c>
      <c r="CE464">
        <f>'Grid_Requirement'!CC32</f>
        <v/>
      </c>
      <c r="CF464">
        <f>'Grid_Requirement'!CD32</f>
        <v/>
      </c>
      <c r="CG464">
        <f>'Grid_Requirement'!CE32</f>
        <v/>
      </c>
      <c r="CH464">
        <f>'Grid_Requirement'!CF32</f>
        <v/>
      </c>
      <c r="CI464">
        <f>'Grid_Requirement'!CG32</f>
        <v/>
      </c>
      <c r="CJ464">
        <f>'Grid_Requirement'!CH32</f>
        <v/>
      </c>
      <c r="CK464">
        <f>'Grid_Requirement'!CI32</f>
        <v/>
      </c>
      <c r="CL464">
        <f>'Grid_Requirement'!CJ32</f>
        <v/>
      </c>
      <c r="CM464">
        <f>'Grid_Requirement'!CK32</f>
        <v/>
      </c>
      <c r="CN464">
        <f>'Grid_Requirement'!CL32</f>
        <v/>
      </c>
      <c r="CO464">
        <f>'Grid_Requirement'!CM32</f>
        <v/>
      </c>
      <c r="CP464">
        <f>'Grid_Requirement'!CN32</f>
        <v/>
      </c>
      <c r="CQ464">
        <f>'Grid_Requirement'!CO32</f>
        <v/>
      </c>
      <c r="CR464">
        <f>'Grid_Requirement'!CP32</f>
        <v/>
      </c>
      <c r="CS464">
        <f>'Grid_Requirement'!CQ32</f>
        <v/>
      </c>
      <c r="CT464">
        <f>'Grid_Requirement'!CR32</f>
        <v/>
      </c>
      <c r="CU464">
        <f>'Grid_Requirement'!CS32</f>
        <v/>
      </c>
      <c r="CV464">
        <f>'Grid_Requirement'!CT32</f>
        <v/>
      </c>
      <c r="CW464">
        <f>'Grid_Requirement'!CU32</f>
        <v/>
      </c>
      <c r="CX464">
        <f>'Grid_Requirement'!CV32</f>
        <v/>
      </c>
      <c r="CY464">
        <f>'Grid_Requirement'!CW32</f>
        <v/>
      </c>
      <c r="CZ464">
        <f>'Grid_Requirement'!CX32</f>
        <v/>
      </c>
      <c r="DA464">
        <f>'Grid_Requirement'!CY32</f>
        <v/>
      </c>
      <c r="DB464">
        <f>'Grid_Requirement'!CZ32</f>
        <v/>
      </c>
      <c r="DC464">
        <f>'Grid_Requirement'!DA32</f>
        <v/>
      </c>
    </row>
    <row r="465">
      <c r="B465" t="inlineStr">
        <is>
          <t>TTAF在庫(実績,kg)</t>
        </is>
      </c>
      <c r="D465">
        <f>'T_TTAFStock'!B36</f>
        <v/>
      </c>
      <c r="E465">
        <f>'T_TTAFStock'!C36</f>
        <v/>
      </c>
      <c r="F465">
        <f>'T_TTAFStock'!D36</f>
        <v/>
      </c>
      <c r="G465">
        <f>'T_TTAFStock'!E36</f>
        <v/>
      </c>
      <c r="H465">
        <f>'T_TTAFStock'!F36</f>
        <v/>
      </c>
      <c r="I465">
        <f>'T_TTAFStock'!G36</f>
        <v/>
      </c>
      <c r="J465">
        <f>'T_TTAFStock'!H36</f>
        <v/>
      </c>
      <c r="K465">
        <f>'T_TTAFStock'!I36</f>
        <v/>
      </c>
      <c r="L465">
        <f>'T_TTAFStock'!J36</f>
        <v/>
      </c>
      <c r="M465">
        <f>'T_TTAFStock'!K36</f>
        <v/>
      </c>
      <c r="N465">
        <f>'T_TTAFStock'!L36</f>
        <v/>
      </c>
      <c r="O465">
        <f>'T_TTAFStock'!M36</f>
        <v/>
      </c>
      <c r="P465">
        <f>'T_TTAFStock'!N36</f>
        <v/>
      </c>
      <c r="Q465">
        <f>'T_TTAFStock'!O36</f>
        <v/>
      </c>
      <c r="R465">
        <f>'T_TTAFStock'!P36</f>
        <v/>
      </c>
      <c r="S465">
        <f>'T_TTAFStock'!Q36</f>
        <v/>
      </c>
      <c r="T465">
        <f>'T_TTAFStock'!R36</f>
        <v/>
      </c>
      <c r="U465">
        <f>'T_TTAFStock'!S36</f>
        <v/>
      </c>
      <c r="V465">
        <f>'T_TTAFStock'!T36</f>
        <v/>
      </c>
      <c r="W465">
        <f>'T_TTAFStock'!U36</f>
        <v/>
      </c>
      <c r="X465">
        <f>'T_TTAFStock'!V36</f>
        <v/>
      </c>
      <c r="Y465">
        <f>'T_TTAFStock'!W36</f>
        <v/>
      </c>
      <c r="Z465">
        <f>'T_TTAFStock'!X36</f>
        <v/>
      </c>
      <c r="AA465">
        <f>'T_TTAFStock'!Y36</f>
        <v/>
      </c>
      <c r="AB465">
        <f>'T_TTAFStock'!Z36</f>
        <v/>
      </c>
      <c r="AC465">
        <f>'T_TTAFStock'!AA36</f>
        <v/>
      </c>
      <c r="AD465">
        <f>'T_TTAFStock'!AB36</f>
        <v/>
      </c>
      <c r="AE465">
        <f>'T_TTAFStock'!AC36</f>
        <v/>
      </c>
      <c r="AF465">
        <f>'T_TTAFStock'!AD36</f>
        <v/>
      </c>
      <c r="AG465">
        <f>'T_TTAFStock'!AE36</f>
        <v/>
      </c>
      <c r="AH465">
        <f>'T_TTAFStock'!AF36</f>
        <v/>
      </c>
      <c r="AI465">
        <f>'T_TTAFStock'!AG36</f>
        <v/>
      </c>
      <c r="AJ465">
        <f>'T_TTAFStock'!AH36</f>
        <v/>
      </c>
      <c r="AK465">
        <f>'T_TTAFStock'!AI36</f>
        <v/>
      </c>
      <c r="AL465">
        <f>'T_TTAFStock'!AJ36</f>
        <v/>
      </c>
      <c r="AM465">
        <f>'T_TTAFStock'!AK36</f>
        <v/>
      </c>
      <c r="AN465">
        <f>'T_TTAFStock'!AL36</f>
        <v/>
      </c>
      <c r="AO465">
        <f>'T_TTAFStock'!AM36</f>
        <v/>
      </c>
      <c r="AP465">
        <f>'T_TTAFStock'!AN36</f>
        <v/>
      </c>
      <c r="AQ465">
        <f>'T_TTAFStock'!AO36</f>
        <v/>
      </c>
      <c r="AR465">
        <f>'T_TTAFStock'!AP36</f>
        <v/>
      </c>
      <c r="AS465">
        <f>'T_TTAFStock'!AQ36</f>
        <v/>
      </c>
      <c r="AT465">
        <f>'T_TTAFStock'!AR36</f>
        <v/>
      </c>
      <c r="AU465">
        <f>'T_TTAFStock'!AS36</f>
        <v/>
      </c>
      <c r="AV465">
        <f>'T_TTAFStock'!AT36</f>
        <v/>
      </c>
      <c r="AW465">
        <f>'T_TTAFStock'!AU36</f>
        <v/>
      </c>
      <c r="AX465">
        <f>'T_TTAFStock'!AV36</f>
        <v/>
      </c>
      <c r="AY465">
        <f>'T_TTAFStock'!AW36</f>
        <v/>
      </c>
      <c r="AZ465">
        <f>'T_TTAFStock'!AX36</f>
        <v/>
      </c>
      <c r="BA465">
        <f>'T_TTAFStock'!AY36</f>
        <v/>
      </c>
      <c r="BB465">
        <f>'T_TTAFStock'!AZ36</f>
        <v/>
      </c>
      <c r="BC465">
        <f>'T_TTAFStock'!BA36</f>
        <v/>
      </c>
      <c r="BD465">
        <f>'T_TTAFStock'!BB36</f>
        <v/>
      </c>
      <c r="BE465">
        <f>'T_TTAFStock'!BC36</f>
        <v/>
      </c>
      <c r="BF465">
        <f>'T_TTAFStock'!BD36</f>
        <v/>
      </c>
      <c r="BG465">
        <f>'T_TTAFStock'!BE36</f>
        <v/>
      </c>
      <c r="BH465">
        <f>'T_TTAFStock'!BF36</f>
        <v/>
      </c>
      <c r="BI465">
        <f>'T_TTAFStock'!BG36</f>
        <v/>
      </c>
      <c r="BJ465">
        <f>'T_TTAFStock'!BH36</f>
        <v/>
      </c>
      <c r="BK465">
        <f>'T_TTAFStock'!BI36</f>
        <v/>
      </c>
      <c r="BL465">
        <f>'T_TTAFStock'!BJ36</f>
        <v/>
      </c>
      <c r="BM465">
        <f>'T_TTAFStock'!BK36</f>
        <v/>
      </c>
      <c r="BN465">
        <f>'T_TTAFStock'!BL36</f>
        <v/>
      </c>
      <c r="BO465">
        <f>'T_TTAFStock'!BM36</f>
        <v/>
      </c>
      <c r="BP465">
        <f>'T_TTAFStock'!BN36</f>
        <v/>
      </c>
      <c r="BQ465">
        <f>'T_TTAFStock'!BO36</f>
        <v/>
      </c>
      <c r="BR465">
        <f>'T_TTAFStock'!BP36</f>
        <v/>
      </c>
      <c r="BS465">
        <f>'T_TTAFStock'!BQ36</f>
        <v/>
      </c>
      <c r="BT465">
        <f>'T_TTAFStock'!BR36</f>
        <v/>
      </c>
      <c r="BU465">
        <f>'T_TTAFStock'!BS36</f>
        <v/>
      </c>
      <c r="BV465">
        <f>'T_TTAFStock'!BT36</f>
        <v/>
      </c>
      <c r="BW465">
        <f>'T_TTAFStock'!BU36</f>
        <v/>
      </c>
      <c r="BX465">
        <f>'T_TTAFStock'!BV36</f>
        <v/>
      </c>
      <c r="BY465">
        <f>'T_TTAFStock'!BW36</f>
        <v/>
      </c>
      <c r="BZ465">
        <f>'T_TTAFStock'!BX36</f>
        <v/>
      </c>
      <c r="CA465">
        <f>'T_TTAFStock'!BY36</f>
        <v/>
      </c>
      <c r="CB465">
        <f>'T_TTAFStock'!BZ36</f>
        <v/>
      </c>
      <c r="CC465">
        <f>'T_TTAFStock'!CA36</f>
        <v/>
      </c>
      <c r="CD465">
        <f>'T_TTAFStock'!CB36</f>
        <v/>
      </c>
      <c r="CE465">
        <f>'T_TTAFStock'!CC36</f>
        <v/>
      </c>
      <c r="CF465">
        <f>'T_TTAFStock'!CD36</f>
        <v/>
      </c>
      <c r="CG465">
        <f>'T_TTAFStock'!CE36</f>
        <v/>
      </c>
      <c r="CH465">
        <f>'T_TTAFStock'!CF36</f>
        <v/>
      </c>
      <c r="CI465">
        <f>'T_TTAFStock'!CG36</f>
        <v/>
      </c>
      <c r="CJ465">
        <f>'T_TTAFStock'!CH36</f>
        <v/>
      </c>
      <c r="CK465">
        <f>'T_TTAFStock'!CI36</f>
        <v/>
      </c>
      <c r="CL465">
        <f>'T_TTAFStock'!CJ36</f>
        <v/>
      </c>
      <c r="CM465">
        <f>'T_TTAFStock'!CK36</f>
        <v/>
      </c>
      <c r="CN465">
        <f>'T_TTAFStock'!CL36</f>
        <v/>
      </c>
      <c r="CO465">
        <f>'T_TTAFStock'!CM36</f>
        <v/>
      </c>
      <c r="CP465">
        <f>'T_TTAFStock'!CN36</f>
        <v/>
      </c>
      <c r="CQ465">
        <f>'T_TTAFStock'!CO36</f>
        <v/>
      </c>
      <c r="CR465">
        <f>'T_TTAFStock'!CP36</f>
        <v/>
      </c>
      <c r="CS465">
        <f>'T_TTAFStock'!CQ36</f>
        <v/>
      </c>
      <c r="CT465">
        <f>'T_TTAFStock'!CR36</f>
        <v/>
      </c>
      <c r="CU465">
        <f>'T_TTAFStock'!CS36</f>
        <v/>
      </c>
      <c r="CV465">
        <f>'T_TTAFStock'!CT36</f>
        <v/>
      </c>
      <c r="CW465">
        <f>'T_TTAFStock'!CU36</f>
        <v/>
      </c>
      <c r="CX465">
        <f>'T_TTAFStock'!CV36</f>
        <v/>
      </c>
      <c r="CY465">
        <f>'T_TTAFStock'!CW36</f>
        <v/>
      </c>
      <c r="CZ465">
        <f>'T_TTAFStock'!CX36</f>
        <v/>
      </c>
      <c r="DA465">
        <f>'T_TTAFStock'!CY36</f>
        <v/>
      </c>
      <c r="DB465">
        <f>'T_TTAFStock'!CZ36</f>
        <v/>
      </c>
      <c r="DC465">
        <f>'T_TTAFStock'!DA36</f>
        <v/>
      </c>
    </row>
    <row r="466">
      <c r="B466" t="inlineStr">
        <is>
          <t>自社在庫(実績,kg)</t>
        </is>
      </c>
      <c r="D466">
        <f>'T_SelfStock'!B36</f>
        <v/>
      </c>
      <c r="E466">
        <f>'T_SelfStock'!C36</f>
        <v/>
      </c>
      <c r="F466">
        <f>'T_SelfStock'!D36</f>
        <v/>
      </c>
      <c r="G466">
        <f>'T_SelfStock'!E36</f>
        <v/>
      </c>
      <c r="H466">
        <f>'T_SelfStock'!F36</f>
        <v/>
      </c>
      <c r="I466">
        <f>'T_SelfStock'!G36</f>
        <v/>
      </c>
      <c r="J466">
        <f>'T_SelfStock'!H36</f>
        <v/>
      </c>
      <c r="K466">
        <f>'T_SelfStock'!I36</f>
        <v/>
      </c>
      <c r="L466">
        <f>'T_SelfStock'!J36</f>
        <v/>
      </c>
      <c r="M466">
        <f>'T_SelfStock'!K36</f>
        <v/>
      </c>
      <c r="N466">
        <f>'T_SelfStock'!L36</f>
        <v/>
      </c>
      <c r="O466">
        <f>'T_SelfStock'!M36</f>
        <v/>
      </c>
      <c r="P466">
        <f>'T_SelfStock'!N36</f>
        <v/>
      </c>
      <c r="Q466">
        <f>'T_SelfStock'!O36</f>
        <v/>
      </c>
      <c r="R466">
        <f>'T_SelfStock'!P36</f>
        <v/>
      </c>
      <c r="S466">
        <f>'T_SelfStock'!Q36</f>
        <v/>
      </c>
      <c r="T466">
        <f>'T_SelfStock'!R36</f>
        <v/>
      </c>
      <c r="U466">
        <f>'T_SelfStock'!S36</f>
        <v/>
      </c>
      <c r="V466">
        <f>'T_SelfStock'!T36</f>
        <v/>
      </c>
      <c r="W466">
        <f>'T_SelfStock'!U36</f>
        <v/>
      </c>
      <c r="X466">
        <f>'T_SelfStock'!V36</f>
        <v/>
      </c>
      <c r="Y466">
        <f>'T_SelfStock'!W36</f>
        <v/>
      </c>
      <c r="Z466">
        <f>'T_SelfStock'!X36</f>
        <v/>
      </c>
      <c r="AA466">
        <f>'T_SelfStock'!Y36</f>
        <v/>
      </c>
      <c r="AB466">
        <f>'T_SelfStock'!Z36</f>
        <v/>
      </c>
      <c r="AC466">
        <f>'T_SelfStock'!AA36</f>
        <v/>
      </c>
      <c r="AD466">
        <f>'T_SelfStock'!AB36</f>
        <v/>
      </c>
      <c r="AE466">
        <f>'T_SelfStock'!AC36</f>
        <v/>
      </c>
      <c r="AF466">
        <f>'T_SelfStock'!AD36</f>
        <v/>
      </c>
      <c r="AG466">
        <f>'T_SelfStock'!AE36</f>
        <v/>
      </c>
      <c r="AH466">
        <f>'T_SelfStock'!AF36</f>
        <v/>
      </c>
      <c r="AI466">
        <f>'T_SelfStock'!AG36</f>
        <v/>
      </c>
      <c r="AJ466">
        <f>'T_SelfStock'!AH36</f>
        <v/>
      </c>
      <c r="AK466">
        <f>'T_SelfStock'!AI36</f>
        <v/>
      </c>
      <c r="AL466">
        <f>'T_SelfStock'!AJ36</f>
        <v/>
      </c>
      <c r="AM466">
        <f>'T_SelfStock'!AK36</f>
        <v/>
      </c>
      <c r="AN466">
        <f>'T_SelfStock'!AL36</f>
        <v/>
      </c>
      <c r="AO466">
        <f>'T_SelfStock'!AM36</f>
        <v/>
      </c>
      <c r="AP466">
        <f>'T_SelfStock'!AN36</f>
        <v/>
      </c>
      <c r="AQ466">
        <f>'T_SelfStock'!AO36</f>
        <v/>
      </c>
      <c r="AR466">
        <f>'T_SelfStock'!AP36</f>
        <v/>
      </c>
      <c r="AS466">
        <f>'T_SelfStock'!AQ36</f>
        <v/>
      </c>
      <c r="AT466">
        <f>'T_SelfStock'!AR36</f>
        <v/>
      </c>
      <c r="AU466">
        <f>'T_SelfStock'!AS36</f>
        <v/>
      </c>
      <c r="AV466">
        <f>'T_SelfStock'!AT36</f>
        <v/>
      </c>
      <c r="AW466">
        <f>'T_SelfStock'!AU36</f>
        <v/>
      </c>
      <c r="AX466">
        <f>'T_SelfStock'!AV36</f>
        <v/>
      </c>
      <c r="AY466">
        <f>'T_SelfStock'!AW36</f>
        <v/>
      </c>
      <c r="AZ466">
        <f>'T_SelfStock'!AX36</f>
        <v/>
      </c>
      <c r="BA466">
        <f>'T_SelfStock'!AY36</f>
        <v/>
      </c>
      <c r="BB466">
        <f>'T_SelfStock'!AZ36</f>
        <v/>
      </c>
      <c r="BC466">
        <f>'T_SelfStock'!BA36</f>
        <v/>
      </c>
      <c r="BD466">
        <f>'T_SelfStock'!BB36</f>
        <v/>
      </c>
      <c r="BE466">
        <f>'T_SelfStock'!BC36</f>
        <v/>
      </c>
      <c r="BF466">
        <f>'T_SelfStock'!BD36</f>
        <v/>
      </c>
      <c r="BG466">
        <f>'T_SelfStock'!BE36</f>
        <v/>
      </c>
      <c r="BH466">
        <f>'T_SelfStock'!BF36</f>
        <v/>
      </c>
      <c r="BI466">
        <f>'T_SelfStock'!BG36</f>
        <v/>
      </c>
      <c r="BJ466">
        <f>'T_SelfStock'!BH36</f>
        <v/>
      </c>
      <c r="BK466">
        <f>'T_SelfStock'!BI36</f>
        <v/>
      </c>
      <c r="BL466">
        <f>'T_SelfStock'!BJ36</f>
        <v/>
      </c>
      <c r="BM466">
        <f>'T_SelfStock'!BK36</f>
        <v/>
      </c>
      <c r="BN466">
        <f>'T_SelfStock'!BL36</f>
        <v/>
      </c>
      <c r="BO466">
        <f>'T_SelfStock'!BM36</f>
        <v/>
      </c>
      <c r="BP466">
        <f>'T_SelfStock'!BN36</f>
        <v/>
      </c>
      <c r="BQ466">
        <f>'T_SelfStock'!BO36</f>
        <v/>
      </c>
      <c r="BR466">
        <f>'T_SelfStock'!BP36</f>
        <v/>
      </c>
      <c r="BS466">
        <f>'T_SelfStock'!BQ36</f>
        <v/>
      </c>
      <c r="BT466">
        <f>'T_SelfStock'!BR36</f>
        <v/>
      </c>
      <c r="BU466">
        <f>'T_SelfStock'!BS36</f>
        <v/>
      </c>
      <c r="BV466">
        <f>'T_SelfStock'!BT36</f>
        <v/>
      </c>
      <c r="BW466">
        <f>'T_SelfStock'!BU36</f>
        <v/>
      </c>
      <c r="BX466">
        <f>'T_SelfStock'!BV36</f>
        <v/>
      </c>
      <c r="BY466">
        <f>'T_SelfStock'!BW36</f>
        <v/>
      </c>
      <c r="BZ466">
        <f>'T_SelfStock'!BX36</f>
        <v/>
      </c>
      <c r="CA466">
        <f>'T_SelfStock'!BY36</f>
        <v/>
      </c>
      <c r="CB466">
        <f>'T_SelfStock'!BZ36</f>
        <v/>
      </c>
      <c r="CC466">
        <f>'T_SelfStock'!CA36</f>
        <v/>
      </c>
      <c r="CD466">
        <f>'T_SelfStock'!CB36</f>
        <v/>
      </c>
      <c r="CE466">
        <f>'T_SelfStock'!CC36</f>
        <v/>
      </c>
      <c r="CF466">
        <f>'T_SelfStock'!CD36</f>
        <v/>
      </c>
      <c r="CG466">
        <f>'T_SelfStock'!CE36</f>
        <v/>
      </c>
      <c r="CH466">
        <f>'T_SelfStock'!CF36</f>
        <v/>
      </c>
      <c r="CI466">
        <f>'T_SelfStock'!CG36</f>
        <v/>
      </c>
      <c r="CJ466">
        <f>'T_SelfStock'!CH36</f>
        <v/>
      </c>
      <c r="CK466">
        <f>'T_SelfStock'!CI36</f>
        <v/>
      </c>
      <c r="CL466">
        <f>'T_SelfStock'!CJ36</f>
        <v/>
      </c>
      <c r="CM466">
        <f>'T_SelfStock'!CK36</f>
        <v/>
      </c>
      <c r="CN466">
        <f>'T_SelfStock'!CL36</f>
        <v/>
      </c>
      <c r="CO466">
        <f>'T_SelfStock'!CM36</f>
        <v/>
      </c>
      <c r="CP466">
        <f>'T_SelfStock'!CN36</f>
        <v/>
      </c>
      <c r="CQ466">
        <f>'T_SelfStock'!CO36</f>
        <v/>
      </c>
      <c r="CR466">
        <f>'T_SelfStock'!CP36</f>
        <v/>
      </c>
      <c r="CS466">
        <f>'T_SelfStock'!CQ36</f>
        <v/>
      </c>
      <c r="CT466">
        <f>'T_SelfStock'!CR36</f>
        <v/>
      </c>
      <c r="CU466">
        <f>'T_SelfStock'!CS36</f>
        <v/>
      </c>
      <c r="CV466">
        <f>'T_SelfStock'!CT36</f>
        <v/>
      </c>
      <c r="CW466">
        <f>'T_SelfStock'!CU36</f>
        <v/>
      </c>
      <c r="CX466">
        <f>'T_SelfStock'!CV36</f>
        <v/>
      </c>
      <c r="CY466">
        <f>'T_SelfStock'!CW36</f>
        <v/>
      </c>
      <c r="CZ466">
        <f>'T_SelfStock'!CX36</f>
        <v/>
      </c>
      <c r="DA466">
        <f>'T_SelfStock'!CY36</f>
        <v/>
      </c>
      <c r="DB466">
        <f>'T_SelfStock'!CZ36</f>
        <v/>
      </c>
      <c r="DC466">
        <f>'T_SelfStock'!DA36</f>
        <v/>
      </c>
    </row>
    <row r="467">
      <c r="B467" s="4" t="inlineStr">
        <is>
          <t>合計在庫(週末時点,kg)</t>
        </is>
      </c>
      <c r="D467">
        <f>'Grid_Stock'!B32</f>
        <v/>
      </c>
      <c r="E467">
        <f>'Grid_Stock'!C32</f>
        <v/>
      </c>
      <c r="F467">
        <f>'Grid_Stock'!D32</f>
        <v/>
      </c>
      <c r="G467">
        <f>'Grid_Stock'!E32</f>
        <v/>
      </c>
      <c r="H467">
        <f>'Grid_Stock'!F32</f>
        <v/>
      </c>
      <c r="I467">
        <f>'Grid_Stock'!G32</f>
        <v/>
      </c>
      <c r="J467">
        <f>'Grid_Stock'!H32</f>
        <v/>
      </c>
      <c r="K467">
        <f>'Grid_Stock'!I32</f>
        <v/>
      </c>
      <c r="L467">
        <f>'Grid_Stock'!J32</f>
        <v/>
      </c>
      <c r="M467">
        <f>'Grid_Stock'!K32</f>
        <v/>
      </c>
      <c r="N467">
        <f>'Grid_Stock'!L32</f>
        <v/>
      </c>
      <c r="O467">
        <f>'Grid_Stock'!M32</f>
        <v/>
      </c>
      <c r="P467">
        <f>'Grid_Stock'!N32</f>
        <v/>
      </c>
      <c r="Q467">
        <f>'Grid_Stock'!O32</f>
        <v/>
      </c>
      <c r="R467">
        <f>'Grid_Stock'!P32</f>
        <v/>
      </c>
      <c r="S467">
        <f>'Grid_Stock'!Q32</f>
        <v/>
      </c>
      <c r="T467">
        <f>'Grid_Stock'!R32</f>
        <v/>
      </c>
      <c r="U467">
        <f>'Grid_Stock'!S32</f>
        <v/>
      </c>
      <c r="V467">
        <f>'Grid_Stock'!T32</f>
        <v/>
      </c>
      <c r="W467">
        <f>'Grid_Stock'!U32</f>
        <v/>
      </c>
      <c r="X467">
        <f>'Grid_Stock'!V32</f>
        <v/>
      </c>
      <c r="Y467">
        <f>'Grid_Stock'!W32</f>
        <v/>
      </c>
      <c r="Z467">
        <f>'Grid_Stock'!X32</f>
        <v/>
      </c>
      <c r="AA467">
        <f>'Grid_Stock'!Y32</f>
        <v/>
      </c>
      <c r="AB467">
        <f>'Grid_Stock'!Z32</f>
        <v/>
      </c>
      <c r="AC467">
        <f>'Grid_Stock'!AA32</f>
        <v/>
      </c>
      <c r="AD467">
        <f>'Grid_Stock'!AB32</f>
        <v/>
      </c>
      <c r="AE467">
        <f>'Grid_Stock'!AC32</f>
        <v/>
      </c>
      <c r="AF467">
        <f>'Grid_Stock'!AD32</f>
        <v/>
      </c>
      <c r="AG467">
        <f>'Grid_Stock'!AE32</f>
        <v/>
      </c>
      <c r="AH467">
        <f>'Grid_Stock'!AF32</f>
        <v/>
      </c>
      <c r="AI467">
        <f>'Grid_Stock'!AG32</f>
        <v/>
      </c>
      <c r="AJ467">
        <f>'Grid_Stock'!AH32</f>
        <v/>
      </c>
      <c r="AK467">
        <f>'Grid_Stock'!AI32</f>
        <v/>
      </c>
      <c r="AL467">
        <f>'Grid_Stock'!AJ32</f>
        <v/>
      </c>
      <c r="AM467">
        <f>'Grid_Stock'!AK32</f>
        <v/>
      </c>
      <c r="AN467">
        <f>'Grid_Stock'!AL32</f>
        <v/>
      </c>
      <c r="AO467">
        <f>'Grid_Stock'!AM32</f>
        <v/>
      </c>
      <c r="AP467">
        <f>'Grid_Stock'!AN32</f>
        <v/>
      </c>
      <c r="AQ467">
        <f>'Grid_Stock'!AO32</f>
        <v/>
      </c>
      <c r="AR467">
        <f>'Grid_Stock'!AP32</f>
        <v/>
      </c>
      <c r="AS467">
        <f>'Grid_Stock'!AQ32</f>
        <v/>
      </c>
      <c r="AT467">
        <f>'Grid_Stock'!AR32</f>
        <v/>
      </c>
      <c r="AU467">
        <f>'Grid_Stock'!AS32</f>
        <v/>
      </c>
      <c r="AV467">
        <f>'Grid_Stock'!AT32</f>
        <v/>
      </c>
      <c r="AW467">
        <f>'Grid_Stock'!AU32</f>
        <v/>
      </c>
      <c r="AX467">
        <f>'Grid_Stock'!AV32</f>
        <v/>
      </c>
      <c r="AY467">
        <f>'Grid_Stock'!AW32</f>
        <v/>
      </c>
      <c r="AZ467">
        <f>'Grid_Stock'!AX32</f>
        <v/>
      </c>
      <c r="BA467">
        <f>'Grid_Stock'!AY32</f>
        <v/>
      </c>
      <c r="BB467">
        <f>'Grid_Stock'!AZ32</f>
        <v/>
      </c>
      <c r="BC467">
        <f>'Grid_Stock'!BA32</f>
        <v/>
      </c>
      <c r="BD467">
        <f>'Grid_Stock'!BB32</f>
        <v/>
      </c>
      <c r="BE467">
        <f>'Grid_Stock'!BC32</f>
        <v/>
      </c>
      <c r="BF467">
        <f>'Grid_Stock'!BD32</f>
        <v/>
      </c>
      <c r="BG467">
        <f>'Grid_Stock'!BE32</f>
        <v/>
      </c>
      <c r="BH467">
        <f>'Grid_Stock'!BF32</f>
        <v/>
      </c>
      <c r="BI467">
        <f>'Grid_Stock'!BG32</f>
        <v/>
      </c>
      <c r="BJ467">
        <f>'Grid_Stock'!BH32</f>
        <v/>
      </c>
      <c r="BK467">
        <f>'Grid_Stock'!BI32</f>
        <v/>
      </c>
      <c r="BL467">
        <f>'Grid_Stock'!BJ32</f>
        <v/>
      </c>
      <c r="BM467">
        <f>'Grid_Stock'!BK32</f>
        <v/>
      </c>
      <c r="BN467">
        <f>'Grid_Stock'!BL32</f>
        <v/>
      </c>
      <c r="BO467">
        <f>'Grid_Stock'!BM32</f>
        <v/>
      </c>
      <c r="BP467">
        <f>'Grid_Stock'!BN32</f>
        <v/>
      </c>
      <c r="BQ467">
        <f>'Grid_Stock'!BO32</f>
        <v/>
      </c>
      <c r="BR467">
        <f>'Grid_Stock'!BP32</f>
        <v/>
      </c>
      <c r="BS467">
        <f>'Grid_Stock'!BQ32</f>
        <v/>
      </c>
      <c r="BT467">
        <f>'Grid_Stock'!BR32</f>
        <v/>
      </c>
      <c r="BU467">
        <f>'Grid_Stock'!BS32</f>
        <v/>
      </c>
      <c r="BV467">
        <f>'Grid_Stock'!BT32</f>
        <v/>
      </c>
      <c r="BW467">
        <f>'Grid_Stock'!BU32</f>
        <v/>
      </c>
      <c r="BX467">
        <f>'Grid_Stock'!BV32</f>
        <v/>
      </c>
      <c r="BY467">
        <f>'Grid_Stock'!BW32</f>
        <v/>
      </c>
      <c r="BZ467">
        <f>'Grid_Stock'!BX32</f>
        <v/>
      </c>
      <c r="CA467">
        <f>'Grid_Stock'!BY32</f>
        <v/>
      </c>
      <c r="CB467">
        <f>'Grid_Stock'!BZ32</f>
        <v/>
      </c>
      <c r="CC467">
        <f>'Grid_Stock'!CA32</f>
        <v/>
      </c>
      <c r="CD467">
        <f>'Grid_Stock'!CB32</f>
        <v/>
      </c>
      <c r="CE467">
        <f>'Grid_Stock'!CC32</f>
        <v/>
      </c>
      <c r="CF467">
        <f>'Grid_Stock'!CD32</f>
        <v/>
      </c>
      <c r="CG467">
        <f>'Grid_Stock'!CE32</f>
        <v/>
      </c>
      <c r="CH467">
        <f>'Grid_Stock'!CF32</f>
        <v/>
      </c>
      <c r="CI467">
        <f>'Grid_Stock'!CG32</f>
        <v/>
      </c>
      <c r="CJ467">
        <f>'Grid_Stock'!CH32</f>
        <v/>
      </c>
      <c r="CK467">
        <f>'Grid_Stock'!CI32</f>
        <v/>
      </c>
      <c r="CL467">
        <f>'Grid_Stock'!CJ32</f>
        <v/>
      </c>
      <c r="CM467">
        <f>'Grid_Stock'!CK32</f>
        <v/>
      </c>
      <c r="CN467">
        <f>'Grid_Stock'!CL32</f>
        <v/>
      </c>
      <c r="CO467">
        <f>'Grid_Stock'!CM32</f>
        <v/>
      </c>
      <c r="CP467">
        <f>'Grid_Stock'!CN32</f>
        <v/>
      </c>
      <c r="CQ467">
        <f>'Grid_Stock'!CO32</f>
        <v/>
      </c>
      <c r="CR467">
        <f>'Grid_Stock'!CP32</f>
        <v/>
      </c>
      <c r="CS467">
        <f>'Grid_Stock'!CQ32</f>
        <v/>
      </c>
      <c r="CT467">
        <f>'Grid_Stock'!CR32</f>
        <v/>
      </c>
      <c r="CU467">
        <f>'Grid_Stock'!CS32</f>
        <v/>
      </c>
      <c r="CV467">
        <f>'Grid_Stock'!CT32</f>
        <v/>
      </c>
      <c r="CW467">
        <f>'Grid_Stock'!CU32</f>
        <v/>
      </c>
      <c r="CX467">
        <f>'Grid_Stock'!CV32</f>
        <v/>
      </c>
      <c r="CY467">
        <f>'Grid_Stock'!CW32</f>
        <v/>
      </c>
      <c r="CZ467">
        <f>'Grid_Stock'!CX32</f>
        <v/>
      </c>
      <c r="DA467">
        <f>'Grid_Stock'!CY32</f>
        <v/>
      </c>
      <c r="DB467">
        <f>'Grid_Stock'!CZ32</f>
        <v/>
      </c>
      <c r="DC467">
        <f>'Grid_Stock'!DA32</f>
        <v/>
      </c>
    </row>
    <row r="468">
      <c r="B468" s="16" t="inlineStr">
        <is>
          <t>（発注の目安はDashboardの基準在庫[下限/上限]と色分けを参照）</t>
        </is>
      </c>
    </row>
    <row r="470">
      <c r="A470" s="14" t="inlineStr">
        <is>
          <t>CHEM-1480</t>
        </is>
      </c>
      <c r="B470" s="14" t="inlineStr">
        <is>
          <t>NAT-30</t>
        </is>
      </c>
      <c r="C470" s="15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  <c r="AO470" s="14" t="n"/>
      <c r="AP470" s="14" t="n"/>
      <c r="AQ470" s="14" t="n"/>
      <c r="AR470" s="14" t="n"/>
      <c r="AS470" s="14" t="n"/>
      <c r="AT470" s="14" t="n"/>
      <c r="AU470" s="14" t="n"/>
      <c r="AV470" s="14" t="n"/>
      <c r="AW470" s="14" t="n"/>
      <c r="AX470" s="14" t="n"/>
      <c r="AY470" s="14" t="n"/>
      <c r="AZ470" s="14" t="n"/>
      <c r="BA470" s="14" t="n"/>
      <c r="BB470" s="14" t="n"/>
      <c r="BC470" s="14" t="n"/>
      <c r="BD470" s="14" t="n"/>
      <c r="BE470" s="14" t="n"/>
      <c r="BF470" s="14" t="n"/>
      <c r="BG470" s="14" t="n"/>
      <c r="BH470" s="14" t="n"/>
      <c r="BI470" s="14" t="n"/>
      <c r="BJ470" s="14" t="n"/>
      <c r="BK470" s="14" t="n"/>
      <c r="BL470" s="14" t="n"/>
      <c r="BM470" s="14" t="n"/>
      <c r="BN470" s="14" t="n"/>
      <c r="BO470" s="14" t="n"/>
      <c r="BP470" s="14" t="n"/>
      <c r="BQ470" s="14" t="n"/>
      <c r="BR470" s="14" t="n"/>
      <c r="BS470" s="14" t="n"/>
      <c r="BT470" s="14" t="n"/>
      <c r="BU470" s="14" t="n"/>
      <c r="BV470" s="14" t="n"/>
      <c r="BW470" s="14" t="n"/>
      <c r="BX470" s="14" t="n"/>
      <c r="BY470" s="14" t="n"/>
      <c r="BZ470" s="14" t="n"/>
      <c r="CA470" s="14" t="n"/>
      <c r="CB470" s="14" t="n"/>
      <c r="CC470" s="14" t="n"/>
      <c r="CD470" s="14" t="n"/>
      <c r="CE470" s="14" t="n"/>
      <c r="CF470" s="14" t="n"/>
      <c r="CG470" s="14" t="n"/>
      <c r="CH470" s="14" t="n"/>
      <c r="CI470" s="14" t="n"/>
      <c r="CJ470" s="14" t="n"/>
      <c r="CK470" s="14" t="n"/>
      <c r="CL470" s="14" t="n"/>
      <c r="CM470" s="14" t="n"/>
      <c r="CN470" s="14" t="n"/>
      <c r="CO470" s="14" t="n"/>
      <c r="CP470" s="14" t="n"/>
      <c r="CQ470" s="14" t="n"/>
      <c r="CR470" s="14" t="n"/>
      <c r="CS470" s="14" t="n"/>
      <c r="CT470" s="14" t="n"/>
      <c r="CU470" s="14" t="n"/>
      <c r="CV470" s="14" t="n"/>
      <c r="CW470" s="14" t="n"/>
      <c r="CX470" s="14" t="n"/>
      <c r="CY470" s="14" t="n"/>
      <c r="CZ470" s="14" t="n"/>
      <c r="DA470" s="14" t="n"/>
      <c r="DB470" s="14" t="n"/>
      <c r="DC470" s="14" t="n"/>
    </row>
    <row r="471">
      <c r="B471" t="inlineStr">
        <is>
          <t>TSP-206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Name],$A470)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s="4" t="inlineStr">
        <is>
          <t>合計使用量(kg)/週</t>
        </is>
      </c>
      <c r="D473">
        <f>'Grid_Requirement'!B33</f>
        <v/>
      </c>
      <c r="E473">
        <f>'Grid_Requirement'!C33</f>
        <v/>
      </c>
      <c r="F473">
        <f>'Grid_Requirement'!D33</f>
        <v/>
      </c>
      <c r="G473">
        <f>'Grid_Requirement'!E33</f>
        <v/>
      </c>
      <c r="H473">
        <f>'Grid_Requirement'!F33</f>
        <v/>
      </c>
      <c r="I473">
        <f>'Grid_Requirement'!G33</f>
        <v/>
      </c>
      <c r="J473">
        <f>'Grid_Requirement'!H33</f>
        <v/>
      </c>
      <c r="K473">
        <f>'Grid_Requirement'!I33</f>
        <v/>
      </c>
      <c r="L473">
        <f>'Grid_Requirement'!J33</f>
        <v/>
      </c>
      <c r="M473">
        <f>'Grid_Requirement'!K33</f>
        <v/>
      </c>
      <c r="N473">
        <f>'Grid_Requirement'!L33</f>
        <v/>
      </c>
      <c r="O473">
        <f>'Grid_Requirement'!M33</f>
        <v/>
      </c>
      <c r="P473">
        <f>'Grid_Requirement'!N33</f>
        <v/>
      </c>
      <c r="Q473">
        <f>'Grid_Requirement'!O33</f>
        <v/>
      </c>
      <c r="R473">
        <f>'Grid_Requirement'!P33</f>
        <v/>
      </c>
      <c r="S473">
        <f>'Grid_Requirement'!Q33</f>
        <v/>
      </c>
      <c r="T473">
        <f>'Grid_Requirement'!R33</f>
        <v/>
      </c>
      <c r="U473">
        <f>'Grid_Requirement'!S33</f>
        <v/>
      </c>
      <c r="V473">
        <f>'Grid_Requirement'!T33</f>
        <v/>
      </c>
      <c r="W473">
        <f>'Grid_Requirement'!U33</f>
        <v/>
      </c>
      <c r="X473">
        <f>'Grid_Requirement'!V33</f>
        <v/>
      </c>
      <c r="Y473">
        <f>'Grid_Requirement'!W33</f>
        <v/>
      </c>
      <c r="Z473">
        <f>'Grid_Requirement'!X33</f>
        <v/>
      </c>
      <c r="AA473">
        <f>'Grid_Requirement'!Y33</f>
        <v/>
      </c>
      <c r="AB473">
        <f>'Grid_Requirement'!Z33</f>
        <v/>
      </c>
      <c r="AC473">
        <f>'Grid_Requirement'!AA33</f>
        <v/>
      </c>
      <c r="AD473">
        <f>'Grid_Requirement'!AB33</f>
        <v/>
      </c>
      <c r="AE473">
        <f>'Grid_Requirement'!AC33</f>
        <v/>
      </c>
      <c r="AF473">
        <f>'Grid_Requirement'!AD33</f>
        <v/>
      </c>
      <c r="AG473">
        <f>'Grid_Requirement'!AE33</f>
        <v/>
      </c>
      <c r="AH473">
        <f>'Grid_Requirement'!AF33</f>
        <v/>
      </c>
      <c r="AI473">
        <f>'Grid_Requirement'!AG33</f>
        <v/>
      </c>
      <c r="AJ473">
        <f>'Grid_Requirement'!AH33</f>
        <v/>
      </c>
      <c r="AK473">
        <f>'Grid_Requirement'!AI33</f>
        <v/>
      </c>
      <c r="AL473">
        <f>'Grid_Requirement'!AJ33</f>
        <v/>
      </c>
      <c r="AM473">
        <f>'Grid_Requirement'!AK33</f>
        <v/>
      </c>
      <c r="AN473">
        <f>'Grid_Requirement'!AL33</f>
        <v/>
      </c>
      <c r="AO473">
        <f>'Grid_Requirement'!AM33</f>
        <v/>
      </c>
      <c r="AP473">
        <f>'Grid_Requirement'!AN33</f>
        <v/>
      </c>
      <c r="AQ473">
        <f>'Grid_Requirement'!AO33</f>
        <v/>
      </c>
      <c r="AR473">
        <f>'Grid_Requirement'!AP33</f>
        <v/>
      </c>
      <c r="AS473">
        <f>'Grid_Requirement'!AQ33</f>
        <v/>
      </c>
      <c r="AT473">
        <f>'Grid_Requirement'!AR33</f>
        <v/>
      </c>
      <c r="AU473">
        <f>'Grid_Requirement'!AS33</f>
        <v/>
      </c>
      <c r="AV473">
        <f>'Grid_Requirement'!AT33</f>
        <v/>
      </c>
      <c r="AW473">
        <f>'Grid_Requirement'!AU33</f>
        <v/>
      </c>
      <c r="AX473">
        <f>'Grid_Requirement'!AV33</f>
        <v/>
      </c>
      <c r="AY473">
        <f>'Grid_Requirement'!AW33</f>
        <v/>
      </c>
      <c r="AZ473">
        <f>'Grid_Requirement'!AX33</f>
        <v/>
      </c>
      <c r="BA473">
        <f>'Grid_Requirement'!AY33</f>
        <v/>
      </c>
      <c r="BB473">
        <f>'Grid_Requirement'!AZ33</f>
        <v/>
      </c>
      <c r="BC473">
        <f>'Grid_Requirement'!BA33</f>
        <v/>
      </c>
      <c r="BD473">
        <f>'Grid_Requirement'!BB33</f>
        <v/>
      </c>
      <c r="BE473">
        <f>'Grid_Requirement'!BC33</f>
        <v/>
      </c>
      <c r="BF473">
        <f>'Grid_Requirement'!BD33</f>
        <v/>
      </c>
      <c r="BG473">
        <f>'Grid_Requirement'!BE33</f>
        <v/>
      </c>
      <c r="BH473">
        <f>'Grid_Requirement'!BF33</f>
        <v/>
      </c>
      <c r="BI473">
        <f>'Grid_Requirement'!BG33</f>
        <v/>
      </c>
      <c r="BJ473">
        <f>'Grid_Requirement'!BH33</f>
        <v/>
      </c>
      <c r="BK473">
        <f>'Grid_Requirement'!BI33</f>
        <v/>
      </c>
      <c r="BL473">
        <f>'Grid_Requirement'!BJ33</f>
        <v/>
      </c>
      <c r="BM473">
        <f>'Grid_Requirement'!BK33</f>
        <v/>
      </c>
      <c r="BN473">
        <f>'Grid_Requirement'!BL33</f>
        <v/>
      </c>
      <c r="BO473">
        <f>'Grid_Requirement'!BM33</f>
        <v/>
      </c>
      <c r="BP473">
        <f>'Grid_Requirement'!BN33</f>
        <v/>
      </c>
      <c r="BQ473">
        <f>'Grid_Requirement'!BO33</f>
        <v/>
      </c>
      <c r="BR473">
        <f>'Grid_Requirement'!BP33</f>
        <v/>
      </c>
      <c r="BS473">
        <f>'Grid_Requirement'!BQ33</f>
        <v/>
      </c>
      <c r="BT473">
        <f>'Grid_Requirement'!BR33</f>
        <v/>
      </c>
      <c r="BU473">
        <f>'Grid_Requirement'!BS33</f>
        <v/>
      </c>
      <c r="BV473">
        <f>'Grid_Requirement'!BT33</f>
        <v/>
      </c>
      <c r="BW473">
        <f>'Grid_Requirement'!BU33</f>
        <v/>
      </c>
      <c r="BX473">
        <f>'Grid_Requirement'!BV33</f>
        <v/>
      </c>
      <c r="BY473">
        <f>'Grid_Requirement'!BW33</f>
        <v/>
      </c>
      <c r="BZ473">
        <f>'Grid_Requirement'!BX33</f>
        <v/>
      </c>
      <c r="CA473">
        <f>'Grid_Requirement'!BY33</f>
        <v/>
      </c>
      <c r="CB473">
        <f>'Grid_Requirement'!BZ33</f>
        <v/>
      </c>
      <c r="CC473">
        <f>'Grid_Requirement'!CA33</f>
        <v/>
      </c>
      <c r="CD473">
        <f>'Grid_Requirement'!CB33</f>
        <v/>
      </c>
      <c r="CE473">
        <f>'Grid_Requirement'!CC33</f>
        <v/>
      </c>
      <c r="CF473">
        <f>'Grid_Requirement'!CD33</f>
        <v/>
      </c>
      <c r="CG473">
        <f>'Grid_Requirement'!CE33</f>
        <v/>
      </c>
      <c r="CH473">
        <f>'Grid_Requirement'!CF33</f>
        <v/>
      </c>
      <c r="CI473">
        <f>'Grid_Requirement'!CG33</f>
        <v/>
      </c>
      <c r="CJ473">
        <f>'Grid_Requirement'!CH33</f>
        <v/>
      </c>
      <c r="CK473">
        <f>'Grid_Requirement'!CI33</f>
        <v/>
      </c>
      <c r="CL473">
        <f>'Grid_Requirement'!CJ33</f>
        <v/>
      </c>
      <c r="CM473">
        <f>'Grid_Requirement'!CK33</f>
        <v/>
      </c>
      <c r="CN473">
        <f>'Grid_Requirement'!CL33</f>
        <v/>
      </c>
      <c r="CO473">
        <f>'Grid_Requirement'!CM33</f>
        <v/>
      </c>
      <c r="CP473">
        <f>'Grid_Requirement'!CN33</f>
        <v/>
      </c>
      <c r="CQ473">
        <f>'Grid_Requirement'!CO33</f>
        <v/>
      </c>
      <c r="CR473">
        <f>'Grid_Requirement'!CP33</f>
        <v/>
      </c>
      <c r="CS473">
        <f>'Grid_Requirement'!CQ33</f>
        <v/>
      </c>
      <c r="CT473">
        <f>'Grid_Requirement'!CR33</f>
        <v/>
      </c>
      <c r="CU473">
        <f>'Grid_Requirement'!CS33</f>
        <v/>
      </c>
      <c r="CV473">
        <f>'Grid_Requirement'!CT33</f>
        <v/>
      </c>
      <c r="CW473">
        <f>'Grid_Requirement'!CU33</f>
        <v/>
      </c>
      <c r="CX473">
        <f>'Grid_Requirement'!CV33</f>
        <v/>
      </c>
      <c r="CY473">
        <f>'Grid_Requirement'!CW33</f>
        <v/>
      </c>
      <c r="CZ473">
        <f>'Grid_Requirement'!CX33</f>
        <v/>
      </c>
      <c r="DA473">
        <f>'Grid_Requirement'!CY33</f>
        <v/>
      </c>
      <c r="DB473">
        <f>'Grid_Requirement'!CZ33</f>
        <v/>
      </c>
      <c r="DC473">
        <f>'Grid_Requirement'!DA33</f>
        <v/>
      </c>
    </row>
    <row r="474">
      <c r="B474" t="inlineStr">
        <is>
          <t>TTAF在庫(実績,kg)</t>
        </is>
      </c>
      <c r="D474">
        <f>'T_TTAFStock'!B37</f>
        <v/>
      </c>
      <c r="E474">
        <f>'T_TTAFStock'!C37</f>
        <v/>
      </c>
      <c r="F474">
        <f>'T_TTAFStock'!D37</f>
        <v/>
      </c>
      <c r="G474">
        <f>'T_TTAFStock'!E37</f>
        <v/>
      </c>
      <c r="H474">
        <f>'T_TTAFStock'!F37</f>
        <v/>
      </c>
      <c r="I474">
        <f>'T_TTAFStock'!G37</f>
        <v/>
      </c>
      <c r="J474">
        <f>'T_TTAFStock'!H37</f>
        <v/>
      </c>
      <c r="K474">
        <f>'T_TTAFStock'!I37</f>
        <v/>
      </c>
      <c r="L474">
        <f>'T_TTAFStock'!J37</f>
        <v/>
      </c>
      <c r="M474">
        <f>'T_TTAFStock'!K37</f>
        <v/>
      </c>
      <c r="N474">
        <f>'T_TTAFStock'!L37</f>
        <v/>
      </c>
      <c r="O474">
        <f>'T_TTAFStock'!M37</f>
        <v/>
      </c>
      <c r="P474">
        <f>'T_TTAFStock'!N37</f>
        <v/>
      </c>
      <c r="Q474">
        <f>'T_TTAFStock'!O37</f>
        <v/>
      </c>
      <c r="R474">
        <f>'T_TTAFStock'!P37</f>
        <v/>
      </c>
      <c r="S474">
        <f>'T_TTAFStock'!Q37</f>
        <v/>
      </c>
      <c r="T474">
        <f>'T_TTAFStock'!R37</f>
        <v/>
      </c>
      <c r="U474">
        <f>'T_TTAFStock'!S37</f>
        <v/>
      </c>
      <c r="V474">
        <f>'T_TTAFStock'!T37</f>
        <v/>
      </c>
      <c r="W474">
        <f>'T_TTAFStock'!U37</f>
        <v/>
      </c>
      <c r="X474">
        <f>'T_TTAFStock'!V37</f>
        <v/>
      </c>
      <c r="Y474">
        <f>'T_TTAFStock'!W37</f>
        <v/>
      </c>
      <c r="Z474">
        <f>'T_TTAFStock'!X37</f>
        <v/>
      </c>
      <c r="AA474">
        <f>'T_TTAFStock'!Y37</f>
        <v/>
      </c>
      <c r="AB474">
        <f>'T_TTAFStock'!Z37</f>
        <v/>
      </c>
      <c r="AC474">
        <f>'T_TTAFStock'!AA37</f>
        <v/>
      </c>
      <c r="AD474">
        <f>'T_TTAFStock'!AB37</f>
        <v/>
      </c>
      <c r="AE474">
        <f>'T_TTAFStock'!AC37</f>
        <v/>
      </c>
      <c r="AF474">
        <f>'T_TTAFStock'!AD37</f>
        <v/>
      </c>
      <c r="AG474">
        <f>'T_TTAFStock'!AE37</f>
        <v/>
      </c>
      <c r="AH474">
        <f>'T_TTAFStock'!AF37</f>
        <v/>
      </c>
      <c r="AI474">
        <f>'T_TTAFStock'!AG37</f>
        <v/>
      </c>
      <c r="AJ474">
        <f>'T_TTAFStock'!AH37</f>
        <v/>
      </c>
      <c r="AK474">
        <f>'T_TTAFStock'!AI37</f>
        <v/>
      </c>
      <c r="AL474">
        <f>'T_TTAFStock'!AJ37</f>
        <v/>
      </c>
      <c r="AM474">
        <f>'T_TTAFStock'!AK37</f>
        <v/>
      </c>
      <c r="AN474">
        <f>'T_TTAFStock'!AL37</f>
        <v/>
      </c>
      <c r="AO474">
        <f>'T_TTAFStock'!AM37</f>
        <v/>
      </c>
      <c r="AP474">
        <f>'T_TTAFStock'!AN37</f>
        <v/>
      </c>
      <c r="AQ474">
        <f>'T_TTAFStock'!AO37</f>
        <v/>
      </c>
      <c r="AR474">
        <f>'T_TTAFStock'!AP37</f>
        <v/>
      </c>
      <c r="AS474">
        <f>'T_TTAFStock'!AQ37</f>
        <v/>
      </c>
      <c r="AT474">
        <f>'T_TTAFStock'!AR37</f>
        <v/>
      </c>
      <c r="AU474">
        <f>'T_TTAFStock'!AS37</f>
        <v/>
      </c>
      <c r="AV474">
        <f>'T_TTAFStock'!AT37</f>
        <v/>
      </c>
      <c r="AW474">
        <f>'T_TTAFStock'!AU37</f>
        <v/>
      </c>
      <c r="AX474">
        <f>'T_TTAFStock'!AV37</f>
        <v/>
      </c>
      <c r="AY474">
        <f>'T_TTAFStock'!AW37</f>
        <v/>
      </c>
      <c r="AZ474">
        <f>'T_TTAFStock'!AX37</f>
        <v/>
      </c>
      <c r="BA474">
        <f>'T_TTAFStock'!AY37</f>
        <v/>
      </c>
      <c r="BB474">
        <f>'T_TTAFStock'!AZ37</f>
        <v/>
      </c>
      <c r="BC474">
        <f>'T_TTAFStock'!BA37</f>
        <v/>
      </c>
      <c r="BD474">
        <f>'T_TTAFStock'!BB37</f>
        <v/>
      </c>
      <c r="BE474">
        <f>'T_TTAFStock'!BC37</f>
        <v/>
      </c>
      <c r="BF474">
        <f>'T_TTAFStock'!BD37</f>
        <v/>
      </c>
      <c r="BG474">
        <f>'T_TTAFStock'!BE37</f>
        <v/>
      </c>
      <c r="BH474">
        <f>'T_TTAFStock'!BF37</f>
        <v/>
      </c>
      <c r="BI474">
        <f>'T_TTAFStock'!BG37</f>
        <v/>
      </c>
      <c r="BJ474">
        <f>'T_TTAFStock'!BH37</f>
        <v/>
      </c>
      <c r="BK474">
        <f>'T_TTAFStock'!BI37</f>
        <v/>
      </c>
      <c r="BL474">
        <f>'T_TTAFStock'!BJ37</f>
        <v/>
      </c>
      <c r="BM474">
        <f>'T_TTAFStock'!BK37</f>
        <v/>
      </c>
      <c r="BN474">
        <f>'T_TTAFStock'!BL37</f>
        <v/>
      </c>
      <c r="BO474">
        <f>'T_TTAFStock'!BM37</f>
        <v/>
      </c>
      <c r="BP474">
        <f>'T_TTAFStock'!BN37</f>
        <v/>
      </c>
      <c r="BQ474">
        <f>'T_TTAFStock'!BO37</f>
        <v/>
      </c>
      <c r="BR474">
        <f>'T_TTAFStock'!BP37</f>
        <v/>
      </c>
      <c r="BS474">
        <f>'T_TTAFStock'!BQ37</f>
        <v/>
      </c>
      <c r="BT474">
        <f>'T_TTAFStock'!BR37</f>
        <v/>
      </c>
      <c r="BU474">
        <f>'T_TTAFStock'!BS37</f>
        <v/>
      </c>
      <c r="BV474">
        <f>'T_TTAFStock'!BT37</f>
        <v/>
      </c>
      <c r="BW474">
        <f>'T_TTAFStock'!BU37</f>
        <v/>
      </c>
      <c r="BX474">
        <f>'T_TTAFStock'!BV37</f>
        <v/>
      </c>
      <c r="BY474">
        <f>'T_TTAFStock'!BW37</f>
        <v/>
      </c>
      <c r="BZ474">
        <f>'T_TTAFStock'!BX37</f>
        <v/>
      </c>
      <c r="CA474">
        <f>'T_TTAFStock'!BY37</f>
        <v/>
      </c>
      <c r="CB474">
        <f>'T_TTAFStock'!BZ37</f>
        <v/>
      </c>
      <c r="CC474">
        <f>'T_TTAFStock'!CA37</f>
        <v/>
      </c>
      <c r="CD474">
        <f>'T_TTAFStock'!CB37</f>
        <v/>
      </c>
      <c r="CE474">
        <f>'T_TTAFStock'!CC37</f>
        <v/>
      </c>
      <c r="CF474">
        <f>'T_TTAFStock'!CD37</f>
        <v/>
      </c>
      <c r="CG474">
        <f>'T_TTAFStock'!CE37</f>
        <v/>
      </c>
      <c r="CH474">
        <f>'T_TTAFStock'!CF37</f>
        <v/>
      </c>
      <c r="CI474">
        <f>'T_TTAFStock'!CG37</f>
        <v/>
      </c>
      <c r="CJ474">
        <f>'T_TTAFStock'!CH37</f>
        <v/>
      </c>
      <c r="CK474">
        <f>'T_TTAFStock'!CI37</f>
        <v/>
      </c>
      <c r="CL474">
        <f>'T_TTAFStock'!CJ37</f>
        <v/>
      </c>
      <c r="CM474">
        <f>'T_TTAFStock'!CK37</f>
        <v/>
      </c>
      <c r="CN474">
        <f>'T_TTAFStock'!CL37</f>
        <v/>
      </c>
      <c r="CO474">
        <f>'T_TTAFStock'!CM37</f>
        <v/>
      </c>
      <c r="CP474">
        <f>'T_TTAFStock'!CN37</f>
        <v/>
      </c>
      <c r="CQ474">
        <f>'T_TTAFStock'!CO37</f>
        <v/>
      </c>
      <c r="CR474">
        <f>'T_TTAFStock'!CP37</f>
        <v/>
      </c>
      <c r="CS474">
        <f>'T_TTAFStock'!CQ37</f>
        <v/>
      </c>
      <c r="CT474">
        <f>'T_TTAFStock'!CR37</f>
        <v/>
      </c>
      <c r="CU474">
        <f>'T_TTAFStock'!CS37</f>
        <v/>
      </c>
      <c r="CV474">
        <f>'T_TTAFStock'!CT37</f>
        <v/>
      </c>
      <c r="CW474">
        <f>'T_TTAFStock'!CU37</f>
        <v/>
      </c>
      <c r="CX474">
        <f>'T_TTAFStock'!CV37</f>
        <v/>
      </c>
      <c r="CY474">
        <f>'T_TTAFStock'!CW37</f>
        <v/>
      </c>
      <c r="CZ474">
        <f>'T_TTAFStock'!CX37</f>
        <v/>
      </c>
      <c r="DA474">
        <f>'T_TTAFStock'!CY37</f>
        <v/>
      </c>
      <c r="DB474">
        <f>'T_TTAFStock'!CZ37</f>
        <v/>
      </c>
      <c r="DC474">
        <f>'T_TTAFStock'!DA37</f>
        <v/>
      </c>
    </row>
    <row r="475">
      <c r="B475" t="inlineStr">
        <is>
          <t>自社在庫(実績,kg)</t>
        </is>
      </c>
      <c r="D475">
        <f>'T_SelfStock'!B37</f>
        <v/>
      </c>
      <c r="E475">
        <f>'T_SelfStock'!C37</f>
        <v/>
      </c>
      <c r="F475">
        <f>'T_SelfStock'!D37</f>
        <v/>
      </c>
      <c r="G475">
        <f>'T_SelfStock'!E37</f>
        <v/>
      </c>
      <c r="H475">
        <f>'T_SelfStock'!F37</f>
        <v/>
      </c>
      <c r="I475">
        <f>'T_SelfStock'!G37</f>
        <v/>
      </c>
      <c r="J475">
        <f>'T_SelfStock'!H37</f>
        <v/>
      </c>
      <c r="K475">
        <f>'T_SelfStock'!I37</f>
        <v/>
      </c>
      <c r="L475">
        <f>'T_SelfStock'!J37</f>
        <v/>
      </c>
      <c r="M475">
        <f>'T_SelfStock'!K37</f>
        <v/>
      </c>
      <c r="N475">
        <f>'T_SelfStock'!L37</f>
        <v/>
      </c>
      <c r="O475">
        <f>'T_SelfStock'!M37</f>
        <v/>
      </c>
      <c r="P475">
        <f>'T_SelfStock'!N37</f>
        <v/>
      </c>
      <c r="Q475">
        <f>'T_SelfStock'!O37</f>
        <v/>
      </c>
      <c r="R475">
        <f>'T_SelfStock'!P37</f>
        <v/>
      </c>
      <c r="S475">
        <f>'T_SelfStock'!Q37</f>
        <v/>
      </c>
      <c r="T475">
        <f>'T_SelfStock'!R37</f>
        <v/>
      </c>
      <c r="U475">
        <f>'T_SelfStock'!S37</f>
        <v/>
      </c>
      <c r="V475">
        <f>'T_SelfStock'!T37</f>
        <v/>
      </c>
      <c r="W475">
        <f>'T_SelfStock'!U37</f>
        <v/>
      </c>
      <c r="X475">
        <f>'T_SelfStock'!V37</f>
        <v/>
      </c>
      <c r="Y475">
        <f>'T_SelfStock'!W37</f>
        <v/>
      </c>
      <c r="Z475">
        <f>'T_SelfStock'!X37</f>
        <v/>
      </c>
      <c r="AA475">
        <f>'T_SelfStock'!Y37</f>
        <v/>
      </c>
      <c r="AB475">
        <f>'T_SelfStock'!Z37</f>
        <v/>
      </c>
      <c r="AC475">
        <f>'T_SelfStock'!AA37</f>
        <v/>
      </c>
      <c r="AD475">
        <f>'T_SelfStock'!AB37</f>
        <v/>
      </c>
      <c r="AE475">
        <f>'T_SelfStock'!AC37</f>
        <v/>
      </c>
      <c r="AF475">
        <f>'T_SelfStock'!AD37</f>
        <v/>
      </c>
      <c r="AG475">
        <f>'T_SelfStock'!AE37</f>
        <v/>
      </c>
      <c r="AH475">
        <f>'T_SelfStock'!AF37</f>
        <v/>
      </c>
      <c r="AI475">
        <f>'T_SelfStock'!AG37</f>
        <v/>
      </c>
      <c r="AJ475">
        <f>'T_SelfStock'!AH37</f>
        <v/>
      </c>
      <c r="AK475">
        <f>'T_SelfStock'!AI37</f>
        <v/>
      </c>
      <c r="AL475">
        <f>'T_SelfStock'!AJ37</f>
        <v/>
      </c>
      <c r="AM475">
        <f>'T_SelfStock'!AK37</f>
        <v/>
      </c>
      <c r="AN475">
        <f>'T_SelfStock'!AL37</f>
        <v/>
      </c>
      <c r="AO475">
        <f>'T_SelfStock'!AM37</f>
        <v/>
      </c>
      <c r="AP475">
        <f>'T_SelfStock'!AN37</f>
        <v/>
      </c>
      <c r="AQ475">
        <f>'T_SelfStock'!AO37</f>
        <v/>
      </c>
      <c r="AR475">
        <f>'T_SelfStock'!AP37</f>
        <v/>
      </c>
      <c r="AS475">
        <f>'T_SelfStock'!AQ37</f>
        <v/>
      </c>
      <c r="AT475">
        <f>'T_SelfStock'!AR37</f>
        <v/>
      </c>
      <c r="AU475">
        <f>'T_SelfStock'!AS37</f>
        <v/>
      </c>
      <c r="AV475">
        <f>'T_SelfStock'!AT37</f>
        <v/>
      </c>
      <c r="AW475">
        <f>'T_SelfStock'!AU37</f>
        <v/>
      </c>
      <c r="AX475">
        <f>'T_SelfStock'!AV37</f>
        <v/>
      </c>
      <c r="AY475">
        <f>'T_SelfStock'!AW37</f>
        <v/>
      </c>
      <c r="AZ475">
        <f>'T_SelfStock'!AX37</f>
        <v/>
      </c>
      <c r="BA475">
        <f>'T_SelfStock'!AY37</f>
        <v/>
      </c>
      <c r="BB475">
        <f>'T_SelfStock'!AZ37</f>
        <v/>
      </c>
      <c r="BC475">
        <f>'T_SelfStock'!BA37</f>
        <v/>
      </c>
      <c r="BD475">
        <f>'T_SelfStock'!BB37</f>
        <v/>
      </c>
      <c r="BE475">
        <f>'T_SelfStock'!BC37</f>
        <v/>
      </c>
      <c r="BF475">
        <f>'T_SelfStock'!BD37</f>
        <v/>
      </c>
      <c r="BG475">
        <f>'T_SelfStock'!BE37</f>
        <v/>
      </c>
      <c r="BH475">
        <f>'T_SelfStock'!BF37</f>
        <v/>
      </c>
      <c r="BI475">
        <f>'T_SelfStock'!BG37</f>
        <v/>
      </c>
      <c r="BJ475">
        <f>'T_SelfStock'!BH37</f>
        <v/>
      </c>
      <c r="BK475">
        <f>'T_SelfStock'!BI37</f>
        <v/>
      </c>
      <c r="BL475">
        <f>'T_SelfStock'!BJ37</f>
        <v/>
      </c>
      <c r="BM475">
        <f>'T_SelfStock'!BK37</f>
        <v/>
      </c>
      <c r="BN475">
        <f>'T_SelfStock'!BL37</f>
        <v/>
      </c>
      <c r="BO475">
        <f>'T_SelfStock'!BM37</f>
        <v/>
      </c>
      <c r="BP475">
        <f>'T_SelfStock'!BN37</f>
        <v/>
      </c>
      <c r="BQ475">
        <f>'T_SelfStock'!BO37</f>
        <v/>
      </c>
      <c r="BR475">
        <f>'T_SelfStock'!BP37</f>
        <v/>
      </c>
      <c r="BS475">
        <f>'T_SelfStock'!BQ37</f>
        <v/>
      </c>
      <c r="BT475">
        <f>'T_SelfStock'!BR37</f>
        <v/>
      </c>
      <c r="BU475">
        <f>'T_SelfStock'!BS37</f>
        <v/>
      </c>
      <c r="BV475">
        <f>'T_SelfStock'!BT37</f>
        <v/>
      </c>
      <c r="BW475">
        <f>'T_SelfStock'!BU37</f>
        <v/>
      </c>
      <c r="BX475">
        <f>'T_SelfStock'!BV37</f>
        <v/>
      </c>
      <c r="BY475">
        <f>'T_SelfStock'!BW37</f>
        <v/>
      </c>
      <c r="BZ475">
        <f>'T_SelfStock'!BX37</f>
        <v/>
      </c>
      <c r="CA475">
        <f>'T_SelfStock'!BY37</f>
        <v/>
      </c>
      <c r="CB475">
        <f>'T_SelfStock'!BZ37</f>
        <v/>
      </c>
      <c r="CC475">
        <f>'T_SelfStock'!CA37</f>
        <v/>
      </c>
      <c r="CD475">
        <f>'T_SelfStock'!CB37</f>
        <v/>
      </c>
      <c r="CE475">
        <f>'T_SelfStock'!CC37</f>
        <v/>
      </c>
      <c r="CF475">
        <f>'T_SelfStock'!CD37</f>
        <v/>
      </c>
      <c r="CG475">
        <f>'T_SelfStock'!CE37</f>
        <v/>
      </c>
      <c r="CH475">
        <f>'T_SelfStock'!CF37</f>
        <v/>
      </c>
      <c r="CI475">
        <f>'T_SelfStock'!CG37</f>
        <v/>
      </c>
      <c r="CJ475">
        <f>'T_SelfStock'!CH37</f>
        <v/>
      </c>
      <c r="CK475">
        <f>'T_SelfStock'!CI37</f>
        <v/>
      </c>
      <c r="CL475">
        <f>'T_SelfStock'!CJ37</f>
        <v/>
      </c>
      <c r="CM475">
        <f>'T_SelfStock'!CK37</f>
        <v/>
      </c>
      <c r="CN475">
        <f>'T_SelfStock'!CL37</f>
        <v/>
      </c>
      <c r="CO475">
        <f>'T_SelfStock'!CM37</f>
        <v/>
      </c>
      <c r="CP475">
        <f>'T_SelfStock'!CN37</f>
        <v/>
      </c>
      <c r="CQ475">
        <f>'T_SelfStock'!CO37</f>
        <v/>
      </c>
      <c r="CR475">
        <f>'T_SelfStock'!CP37</f>
        <v/>
      </c>
      <c r="CS475">
        <f>'T_SelfStock'!CQ37</f>
        <v/>
      </c>
      <c r="CT475">
        <f>'T_SelfStock'!CR37</f>
        <v/>
      </c>
      <c r="CU475">
        <f>'T_SelfStock'!CS37</f>
        <v/>
      </c>
      <c r="CV475">
        <f>'T_SelfStock'!CT37</f>
        <v/>
      </c>
      <c r="CW475">
        <f>'T_SelfStock'!CU37</f>
        <v/>
      </c>
      <c r="CX475">
        <f>'T_SelfStock'!CV37</f>
        <v/>
      </c>
      <c r="CY475">
        <f>'T_SelfStock'!CW37</f>
        <v/>
      </c>
      <c r="CZ475">
        <f>'T_SelfStock'!CX37</f>
        <v/>
      </c>
      <c r="DA475">
        <f>'T_SelfStock'!CY37</f>
        <v/>
      </c>
      <c r="DB475">
        <f>'T_SelfStock'!CZ37</f>
        <v/>
      </c>
      <c r="DC475">
        <f>'T_SelfStock'!DA37</f>
        <v/>
      </c>
    </row>
    <row r="476">
      <c r="B476" s="4" t="inlineStr">
        <is>
          <t>合計在庫(週末時点,kg)</t>
        </is>
      </c>
      <c r="D476">
        <f>'Grid_Stock'!B33</f>
        <v/>
      </c>
      <c r="E476">
        <f>'Grid_Stock'!C33</f>
        <v/>
      </c>
      <c r="F476">
        <f>'Grid_Stock'!D33</f>
        <v/>
      </c>
      <c r="G476">
        <f>'Grid_Stock'!E33</f>
        <v/>
      </c>
      <c r="H476">
        <f>'Grid_Stock'!F33</f>
        <v/>
      </c>
      <c r="I476">
        <f>'Grid_Stock'!G33</f>
        <v/>
      </c>
      <c r="J476">
        <f>'Grid_Stock'!H33</f>
        <v/>
      </c>
      <c r="K476">
        <f>'Grid_Stock'!I33</f>
        <v/>
      </c>
      <c r="L476">
        <f>'Grid_Stock'!J33</f>
        <v/>
      </c>
      <c r="M476">
        <f>'Grid_Stock'!K33</f>
        <v/>
      </c>
      <c r="N476">
        <f>'Grid_Stock'!L33</f>
        <v/>
      </c>
      <c r="O476">
        <f>'Grid_Stock'!M33</f>
        <v/>
      </c>
      <c r="P476">
        <f>'Grid_Stock'!N33</f>
        <v/>
      </c>
      <c r="Q476">
        <f>'Grid_Stock'!O33</f>
        <v/>
      </c>
      <c r="R476">
        <f>'Grid_Stock'!P33</f>
        <v/>
      </c>
      <c r="S476">
        <f>'Grid_Stock'!Q33</f>
        <v/>
      </c>
      <c r="T476">
        <f>'Grid_Stock'!R33</f>
        <v/>
      </c>
      <c r="U476">
        <f>'Grid_Stock'!S33</f>
        <v/>
      </c>
      <c r="V476">
        <f>'Grid_Stock'!T33</f>
        <v/>
      </c>
      <c r="W476">
        <f>'Grid_Stock'!U33</f>
        <v/>
      </c>
      <c r="X476">
        <f>'Grid_Stock'!V33</f>
        <v/>
      </c>
      <c r="Y476">
        <f>'Grid_Stock'!W33</f>
        <v/>
      </c>
      <c r="Z476">
        <f>'Grid_Stock'!X33</f>
        <v/>
      </c>
      <c r="AA476">
        <f>'Grid_Stock'!Y33</f>
        <v/>
      </c>
      <c r="AB476">
        <f>'Grid_Stock'!Z33</f>
        <v/>
      </c>
      <c r="AC476">
        <f>'Grid_Stock'!AA33</f>
        <v/>
      </c>
      <c r="AD476">
        <f>'Grid_Stock'!AB33</f>
        <v/>
      </c>
      <c r="AE476">
        <f>'Grid_Stock'!AC33</f>
        <v/>
      </c>
      <c r="AF476">
        <f>'Grid_Stock'!AD33</f>
        <v/>
      </c>
      <c r="AG476">
        <f>'Grid_Stock'!AE33</f>
        <v/>
      </c>
      <c r="AH476">
        <f>'Grid_Stock'!AF33</f>
        <v/>
      </c>
      <c r="AI476">
        <f>'Grid_Stock'!AG33</f>
        <v/>
      </c>
      <c r="AJ476">
        <f>'Grid_Stock'!AH33</f>
        <v/>
      </c>
      <c r="AK476">
        <f>'Grid_Stock'!AI33</f>
        <v/>
      </c>
      <c r="AL476">
        <f>'Grid_Stock'!AJ33</f>
        <v/>
      </c>
      <c r="AM476">
        <f>'Grid_Stock'!AK33</f>
        <v/>
      </c>
      <c r="AN476">
        <f>'Grid_Stock'!AL33</f>
        <v/>
      </c>
      <c r="AO476">
        <f>'Grid_Stock'!AM33</f>
        <v/>
      </c>
      <c r="AP476">
        <f>'Grid_Stock'!AN33</f>
        <v/>
      </c>
      <c r="AQ476">
        <f>'Grid_Stock'!AO33</f>
        <v/>
      </c>
      <c r="AR476">
        <f>'Grid_Stock'!AP33</f>
        <v/>
      </c>
      <c r="AS476">
        <f>'Grid_Stock'!AQ33</f>
        <v/>
      </c>
      <c r="AT476">
        <f>'Grid_Stock'!AR33</f>
        <v/>
      </c>
      <c r="AU476">
        <f>'Grid_Stock'!AS33</f>
        <v/>
      </c>
      <c r="AV476">
        <f>'Grid_Stock'!AT33</f>
        <v/>
      </c>
      <c r="AW476">
        <f>'Grid_Stock'!AU33</f>
        <v/>
      </c>
      <c r="AX476">
        <f>'Grid_Stock'!AV33</f>
        <v/>
      </c>
      <c r="AY476">
        <f>'Grid_Stock'!AW33</f>
        <v/>
      </c>
      <c r="AZ476">
        <f>'Grid_Stock'!AX33</f>
        <v/>
      </c>
      <c r="BA476">
        <f>'Grid_Stock'!AY33</f>
        <v/>
      </c>
      <c r="BB476">
        <f>'Grid_Stock'!AZ33</f>
        <v/>
      </c>
      <c r="BC476">
        <f>'Grid_Stock'!BA33</f>
        <v/>
      </c>
      <c r="BD476">
        <f>'Grid_Stock'!BB33</f>
        <v/>
      </c>
      <c r="BE476">
        <f>'Grid_Stock'!BC33</f>
        <v/>
      </c>
      <c r="BF476">
        <f>'Grid_Stock'!BD33</f>
        <v/>
      </c>
      <c r="BG476">
        <f>'Grid_Stock'!BE33</f>
        <v/>
      </c>
      <c r="BH476">
        <f>'Grid_Stock'!BF33</f>
        <v/>
      </c>
      <c r="BI476">
        <f>'Grid_Stock'!BG33</f>
        <v/>
      </c>
      <c r="BJ476">
        <f>'Grid_Stock'!BH33</f>
        <v/>
      </c>
      <c r="BK476">
        <f>'Grid_Stock'!BI33</f>
        <v/>
      </c>
      <c r="BL476">
        <f>'Grid_Stock'!BJ33</f>
        <v/>
      </c>
      <c r="BM476">
        <f>'Grid_Stock'!BK33</f>
        <v/>
      </c>
      <c r="BN476">
        <f>'Grid_Stock'!BL33</f>
        <v/>
      </c>
      <c r="BO476">
        <f>'Grid_Stock'!BM33</f>
        <v/>
      </c>
      <c r="BP476">
        <f>'Grid_Stock'!BN33</f>
        <v/>
      </c>
      <c r="BQ476">
        <f>'Grid_Stock'!BO33</f>
        <v/>
      </c>
      <c r="BR476">
        <f>'Grid_Stock'!BP33</f>
        <v/>
      </c>
      <c r="BS476">
        <f>'Grid_Stock'!BQ33</f>
        <v/>
      </c>
      <c r="BT476">
        <f>'Grid_Stock'!BR33</f>
        <v/>
      </c>
      <c r="BU476">
        <f>'Grid_Stock'!BS33</f>
        <v/>
      </c>
      <c r="BV476">
        <f>'Grid_Stock'!BT33</f>
        <v/>
      </c>
      <c r="BW476">
        <f>'Grid_Stock'!BU33</f>
        <v/>
      </c>
      <c r="BX476">
        <f>'Grid_Stock'!BV33</f>
        <v/>
      </c>
      <c r="BY476">
        <f>'Grid_Stock'!BW33</f>
        <v/>
      </c>
      <c r="BZ476">
        <f>'Grid_Stock'!BX33</f>
        <v/>
      </c>
      <c r="CA476">
        <f>'Grid_Stock'!BY33</f>
        <v/>
      </c>
      <c r="CB476">
        <f>'Grid_Stock'!BZ33</f>
        <v/>
      </c>
      <c r="CC476">
        <f>'Grid_Stock'!CA33</f>
        <v/>
      </c>
      <c r="CD476">
        <f>'Grid_Stock'!CB33</f>
        <v/>
      </c>
      <c r="CE476">
        <f>'Grid_Stock'!CC33</f>
        <v/>
      </c>
      <c r="CF476">
        <f>'Grid_Stock'!CD33</f>
        <v/>
      </c>
      <c r="CG476">
        <f>'Grid_Stock'!CE33</f>
        <v/>
      </c>
      <c r="CH476">
        <f>'Grid_Stock'!CF33</f>
        <v/>
      </c>
      <c r="CI476">
        <f>'Grid_Stock'!CG33</f>
        <v/>
      </c>
      <c r="CJ476">
        <f>'Grid_Stock'!CH33</f>
        <v/>
      </c>
      <c r="CK476">
        <f>'Grid_Stock'!CI33</f>
        <v/>
      </c>
      <c r="CL476">
        <f>'Grid_Stock'!CJ33</f>
        <v/>
      </c>
      <c r="CM476">
        <f>'Grid_Stock'!CK33</f>
        <v/>
      </c>
      <c r="CN476">
        <f>'Grid_Stock'!CL33</f>
        <v/>
      </c>
      <c r="CO476">
        <f>'Grid_Stock'!CM33</f>
        <v/>
      </c>
      <c r="CP476">
        <f>'Grid_Stock'!CN33</f>
        <v/>
      </c>
      <c r="CQ476">
        <f>'Grid_Stock'!CO33</f>
        <v/>
      </c>
      <c r="CR476">
        <f>'Grid_Stock'!CP33</f>
        <v/>
      </c>
      <c r="CS476">
        <f>'Grid_Stock'!CQ33</f>
        <v/>
      </c>
      <c r="CT476">
        <f>'Grid_Stock'!CR33</f>
        <v/>
      </c>
      <c r="CU476">
        <f>'Grid_Stock'!CS33</f>
        <v/>
      </c>
      <c r="CV476">
        <f>'Grid_Stock'!CT33</f>
        <v/>
      </c>
      <c r="CW476">
        <f>'Grid_Stock'!CU33</f>
        <v/>
      </c>
      <c r="CX476">
        <f>'Grid_Stock'!CV33</f>
        <v/>
      </c>
      <c r="CY476">
        <f>'Grid_Stock'!CW33</f>
        <v/>
      </c>
      <c r="CZ476">
        <f>'Grid_Stock'!CX33</f>
        <v/>
      </c>
      <c r="DA476">
        <f>'Grid_Stock'!CY33</f>
        <v/>
      </c>
      <c r="DB476">
        <f>'Grid_Stock'!CZ33</f>
        <v/>
      </c>
      <c r="DC476">
        <f>'Grid_Stock'!DA33</f>
        <v/>
      </c>
    </row>
    <row r="477">
      <c r="B477" s="16" t="inlineStr">
        <is>
          <t>（発注の目安はDashboardの基準在庫[下限/上限]と色分けを参照）</t>
        </is>
      </c>
    </row>
    <row r="479">
      <c r="A479" s="14" t="inlineStr">
        <is>
          <t>CHEM-1670</t>
        </is>
      </c>
      <c r="B479" s="14" t="inlineStr">
        <is>
          <t>ALESPER 1065</t>
        </is>
      </c>
      <c r="C479" s="15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  <c r="AO479" s="14" t="n"/>
      <c r="AP479" s="14" t="n"/>
      <c r="AQ479" s="14" t="n"/>
      <c r="AR479" s="14" t="n"/>
      <c r="AS479" s="14" t="n"/>
      <c r="AT479" s="14" t="n"/>
      <c r="AU479" s="14" t="n"/>
      <c r="AV479" s="14" t="n"/>
      <c r="AW479" s="14" t="n"/>
      <c r="AX479" s="14" t="n"/>
      <c r="AY479" s="14" t="n"/>
      <c r="AZ479" s="14" t="n"/>
      <c r="BA479" s="14" t="n"/>
      <c r="BB479" s="14" t="n"/>
      <c r="BC479" s="14" t="n"/>
      <c r="BD479" s="14" t="n"/>
      <c r="BE479" s="14" t="n"/>
      <c r="BF479" s="14" t="n"/>
      <c r="BG479" s="14" t="n"/>
      <c r="BH479" s="14" t="n"/>
      <c r="BI479" s="14" t="n"/>
      <c r="BJ479" s="14" t="n"/>
      <c r="BK479" s="14" t="n"/>
      <c r="BL479" s="14" t="n"/>
      <c r="BM479" s="14" t="n"/>
      <c r="BN479" s="14" t="n"/>
      <c r="BO479" s="14" t="n"/>
      <c r="BP479" s="14" t="n"/>
      <c r="BQ479" s="14" t="n"/>
      <c r="BR479" s="14" t="n"/>
      <c r="BS479" s="14" t="n"/>
      <c r="BT479" s="14" t="n"/>
      <c r="BU479" s="14" t="n"/>
      <c r="BV479" s="14" t="n"/>
      <c r="BW479" s="14" t="n"/>
      <c r="BX479" s="14" t="n"/>
      <c r="BY479" s="14" t="n"/>
      <c r="BZ479" s="14" t="n"/>
      <c r="CA479" s="14" t="n"/>
      <c r="CB479" s="14" t="n"/>
      <c r="CC479" s="14" t="n"/>
      <c r="CD479" s="14" t="n"/>
      <c r="CE479" s="14" t="n"/>
      <c r="CF479" s="14" t="n"/>
      <c r="CG479" s="14" t="n"/>
      <c r="CH479" s="14" t="n"/>
      <c r="CI479" s="14" t="n"/>
      <c r="CJ479" s="14" t="n"/>
      <c r="CK479" s="14" t="n"/>
      <c r="CL479" s="14" t="n"/>
      <c r="CM479" s="14" t="n"/>
      <c r="CN479" s="14" t="n"/>
      <c r="CO479" s="14" t="n"/>
      <c r="CP479" s="14" t="n"/>
      <c r="CQ479" s="14" t="n"/>
      <c r="CR479" s="14" t="n"/>
      <c r="CS479" s="14" t="n"/>
      <c r="CT479" s="14" t="n"/>
      <c r="CU479" s="14" t="n"/>
      <c r="CV479" s="14" t="n"/>
      <c r="CW479" s="14" t="n"/>
      <c r="CX479" s="14" t="n"/>
      <c r="CY479" s="14" t="n"/>
      <c r="CZ479" s="14" t="n"/>
      <c r="DA479" s="14" t="n"/>
      <c r="DB479" s="14" t="n"/>
      <c r="DC479" s="14" t="n"/>
    </row>
    <row r="480">
      <c r="B480" t="inlineStr">
        <is>
          <t>TSP-218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TSP-558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TSP-1444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Name],$A479)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TSP-1445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Name],$A479)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TSP-1446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Name],$A479)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TSP-1499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Name],$A479)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s="4" t="inlineStr">
        <is>
          <t>合計使用量(kg)/週</t>
        </is>
      </c>
      <c r="D494">
        <f>'Grid_Requirement'!B3</f>
        <v/>
      </c>
      <c r="E494">
        <f>'Grid_Requirement'!C3</f>
        <v/>
      </c>
      <c r="F494">
        <f>'Grid_Requirement'!D3</f>
        <v/>
      </c>
      <c r="G494">
        <f>'Grid_Requirement'!E3</f>
        <v/>
      </c>
      <c r="H494">
        <f>'Grid_Requirement'!F3</f>
        <v/>
      </c>
      <c r="I494">
        <f>'Grid_Requirement'!G3</f>
        <v/>
      </c>
      <c r="J494">
        <f>'Grid_Requirement'!H3</f>
        <v/>
      </c>
      <c r="K494">
        <f>'Grid_Requirement'!I3</f>
        <v/>
      </c>
      <c r="L494">
        <f>'Grid_Requirement'!J3</f>
        <v/>
      </c>
      <c r="M494">
        <f>'Grid_Requirement'!K3</f>
        <v/>
      </c>
      <c r="N494">
        <f>'Grid_Requirement'!L3</f>
        <v/>
      </c>
      <c r="O494">
        <f>'Grid_Requirement'!M3</f>
        <v/>
      </c>
      <c r="P494">
        <f>'Grid_Requirement'!N3</f>
        <v/>
      </c>
      <c r="Q494">
        <f>'Grid_Requirement'!O3</f>
        <v/>
      </c>
      <c r="R494">
        <f>'Grid_Requirement'!P3</f>
        <v/>
      </c>
      <c r="S494">
        <f>'Grid_Requirement'!Q3</f>
        <v/>
      </c>
      <c r="T494">
        <f>'Grid_Requirement'!R3</f>
        <v/>
      </c>
      <c r="U494">
        <f>'Grid_Requirement'!S3</f>
        <v/>
      </c>
      <c r="V494">
        <f>'Grid_Requirement'!T3</f>
        <v/>
      </c>
      <c r="W494">
        <f>'Grid_Requirement'!U3</f>
        <v/>
      </c>
      <c r="X494">
        <f>'Grid_Requirement'!V3</f>
        <v/>
      </c>
      <c r="Y494">
        <f>'Grid_Requirement'!W3</f>
        <v/>
      </c>
      <c r="Z494">
        <f>'Grid_Requirement'!X3</f>
        <v/>
      </c>
      <c r="AA494">
        <f>'Grid_Requirement'!Y3</f>
        <v/>
      </c>
      <c r="AB494">
        <f>'Grid_Requirement'!Z3</f>
        <v/>
      </c>
      <c r="AC494">
        <f>'Grid_Requirement'!AA3</f>
        <v/>
      </c>
      <c r="AD494">
        <f>'Grid_Requirement'!AB3</f>
        <v/>
      </c>
      <c r="AE494">
        <f>'Grid_Requirement'!AC3</f>
        <v/>
      </c>
      <c r="AF494">
        <f>'Grid_Requirement'!AD3</f>
        <v/>
      </c>
      <c r="AG494">
        <f>'Grid_Requirement'!AE3</f>
        <v/>
      </c>
      <c r="AH494">
        <f>'Grid_Requirement'!AF3</f>
        <v/>
      </c>
      <c r="AI494">
        <f>'Grid_Requirement'!AG3</f>
        <v/>
      </c>
      <c r="AJ494">
        <f>'Grid_Requirement'!AH3</f>
        <v/>
      </c>
      <c r="AK494">
        <f>'Grid_Requirement'!AI3</f>
        <v/>
      </c>
      <c r="AL494">
        <f>'Grid_Requirement'!AJ3</f>
        <v/>
      </c>
      <c r="AM494">
        <f>'Grid_Requirement'!AK3</f>
        <v/>
      </c>
      <c r="AN494">
        <f>'Grid_Requirement'!AL3</f>
        <v/>
      </c>
      <c r="AO494">
        <f>'Grid_Requirement'!AM3</f>
        <v/>
      </c>
      <c r="AP494">
        <f>'Grid_Requirement'!AN3</f>
        <v/>
      </c>
      <c r="AQ494">
        <f>'Grid_Requirement'!AO3</f>
        <v/>
      </c>
      <c r="AR494">
        <f>'Grid_Requirement'!AP3</f>
        <v/>
      </c>
      <c r="AS494">
        <f>'Grid_Requirement'!AQ3</f>
        <v/>
      </c>
      <c r="AT494">
        <f>'Grid_Requirement'!AR3</f>
        <v/>
      </c>
      <c r="AU494">
        <f>'Grid_Requirement'!AS3</f>
        <v/>
      </c>
      <c r="AV494">
        <f>'Grid_Requirement'!AT3</f>
        <v/>
      </c>
      <c r="AW494">
        <f>'Grid_Requirement'!AU3</f>
        <v/>
      </c>
      <c r="AX494">
        <f>'Grid_Requirement'!AV3</f>
        <v/>
      </c>
      <c r="AY494">
        <f>'Grid_Requirement'!AW3</f>
        <v/>
      </c>
      <c r="AZ494">
        <f>'Grid_Requirement'!AX3</f>
        <v/>
      </c>
      <c r="BA494">
        <f>'Grid_Requirement'!AY3</f>
        <v/>
      </c>
      <c r="BB494">
        <f>'Grid_Requirement'!AZ3</f>
        <v/>
      </c>
      <c r="BC494">
        <f>'Grid_Requirement'!BA3</f>
        <v/>
      </c>
      <c r="BD494">
        <f>'Grid_Requirement'!BB3</f>
        <v/>
      </c>
      <c r="BE494">
        <f>'Grid_Requirement'!BC3</f>
        <v/>
      </c>
      <c r="BF494">
        <f>'Grid_Requirement'!BD3</f>
        <v/>
      </c>
      <c r="BG494">
        <f>'Grid_Requirement'!BE3</f>
        <v/>
      </c>
      <c r="BH494">
        <f>'Grid_Requirement'!BF3</f>
        <v/>
      </c>
      <c r="BI494">
        <f>'Grid_Requirement'!BG3</f>
        <v/>
      </c>
      <c r="BJ494">
        <f>'Grid_Requirement'!BH3</f>
        <v/>
      </c>
      <c r="BK494">
        <f>'Grid_Requirement'!BI3</f>
        <v/>
      </c>
      <c r="BL494">
        <f>'Grid_Requirement'!BJ3</f>
        <v/>
      </c>
      <c r="BM494">
        <f>'Grid_Requirement'!BK3</f>
        <v/>
      </c>
      <c r="BN494">
        <f>'Grid_Requirement'!BL3</f>
        <v/>
      </c>
      <c r="BO494">
        <f>'Grid_Requirement'!BM3</f>
        <v/>
      </c>
      <c r="BP494">
        <f>'Grid_Requirement'!BN3</f>
        <v/>
      </c>
      <c r="BQ494">
        <f>'Grid_Requirement'!BO3</f>
        <v/>
      </c>
      <c r="BR494">
        <f>'Grid_Requirement'!BP3</f>
        <v/>
      </c>
      <c r="BS494">
        <f>'Grid_Requirement'!BQ3</f>
        <v/>
      </c>
      <c r="BT494">
        <f>'Grid_Requirement'!BR3</f>
        <v/>
      </c>
      <c r="BU494">
        <f>'Grid_Requirement'!BS3</f>
        <v/>
      </c>
      <c r="BV494">
        <f>'Grid_Requirement'!BT3</f>
        <v/>
      </c>
      <c r="BW494">
        <f>'Grid_Requirement'!BU3</f>
        <v/>
      </c>
      <c r="BX494">
        <f>'Grid_Requirement'!BV3</f>
        <v/>
      </c>
      <c r="BY494">
        <f>'Grid_Requirement'!BW3</f>
        <v/>
      </c>
      <c r="BZ494">
        <f>'Grid_Requirement'!BX3</f>
        <v/>
      </c>
      <c r="CA494">
        <f>'Grid_Requirement'!BY3</f>
        <v/>
      </c>
      <c r="CB494">
        <f>'Grid_Requirement'!BZ3</f>
        <v/>
      </c>
      <c r="CC494">
        <f>'Grid_Requirement'!CA3</f>
        <v/>
      </c>
      <c r="CD494">
        <f>'Grid_Requirement'!CB3</f>
        <v/>
      </c>
      <c r="CE494">
        <f>'Grid_Requirement'!CC3</f>
        <v/>
      </c>
      <c r="CF494">
        <f>'Grid_Requirement'!CD3</f>
        <v/>
      </c>
      <c r="CG494">
        <f>'Grid_Requirement'!CE3</f>
        <v/>
      </c>
      <c r="CH494">
        <f>'Grid_Requirement'!CF3</f>
        <v/>
      </c>
      <c r="CI494">
        <f>'Grid_Requirement'!CG3</f>
        <v/>
      </c>
      <c r="CJ494">
        <f>'Grid_Requirement'!CH3</f>
        <v/>
      </c>
      <c r="CK494">
        <f>'Grid_Requirement'!CI3</f>
        <v/>
      </c>
      <c r="CL494">
        <f>'Grid_Requirement'!CJ3</f>
        <v/>
      </c>
      <c r="CM494">
        <f>'Grid_Requirement'!CK3</f>
        <v/>
      </c>
      <c r="CN494">
        <f>'Grid_Requirement'!CL3</f>
        <v/>
      </c>
      <c r="CO494">
        <f>'Grid_Requirement'!CM3</f>
        <v/>
      </c>
      <c r="CP494">
        <f>'Grid_Requirement'!CN3</f>
        <v/>
      </c>
      <c r="CQ494">
        <f>'Grid_Requirement'!CO3</f>
        <v/>
      </c>
      <c r="CR494">
        <f>'Grid_Requirement'!CP3</f>
        <v/>
      </c>
      <c r="CS494">
        <f>'Grid_Requirement'!CQ3</f>
        <v/>
      </c>
      <c r="CT494">
        <f>'Grid_Requirement'!CR3</f>
        <v/>
      </c>
      <c r="CU494">
        <f>'Grid_Requirement'!CS3</f>
        <v/>
      </c>
      <c r="CV494">
        <f>'Grid_Requirement'!CT3</f>
        <v/>
      </c>
      <c r="CW494">
        <f>'Grid_Requirement'!CU3</f>
        <v/>
      </c>
      <c r="CX494">
        <f>'Grid_Requirement'!CV3</f>
        <v/>
      </c>
      <c r="CY494">
        <f>'Grid_Requirement'!CW3</f>
        <v/>
      </c>
      <c r="CZ494">
        <f>'Grid_Requirement'!CX3</f>
        <v/>
      </c>
      <c r="DA494">
        <f>'Grid_Requirement'!CY3</f>
        <v/>
      </c>
      <c r="DB494">
        <f>'Grid_Requirement'!CZ3</f>
        <v/>
      </c>
      <c r="DC494">
        <f>'Grid_Requirement'!DA3</f>
        <v/>
      </c>
    </row>
    <row r="495">
      <c r="B495" t="inlineStr">
        <is>
          <t>TTAF在庫(実績,kg)</t>
        </is>
      </c>
      <c r="D495">
        <f>'T_TTAFStock'!B7</f>
        <v/>
      </c>
      <c r="E495">
        <f>'T_TTAFStock'!C7</f>
        <v/>
      </c>
      <c r="F495">
        <f>'T_TTAFStock'!D7</f>
        <v/>
      </c>
      <c r="G495">
        <f>'T_TTAFStock'!E7</f>
        <v/>
      </c>
      <c r="H495">
        <f>'T_TTAFStock'!F7</f>
        <v/>
      </c>
      <c r="I495">
        <f>'T_TTAFStock'!G7</f>
        <v/>
      </c>
      <c r="J495">
        <f>'T_TTAFStock'!H7</f>
        <v/>
      </c>
      <c r="K495">
        <f>'T_TTAFStock'!I7</f>
        <v/>
      </c>
      <c r="L495">
        <f>'T_TTAFStock'!J7</f>
        <v/>
      </c>
      <c r="M495">
        <f>'T_TTAFStock'!K7</f>
        <v/>
      </c>
      <c r="N495">
        <f>'T_TTAFStock'!L7</f>
        <v/>
      </c>
      <c r="O495">
        <f>'T_TTAFStock'!M7</f>
        <v/>
      </c>
      <c r="P495">
        <f>'T_TTAFStock'!N7</f>
        <v/>
      </c>
      <c r="Q495">
        <f>'T_TTAFStock'!O7</f>
        <v/>
      </c>
      <c r="R495">
        <f>'T_TTAFStock'!P7</f>
        <v/>
      </c>
      <c r="S495">
        <f>'T_TTAFStock'!Q7</f>
        <v/>
      </c>
      <c r="T495">
        <f>'T_TTAFStock'!R7</f>
        <v/>
      </c>
      <c r="U495">
        <f>'T_TTAFStock'!S7</f>
        <v/>
      </c>
      <c r="V495">
        <f>'T_TTAFStock'!T7</f>
        <v/>
      </c>
      <c r="W495">
        <f>'T_TTAFStock'!U7</f>
        <v/>
      </c>
      <c r="X495">
        <f>'T_TTAFStock'!V7</f>
        <v/>
      </c>
      <c r="Y495">
        <f>'T_TTAFStock'!W7</f>
        <v/>
      </c>
      <c r="Z495">
        <f>'T_TTAFStock'!X7</f>
        <v/>
      </c>
      <c r="AA495">
        <f>'T_TTAFStock'!Y7</f>
        <v/>
      </c>
      <c r="AB495">
        <f>'T_TTAFStock'!Z7</f>
        <v/>
      </c>
      <c r="AC495">
        <f>'T_TTAFStock'!AA7</f>
        <v/>
      </c>
      <c r="AD495">
        <f>'T_TTAFStock'!AB7</f>
        <v/>
      </c>
      <c r="AE495">
        <f>'T_TTAFStock'!AC7</f>
        <v/>
      </c>
      <c r="AF495">
        <f>'T_TTAFStock'!AD7</f>
        <v/>
      </c>
      <c r="AG495">
        <f>'T_TTAFStock'!AE7</f>
        <v/>
      </c>
      <c r="AH495">
        <f>'T_TTAFStock'!AF7</f>
        <v/>
      </c>
      <c r="AI495">
        <f>'T_TTAFStock'!AG7</f>
        <v/>
      </c>
      <c r="AJ495">
        <f>'T_TTAFStock'!AH7</f>
        <v/>
      </c>
      <c r="AK495">
        <f>'T_TTAFStock'!AI7</f>
        <v/>
      </c>
      <c r="AL495">
        <f>'T_TTAFStock'!AJ7</f>
        <v/>
      </c>
      <c r="AM495">
        <f>'T_TTAFStock'!AK7</f>
        <v/>
      </c>
      <c r="AN495">
        <f>'T_TTAFStock'!AL7</f>
        <v/>
      </c>
      <c r="AO495">
        <f>'T_TTAFStock'!AM7</f>
        <v/>
      </c>
      <c r="AP495">
        <f>'T_TTAFStock'!AN7</f>
        <v/>
      </c>
      <c r="AQ495">
        <f>'T_TTAFStock'!AO7</f>
        <v/>
      </c>
      <c r="AR495">
        <f>'T_TTAFStock'!AP7</f>
        <v/>
      </c>
      <c r="AS495">
        <f>'T_TTAFStock'!AQ7</f>
        <v/>
      </c>
      <c r="AT495">
        <f>'T_TTAFStock'!AR7</f>
        <v/>
      </c>
      <c r="AU495">
        <f>'T_TTAFStock'!AS7</f>
        <v/>
      </c>
      <c r="AV495">
        <f>'T_TTAFStock'!AT7</f>
        <v/>
      </c>
      <c r="AW495">
        <f>'T_TTAFStock'!AU7</f>
        <v/>
      </c>
      <c r="AX495">
        <f>'T_TTAFStock'!AV7</f>
        <v/>
      </c>
      <c r="AY495">
        <f>'T_TTAFStock'!AW7</f>
        <v/>
      </c>
      <c r="AZ495">
        <f>'T_TTAFStock'!AX7</f>
        <v/>
      </c>
      <c r="BA495">
        <f>'T_TTAFStock'!AY7</f>
        <v/>
      </c>
      <c r="BB495">
        <f>'T_TTAFStock'!AZ7</f>
        <v/>
      </c>
      <c r="BC495">
        <f>'T_TTAFStock'!BA7</f>
        <v/>
      </c>
      <c r="BD495">
        <f>'T_TTAFStock'!BB7</f>
        <v/>
      </c>
      <c r="BE495">
        <f>'T_TTAFStock'!BC7</f>
        <v/>
      </c>
      <c r="BF495">
        <f>'T_TTAFStock'!BD7</f>
        <v/>
      </c>
      <c r="BG495">
        <f>'T_TTAFStock'!BE7</f>
        <v/>
      </c>
      <c r="BH495">
        <f>'T_TTAFStock'!BF7</f>
        <v/>
      </c>
      <c r="BI495">
        <f>'T_TTAFStock'!BG7</f>
        <v/>
      </c>
      <c r="BJ495">
        <f>'T_TTAFStock'!BH7</f>
        <v/>
      </c>
      <c r="BK495">
        <f>'T_TTAFStock'!BI7</f>
        <v/>
      </c>
      <c r="BL495">
        <f>'T_TTAFStock'!BJ7</f>
        <v/>
      </c>
      <c r="BM495">
        <f>'T_TTAFStock'!BK7</f>
        <v/>
      </c>
      <c r="BN495">
        <f>'T_TTAFStock'!BL7</f>
        <v/>
      </c>
      <c r="BO495">
        <f>'T_TTAFStock'!BM7</f>
        <v/>
      </c>
      <c r="BP495">
        <f>'T_TTAFStock'!BN7</f>
        <v/>
      </c>
      <c r="BQ495">
        <f>'T_TTAFStock'!BO7</f>
        <v/>
      </c>
      <c r="BR495">
        <f>'T_TTAFStock'!BP7</f>
        <v/>
      </c>
      <c r="BS495">
        <f>'T_TTAFStock'!BQ7</f>
        <v/>
      </c>
      <c r="BT495">
        <f>'T_TTAFStock'!BR7</f>
        <v/>
      </c>
      <c r="BU495">
        <f>'T_TTAFStock'!BS7</f>
        <v/>
      </c>
      <c r="BV495">
        <f>'T_TTAFStock'!BT7</f>
        <v/>
      </c>
      <c r="BW495">
        <f>'T_TTAFStock'!BU7</f>
        <v/>
      </c>
      <c r="BX495">
        <f>'T_TTAFStock'!BV7</f>
        <v/>
      </c>
      <c r="BY495">
        <f>'T_TTAFStock'!BW7</f>
        <v/>
      </c>
      <c r="BZ495">
        <f>'T_TTAFStock'!BX7</f>
        <v/>
      </c>
      <c r="CA495">
        <f>'T_TTAFStock'!BY7</f>
        <v/>
      </c>
      <c r="CB495">
        <f>'T_TTAFStock'!BZ7</f>
        <v/>
      </c>
      <c r="CC495">
        <f>'T_TTAFStock'!CA7</f>
        <v/>
      </c>
      <c r="CD495">
        <f>'T_TTAFStock'!CB7</f>
        <v/>
      </c>
      <c r="CE495">
        <f>'T_TTAFStock'!CC7</f>
        <v/>
      </c>
      <c r="CF495">
        <f>'T_TTAFStock'!CD7</f>
        <v/>
      </c>
      <c r="CG495">
        <f>'T_TTAFStock'!CE7</f>
        <v/>
      </c>
      <c r="CH495">
        <f>'T_TTAFStock'!CF7</f>
        <v/>
      </c>
      <c r="CI495">
        <f>'T_TTAFStock'!CG7</f>
        <v/>
      </c>
      <c r="CJ495">
        <f>'T_TTAFStock'!CH7</f>
        <v/>
      </c>
      <c r="CK495">
        <f>'T_TTAFStock'!CI7</f>
        <v/>
      </c>
      <c r="CL495">
        <f>'T_TTAFStock'!CJ7</f>
        <v/>
      </c>
      <c r="CM495">
        <f>'T_TTAFStock'!CK7</f>
        <v/>
      </c>
      <c r="CN495">
        <f>'T_TTAFStock'!CL7</f>
        <v/>
      </c>
      <c r="CO495">
        <f>'T_TTAFStock'!CM7</f>
        <v/>
      </c>
      <c r="CP495">
        <f>'T_TTAFStock'!CN7</f>
        <v/>
      </c>
      <c r="CQ495">
        <f>'T_TTAFStock'!CO7</f>
        <v/>
      </c>
      <c r="CR495">
        <f>'T_TTAFStock'!CP7</f>
        <v/>
      </c>
      <c r="CS495">
        <f>'T_TTAFStock'!CQ7</f>
        <v/>
      </c>
      <c r="CT495">
        <f>'T_TTAFStock'!CR7</f>
        <v/>
      </c>
      <c r="CU495">
        <f>'T_TTAFStock'!CS7</f>
        <v/>
      </c>
      <c r="CV495">
        <f>'T_TTAFStock'!CT7</f>
        <v/>
      </c>
      <c r="CW495">
        <f>'T_TTAFStock'!CU7</f>
        <v/>
      </c>
      <c r="CX495">
        <f>'T_TTAFStock'!CV7</f>
        <v/>
      </c>
      <c r="CY495">
        <f>'T_TTAFStock'!CW7</f>
        <v/>
      </c>
      <c r="CZ495">
        <f>'T_TTAFStock'!CX7</f>
        <v/>
      </c>
      <c r="DA495">
        <f>'T_TTAFStock'!CY7</f>
        <v/>
      </c>
      <c r="DB495">
        <f>'T_TTAFStock'!CZ7</f>
        <v/>
      </c>
      <c r="DC495">
        <f>'T_TTAFStock'!DA7</f>
        <v/>
      </c>
    </row>
    <row r="496">
      <c r="B496" t="inlineStr">
        <is>
          <t>自社在庫(実績,kg)</t>
        </is>
      </c>
      <c r="D496">
        <f>'T_SelfStock'!B7</f>
        <v/>
      </c>
      <c r="E496">
        <f>'T_SelfStock'!C7</f>
        <v/>
      </c>
      <c r="F496">
        <f>'T_SelfStock'!D7</f>
        <v/>
      </c>
      <c r="G496">
        <f>'T_SelfStock'!E7</f>
        <v/>
      </c>
      <c r="H496">
        <f>'T_SelfStock'!F7</f>
        <v/>
      </c>
      <c r="I496">
        <f>'T_SelfStock'!G7</f>
        <v/>
      </c>
      <c r="J496">
        <f>'T_SelfStock'!H7</f>
        <v/>
      </c>
      <c r="K496">
        <f>'T_SelfStock'!I7</f>
        <v/>
      </c>
      <c r="L496">
        <f>'T_SelfStock'!J7</f>
        <v/>
      </c>
      <c r="M496">
        <f>'T_SelfStock'!K7</f>
        <v/>
      </c>
      <c r="N496">
        <f>'T_SelfStock'!L7</f>
        <v/>
      </c>
      <c r="O496">
        <f>'T_SelfStock'!M7</f>
        <v/>
      </c>
      <c r="P496">
        <f>'T_SelfStock'!N7</f>
        <v/>
      </c>
      <c r="Q496">
        <f>'T_SelfStock'!O7</f>
        <v/>
      </c>
      <c r="R496">
        <f>'T_SelfStock'!P7</f>
        <v/>
      </c>
      <c r="S496">
        <f>'T_SelfStock'!Q7</f>
        <v/>
      </c>
      <c r="T496">
        <f>'T_SelfStock'!R7</f>
        <v/>
      </c>
      <c r="U496">
        <f>'T_SelfStock'!S7</f>
        <v/>
      </c>
      <c r="V496">
        <f>'T_SelfStock'!T7</f>
        <v/>
      </c>
      <c r="W496">
        <f>'T_SelfStock'!U7</f>
        <v/>
      </c>
      <c r="X496">
        <f>'T_SelfStock'!V7</f>
        <v/>
      </c>
      <c r="Y496">
        <f>'T_SelfStock'!W7</f>
        <v/>
      </c>
      <c r="Z496">
        <f>'T_SelfStock'!X7</f>
        <v/>
      </c>
      <c r="AA496">
        <f>'T_SelfStock'!Y7</f>
        <v/>
      </c>
      <c r="AB496">
        <f>'T_SelfStock'!Z7</f>
        <v/>
      </c>
      <c r="AC496">
        <f>'T_SelfStock'!AA7</f>
        <v/>
      </c>
      <c r="AD496">
        <f>'T_SelfStock'!AB7</f>
        <v/>
      </c>
      <c r="AE496">
        <f>'T_SelfStock'!AC7</f>
        <v/>
      </c>
      <c r="AF496">
        <f>'T_SelfStock'!AD7</f>
        <v/>
      </c>
      <c r="AG496">
        <f>'T_SelfStock'!AE7</f>
        <v/>
      </c>
      <c r="AH496">
        <f>'T_SelfStock'!AF7</f>
        <v/>
      </c>
      <c r="AI496">
        <f>'T_SelfStock'!AG7</f>
        <v/>
      </c>
      <c r="AJ496">
        <f>'T_SelfStock'!AH7</f>
        <v/>
      </c>
      <c r="AK496">
        <f>'T_SelfStock'!AI7</f>
        <v/>
      </c>
      <c r="AL496">
        <f>'T_SelfStock'!AJ7</f>
        <v/>
      </c>
      <c r="AM496">
        <f>'T_SelfStock'!AK7</f>
        <v/>
      </c>
      <c r="AN496">
        <f>'T_SelfStock'!AL7</f>
        <v/>
      </c>
      <c r="AO496">
        <f>'T_SelfStock'!AM7</f>
        <v/>
      </c>
      <c r="AP496">
        <f>'T_SelfStock'!AN7</f>
        <v/>
      </c>
      <c r="AQ496">
        <f>'T_SelfStock'!AO7</f>
        <v/>
      </c>
      <c r="AR496">
        <f>'T_SelfStock'!AP7</f>
        <v/>
      </c>
      <c r="AS496">
        <f>'T_SelfStock'!AQ7</f>
        <v/>
      </c>
      <c r="AT496">
        <f>'T_SelfStock'!AR7</f>
        <v/>
      </c>
      <c r="AU496">
        <f>'T_SelfStock'!AS7</f>
        <v/>
      </c>
      <c r="AV496">
        <f>'T_SelfStock'!AT7</f>
        <v/>
      </c>
      <c r="AW496">
        <f>'T_SelfStock'!AU7</f>
        <v/>
      </c>
      <c r="AX496">
        <f>'T_SelfStock'!AV7</f>
        <v/>
      </c>
      <c r="AY496">
        <f>'T_SelfStock'!AW7</f>
        <v/>
      </c>
      <c r="AZ496">
        <f>'T_SelfStock'!AX7</f>
        <v/>
      </c>
      <c r="BA496">
        <f>'T_SelfStock'!AY7</f>
        <v/>
      </c>
      <c r="BB496">
        <f>'T_SelfStock'!AZ7</f>
        <v/>
      </c>
      <c r="BC496">
        <f>'T_SelfStock'!BA7</f>
        <v/>
      </c>
      <c r="BD496">
        <f>'T_SelfStock'!BB7</f>
        <v/>
      </c>
      <c r="BE496">
        <f>'T_SelfStock'!BC7</f>
        <v/>
      </c>
      <c r="BF496">
        <f>'T_SelfStock'!BD7</f>
        <v/>
      </c>
      <c r="BG496">
        <f>'T_SelfStock'!BE7</f>
        <v/>
      </c>
      <c r="BH496">
        <f>'T_SelfStock'!BF7</f>
        <v/>
      </c>
      <c r="BI496">
        <f>'T_SelfStock'!BG7</f>
        <v/>
      </c>
      <c r="BJ496">
        <f>'T_SelfStock'!BH7</f>
        <v/>
      </c>
      <c r="BK496">
        <f>'T_SelfStock'!BI7</f>
        <v/>
      </c>
      <c r="BL496">
        <f>'T_SelfStock'!BJ7</f>
        <v/>
      </c>
      <c r="BM496">
        <f>'T_SelfStock'!BK7</f>
        <v/>
      </c>
      <c r="BN496">
        <f>'T_SelfStock'!BL7</f>
        <v/>
      </c>
      <c r="BO496">
        <f>'T_SelfStock'!BM7</f>
        <v/>
      </c>
      <c r="BP496">
        <f>'T_SelfStock'!BN7</f>
        <v/>
      </c>
      <c r="BQ496">
        <f>'T_SelfStock'!BO7</f>
        <v/>
      </c>
      <c r="BR496">
        <f>'T_SelfStock'!BP7</f>
        <v/>
      </c>
      <c r="BS496">
        <f>'T_SelfStock'!BQ7</f>
        <v/>
      </c>
      <c r="BT496">
        <f>'T_SelfStock'!BR7</f>
        <v/>
      </c>
      <c r="BU496">
        <f>'T_SelfStock'!BS7</f>
        <v/>
      </c>
      <c r="BV496">
        <f>'T_SelfStock'!BT7</f>
        <v/>
      </c>
      <c r="BW496">
        <f>'T_SelfStock'!BU7</f>
        <v/>
      </c>
      <c r="BX496">
        <f>'T_SelfStock'!BV7</f>
        <v/>
      </c>
      <c r="BY496">
        <f>'T_SelfStock'!BW7</f>
        <v/>
      </c>
      <c r="BZ496">
        <f>'T_SelfStock'!BX7</f>
        <v/>
      </c>
      <c r="CA496">
        <f>'T_SelfStock'!BY7</f>
        <v/>
      </c>
      <c r="CB496">
        <f>'T_SelfStock'!BZ7</f>
        <v/>
      </c>
      <c r="CC496">
        <f>'T_SelfStock'!CA7</f>
        <v/>
      </c>
      <c r="CD496">
        <f>'T_SelfStock'!CB7</f>
        <v/>
      </c>
      <c r="CE496">
        <f>'T_SelfStock'!CC7</f>
        <v/>
      </c>
      <c r="CF496">
        <f>'T_SelfStock'!CD7</f>
        <v/>
      </c>
      <c r="CG496">
        <f>'T_SelfStock'!CE7</f>
        <v/>
      </c>
      <c r="CH496">
        <f>'T_SelfStock'!CF7</f>
        <v/>
      </c>
      <c r="CI496">
        <f>'T_SelfStock'!CG7</f>
        <v/>
      </c>
      <c r="CJ496">
        <f>'T_SelfStock'!CH7</f>
        <v/>
      </c>
      <c r="CK496">
        <f>'T_SelfStock'!CI7</f>
        <v/>
      </c>
      <c r="CL496">
        <f>'T_SelfStock'!CJ7</f>
        <v/>
      </c>
      <c r="CM496">
        <f>'T_SelfStock'!CK7</f>
        <v/>
      </c>
      <c r="CN496">
        <f>'T_SelfStock'!CL7</f>
        <v/>
      </c>
      <c r="CO496">
        <f>'T_SelfStock'!CM7</f>
        <v/>
      </c>
      <c r="CP496">
        <f>'T_SelfStock'!CN7</f>
        <v/>
      </c>
      <c r="CQ496">
        <f>'T_SelfStock'!CO7</f>
        <v/>
      </c>
      <c r="CR496">
        <f>'T_SelfStock'!CP7</f>
        <v/>
      </c>
      <c r="CS496">
        <f>'T_SelfStock'!CQ7</f>
        <v/>
      </c>
      <c r="CT496">
        <f>'T_SelfStock'!CR7</f>
        <v/>
      </c>
      <c r="CU496">
        <f>'T_SelfStock'!CS7</f>
        <v/>
      </c>
      <c r="CV496">
        <f>'T_SelfStock'!CT7</f>
        <v/>
      </c>
      <c r="CW496">
        <f>'T_SelfStock'!CU7</f>
        <v/>
      </c>
      <c r="CX496">
        <f>'T_SelfStock'!CV7</f>
        <v/>
      </c>
      <c r="CY496">
        <f>'T_SelfStock'!CW7</f>
        <v/>
      </c>
      <c r="CZ496">
        <f>'T_SelfStock'!CX7</f>
        <v/>
      </c>
      <c r="DA496">
        <f>'T_SelfStock'!CY7</f>
        <v/>
      </c>
      <c r="DB496">
        <f>'T_SelfStock'!CZ7</f>
        <v/>
      </c>
      <c r="DC496">
        <f>'T_SelfStock'!DA7</f>
        <v/>
      </c>
    </row>
    <row r="497">
      <c r="B497" s="4" t="inlineStr">
        <is>
          <t>合計在庫(週末時点,kg)</t>
        </is>
      </c>
      <c r="D497">
        <f>'Grid_Stock'!B3</f>
        <v/>
      </c>
      <c r="E497">
        <f>'Grid_Stock'!C3</f>
        <v/>
      </c>
      <c r="F497">
        <f>'Grid_Stock'!D3</f>
        <v/>
      </c>
      <c r="G497">
        <f>'Grid_Stock'!E3</f>
        <v/>
      </c>
      <c r="H497">
        <f>'Grid_Stock'!F3</f>
        <v/>
      </c>
      <c r="I497">
        <f>'Grid_Stock'!G3</f>
        <v/>
      </c>
      <c r="J497">
        <f>'Grid_Stock'!H3</f>
        <v/>
      </c>
      <c r="K497">
        <f>'Grid_Stock'!I3</f>
        <v/>
      </c>
      <c r="L497">
        <f>'Grid_Stock'!J3</f>
        <v/>
      </c>
      <c r="M497">
        <f>'Grid_Stock'!K3</f>
        <v/>
      </c>
      <c r="N497">
        <f>'Grid_Stock'!L3</f>
        <v/>
      </c>
      <c r="O497">
        <f>'Grid_Stock'!M3</f>
        <v/>
      </c>
      <c r="P497">
        <f>'Grid_Stock'!N3</f>
        <v/>
      </c>
      <c r="Q497">
        <f>'Grid_Stock'!O3</f>
        <v/>
      </c>
      <c r="R497">
        <f>'Grid_Stock'!P3</f>
        <v/>
      </c>
      <c r="S497">
        <f>'Grid_Stock'!Q3</f>
        <v/>
      </c>
      <c r="T497">
        <f>'Grid_Stock'!R3</f>
        <v/>
      </c>
      <c r="U497">
        <f>'Grid_Stock'!S3</f>
        <v/>
      </c>
      <c r="V497">
        <f>'Grid_Stock'!T3</f>
        <v/>
      </c>
      <c r="W497">
        <f>'Grid_Stock'!U3</f>
        <v/>
      </c>
      <c r="X497">
        <f>'Grid_Stock'!V3</f>
        <v/>
      </c>
      <c r="Y497">
        <f>'Grid_Stock'!W3</f>
        <v/>
      </c>
      <c r="Z497">
        <f>'Grid_Stock'!X3</f>
        <v/>
      </c>
      <c r="AA497">
        <f>'Grid_Stock'!Y3</f>
        <v/>
      </c>
      <c r="AB497">
        <f>'Grid_Stock'!Z3</f>
        <v/>
      </c>
      <c r="AC497">
        <f>'Grid_Stock'!AA3</f>
        <v/>
      </c>
      <c r="AD497">
        <f>'Grid_Stock'!AB3</f>
        <v/>
      </c>
      <c r="AE497">
        <f>'Grid_Stock'!AC3</f>
        <v/>
      </c>
      <c r="AF497">
        <f>'Grid_Stock'!AD3</f>
        <v/>
      </c>
      <c r="AG497">
        <f>'Grid_Stock'!AE3</f>
        <v/>
      </c>
      <c r="AH497">
        <f>'Grid_Stock'!AF3</f>
        <v/>
      </c>
      <c r="AI497">
        <f>'Grid_Stock'!AG3</f>
        <v/>
      </c>
      <c r="AJ497">
        <f>'Grid_Stock'!AH3</f>
        <v/>
      </c>
      <c r="AK497">
        <f>'Grid_Stock'!AI3</f>
        <v/>
      </c>
      <c r="AL497">
        <f>'Grid_Stock'!AJ3</f>
        <v/>
      </c>
      <c r="AM497">
        <f>'Grid_Stock'!AK3</f>
        <v/>
      </c>
      <c r="AN497">
        <f>'Grid_Stock'!AL3</f>
        <v/>
      </c>
      <c r="AO497">
        <f>'Grid_Stock'!AM3</f>
        <v/>
      </c>
      <c r="AP497">
        <f>'Grid_Stock'!AN3</f>
        <v/>
      </c>
      <c r="AQ497">
        <f>'Grid_Stock'!AO3</f>
        <v/>
      </c>
      <c r="AR497">
        <f>'Grid_Stock'!AP3</f>
        <v/>
      </c>
      <c r="AS497">
        <f>'Grid_Stock'!AQ3</f>
        <v/>
      </c>
      <c r="AT497">
        <f>'Grid_Stock'!AR3</f>
        <v/>
      </c>
      <c r="AU497">
        <f>'Grid_Stock'!AS3</f>
        <v/>
      </c>
      <c r="AV497">
        <f>'Grid_Stock'!AT3</f>
        <v/>
      </c>
      <c r="AW497">
        <f>'Grid_Stock'!AU3</f>
        <v/>
      </c>
      <c r="AX497">
        <f>'Grid_Stock'!AV3</f>
        <v/>
      </c>
      <c r="AY497">
        <f>'Grid_Stock'!AW3</f>
        <v/>
      </c>
      <c r="AZ497">
        <f>'Grid_Stock'!AX3</f>
        <v/>
      </c>
      <c r="BA497">
        <f>'Grid_Stock'!AY3</f>
        <v/>
      </c>
      <c r="BB497">
        <f>'Grid_Stock'!AZ3</f>
        <v/>
      </c>
      <c r="BC497">
        <f>'Grid_Stock'!BA3</f>
        <v/>
      </c>
      <c r="BD497">
        <f>'Grid_Stock'!BB3</f>
        <v/>
      </c>
      <c r="BE497">
        <f>'Grid_Stock'!BC3</f>
        <v/>
      </c>
      <c r="BF497">
        <f>'Grid_Stock'!BD3</f>
        <v/>
      </c>
      <c r="BG497">
        <f>'Grid_Stock'!BE3</f>
        <v/>
      </c>
      <c r="BH497">
        <f>'Grid_Stock'!BF3</f>
        <v/>
      </c>
      <c r="BI497">
        <f>'Grid_Stock'!BG3</f>
        <v/>
      </c>
      <c r="BJ497">
        <f>'Grid_Stock'!BH3</f>
        <v/>
      </c>
      <c r="BK497">
        <f>'Grid_Stock'!BI3</f>
        <v/>
      </c>
      <c r="BL497">
        <f>'Grid_Stock'!BJ3</f>
        <v/>
      </c>
      <c r="BM497">
        <f>'Grid_Stock'!BK3</f>
        <v/>
      </c>
      <c r="BN497">
        <f>'Grid_Stock'!BL3</f>
        <v/>
      </c>
      <c r="BO497">
        <f>'Grid_Stock'!BM3</f>
        <v/>
      </c>
      <c r="BP497">
        <f>'Grid_Stock'!BN3</f>
        <v/>
      </c>
      <c r="BQ497">
        <f>'Grid_Stock'!BO3</f>
        <v/>
      </c>
      <c r="BR497">
        <f>'Grid_Stock'!BP3</f>
        <v/>
      </c>
      <c r="BS497">
        <f>'Grid_Stock'!BQ3</f>
        <v/>
      </c>
      <c r="BT497">
        <f>'Grid_Stock'!BR3</f>
        <v/>
      </c>
      <c r="BU497">
        <f>'Grid_Stock'!BS3</f>
        <v/>
      </c>
      <c r="BV497">
        <f>'Grid_Stock'!BT3</f>
        <v/>
      </c>
      <c r="BW497">
        <f>'Grid_Stock'!BU3</f>
        <v/>
      </c>
      <c r="BX497">
        <f>'Grid_Stock'!BV3</f>
        <v/>
      </c>
      <c r="BY497">
        <f>'Grid_Stock'!BW3</f>
        <v/>
      </c>
      <c r="BZ497">
        <f>'Grid_Stock'!BX3</f>
        <v/>
      </c>
      <c r="CA497">
        <f>'Grid_Stock'!BY3</f>
        <v/>
      </c>
      <c r="CB497">
        <f>'Grid_Stock'!BZ3</f>
        <v/>
      </c>
      <c r="CC497">
        <f>'Grid_Stock'!CA3</f>
        <v/>
      </c>
      <c r="CD497">
        <f>'Grid_Stock'!CB3</f>
        <v/>
      </c>
      <c r="CE497">
        <f>'Grid_Stock'!CC3</f>
        <v/>
      </c>
      <c r="CF497">
        <f>'Grid_Stock'!CD3</f>
        <v/>
      </c>
      <c r="CG497">
        <f>'Grid_Stock'!CE3</f>
        <v/>
      </c>
      <c r="CH497">
        <f>'Grid_Stock'!CF3</f>
        <v/>
      </c>
      <c r="CI497">
        <f>'Grid_Stock'!CG3</f>
        <v/>
      </c>
      <c r="CJ497">
        <f>'Grid_Stock'!CH3</f>
        <v/>
      </c>
      <c r="CK497">
        <f>'Grid_Stock'!CI3</f>
        <v/>
      </c>
      <c r="CL497">
        <f>'Grid_Stock'!CJ3</f>
        <v/>
      </c>
      <c r="CM497">
        <f>'Grid_Stock'!CK3</f>
        <v/>
      </c>
      <c r="CN497">
        <f>'Grid_Stock'!CL3</f>
        <v/>
      </c>
      <c r="CO497">
        <f>'Grid_Stock'!CM3</f>
        <v/>
      </c>
      <c r="CP497">
        <f>'Grid_Stock'!CN3</f>
        <v/>
      </c>
      <c r="CQ497">
        <f>'Grid_Stock'!CO3</f>
        <v/>
      </c>
      <c r="CR497">
        <f>'Grid_Stock'!CP3</f>
        <v/>
      </c>
      <c r="CS497">
        <f>'Grid_Stock'!CQ3</f>
        <v/>
      </c>
      <c r="CT497">
        <f>'Grid_Stock'!CR3</f>
        <v/>
      </c>
      <c r="CU497">
        <f>'Grid_Stock'!CS3</f>
        <v/>
      </c>
      <c r="CV497">
        <f>'Grid_Stock'!CT3</f>
        <v/>
      </c>
      <c r="CW497">
        <f>'Grid_Stock'!CU3</f>
        <v/>
      </c>
      <c r="CX497">
        <f>'Grid_Stock'!CV3</f>
        <v/>
      </c>
      <c r="CY497">
        <f>'Grid_Stock'!CW3</f>
        <v/>
      </c>
      <c r="CZ497">
        <f>'Grid_Stock'!CX3</f>
        <v/>
      </c>
      <c r="DA497">
        <f>'Grid_Stock'!CY3</f>
        <v/>
      </c>
      <c r="DB497">
        <f>'Grid_Stock'!CZ3</f>
        <v/>
      </c>
      <c r="DC497">
        <f>'Grid_Stock'!DA3</f>
        <v/>
      </c>
    </row>
    <row r="498">
      <c r="B498" s="16" t="inlineStr">
        <is>
          <t>（発注の目安はDashboardの基準在庫[下限/上限]と色分けを参照）</t>
        </is>
      </c>
    </row>
    <row r="500">
      <c r="A500" s="14" t="inlineStr">
        <is>
          <t>CHEM-1600</t>
        </is>
      </c>
      <c r="B500" s="14" t="inlineStr">
        <is>
          <t>BF-1P</t>
        </is>
      </c>
      <c r="C500" s="15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  <c r="BS500" s="14" t="n"/>
      <c r="BT500" s="14" t="n"/>
      <c r="BU500" s="14" t="n"/>
      <c r="BV500" s="14" t="n"/>
      <c r="BW500" s="14" t="n"/>
      <c r="BX500" s="14" t="n"/>
      <c r="BY500" s="14" t="n"/>
      <c r="BZ500" s="14" t="n"/>
      <c r="CA500" s="14" t="n"/>
      <c r="CB500" s="14" t="n"/>
      <c r="CC500" s="14" t="n"/>
      <c r="CD500" s="14" t="n"/>
      <c r="CE500" s="14" t="n"/>
      <c r="CF500" s="14" t="n"/>
      <c r="CG500" s="14" t="n"/>
      <c r="CH500" s="14" t="n"/>
      <c r="CI500" s="14" t="n"/>
      <c r="CJ500" s="14" t="n"/>
      <c r="CK500" s="14" t="n"/>
      <c r="CL500" s="14" t="n"/>
      <c r="CM500" s="14" t="n"/>
      <c r="CN500" s="14" t="n"/>
      <c r="CO500" s="14" t="n"/>
      <c r="CP500" s="14" t="n"/>
      <c r="CQ500" s="14" t="n"/>
      <c r="CR500" s="14" t="n"/>
      <c r="CS500" s="14" t="n"/>
      <c r="CT500" s="14" t="n"/>
      <c r="CU500" s="14" t="n"/>
      <c r="CV500" s="14" t="n"/>
      <c r="CW500" s="14" t="n"/>
      <c r="CX500" s="14" t="n"/>
      <c r="CY500" s="14" t="n"/>
      <c r="CZ500" s="14" t="n"/>
      <c r="DA500" s="14" t="n"/>
      <c r="DB500" s="14" t="n"/>
      <c r="DC500" s="14" t="n"/>
    </row>
    <row r="501">
      <c r="B501" t="inlineStr">
        <is>
          <t>TSP-219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SUMIFS(M_BOM[RM_Qty_Per_Batch],M_BOM[Intermediate],$B501,M_BOM[Part Name],$A500)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TSP-828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SUMIFS(M_BOM[RM_Qty_Per_Batch],M_BOM[Intermediate],$B503,M_BOM[Part Name],$A500)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TSZ-616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SUMIFS(M_BOM[RM_Qty_Per_Batch],M_BOM[Intermediate],$B505,M_BOM[Part Name],$A500)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TSP-1449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SUMIFS(M_BOM[RM_Qty_Per_Batch],M_BOM[Intermediate],$B507,M_BOM[Part Name],$A500)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t="inlineStr">
        <is>
          <t>VSP-567</t>
        </is>
      </c>
      <c r="C509" t="inlineStr">
        <is>
          <t>No. of batches</t>
        </is>
      </c>
      <c r="D509">
        <f>IFERROR(INDEX(PP_Grid[#Data],$DD509,2),0)</f>
        <v/>
      </c>
      <c r="E509">
        <f>IFERROR(INDEX(PP_Grid[#Data],$DD509,3),0)</f>
        <v/>
      </c>
      <c r="F509">
        <f>IFERROR(INDEX(PP_Grid[#Data],$DD509,4),0)</f>
        <v/>
      </c>
      <c r="G509">
        <f>IFERROR(INDEX(PP_Grid[#Data],$DD509,5),0)</f>
        <v/>
      </c>
      <c r="H509">
        <f>IFERROR(INDEX(PP_Grid[#Data],$DD509,6),0)</f>
        <v/>
      </c>
      <c r="I509">
        <f>IFERROR(INDEX(PP_Grid[#Data],$DD509,7),0)</f>
        <v/>
      </c>
      <c r="J509">
        <f>IFERROR(INDEX(PP_Grid[#Data],$DD509,8),0)</f>
        <v/>
      </c>
      <c r="K509">
        <f>IFERROR(INDEX(PP_Grid[#Data],$DD509,9),0)</f>
        <v/>
      </c>
      <c r="L509">
        <f>IFERROR(INDEX(PP_Grid[#Data],$DD509,10),0)</f>
        <v/>
      </c>
      <c r="M509">
        <f>IFERROR(INDEX(PP_Grid[#Data],$DD509,11),0)</f>
        <v/>
      </c>
      <c r="N509">
        <f>IFERROR(INDEX(PP_Grid[#Data],$DD509,12),0)</f>
        <v/>
      </c>
      <c r="O509">
        <f>IFERROR(INDEX(PP_Grid[#Data],$DD509,13),0)</f>
        <v/>
      </c>
      <c r="P509">
        <f>IFERROR(INDEX(PP_Grid[#Data],$DD509,14),0)</f>
        <v/>
      </c>
      <c r="Q509">
        <f>IFERROR(INDEX(PP_Grid[#Data],$DD509,15),0)</f>
        <v/>
      </c>
      <c r="R509">
        <f>IFERROR(INDEX(PP_Grid[#Data],$DD509,16),0)</f>
        <v/>
      </c>
      <c r="S509">
        <f>IFERROR(INDEX(PP_Grid[#Data],$DD509,17),0)</f>
        <v/>
      </c>
      <c r="T509">
        <f>IFERROR(INDEX(PP_Grid[#Data],$DD509,18),0)</f>
        <v/>
      </c>
      <c r="U509">
        <f>IFERROR(INDEX(PP_Grid[#Data],$DD509,19),0)</f>
        <v/>
      </c>
      <c r="V509">
        <f>IFERROR(INDEX(PP_Grid[#Data],$DD509,20),0)</f>
        <v/>
      </c>
      <c r="W509">
        <f>IFERROR(INDEX(PP_Grid[#Data],$DD509,21),0)</f>
        <v/>
      </c>
      <c r="X509">
        <f>IFERROR(INDEX(PP_Grid[#Data],$DD509,22),0)</f>
        <v/>
      </c>
      <c r="Y509">
        <f>IFERROR(INDEX(PP_Grid[#Data],$DD509,23),0)</f>
        <v/>
      </c>
      <c r="Z509">
        <f>IFERROR(INDEX(PP_Grid[#Data],$DD509,24),0)</f>
        <v/>
      </c>
      <c r="AA509">
        <f>IFERROR(INDEX(PP_Grid[#Data],$DD509,25),0)</f>
        <v/>
      </c>
      <c r="AB509">
        <f>IFERROR(INDEX(PP_Grid[#Data],$DD509,26),0)</f>
        <v/>
      </c>
      <c r="AC509">
        <f>IFERROR(INDEX(PP_Grid[#Data],$DD509,27),0)</f>
        <v/>
      </c>
      <c r="AD509">
        <f>IFERROR(INDEX(PP_Grid[#Data],$DD509,28),0)</f>
        <v/>
      </c>
      <c r="AE509">
        <f>IFERROR(INDEX(PP_Grid[#Data],$DD509,29),0)</f>
        <v/>
      </c>
      <c r="AF509">
        <f>IFERROR(INDEX(PP_Grid[#Data],$DD509,30),0)</f>
        <v/>
      </c>
      <c r="AG509">
        <f>IFERROR(INDEX(PP_Grid[#Data],$DD509,31),0)</f>
        <v/>
      </c>
      <c r="AH509">
        <f>IFERROR(INDEX(PP_Grid[#Data],$DD509,32),0)</f>
        <v/>
      </c>
      <c r="AI509">
        <f>IFERROR(INDEX(PP_Grid[#Data],$DD509,33),0)</f>
        <v/>
      </c>
      <c r="AJ509">
        <f>IFERROR(INDEX(PP_Grid[#Data],$DD509,34),0)</f>
        <v/>
      </c>
      <c r="AK509">
        <f>IFERROR(INDEX(PP_Grid[#Data],$DD509,35),0)</f>
        <v/>
      </c>
      <c r="AL509">
        <f>IFERROR(INDEX(PP_Grid[#Data],$DD509,36),0)</f>
        <v/>
      </c>
      <c r="AM509">
        <f>IFERROR(INDEX(PP_Grid[#Data],$DD509,37),0)</f>
        <v/>
      </c>
      <c r="AN509">
        <f>IFERROR(INDEX(PP_Grid[#Data],$DD509,38),0)</f>
        <v/>
      </c>
      <c r="AO509">
        <f>IFERROR(INDEX(PP_Grid[#Data],$DD509,39),0)</f>
        <v/>
      </c>
      <c r="AP509">
        <f>IFERROR(INDEX(PP_Grid[#Data],$DD509,40),0)</f>
        <v/>
      </c>
      <c r="AQ509">
        <f>IFERROR(INDEX(PP_Grid[#Data],$DD509,41),0)</f>
        <v/>
      </c>
      <c r="AR509">
        <f>IFERROR(INDEX(PP_Grid[#Data],$DD509,42),0)</f>
        <v/>
      </c>
      <c r="AS509">
        <f>IFERROR(INDEX(PP_Grid[#Data],$DD509,43),0)</f>
        <v/>
      </c>
      <c r="AT509">
        <f>IFERROR(INDEX(PP_Grid[#Data],$DD509,44),0)</f>
        <v/>
      </c>
      <c r="AU509">
        <f>IFERROR(INDEX(PP_Grid[#Data],$DD509,45),0)</f>
        <v/>
      </c>
      <c r="AV509">
        <f>IFERROR(INDEX(PP_Grid[#Data],$DD509,46),0)</f>
        <v/>
      </c>
      <c r="AW509">
        <f>IFERROR(INDEX(PP_Grid[#Data],$DD509,47),0)</f>
        <v/>
      </c>
      <c r="AX509">
        <f>IFERROR(INDEX(PP_Grid[#Data],$DD509,48),0)</f>
        <v/>
      </c>
      <c r="AY509">
        <f>IFERROR(INDEX(PP_Grid[#Data],$DD509,49),0)</f>
        <v/>
      </c>
      <c r="AZ509">
        <f>IFERROR(INDEX(PP_Grid[#Data],$DD509,50),0)</f>
        <v/>
      </c>
      <c r="BA509">
        <f>IFERROR(INDEX(PP_Grid[#Data],$DD509,51),0)</f>
        <v/>
      </c>
      <c r="BB509">
        <f>IFERROR(INDEX(PP_Grid[#Data],$DD509,52),0)</f>
        <v/>
      </c>
      <c r="BC509">
        <f>IFERROR(INDEX(PP_Grid[#Data],$DD509,53),0)</f>
        <v/>
      </c>
      <c r="BD509">
        <f>IFERROR(INDEX(PP_Grid[#Data],$DD509,54),0)</f>
        <v/>
      </c>
      <c r="BE509">
        <f>IFERROR(INDEX(PP_Grid[#Data],$DD509,55),0)</f>
        <v/>
      </c>
      <c r="BF509">
        <f>IFERROR(INDEX(PP_Grid[#Data],$DD509,56),0)</f>
        <v/>
      </c>
      <c r="BG509">
        <f>IFERROR(INDEX(PP_Grid[#Data],$DD509,57),0)</f>
        <v/>
      </c>
      <c r="BH509">
        <f>IFERROR(INDEX(PP_Grid[#Data],$DD509,58),0)</f>
        <v/>
      </c>
      <c r="BI509">
        <f>IFERROR(INDEX(PP_Grid[#Data],$DD509,59),0)</f>
        <v/>
      </c>
      <c r="BJ509">
        <f>IFERROR(INDEX(PP_Grid[#Data],$DD509,60),0)</f>
        <v/>
      </c>
      <c r="BK509">
        <f>IFERROR(INDEX(PP_Grid[#Data],$DD509,61),0)</f>
        <v/>
      </c>
      <c r="BL509">
        <f>IFERROR(INDEX(PP_Grid[#Data],$DD509,62),0)</f>
        <v/>
      </c>
      <c r="BM509">
        <f>IFERROR(INDEX(PP_Grid[#Data],$DD509,63),0)</f>
        <v/>
      </c>
      <c r="BN509">
        <f>IFERROR(INDEX(PP_Grid[#Data],$DD509,64),0)</f>
        <v/>
      </c>
      <c r="BO509">
        <f>IFERROR(INDEX(PP_Grid[#Data],$DD509,65),0)</f>
        <v/>
      </c>
      <c r="BP509">
        <f>IFERROR(INDEX(PP_Grid[#Data],$DD509,66),0)</f>
        <v/>
      </c>
      <c r="BQ509">
        <f>IFERROR(INDEX(PP_Grid[#Data],$DD509,67),0)</f>
        <v/>
      </c>
      <c r="BR509">
        <f>IFERROR(INDEX(PP_Grid[#Data],$DD509,68),0)</f>
        <v/>
      </c>
      <c r="BS509">
        <f>IFERROR(INDEX(PP_Grid[#Data],$DD509,69),0)</f>
        <v/>
      </c>
      <c r="BT509">
        <f>IFERROR(INDEX(PP_Grid[#Data],$DD509,70),0)</f>
        <v/>
      </c>
      <c r="BU509">
        <f>IFERROR(INDEX(PP_Grid[#Data],$DD509,71),0)</f>
        <v/>
      </c>
      <c r="BV509">
        <f>IFERROR(INDEX(PP_Grid[#Data],$DD509,72),0)</f>
        <v/>
      </c>
      <c r="BW509">
        <f>IFERROR(INDEX(PP_Grid[#Data],$DD509,73),0)</f>
        <v/>
      </c>
      <c r="BX509">
        <f>IFERROR(INDEX(PP_Grid[#Data],$DD509,74),0)</f>
        <v/>
      </c>
      <c r="BY509">
        <f>IFERROR(INDEX(PP_Grid[#Data],$DD509,75),0)</f>
        <v/>
      </c>
      <c r="BZ509">
        <f>IFERROR(INDEX(PP_Grid[#Data],$DD509,76),0)</f>
        <v/>
      </c>
      <c r="CA509">
        <f>IFERROR(INDEX(PP_Grid[#Data],$DD509,77),0)</f>
        <v/>
      </c>
      <c r="CB509">
        <f>IFERROR(INDEX(PP_Grid[#Data],$DD509,78),0)</f>
        <v/>
      </c>
      <c r="CC509">
        <f>IFERROR(INDEX(PP_Grid[#Data],$DD509,79),0)</f>
        <v/>
      </c>
      <c r="CD509">
        <f>IFERROR(INDEX(PP_Grid[#Data],$DD509,80),0)</f>
        <v/>
      </c>
      <c r="CE509">
        <f>IFERROR(INDEX(PP_Grid[#Data],$DD509,81),0)</f>
        <v/>
      </c>
      <c r="CF509">
        <f>IFERROR(INDEX(PP_Grid[#Data],$DD509,82),0)</f>
        <v/>
      </c>
      <c r="CG509">
        <f>IFERROR(INDEX(PP_Grid[#Data],$DD509,83),0)</f>
        <v/>
      </c>
      <c r="CH509">
        <f>IFERROR(INDEX(PP_Grid[#Data],$DD509,84),0)</f>
        <v/>
      </c>
      <c r="CI509">
        <f>IFERROR(INDEX(PP_Grid[#Data],$DD509,85),0)</f>
        <v/>
      </c>
      <c r="CJ509">
        <f>IFERROR(INDEX(PP_Grid[#Data],$DD509,86),0)</f>
        <v/>
      </c>
      <c r="CK509">
        <f>IFERROR(INDEX(PP_Grid[#Data],$DD509,87),0)</f>
        <v/>
      </c>
      <c r="CL509">
        <f>IFERROR(INDEX(PP_Grid[#Data],$DD509,88),0)</f>
        <v/>
      </c>
      <c r="CM509">
        <f>IFERROR(INDEX(PP_Grid[#Data],$DD509,89),0)</f>
        <v/>
      </c>
      <c r="CN509">
        <f>IFERROR(INDEX(PP_Grid[#Data],$DD509,90),0)</f>
        <v/>
      </c>
      <c r="CO509">
        <f>IFERROR(INDEX(PP_Grid[#Data],$DD509,91),0)</f>
        <v/>
      </c>
      <c r="CP509">
        <f>IFERROR(INDEX(PP_Grid[#Data],$DD509,92),0)</f>
        <v/>
      </c>
      <c r="CQ509">
        <f>IFERROR(INDEX(PP_Grid[#Data],$DD509,93),0)</f>
        <v/>
      </c>
      <c r="CR509">
        <f>IFERROR(INDEX(PP_Grid[#Data],$DD509,94),0)</f>
        <v/>
      </c>
      <c r="CS509">
        <f>IFERROR(INDEX(PP_Grid[#Data],$DD509,95),0)</f>
        <v/>
      </c>
      <c r="CT509">
        <f>IFERROR(INDEX(PP_Grid[#Data],$DD509,96),0)</f>
        <v/>
      </c>
      <c r="CU509">
        <f>IFERROR(INDEX(PP_Grid[#Data],$DD509,97),0)</f>
        <v/>
      </c>
      <c r="CV509">
        <f>IFERROR(INDEX(PP_Grid[#Data],$DD509,98),0)</f>
        <v/>
      </c>
      <c r="CW509">
        <f>IFERROR(INDEX(PP_Grid[#Data],$DD509,99),0)</f>
        <v/>
      </c>
      <c r="CX509">
        <f>IFERROR(INDEX(PP_Grid[#Data],$DD509,100),0)</f>
        <v/>
      </c>
      <c r="CY509">
        <f>IFERROR(INDEX(PP_Grid[#Data],$DD509,101),0)</f>
        <v/>
      </c>
      <c r="CZ509">
        <f>IFERROR(INDEX(PP_Grid[#Data],$DD509,102),0)</f>
        <v/>
      </c>
      <c r="DA509">
        <f>IFERROR(INDEX(PP_Grid[#Data],$DD509,103),0)</f>
        <v/>
      </c>
      <c r="DB509">
        <f>IFERROR(INDEX(PP_Grid[#Data],$DD509,104),0)</f>
        <v/>
      </c>
      <c r="DC509">
        <f>IFERROR(INDEX(PP_Grid[#Data],$DD509,105),0)</f>
        <v/>
      </c>
      <c r="DD509" s="7">
        <f>IFERROR(MATCH($B509,PP_Grid[Intermediate],0),99999)</f>
        <v/>
      </c>
    </row>
    <row r="510">
      <c r="B510" t="inlineStr">
        <is>
          <t>使用量(kg)</t>
        </is>
      </c>
      <c r="C510">
        <f>SUMIFS(M_BOM[RM_Qty_Per_Batch],M_BOM[Intermediate],$B509,M_BOM[Part Name],$A500)</f>
        <v/>
      </c>
      <c r="D510">
        <f>$C510*D509</f>
        <v/>
      </c>
      <c r="E510">
        <f>$C510*E509</f>
        <v/>
      </c>
      <c r="F510">
        <f>$C510*F509</f>
        <v/>
      </c>
      <c r="G510">
        <f>$C510*G509</f>
        <v/>
      </c>
      <c r="H510">
        <f>$C510*H509</f>
        <v/>
      </c>
      <c r="I510">
        <f>$C510*I509</f>
        <v/>
      </c>
      <c r="J510">
        <f>$C510*J509</f>
        <v/>
      </c>
      <c r="K510">
        <f>$C510*K509</f>
        <v/>
      </c>
      <c r="L510">
        <f>$C510*L509</f>
        <v/>
      </c>
      <c r="M510">
        <f>$C510*M509</f>
        <v/>
      </c>
      <c r="N510">
        <f>$C510*N509</f>
        <v/>
      </c>
      <c r="O510">
        <f>$C510*O509</f>
        <v/>
      </c>
      <c r="P510">
        <f>$C510*P509</f>
        <v/>
      </c>
      <c r="Q510">
        <f>$C510*Q509</f>
        <v/>
      </c>
      <c r="R510">
        <f>$C510*R509</f>
        <v/>
      </c>
      <c r="S510">
        <f>$C510*S509</f>
        <v/>
      </c>
      <c r="T510">
        <f>$C510*T509</f>
        <v/>
      </c>
      <c r="U510">
        <f>$C510*U509</f>
        <v/>
      </c>
      <c r="V510">
        <f>$C510*V509</f>
        <v/>
      </c>
      <c r="W510">
        <f>$C510*W509</f>
        <v/>
      </c>
      <c r="X510">
        <f>$C510*X509</f>
        <v/>
      </c>
      <c r="Y510">
        <f>$C510*Y509</f>
        <v/>
      </c>
      <c r="Z510">
        <f>$C510*Z509</f>
        <v/>
      </c>
      <c r="AA510">
        <f>$C510*AA509</f>
        <v/>
      </c>
      <c r="AB510">
        <f>$C510*AB509</f>
        <v/>
      </c>
      <c r="AC510">
        <f>$C510*AC509</f>
        <v/>
      </c>
      <c r="AD510">
        <f>$C510*AD509</f>
        <v/>
      </c>
      <c r="AE510">
        <f>$C510*AE509</f>
        <v/>
      </c>
      <c r="AF510">
        <f>$C510*AF509</f>
        <v/>
      </c>
      <c r="AG510">
        <f>$C510*AG509</f>
        <v/>
      </c>
      <c r="AH510">
        <f>$C510*AH509</f>
        <v/>
      </c>
      <c r="AI510">
        <f>$C510*AI509</f>
        <v/>
      </c>
      <c r="AJ510">
        <f>$C510*AJ509</f>
        <v/>
      </c>
      <c r="AK510">
        <f>$C510*AK509</f>
        <v/>
      </c>
      <c r="AL510">
        <f>$C510*AL509</f>
        <v/>
      </c>
      <c r="AM510">
        <f>$C510*AM509</f>
        <v/>
      </c>
      <c r="AN510">
        <f>$C510*AN509</f>
        <v/>
      </c>
      <c r="AO510">
        <f>$C510*AO509</f>
        <v/>
      </c>
      <c r="AP510">
        <f>$C510*AP509</f>
        <v/>
      </c>
      <c r="AQ510">
        <f>$C510*AQ509</f>
        <v/>
      </c>
      <c r="AR510">
        <f>$C510*AR509</f>
        <v/>
      </c>
      <c r="AS510">
        <f>$C510*AS509</f>
        <v/>
      </c>
      <c r="AT510">
        <f>$C510*AT509</f>
        <v/>
      </c>
      <c r="AU510">
        <f>$C510*AU509</f>
        <v/>
      </c>
      <c r="AV510">
        <f>$C510*AV509</f>
        <v/>
      </c>
      <c r="AW510">
        <f>$C510*AW509</f>
        <v/>
      </c>
      <c r="AX510">
        <f>$C510*AX509</f>
        <v/>
      </c>
      <c r="AY510">
        <f>$C510*AY509</f>
        <v/>
      </c>
      <c r="AZ510">
        <f>$C510*AZ509</f>
        <v/>
      </c>
      <c r="BA510">
        <f>$C510*BA509</f>
        <v/>
      </c>
      <c r="BB510">
        <f>$C510*BB509</f>
        <v/>
      </c>
      <c r="BC510">
        <f>$C510*BC509</f>
        <v/>
      </c>
      <c r="BD510">
        <f>$C510*BD509</f>
        <v/>
      </c>
      <c r="BE510">
        <f>$C510*BE509</f>
        <v/>
      </c>
      <c r="BF510">
        <f>$C510*BF509</f>
        <v/>
      </c>
      <c r="BG510">
        <f>$C510*BG509</f>
        <v/>
      </c>
      <c r="BH510">
        <f>$C510*BH509</f>
        <v/>
      </c>
      <c r="BI510">
        <f>$C510*BI509</f>
        <v/>
      </c>
      <c r="BJ510">
        <f>$C510*BJ509</f>
        <v/>
      </c>
      <c r="BK510">
        <f>$C510*BK509</f>
        <v/>
      </c>
      <c r="BL510">
        <f>$C510*BL509</f>
        <v/>
      </c>
      <c r="BM510">
        <f>$C510*BM509</f>
        <v/>
      </c>
      <c r="BN510">
        <f>$C510*BN509</f>
        <v/>
      </c>
      <c r="BO510">
        <f>$C510*BO509</f>
        <v/>
      </c>
      <c r="BP510">
        <f>$C510*BP509</f>
        <v/>
      </c>
      <c r="BQ510">
        <f>$C510*BQ509</f>
        <v/>
      </c>
      <c r="BR510">
        <f>$C510*BR509</f>
        <v/>
      </c>
      <c r="BS510">
        <f>$C510*BS509</f>
        <v/>
      </c>
      <c r="BT510">
        <f>$C510*BT509</f>
        <v/>
      </c>
      <c r="BU510">
        <f>$C510*BU509</f>
        <v/>
      </c>
      <c r="BV510">
        <f>$C510*BV509</f>
        <v/>
      </c>
      <c r="BW510">
        <f>$C510*BW509</f>
        <v/>
      </c>
      <c r="BX510">
        <f>$C510*BX509</f>
        <v/>
      </c>
      <c r="BY510">
        <f>$C510*BY509</f>
        <v/>
      </c>
      <c r="BZ510">
        <f>$C510*BZ509</f>
        <v/>
      </c>
      <c r="CA510">
        <f>$C510*CA509</f>
        <v/>
      </c>
      <c r="CB510">
        <f>$C510*CB509</f>
        <v/>
      </c>
      <c r="CC510">
        <f>$C510*CC509</f>
        <v/>
      </c>
      <c r="CD510">
        <f>$C510*CD509</f>
        <v/>
      </c>
      <c r="CE510">
        <f>$C510*CE509</f>
        <v/>
      </c>
      <c r="CF510">
        <f>$C510*CF509</f>
        <v/>
      </c>
      <c r="CG510">
        <f>$C510*CG509</f>
        <v/>
      </c>
      <c r="CH510">
        <f>$C510*CH509</f>
        <v/>
      </c>
      <c r="CI510">
        <f>$C510*CI509</f>
        <v/>
      </c>
      <c r="CJ510">
        <f>$C510*CJ509</f>
        <v/>
      </c>
      <c r="CK510">
        <f>$C510*CK509</f>
        <v/>
      </c>
      <c r="CL510">
        <f>$C510*CL509</f>
        <v/>
      </c>
      <c r="CM510">
        <f>$C510*CM509</f>
        <v/>
      </c>
      <c r="CN510">
        <f>$C510*CN509</f>
        <v/>
      </c>
      <c r="CO510">
        <f>$C510*CO509</f>
        <v/>
      </c>
      <c r="CP510">
        <f>$C510*CP509</f>
        <v/>
      </c>
      <c r="CQ510">
        <f>$C510*CQ509</f>
        <v/>
      </c>
      <c r="CR510">
        <f>$C510*CR509</f>
        <v/>
      </c>
      <c r="CS510">
        <f>$C510*CS509</f>
        <v/>
      </c>
      <c r="CT510">
        <f>$C510*CT509</f>
        <v/>
      </c>
      <c r="CU510">
        <f>$C510*CU509</f>
        <v/>
      </c>
      <c r="CV510">
        <f>$C510*CV509</f>
        <v/>
      </c>
      <c r="CW510">
        <f>$C510*CW509</f>
        <v/>
      </c>
      <c r="CX510">
        <f>$C510*CX509</f>
        <v/>
      </c>
      <c r="CY510">
        <f>$C510*CY509</f>
        <v/>
      </c>
      <c r="CZ510">
        <f>$C510*CZ509</f>
        <v/>
      </c>
      <c r="DA510">
        <f>$C510*DA509</f>
        <v/>
      </c>
      <c r="DB510">
        <f>$C510*DB509</f>
        <v/>
      </c>
      <c r="DC510">
        <f>$C510*DC509</f>
        <v/>
      </c>
    </row>
    <row r="511">
      <c r="B511" t="inlineStr">
        <is>
          <t>VSP-600</t>
        </is>
      </c>
      <c r="C511" t="inlineStr">
        <is>
          <t>No. of batches</t>
        </is>
      </c>
      <c r="D511">
        <f>IFERROR(INDEX(PP_Grid[#Data],$DD511,2),0)</f>
        <v/>
      </c>
      <c r="E511">
        <f>IFERROR(INDEX(PP_Grid[#Data],$DD511,3),0)</f>
        <v/>
      </c>
      <c r="F511">
        <f>IFERROR(INDEX(PP_Grid[#Data],$DD511,4),0)</f>
        <v/>
      </c>
      <c r="G511">
        <f>IFERROR(INDEX(PP_Grid[#Data],$DD511,5),0)</f>
        <v/>
      </c>
      <c r="H511">
        <f>IFERROR(INDEX(PP_Grid[#Data],$DD511,6),0)</f>
        <v/>
      </c>
      <c r="I511">
        <f>IFERROR(INDEX(PP_Grid[#Data],$DD511,7),0)</f>
        <v/>
      </c>
      <c r="J511">
        <f>IFERROR(INDEX(PP_Grid[#Data],$DD511,8),0)</f>
        <v/>
      </c>
      <c r="K511">
        <f>IFERROR(INDEX(PP_Grid[#Data],$DD511,9),0)</f>
        <v/>
      </c>
      <c r="L511">
        <f>IFERROR(INDEX(PP_Grid[#Data],$DD511,10),0)</f>
        <v/>
      </c>
      <c r="M511">
        <f>IFERROR(INDEX(PP_Grid[#Data],$DD511,11),0)</f>
        <v/>
      </c>
      <c r="N511">
        <f>IFERROR(INDEX(PP_Grid[#Data],$DD511,12),0)</f>
        <v/>
      </c>
      <c r="O511">
        <f>IFERROR(INDEX(PP_Grid[#Data],$DD511,13),0)</f>
        <v/>
      </c>
      <c r="P511">
        <f>IFERROR(INDEX(PP_Grid[#Data],$DD511,14),0)</f>
        <v/>
      </c>
      <c r="Q511">
        <f>IFERROR(INDEX(PP_Grid[#Data],$DD511,15),0)</f>
        <v/>
      </c>
      <c r="R511">
        <f>IFERROR(INDEX(PP_Grid[#Data],$DD511,16),0)</f>
        <v/>
      </c>
      <c r="S511">
        <f>IFERROR(INDEX(PP_Grid[#Data],$DD511,17),0)</f>
        <v/>
      </c>
      <c r="T511">
        <f>IFERROR(INDEX(PP_Grid[#Data],$DD511,18),0)</f>
        <v/>
      </c>
      <c r="U511">
        <f>IFERROR(INDEX(PP_Grid[#Data],$DD511,19),0)</f>
        <v/>
      </c>
      <c r="V511">
        <f>IFERROR(INDEX(PP_Grid[#Data],$DD511,20),0)</f>
        <v/>
      </c>
      <c r="W511">
        <f>IFERROR(INDEX(PP_Grid[#Data],$DD511,21),0)</f>
        <v/>
      </c>
      <c r="X511">
        <f>IFERROR(INDEX(PP_Grid[#Data],$DD511,22),0)</f>
        <v/>
      </c>
      <c r="Y511">
        <f>IFERROR(INDEX(PP_Grid[#Data],$DD511,23),0)</f>
        <v/>
      </c>
      <c r="Z511">
        <f>IFERROR(INDEX(PP_Grid[#Data],$DD511,24),0)</f>
        <v/>
      </c>
      <c r="AA511">
        <f>IFERROR(INDEX(PP_Grid[#Data],$DD511,25),0)</f>
        <v/>
      </c>
      <c r="AB511">
        <f>IFERROR(INDEX(PP_Grid[#Data],$DD511,26),0)</f>
        <v/>
      </c>
      <c r="AC511">
        <f>IFERROR(INDEX(PP_Grid[#Data],$DD511,27),0)</f>
        <v/>
      </c>
      <c r="AD511">
        <f>IFERROR(INDEX(PP_Grid[#Data],$DD511,28),0)</f>
        <v/>
      </c>
      <c r="AE511">
        <f>IFERROR(INDEX(PP_Grid[#Data],$DD511,29),0)</f>
        <v/>
      </c>
      <c r="AF511">
        <f>IFERROR(INDEX(PP_Grid[#Data],$DD511,30),0)</f>
        <v/>
      </c>
      <c r="AG511">
        <f>IFERROR(INDEX(PP_Grid[#Data],$DD511,31),0)</f>
        <v/>
      </c>
      <c r="AH511">
        <f>IFERROR(INDEX(PP_Grid[#Data],$DD511,32),0)</f>
        <v/>
      </c>
      <c r="AI511">
        <f>IFERROR(INDEX(PP_Grid[#Data],$DD511,33),0)</f>
        <v/>
      </c>
      <c r="AJ511">
        <f>IFERROR(INDEX(PP_Grid[#Data],$DD511,34),0)</f>
        <v/>
      </c>
      <c r="AK511">
        <f>IFERROR(INDEX(PP_Grid[#Data],$DD511,35),0)</f>
        <v/>
      </c>
      <c r="AL511">
        <f>IFERROR(INDEX(PP_Grid[#Data],$DD511,36),0)</f>
        <v/>
      </c>
      <c r="AM511">
        <f>IFERROR(INDEX(PP_Grid[#Data],$DD511,37),0)</f>
        <v/>
      </c>
      <c r="AN511">
        <f>IFERROR(INDEX(PP_Grid[#Data],$DD511,38),0)</f>
        <v/>
      </c>
      <c r="AO511">
        <f>IFERROR(INDEX(PP_Grid[#Data],$DD511,39),0)</f>
        <v/>
      </c>
      <c r="AP511">
        <f>IFERROR(INDEX(PP_Grid[#Data],$DD511,40),0)</f>
        <v/>
      </c>
      <c r="AQ511">
        <f>IFERROR(INDEX(PP_Grid[#Data],$DD511,41),0)</f>
        <v/>
      </c>
      <c r="AR511">
        <f>IFERROR(INDEX(PP_Grid[#Data],$DD511,42),0)</f>
        <v/>
      </c>
      <c r="AS511">
        <f>IFERROR(INDEX(PP_Grid[#Data],$DD511,43),0)</f>
        <v/>
      </c>
      <c r="AT511">
        <f>IFERROR(INDEX(PP_Grid[#Data],$DD511,44),0)</f>
        <v/>
      </c>
      <c r="AU511">
        <f>IFERROR(INDEX(PP_Grid[#Data],$DD511,45),0)</f>
        <v/>
      </c>
      <c r="AV511">
        <f>IFERROR(INDEX(PP_Grid[#Data],$DD511,46),0)</f>
        <v/>
      </c>
      <c r="AW511">
        <f>IFERROR(INDEX(PP_Grid[#Data],$DD511,47),0)</f>
        <v/>
      </c>
      <c r="AX511">
        <f>IFERROR(INDEX(PP_Grid[#Data],$DD511,48),0)</f>
        <v/>
      </c>
      <c r="AY511">
        <f>IFERROR(INDEX(PP_Grid[#Data],$DD511,49),0)</f>
        <v/>
      </c>
      <c r="AZ511">
        <f>IFERROR(INDEX(PP_Grid[#Data],$DD511,50),0)</f>
        <v/>
      </c>
      <c r="BA511">
        <f>IFERROR(INDEX(PP_Grid[#Data],$DD511,51),0)</f>
        <v/>
      </c>
      <c r="BB511">
        <f>IFERROR(INDEX(PP_Grid[#Data],$DD511,52),0)</f>
        <v/>
      </c>
      <c r="BC511">
        <f>IFERROR(INDEX(PP_Grid[#Data],$DD511,53),0)</f>
        <v/>
      </c>
      <c r="BD511">
        <f>IFERROR(INDEX(PP_Grid[#Data],$DD511,54),0)</f>
        <v/>
      </c>
      <c r="BE511">
        <f>IFERROR(INDEX(PP_Grid[#Data],$DD511,55),0)</f>
        <v/>
      </c>
      <c r="BF511">
        <f>IFERROR(INDEX(PP_Grid[#Data],$DD511,56),0)</f>
        <v/>
      </c>
      <c r="BG511">
        <f>IFERROR(INDEX(PP_Grid[#Data],$DD511,57),0)</f>
        <v/>
      </c>
      <c r="BH511">
        <f>IFERROR(INDEX(PP_Grid[#Data],$DD511,58),0)</f>
        <v/>
      </c>
      <c r="BI511">
        <f>IFERROR(INDEX(PP_Grid[#Data],$DD511,59),0)</f>
        <v/>
      </c>
      <c r="BJ511">
        <f>IFERROR(INDEX(PP_Grid[#Data],$DD511,60),0)</f>
        <v/>
      </c>
      <c r="BK511">
        <f>IFERROR(INDEX(PP_Grid[#Data],$DD511,61),0)</f>
        <v/>
      </c>
      <c r="BL511">
        <f>IFERROR(INDEX(PP_Grid[#Data],$DD511,62),0)</f>
        <v/>
      </c>
      <c r="BM511">
        <f>IFERROR(INDEX(PP_Grid[#Data],$DD511,63),0)</f>
        <v/>
      </c>
      <c r="BN511">
        <f>IFERROR(INDEX(PP_Grid[#Data],$DD511,64),0)</f>
        <v/>
      </c>
      <c r="BO511">
        <f>IFERROR(INDEX(PP_Grid[#Data],$DD511,65),0)</f>
        <v/>
      </c>
      <c r="BP511">
        <f>IFERROR(INDEX(PP_Grid[#Data],$DD511,66),0)</f>
        <v/>
      </c>
      <c r="BQ511">
        <f>IFERROR(INDEX(PP_Grid[#Data],$DD511,67),0)</f>
        <v/>
      </c>
      <c r="BR511">
        <f>IFERROR(INDEX(PP_Grid[#Data],$DD511,68),0)</f>
        <v/>
      </c>
      <c r="BS511">
        <f>IFERROR(INDEX(PP_Grid[#Data],$DD511,69),0)</f>
        <v/>
      </c>
      <c r="BT511">
        <f>IFERROR(INDEX(PP_Grid[#Data],$DD511,70),0)</f>
        <v/>
      </c>
      <c r="BU511">
        <f>IFERROR(INDEX(PP_Grid[#Data],$DD511,71),0)</f>
        <v/>
      </c>
      <c r="BV511">
        <f>IFERROR(INDEX(PP_Grid[#Data],$DD511,72),0)</f>
        <v/>
      </c>
      <c r="BW511">
        <f>IFERROR(INDEX(PP_Grid[#Data],$DD511,73),0)</f>
        <v/>
      </c>
      <c r="BX511">
        <f>IFERROR(INDEX(PP_Grid[#Data],$DD511,74),0)</f>
        <v/>
      </c>
      <c r="BY511">
        <f>IFERROR(INDEX(PP_Grid[#Data],$DD511,75),0)</f>
        <v/>
      </c>
      <c r="BZ511">
        <f>IFERROR(INDEX(PP_Grid[#Data],$DD511,76),0)</f>
        <v/>
      </c>
      <c r="CA511">
        <f>IFERROR(INDEX(PP_Grid[#Data],$DD511,77),0)</f>
        <v/>
      </c>
      <c r="CB511">
        <f>IFERROR(INDEX(PP_Grid[#Data],$DD511,78),0)</f>
        <v/>
      </c>
      <c r="CC511">
        <f>IFERROR(INDEX(PP_Grid[#Data],$DD511,79),0)</f>
        <v/>
      </c>
      <c r="CD511">
        <f>IFERROR(INDEX(PP_Grid[#Data],$DD511,80),0)</f>
        <v/>
      </c>
      <c r="CE511">
        <f>IFERROR(INDEX(PP_Grid[#Data],$DD511,81),0)</f>
        <v/>
      </c>
      <c r="CF511">
        <f>IFERROR(INDEX(PP_Grid[#Data],$DD511,82),0)</f>
        <v/>
      </c>
      <c r="CG511">
        <f>IFERROR(INDEX(PP_Grid[#Data],$DD511,83),0)</f>
        <v/>
      </c>
      <c r="CH511">
        <f>IFERROR(INDEX(PP_Grid[#Data],$DD511,84),0)</f>
        <v/>
      </c>
      <c r="CI511">
        <f>IFERROR(INDEX(PP_Grid[#Data],$DD511,85),0)</f>
        <v/>
      </c>
      <c r="CJ511">
        <f>IFERROR(INDEX(PP_Grid[#Data],$DD511,86),0)</f>
        <v/>
      </c>
      <c r="CK511">
        <f>IFERROR(INDEX(PP_Grid[#Data],$DD511,87),0)</f>
        <v/>
      </c>
      <c r="CL511">
        <f>IFERROR(INDEX(PP_Grid[#Data],$DD511,88),0)</f>
        <v/>
      </c>
      <c r="CM511">
        <f>IFERROR(INDEX(PP_Grid[#Data],$DD511,89),0)</f>
        <v/>
      </c>
      <c r="CN511">
        <f>IFERROR(INDEX(PP_Grid[#Data],$DD511,90),0)</f>
        <v/>
      </c>
      <c r="CO511">
        <f>IFERROR(INDEX(PP_Grid[#Data],$DD511,91),0)</f>
        <v/>
      </c>
      <c r="CP511">
        <f>IFERROR(INDEX(PP_Grid[#Data],$DD511,92),0)</f>
        <v/>
      </c>
      <c r="CQ511">
        <f>IFERROR(INDEX(PP_Grid[#Data],$DD511,93),0)</f>
        <v/>
      </c>
      <c r="CR511">
        <f>IFERROR(INDEX(PP_Grid[#Data],$DD511,94),0)</f>
        <v/>
      </c>
      <c r="CS511">
        <f>IFERROR(INDEX(PP_Grid[#Data],$DD511,95),0)</f>
        <v/>
      </c>
      <c r="CT511">
        <f>IFERROR(INDEX(PP_Grid[#Data],$DD511,96),0)</f>
        <v/>
      </c>
      <c r="CU511">
        <f>IFERROR(INDEX(PP_Grid[#Data],$DD511,97),0)</f>
        <v/>
      </c>
      <c r="CV511">
        <f>IFERROR(INDEX(PP_Grid[#Data],$DD511,98),0)</f>
        <v/>
      </c>
      <c r="CW511">
        <f>IFERROR(INDEX(PP_Grid[#Data],$DD511,99),0)</f>
        <v/>
      </c>
      <c r="CX511">
        <f>IFERROR(INDEX(PP_Grid[#Data],$DD511,100),0)</f>
        <v/>
      </c>
      <c r="CY511">
        <f>IFERROR(INDEX(PP_Grid[#Data],$DD511,101),0)</f>
        <v/>
      </c>
      <c r="CZ511">
        <f>IFERROR(INDEX(PP_Grid[#Data],$DD511,102),0)</f>
        <v/>
      </c>
      <c r="DA511">
        <f>IFERROR(INDEX(PP_Grid[#Data],$DD511,103),0)</f>
        <v/>
      </c>
      <c r="DB511">
        <f>IFERROR(INDEX(PP_Grid[#Data],$DD511,104),0)</f>
        <v/>
      </c>
      <c r="DC511">
        <f>IFERROR(INDEX(PP_Grid[#Data],$DD511,105),0)</f>
        <v/>
      </c>
      <c r="DD511" s="7">
        <f>IFERROR(MATCH($B511,PP_Grid[Intermediate],0),99999)</f>
        <v/>
      </c>
    </row>
    <row r="512">
      <c r="B512" t="inlineStr">
        <is>
          <t>使用量(kg)</t>
        </is>
      </c>
      <c r="C512">
        <f>SUMIFS(M_BOM[RM_Qty_Per_Batch],M_BOM[Intermediate],$B511,M_BOM[Part Name],$A500)</f>
        <v/>
      </c>
      <c r="D512">
        <f>$C512*D511</f>
        <v/>
      </c>
      <c r="E512">
        <f>$C512*E511</f>
        <v/>
      </c>
      <c r="F512">
        <f>$C512*F511</f>
        <v/>
      </c>
      <c r="G512">
        <f>$C512*G511</f>
        <v/>
      </c>
      <c r="H512">
        <f>$C512*H511</f>
        <v/>
      </c>
      <c r="I512">
        <f>$C512*I511</f>
        <v/>
      </c>
      <c r="J512">
        <f>$C512*J511</f>
        <v/>
      </c>
      <c r="K512">
        <f>$C512*K511</f>
        <v/>
      </c>
      <c r="L512">
        <f>$C512*L511</f>
        <v/>
      </c>
      <c r="M512">
        <f>$C512*M511</f>
        <v/>
      </c>
      <c r="N512">
        <f>$C512*N511</f>
        <v/>
      </c>
      <c r="O512">
        <f>$C512*O511</f>
        <v/>
      </c>
      <c r="P512">
        <f>$C512*P511</f>
        <v/>
      </c>
      <c r="Q512">
        <f>$C512*Q511</f>
        <v/>
      </c>
      <c r="R512">
        <f>$C512*R511</f>
        <v/>
      </c>
      <c r="S512">
        <f>$C512*S511</f>
        <v/>
      </c>
      <c r="T512">
        <f>$C512*T511</f>
        <v/>
      </c>
      <c r="U512">
        <f>$C512*U511</f>
        <v/>
      </c>
      <c r="V512">
        <f>$C512*V511</f>
        <v/>
      </c>
      <c r="W512">
        <f>$C512*W511</f>
        <v/>
      </c>
      <c r="X512">
        <f>$C512*X511</f>
        <v/>
      </c>
      <c r="Y512">
        <f>$C512*Y511</f>
        <v/>
      </c>
      <c r="Z512">
        <f>$C512*Z511</f>
        <v/>
      </c>
      <c r="AA512">
        <f>$C512*AA511</f>
        <v/>
      </c>
      <c r="AB512">
        <f>$C512*AB511</f>
        <v/>
      </c>
      <c r="AC512">
        <f>$C512*AC511</f>
        <v/>
      </c>
      <c r="AD512">
        <f>$C512*AD511</f>
        <v/>
      </c>
      <c r="AE512">
        <f>$C512*AE511</f>
        <v/>
      </c>
      <c r="AF512">
        <f>$C512*AF511</f>
        <v/>
      </c>
      <c r="AG512">
        <f>$C512*AG511</f>
        <v/>
      </c>
      <c r="AH512">
        <f>$C512*AH511</f>
        <v/>
      </c>
      <c r="AI512">
        <f>$C512*AI511</f>
        <v/>
      </c>
      <c r="AJ512">
        <f>$C512*AJ511</f>
        <v/>
      </c>
      <c r="AK512">
        <f>$C512*AK511</f>
        <v/>
      </c>
      <c r="AL512">
        <f>$C512*AL511</f>
        <v/>
      </c>
      <c r="AM512">
        <f>$C512*AM511</f>
        <v/>
      </c>
      <c r="AN512">
        <f>$C512*AN511</f>
        <v/>
      </c>
      <c r="AO512">
        <f>$C512*AO511</f>
        <v/>
      </c>
      <c r="AP512">
        <f>$C512*AP511</f>
        <v/>
      </c>
      <c r="AQ512">
        <f>$C512*AQ511</f>
        <v/>
      </c>
      <c r="AR512">
        <f>$C512*AR511</f>
        <v/>
      </c>
      <c r="AS512">
        <f>$C512*AS511</f>
        <v/>
      </c>
      <c r="AT512">
        <f>$C512*AT511</f>
        <v/>
      </c>
      <c r="AU512">
        <f>$C512*AU511</f>
        <v/>
      </c>
      <c r="AV512">
        <f>$C512*AV511</f>
        <v/>
      </c>
      <c r="AW512">
        <f>$C512*AW511</f>
        <v/>
      </c>
      <c r="AX512">
        <f>$C512*AX511</f>
        <v/>
      </c>
      <c r="AY512">
        <f>$C512*AY511</f>
        <v/>
      </c>
      <c r="AZ512">
        <f>$C512*AZ511</f>
        <v/>
      </c>
      <c r="BA512">
        <f>$C512*BA511</f>
        <v/>
      </c>
      <c r="BB512">
        <f>$C512*BB511</f>
        <v/>
      </c>
      <c r="BC512">
        <f>$C512*BC511</f>
        <v/>
      </c>
      <c r="BD512">
        <f>$C512*BD511</f>
        <v/>
      </c>
      <c r="BE512">
        <f>$C512*BE511</f>
        <v/>
      </c>
      <c r="BF512">
        <f>$C512*BF511</f>
        <v/>
      </c>
      <c r="BG512">
        <f>$C512*BG511</f>
        <v/>
      </c>
      <c r="BH512">
        <f>$C512*BH511</f>
        <v/>
      </c>
      <c r="BI512">
        <f>$C512*BI511</f>
        <v/>
      </c>
      <c r="BJ512">
        <f>$C512*BJ511</f>
        <v/>
      </c>
      <c r="BK512">
        <f>$C512*BK511</f>
        <v/>
      </c>
      <c r="BL512">
        <f>$C512*BL511</f>
        <v/>
      </c>
      <c r="BM512">
        <f>$C512*BM511</f>
        <v/>
      </c>
      <c r="BN512">
        <f>$C512*BN511</f>
        <v/>
      </c>
      <c r="BO512">
        <f>$C512*BO511</f>
        <v/>
      </c>
      <c r="BP512">
        <f>$C512*BP511</f>
        <v/>
      </c>
      <c r="BQ512">
        <f>$C512*BQ511</f>
        <v/>
      </c>
      <c r="BR512">
        <f>$C512*BR511</f>
        <v/>
      </c>
      <c r="BS512">
        <f>$C512*BS511</f>
        <v/>
      </c>
      <c r="BT512">
        <f>$C512*BT511</f>
        <v/>
      </c>
      <c r="BU512">
        <f>$C512*BU511</f>
        <v/>
      </c>
      <c r="BV512">
        <f>$C512*BV511</f>
        <v/>
      </c>
      <c r="BW512">
        <f>$C512*BW511</f>
        <v/>
      </c>
      <c r="BX512">
        <f>$C512*BX511</f>
        <v/>
      </c>
      <c r="BY512">
        <f>$C512*BY511</f>
        <v/>
      </c>
      <c r="BZ512">
        <f>$C512*BZ511</f>
        <v/>
      </c>
      <c r="CA512">
        <f>$C512*CA511</f>
        <v/>
      </c>
      <c r="CB512">
        <f>$C512*CB511</f>
        <v/>
      </c>
      <c r="CC512">
        <f>$C512*CC511</f>
        <v/>
      </c>
      <c r="CD512">
        <f>$C512*CD511</f>
        <v/>
      </c>
      <c r="CE512">
        <f>$C512*CE511</f>
        <v/>
      </c>
      <c r="CF512">
        <f>$C512*CF511</f>
        <v/>
      </c>
      <c r="CG512">
        <f>$C512*CG511</f>
        <v/>
      </c>
      <c r="CH512">
        <f>$C512*CH511</f>
        <v/>
      </c>
      <c r="CI512">
        <f>$C512*CI511</f>
        <v/>
      </c>
      <c r="CJ512">
        <f>$C512*CJ511</f>
        <v/>
      </c>
      <c r="CK512">
        <f>$C512*CK511</f>
        <v/>
      </c>
      <c r="CL512">
        <f>$C512*CL511</f>
        <v/>
      </c>
      <c r="CM512">
        <f>$C512*CM511</f>
        <v/>
      </c>
      <c r="CN512">
        <f>$C512*CN511</f>
        <v/>
      </c>
      <c r="CO512">
        <f>$C512*CO511</f>
        <v/>
      </c>
      <c r="CP512">
        <f>$C512*CP511</f>
        <v/>
      </c>
      <c r="CQ512">
        <f>$C512*CQ511</f>
        <v/>
      </c>
      <c r="CR512">
        <f>$C512*CR511</f>
        <v/>
      </c>
      <c r="CS512">
        <f>$C512*CS511</f>
        <v/>
      </c>
      <c r="CT512">
        <f>$C512*CT511</f>
        <v/>
      </c>
      <c r="CU512">
        <f>$C512*CU511</f>
        <v/>
      </c>
      <c r="CV512">
        <f>$C512*CV511</f>
        <v/>
      </c>
      <c r="CW512">
        <f>$C512*CW511</f>
        <v/>
      </c>
      <c r="CX512">
        <f>$C512*CX511</f>
        <v/>
      </c>
      <c r="CY512">
        <f>$C512*CY511</f>
        <v/>
      </c>
      <c r="CZ512">
        <f>$C512*CZ511</f>
        <v/>
      </c>
      <c r="DA512">
        <f>$C512*DA511</f>
        <v/>
      </c>
      <c r="DB512">
        <f>$C512*DB511</f>
        <v/>
      </c>
      <c r="DC512">
        <f>$C512*DC511</f>
        <v/>
      </c>
    </row>
    <row r="513">
      <c r="B513" t="inlineStr">
        <is>
          <t>VSP-601</t>
        </is>
      </c>
      <c r="C513" t="inlineStr">
        <is>
          <t>No. of batches</t>
        </is>
      </c>
      <c r="D513">
        <f>IFERROR(INDEX(PP_Grid[#Data],$DD513,2),0)</f>
        <v/>
      </c>
      <c r="E513">
        <f>IFERROR(INDEX(PP_Grid[#Data],$DD513,3),0)</f>
        <v/>
      </c>
      <c r="F513">
        <f>IFERROR(INDEX(PP_Grid[#Data],$DD513,4),0)</f>
        <v/>
      </c>
      <c r="G513">
        <f>IFERROR(INDEX(PP_Grid[#Data],$DD513,5),0)</f>
        <v/>
      </c>
      <c r="H513">
        <f>IFERROR(INDEX(PP_Grid[#Data],$DD513,6),0)</f>
        <v/>
      </c>
      <c r="I513">
        <f>IFERROR(INDEX(PP_Grid[#Data],$DD513,7),0)</f>
        <v/>
      </c>
      <c r="J513">
        <f>IFERROR(INDEX(PP_Grid[#Data],$DD513,8),0)</f>
        <v/>
      </c>
      <c r="K513">
        <f>IFERROR(INDEX(PP_Grid[#Data],$DD513,9),0)</f>
        <v/>
      </c>
      <c r="L513">
        <f>IFERROR(INDEX(PP_Grid[#Data],$DD513,10),0)</f>
        <v/>
      </c>
      <c r="M513">
        <f>IFERROR(INDEX(PP_Grid[#Data],$DD513,11),0)</f>
        <v/>
      </c>
      <c r="N513">
        <f>IFERROR(INDEX(PP_Grid[#Data],$DD513,12),0)</f>
        <v/>
      </c>
      <c r="O513">
        <f>IFERROR(INDEX(PP_Grid[#Data],$DD513,13),0)</f>
        <v/>
      </c>
      <c r="P513">
        <f>IFERROR(INDEX(PP_Grid[#Data],$DD513,14),0)</f>
        <v/>
      </c>
      <c r="Q513">
        <f>IFERROR(INDEX(PP_Grid[#Data],$DD513,15),0)</f>
        <v/>
      </c>
      <c r="R513">
        <f>IFERROR(INDEX(PP_Grid[#Data],$DD513,16),0)</f>
        <v/>
      </c>
      <c r="S513">
        <f>IFERROR(INDEX(PP_Grid[#Data],$DD513,17),0)</f>
        <v/>
      </c>
      <c r="T513">
        <f>IFERROR(INDEX(PP_Grid[#Data],$DD513,18),0)</f>
        <v/>
      </c>
      <c r="U513">
        <f>IFERROR(INDEX(PP_Grid[#Data],$DD513,19),0)</f>
        <v/>
      </c>
      <c r="V513">
        <f>IFERROR(INDEX(PP_Grid[#Data],$DD513,20),0)</f>
        <v/>
      </c>
      <c r="W513">
        <f>IFERROR(INDEX(PP_Grid[#Data],$DD513,21),0)</f>
        <v/>
      </c>
      <c r="X513">
        <f>IFERROR(INDEX(PP_Grid[#Data],$DD513,22),0)</f>
        <v/>
      </c>
      <c r="Y513">
        <f>IFERROR(INDEX(PP_Grid[#Data],$DD513,23),0)</f>
        <v/>
      </c>
      <c r="Z513">
        <f>IFERROR(INDEX(PP_Grid[#Data],$DD513,24),0)</f>
        <v/>
      </c>
      <c r="AA513">
        <f>IFERROR(INDEX(PP_Grid[#Data],$DD513,25),0)</f>
        <v/>
      </c>
      <c r="AB513">
        <f>IFERROR(INDEX(PP_Grid[#Data],$DD513,26),0)</f>
        <v/>
      </c>
      <c r="AC513">
        <f>IFERROR(INDEX(PP_Grid[#Data],$DD513,27),0)</f>
        <v/>
      </c>
      <c r="AD513">
        <f>IFERROR(INDEX(PP_Grid[#Data],$DD513,28),0)</f>
        <v/>
      </c>
      <c r="AE513">
        <f>IFERROR(INDEX(PP_Grid[#Data],$DD513,29),0)</f>
        <v/>
      </c>
      <c r="AF513">
        <f>IFERROR(INDEX(PP_Grid[#Data],$DD513,30),0)</f>
        <v/>
      </c>
      <c r="AG513">
        <f>IFERROR(INDEX(PP_Grid[#Data],$DD513,31),0)</f>
        <v/>
      </c>
      <c r="AH513">
        <f>IFERROR(INDEX(PP_Grid[#Data],$DD513,32),0)</f>
        <v/>
      </c>
      <c r="AI513">
        <f>IFERROR(INDEX(PP_Grid[#Data],$DD513,33),0)</f>
        <v/>
      </c>
      <c r="AJ513">
        <f>IFERROR(INDEX(PP_Grid[#Data],$DD513,34),0)</f>
        <v/>
      </c>
      <c r="AK513">
        <f>IFERROR(INDEX(PP_Grid[#Data],$DD513,35),0)</f>
        <v/>
      </c>
      <c r="AL513">
        <f>IFERROR(INDEX(PP_Grid[#Data],$DD513,36),0)</f>
        <v/>
      </c>
      <c r="AM513">
        <f>IFERROR(INDEX(PP_Grid[#Data],$DD513,37),0)</f>
        <v/>
      </c>
      <c r="AN513">
        <f>IFERROR(INDEX(PP_Grid[#Data],$DD513,38),0)</f>
        <v/>
      </c>
      <c r="AO513">
        <f>IFERROR(INDEX(PP_Grid[#Data],$DD513,39),0)</f>
        <v/>
      </c>
      <c r="AP513">
        <f>IFERROR(INDEX(PP_Grid[#Data],$DD513,40),0)</f>
        <v/>
      </c>
      <c r="AQ513">
        <f>IFERROR(INDEX(PP_Grid[#Data],$DD513,41),0)</f>
        <v/>
      </c>
      <c r="AR513">
        <f>IFERROR(INDEX(PP_Grid[#Data],$DD513,42),0)</f>
        <v/>
      </c>
      <c r="AS513">
        <f>IFERROR(INDEX(PP_Grid[#Data],$DD513,43),0)</f>
        <v/>
      </c>
      <c r="AT513">
        <f>IFERROR(INDEX(PP_Grid[#Data],$DD513,44),0)</f>
        <v/>
      </c>
      <c r="AU513">
        <f>IFERROR(INDEX(PP_Grid[#Data],$DD513,45),0)</f>
        <v/>
      </c>
      <c r="AV513">
        <f>IFERROR(INDEX(PP_Grid[#Data],$DD513,46),0)</f>
        <v/>
      </c>
      <c r="AW513">
        <f>IFERROR(INDEX(PP_Grid[#Data],$DD513,47),0)</f>
        <v/>
      </c>
      <c r="AX513">
        <f>IFERROR(INDEX(PP_Grid[#Data],$DD513,48),0)</f>
        <v/>
      </c>
      <c r="AY513">
        <f>IFERROR(INDEX(PP_Grid[#Data],$DD513,49),0)</f>
        <v/>
      </c>
      <c r="AZ513">
        <f>IFERROR(INDEX(PP_Grid[#Data],$DD513,50),0)</f>
        <v/>
      </c>
      <c r="BA513">
        <f>IFERROR(INDEX(PP_Grid[#Data],$DD513,51),0)</f>
        <v/>
      </c>
      <c r="BB513">
        <f>IFERROR(INDEX(PP_Grid[#Data],$DD513,52),0)</f>
        <v/>
      </c>
      <c r="BC513">
        <f>IFERROR(INDEX(PP_Grid[#Data],$DD513,53),0)</f>
        <v/>
      </c>
      <c r="BD513">
        <f>IFERROR(INDEX(PP_Grid[#Data],$DD513,54),0)</f>
        <v/>
      </c>
      <c r="BE513">
        <f>IFERROR(INDEX(PP_Grid[#Data],$DD513,55),0)</f>
        <v/>
      </c>
      <c r="BF513">
        <f>IFERROR(INDEX(PP_Grid[#Data],$DD513,56),0)</f>
        <v/>
      </c>
      <c r="BG513">
        <f>IFERROR(INDEX(PP_Grid[#Data],$DD513,57),0)</f>
        <v/>
      </c>
      <c r="BH513">
        <f>IFERROR(INDEX(PP_Grid[#Data],$DD513,58),0)</f>
        <v/>
      </c>
      <c r="BI513">
        <f>IFERROR(INDEX(PP_Grid[#Data],$DD513,59),0)</f>
        <v/>
      </c>
      <c r="BJ513">
        <f>IFERROR(INDEX(PP_Grid[#Data],$DD513,60),0)</f>
        <v/>
      </c>
      <c r="BK513">
        <f>IFERROR(INDEX(PP_Grid[#Data],$DD513,61),0)</f>
        <v/>
      </c>
      <c r="BL513">
        <f>IFERROR(INDEX(PP_Grid[#Data],$DD513,62),0)</f>
        <v/>
      </c>
      <c r="BM513">
        <f>IFERROR(INDEX(PP_Grid[#Data],$DD513,63),0)</f>
        <v/>
      </c>
      <c r="BN513">
        <f>IFERROR(INDEX(PP_Grid[#Data],$DD513,64),0)</f>
        <v/>
      </c>
      <c r="BO513">
        <f>IFERROR(INDEX(PP_Grid[#Data],$DD513,65),0)</f>
        <v/>
      </c>
      <c r="BP513">
        <f>IFERROR(INDEX(PP_Grid[#Data],$DD513,66),0)</f>
        <v/>
      </c>
      <c r="BQ513">
        <f>IFERROR(INDEX(PP_Grid[#Data],$DD513,67),0)</f>
        <v/>
      </c>
      <c r="BR513">
        <f>IFERROR(INDEX(PP_Grid[#Data],$DD513,68),0)</f>
        <v/>
      </c>
      <c r="BS513">
        <f>IFERROR(INDEX(PP_Grid[#Data],$DD513,69),0)</f>
        <v/>
      </c>
      <c r="BT513">
        <f>IFERROR(INDEX(PP_Grid[#Data],$DD513,70),0)</f>
        <v/>
      </c>
      <c r="BU513">
        <f>IFERROR(INDEX(PP_Grid[#Data],$DD513,71),0)</f>
        <v/>
      </c>
      <c r="BV513">
        <f>IFERROR(INDEX(PP_Grid[#Data],$DD513,72),0)</f>
        <v/>
      </c>
      <c r="BW513">
        <f>IFERROR(INDEX(PP_Grid[#Data],$DD513,73),0)</f>
        <v/>
      </c>
      <c r="BX513">
        <f>IFERROR(INDEX(PP_Grid[#Data],$DD513,74),0)</f>
        <v/>
      </c>
      <c r="BY513">
        <f>IFERROR(INDEX(PP_Grid[#Data],$DD513,75),0)</f>
        <v/>
      </c>
      <c r="BZ513">
        <f>IFERROR(INDEX(PP_Grid[#Data],$DD513,76),0)</f>
        <v/>
      </c>
      <c r="CA513">
        <f>IFERROR(INDEX(PP_Grid[#Data],$DD513,77),0)</f>
        <v/>
      </c>
      <c r="CB513">
        <f>IFERROR(INDEX(PP_Grid[#Data],$DD513,78),0)</f>
        <v/>
      </c>
      <c r="CC513">
        <f>IFERROR(INDEX(PP_Grid[#Data],$DD513,79),0)</f>
        <v/>
      </c>
      <c r="CD513">
        <f>IFERROR(INDEX(PP_Grid[#Data],$DD513,80),0)</f>
        <v/>
      </c>
      <c r="CE513">
        <f>IFERROR(INDEX(PP_Grid[#Data],$DD513,81),0)</f>
        <v/>
      </c>
      <c r="CF513">
        <f>IFERROR(INDEX(PP_Grid[#Data],$DD513,82),0)</f>
        <v/>
      </c>
      <c r="CG513">
        <f>IFERROR(INDEX(PP_Grid[#Data],$DD513,83),0)</f>
        <v/>
      </c>
      <c r="CH513">
        <f>IFERROR(INDEX(PP_Grid[#Data],$DD513,84),0)</f>
        <v/>
      </c>
      <c r="CI513">
        <f>IFERROR(INDEX(PP_Grid[#Data],$DD513,85),0)</f>
        <v/>
      </c>
      <c r="CJ513">
        <f>IFERROR(INDEX(PP_Grid[#Data],$DD513,86),0)</f>
        <v/>
      </c>
      <c r="CK513">
        <f>IFERROR(INDEX(PP_Grid[#Data],$DD513,87),0)</f>
        <v/>
      </c>
      <c r="CL513">
        <f>IFERROR(INDEX(PP_Grid[#Data],$DD513,88),0)</f>
        <v/>
      </c>
      <c r="CM513">
        <f>IFERROR(INDEX(PP_Grid[#Data],$DD513,89),0)</f>
        <v/>
      </c>
      <c r="CN513">
        <f>IFERROR(INDEX(PP_Grid[#Data],$DD513,90),0)</f>
        <v/>
      </c>
      <c r="CO513">
        <f>IFERROR(INDEX(PP_Grid[#Data],$DD513,91),0)</f>
        <v/>
      </c>
      <c r="CP513">
        <f>IFERROR(INDEX(PP_Grid[#Data],$DD513,92),0)</f>
        <v/>
      </c>
      <c r="CQ513">
        <f>IFERROR(INDEX(PP_Grid[#Data],$DD513,93),0)</f>
        <v/>
      </c>
      <c r="CR513">
        <f>IFERROR(INDEX(PP_Grid[#Data],$DD513,94),0)</f>
        <v/>
      </c>
      <c r="CS513">
        <f>IFERROR(INDEX(PP_Grid[#Data],$DD513,95),0)</f>
        <v/>
      </c>
      <c r="CT513">
        <f>IFERROR(INDEX(PP_Grid[#Data],$DD513,96),0)</f>
        <v/>
      </c>
      <c r="CU513">
        <f>IFERROR(INDEX(PP_Grid[#Data],$DD513,97),0)</f>
        <v/>
      </c>
      <c r="CV513">
        <f>IFERROR(INDEX(PP_Grid[#Data],$DD513,98),0)</f>
        <v/>
      </c>
      <c r="CW513">
        <f>IFERROR(INDEX(PP_Grid[#Data],$DD513,99),0)</f>
        <v/>
      </c>
      <c r="CX513">
        <f>IFERROR(INDEX(PP_Grid[#Data],$DD513,100),0)</f>
        <v/>
      </c>
      <c r="CY513">
        <f>IFERROR(INDEX(PP_Grid[#Data],$DD513,101),0)</f>
        <v/>
      </c>
      <c r="CZ513">
        <f>IFERROR(INDEX(PP_Grid[#Data],$DD513,102),0)</f>
        <v/>
      </c>
      <c r="DA513">
        <f>IFERROR(INDEX(PP_Grid[#Data],$DD513,103),0)</f>
        <v/>
      </c>
      <c r="DB513">
        <f>IFERROR(INDEX(PP_Grid[#Data],$DD513,104),0)</f>
        <v/>
      </c>
      <c r="DC513">
        <f>IFERROR(INDEX(PP_Grid[#Data],$DD513,105),0)</f>
        <v/>
      </c>
      <c r="DD513" s="7">
        <f>IFERROR(MATCH($B513,PP_Grid[Intermediate],0),99999)</f>
        <v/>
      </c>
    </row>
    <row r="514">
      <c r="B514" t="inlineStr">
        <is>
          <t>使用量(kg)</t>
        </is>
      </c>
      <c r="C514">
        <f>SUMIFS(M_BOM[RM_Qty_Per_Batch],M_BOM[Intermediate],$B513,M_BOM[Part Name],$A500)</f>
        <v/>
      </c>
      <c r="D514">
        <f>$C514*D513</f>
        <v/>
      </c>
      <c r="E514">
        <f>$C514*E513</f>
        <v/>
      </c>
      <c r="F514">
        <f>$C514*F513</f>
        <v/>
      </c>
      <c r="G514">
        <f>$C514*G513</f>
        <v/>
      </c>
      <c r="H514">
        <f>$C514*H513</f>
        <v/>
      </c>
      <c r="I514">
        <f>$C514*I513</f>
        <v/>
      </c>
      <c r="J514">
        <f>$C514*J513</f>
        <v/>
      </c>
      <c r="K514">
        <f>$C514*K513</f>
        <v/>
      </c>
      <c r="L514">
        <f>$C514*L513</f>
        <v/>
      </c>
      <c r="M514">
        <f>$C514*M513</f>
        <v/>
      </c>
      <c r="N514">
        <f>$C514*N513</f>
        <v/>
      </c>
      <c r="O514">
        <f>$C514*O513</f>
        <v/>
      </c>
      <c r="P514">
        <f>$C514*P513</f>
        <v/>
      </c>
      <c r="Q514">
        <f>$C514*Q513</f>
        <v/>
      </c>
      <c r="R514">
        <f>$C514*R513</f>
        <v/>
      </c>
      <c r="S514">
        <f>$C514*S513</f>
        <v/>
      </c>
      <c r="T514">
        <f>$C514*T513</f>
        <v/>
      </c>
      <c r="U514">
        <f>$C514*U513</f>
        <v/>
      </c>
      <c r="V514">
        <f>$C514*V513</f>
        <v/>
      </c>
      <c r="W514">
        <f>$C514*W513</f>
        <v/>
      </c>
      <c r="X514">
        <f>$C514*X513</f>
        <v/>
      </c>
      <c r="Y514">
        <f>$C514*Y513</f>
        <v/>
      </c>
      <c r="Z514">
        <f>$C514*Z513</f>
        <v/>
      </c>
      <c r="AA514">
        <f>$C514*AA513</f>
        <v/>
      </c>
      <c r="AB514">
        <f>$C514*AB513</f>
        <v/>
      </c>
      <c r="AC514">
        <f>$C514*AC513</f>
        <v/>
      </c>
      <c r="AD514">
        <f>$C514*AD513</f>
        <v/>
      </c>
      <c r="AE514">
        <f>$C514*AE513</f>
        <v/>
      </c>
      <c r="AF514">
        <f>$C514*AF513</f>
        <v/>
      </c>
      <c r="AG514">
        <f>$C514*AG513</f>
        <v/>
      </c>
      <c r="AH514">
        <f>$C514*AH513</f>
        <v/>
      </c>
      <c r="AI514">
        <f>$C514*AI513</f>
        <v/>
      </c>
      <c r="AJ514">
        <f>$C514*AJ513</f>
        <v/>
      </c>
      <c r="AK514">
        <f>$C514*AK513</f>
        <v/>
      </c>
      <c r="AL514">
        <f>$C514*AL513</f>
        <v/>
      </c>
      <c r="AM514">
        <f>$C514*AM513</f>
        <v/>
      </c>
      <c r="AN514">
        <f>$C514*AN513</f>
        <v/>
      </c>
      <c r="AO514">
        <f>$C514*AO513</f>
        <v/>
      </c>
      <c r="AP514">
        <f>$C514*AP513</f>
        <v/>
      </c>
      <c r="AQ514">
        <f>$C514*AQ513</f>
        <v/>
      </c>
      <c r="AR514">
        <f>$C514*AR513</f>
        <v/>
      </c>
      <c r="AS514">
        <f>$C514*AS513</f>
        <v/>
      </c>
      <c r="AT514">
        <f>$C514*AT513</f>
        <v/>
      </c>
      <c r="AU514">
        <f>$C514*AU513</f>
        <v/>
      </c>
      <c r="AV514">
        <f>$C514*AV513</f>
        <v/>
      </c>
      <c r="AW514">
        <f>$C514*AW513</f>
        <v/>
      </c>
      <c r="AX514">
        <f>$C514*AX513</f>
        <v/>
      </c>
      <c r="AY514">
        <f>$C514*AY513</f>
        <v/>
      </c>
      <c r="AZ514">
        <f>$C514*AZ513</f>
        <v/>
      </c>
      <c r="BA514">
        <f>$C514*BA513</f>
        <v/>
      </c>
      <c r="BB514">
        <f>$C514*BB513</f>
        <v/>
      </c>
      <c r="BC514">
        <f>$C514*BC513</f>
        <v/>
      </c>
      <c r="BD514">
        <f>$C514*BD513</f>
        <v/>
      </c>
      <c r="BE514">
        <f>$C514*BE513</f>
        <v/>
      </c>
      <c r="BF514">
        <f>$C514*BF513</f>
        <v/>
      </c>
      <c r="BG514">
        <f>$C514*BG513</f>
        <v/>
      </c>
      <c r="BH514">
        <f>$C514*BH513</f>
        <v/>
      </c>
      <c r="BI514">
        <f>$C514*BI513</f>
        <v/>
      </c>
      <c r="BJ514">
        <f>$C514*BJ513</f>
        <v/>
      </c>
      <c r="BK514">
        <f>$C514*BK513</f>
        <v/>
      </c>
      <c r="BL514">
        <f>$C514*BL513</f>
        <v/>
      </c>
      <c r="BM514">
        <f>$C514*BM513</f>
        <v/>
      </c>
      <c r="BN514">
        <f>$C514*BN513</f>
        <v/>
      </c>
      <c r="BO514">
        <f>$C514*BO513</f>
        <v/>
      </c>
      <c r="BP514">
        <f>$C514*BP513</f>
        <v/>
      </c>
      <c r="BQ514">
        <f>$C514*BQ513</f>
        <v/>
      </c>
      <c r="BR514">
        <f>$C514*BR513</f>
        <v/>
      </c>
      <c r="BS514">
        <f>$C514*BS513</f>
        <v/>
      </c>
      <c r="BT514">
        <f>$C514*BT513</f>
        <v/>
      </c>
      <c r="BU514">
        <f>$C514*BU513</f>
        <v/>
      </c>
      <c r="BV514">
        <f>$C514*BV513</f>
        <v/>
      </c>
      <c r="BW514">
        <f>$C514*BW513</f>
        <v/>
      </c>
      <c r="BX514">
        <f>$C514*BX513</f>
        <v/>
      </c>
      <c r="BY514">
        <f>$C514*BY513</f>
        <v/>
      </c>
      <c r="BZ514">
        <f>$C514*BZ513</f>
        <v/>
      </c>
      <c r="CA514">
        <f>$C514*CA513</f>
        <v/>
      </c>
      <c r="CB514">
        <f>$C514*CB513</f>
        <v/>
      </c>
      <c r="CC514">
        <f>$C514*CC513</f>
        <v/>
      </c>
      <c r="CD514">
        <f>$C514*CD513</f>
        <v/>
      </c>
      <c r="CE514">
        <f>$C514*CE513</f>
        <v/>
      </c>
      <c r="CF514">
        <f>$C514*CF513</f>
        <v/>
      </c>
      <c r="CG514">
        <f>$C514*CG513</f>
        <v/>
      </c>
      <c r="CH514">
        <f>$C514*CH513</f>
        <v/>
      </c>
      <c r="CI514">
        <f>$C514*CI513</f>
        <v/>
      </c>
      <c r="CJ514">
        <f>$C514*CJ513</f>
        <v/>
      </c>
      <c r="CK514">
        <f>$C514*CK513</f>
        <v/>
      </c>
      <c r="CL514">
        <f>$C514*CL513</f>
        <v/>
      </c>
      <c r="CM514">
        <f>$C514*CM513</f>
        <v/>
      </c>
      <c r="CN514">
        <f>$C514*CN513</f>
        <v/>
      </c>
      <c r="CO514">
        <f>$C514*CO513</f>
        <v/>
      </c>
      <c r="CP514">
        <f>$C514*CP513</f>
        <v/>
      </c>
      <c r="CQ514">
        <f>$C514*CQ513</f>
        <v/>
      </c>
      <c r="CR514">
        <f>$C514*CR513</f>
        <v/>
      </c>
      <c r="CS514">
        <f>$C514*CS513</f>
        <v/>
      </c>
      <c r="CT514">
        <f>$C514*CT513</f>
        <v/>
      </c>
      <c r="CU514">
        <f>$C514*CU513</f>
        <v/>
      </c>
      <c r="CV514">
        <f>$C514*CV513</f>
        <v/>
      </c>
      <c r="CW514">
        <f>$C514*CW513</f>
        <v/>
      </c>
      <c r="CX514">
        <f>$C514*CX513</f>
        <v/>
      </c>
      <c r="CY514">
        <f>$C514*CY513</f>
        <v/>
      </c>
      <c r="CZ514">
        <f>$C514*CZ513</f>
        <v/>
      </c>
      <c r="DA514">
        <f>$C514*DA513</f>
        <v/>
      </c>
      <c r="DB514">
        <f>$C514*DB513</f>
        <v/>
      </c>
      <c r="DC514">
        <f>$C514*DC513</f>
        <v/>
      </c>
    </row>
    <row r="515">
      <c r="B515" t="inlineStr">
        <is>
          <t>VSP-603</t>
        </is>
      </c>
      <c r="C515" t="inlineStr">
        <is>
          <t>No. of batches</t>
        </is>
      </c>
      <c r="D515">
        <f>IFERROR(INDEX(PP_Grid[#Data],$DD515,2),0)</f>
        <v/>
      </c>
      <c r="E515">
        <f>IFERROR(INDEX(PP_Grid[#Data],$DD515,3),0)</f>
        <v/>
      </c>
      <c r="F515">
        <f>IFERROR(INDEX(PP_Grid[#Data],$DD515,4),0)</f>
        <v/>
      </c>
      <c r="G515">
        <f>IFERROR(INDEX(PP_Grid[#Data],$DD515,5),0)</f>
        <v/>
      </c>
      <c r="H515">
        <f>IFERROR(INDEX(PP_Grid[#Data],$DD515,6),0)</f>
        <v/>
      </c>
      <c r="I515">
        <f>IFERROR(INDEX(PP_Grid[#Data],$DD515,7),0)</f>
        <v/>
      </c>
      <c r="J515">
        <f>IFERROR(INDEX(PP_Grid[#Data],$DD515,8),0)</f>
        <v/>
      </c>
      <c r="K515">
        <f>IFERROR(INDEX(PP_Grid[#Data],$DD515,9),0)</f>
        <v/>
      </c>
      <c r="L515">
        <f>IFERROR(INDEX(PP_Grid[#Data],$DD515,10),0)</f>
        <v/>
      </c>
      <c r="M515">
        <f>IFERROR(INDEX(PP_Grid[#Data],$DD515,11),0)</f>
        <v/>
      </c>
      <c r="N515">
        <f>IFERROR(INDEX(PP_Grid[#Data],$DD515,12),0)</f>
        <v/>
      </c>
      <c r="O515">
        <f>IFERROR(INDEX(PP_Grid[#Data],$DD515,13),0)</f>
        <v/>
      </c>
      <c r="P515">
        <f>IFERROR(INDEX(PP_Grid[#Data],$DD515,14),0)</f>
        <v/>
      </c>
      <c r="Q515">
        <f>IFERROR(INDEX(PP_Grid[#Data],$DD515,15),0)</f>
        <v/>
      </c>
      <c r="R515">
        <f>IFERROR(INDEX(PP_Grid[#Data],$DD515,16),0)</f>
        <v/>
      </c>
      <c r="S515">
        <f>IFERROR(INDEX(PP_Grid[#Data],$DD515,17),0)</f>
        <v/>
      </c>
      <c r="T515">
        <f>IFERROR(INDEX(PP_Grid[#Data],$DD515,18),0)</f>
        <v/>
      </c>
      <c r="U515">
        <f>IFERROR(INDEX(PP_Grid[#Data],$DD515,19),0)</f>
        <v/>
      </c>
      <c r="V515">
        <f>IFERROR(INDEX(PP_Grid[#Data],$DD515,20),0)</f>
        <v/>
      </c>
      <c r="W515">
        <f>IFERROR(INDEX(PP_Grid[#Data],$DD515,21),0)</f>
        <v/>
      </c>
      <c r="X515">
        <f>IFERROR(INDEX(PP_Grid[#Data],$DD515,22),0)</f>
        <v/>
      </c>
      <c r="Y515">
        <f>IFERROR(INDEX(PP_Grid[#Data],$DD515,23),0)</f>
        <v/>
      </c>
      <c r="Z515">
        <f>IFERROR(INDEX(PP_Grid[#Data],$DD515,24),0)</f>
        <v/>
      </c>
      <c r="AA515">
        <f>IFERROR(INDEX(PP_Grid[#Data],$DD515,25),0)</f>
        <v/>
      </c>
      <c r="AB515">
        <f>IFERROR(INDEX(PP_Grid[#Data],$DD515,26),0)</f>
        <v/>
      </c>
      <c r="AC515">
        <f>IFERROR(INDEX(PP_Grid[#Data],$DD515,27),0)</f>
        <v/>
      </c>
      <c r="AD515">
        <f>IFERROR(INDEX(PP_Grid[#Data],$DD515,28),0)</f>
        <v/>
      </c>
      <c r="AE515">
        <f>IFERROR(INDEX(PP_Grid[#Data],$DD515,29),0)</f>
        <v/>
      </c>
      <c r="AF515">
        <f>IFERROR(INDEX(PP_Grid[#Data],$DD515,30),0)</f>
        <v/>
      </c>
      <c r="AG515">
        <f>IFERROR(INDEX(PP_Grid[#Data],$DD515,31),0)</f>
        <v/>
      </c>
      <c r="AH515">
        <f>IFERROR(INDEX(PP_Grid[#Data],$DD515,32),0)</f>
        <v/>
      </c>
      <c r="AI515">
        <f>IFERROR(INDEX(PP_Grid[#Data],$DD515,33),0)</f>
        <v/>
      </c>
      <c r="AJ515">
        <f>IFERROR(INDEX(PP_Grid[#Data],$DD515,34),0)</f>
        <v/>
      </c>
      <c r="AK515">
        <f>IFERROR(INDEX(PP_Grid[#Data],$DD515,35),0)</f>
        <v/>
      </c>
      <c r="AL515">
        <f>IFERROR(INDEX(PP_Grid[#Data],$DD515,36),0)</f>
        <v/>
      </c>
      <c r="AM515">
        <f>IFERROR(INDEX(PP_Grid[#Data],$DD515,37),0)</f>
        <v/>
      </c>
      <c r="AN515">
        <f>IFERROR(INDEX(PP_Grid[#Data],$DD515,38),0)</f>
        <v/>
      </c>
      <c r="AO515">
        <f>IFERROR(INDEX(PP_Grid[#Data],$DD515,39),0)</f>
        <v/>
      </c>
      <c r="AP515">
        <f>IFERROR(INDEX(PP_Grid[#Data],$DD515,40),0)</f>
        <v/>
      </c>
      <c r="AQ515">
        <f>IFERROR(INDEX(PP_Grid[#Data],$DD515,41),0)</f>
        <v/>
      </c>
      <c r="AR515">
        <f>IFERROR(INDEX(PP_Grid[#Data],$DD515,42),0)</f>
        <v/>
      </c>
      <c r="AS515">
        <f>IFERROR(INDEX(PP_Grid[#Data],$DD515,43),0)</f>
        <v/>
      </c>
      <c r="AT515">
        <f>IFERROR(INDEX(PP_Grid[#Data],$DD515,44),0)</f>
        <v/>
      </c>
      <c r="AU515">
        <f>IFERROR(INDEX(PP_Grid[#Data],$DD515,45),0)</f>
        <v/>
      </c>
      <c r="AV515">
        <f>IFERROR(INDEX(PP_Grid[#Data],$DD515,46),0)</f>
        <v/>
      </c>
      <c r="AW515">
        <f>IFERROR(INDEX(PP_Grid[#Data],$DD515,47),0)</f>
        <v/>
      </c>
      <c r="AX515">
        <f>IFERROR(INDEX(PP_Grid[#Data],$DD515,48),0)</f>
        <v/>
      </c>
      <c r="AY515">
        <f>IFERROR(INDEX(PP_Grid[#Data],$DD515,49),0)</f>
        <v/>
      </c>
      <c r="AZ515">
        <f>IFERROR(INDEX(PP_Grid[#Data],$DD515,50),0)</f>
        <v/>
      </c>
      <c r="BA515">
        <f>IFERROR(INDEX(PP_Grid[#Data],$DD515,51),0)</f>
        <v/>
      </c>
      <c r="BB515">
        <f>IFERROR(INDEX(PP_Grid[#Data],$DD515,52),0)</f>
        <v/>
      </c>
      <c r="BC515">
        <f>IFERROR(INDEX(PP_Grid[#Data],$DD515,53),0)</f>
        <v/>
      </c>
      <c r="BD515">
        <f>IFERROR(INDEX(PP_Grid[#Data],$DD515,54),0)</f>
        <v/>
      </c>
      <c r="BE515">
        <f>IFERROR(INDEX(PP_Grid[#Data],$DD515,55),0)</f>
        <v/>
      </c>
      <c r="BF515">
        <f>IFERROR(INDEX(PP_Grid[#Data],$DD515,56),0)</f>
        <v/>
      </c>
      <c r="BG515">
        <f>IFERROR(INDEX(PP_Grid[#Data],$DD515,57),0)</f>
        <v/>
      </c>
      <c r="BH515">
        <f>IFERROR(INDEX(PP_Grid[#Data],$DD515,58),0)</f>
        <v/>
      </c>
      <c r="BI515">
        <f>IFERROR(INDEX(PP_Grid[#Data],$DD515,59),0)</f>
        <v/>
      </c>
      <c r="BJ515">
        <f>IFERROR(INDEX(PP_Grid[#Data],$DD515,60),0)</f>
        <v/>
      </c>
      <c r="BK515">
        <f>IFERROR(INDEX(PP_Grid[#Data],$DD515,61),0)</f>
        <v/>
      </c>
      <c r="BL515">
        <f>IFERROR(INDEX(PP_Grid[#Data],$DD515,62),0)</f>
        <v/>
      </c>
      <c r="BM515">
        <f>IFERROR(INDEX(PP_Grid[#Data],$DD515,63),0)</f>
        <v/>
      </c>
      <c r="BN515">
        <f>IFERROR(INDEX(PP_Grid[#Data],$DD515,64),0)</f>
        <v/>
      </c>
      <c r="BO515">
        <f>IFERROR(INDEX(PP_Grid[#Data],$DD515,65),0)</f>
        <v/>
      </c>
      <c r="BP515">
        <f>IFERROR(INDEX(PP_Grid[#Data],$DD515,66),0)</f>
        <v/>
      </c>
      <c r="BQ515">
        <f>IFERROR(INDEX(PP_Grid[#Data],$DD515,67),0)</f>
        <v/>
      </c>
      <c r="BR515">
        <f>IFERROR(INDEX(PP_Grid[#Data],$DD515,68),0)</f>
        <v/>
      </c>
      <c r="BS515">
        <f>IFERROR(INDEX(PP_Grid[#Data],$DD515,69),0)</f>
        <v/>
      </c>
      <c r="BT515">
        <f>IFERROR(INDEX(PP_Grid[#Data],$DD515,70),0)</f>
        <v/>
      </c>
      <c r="BU515">
        <f>IFERROR(INDEX(PP_Grid[#Data],$DD515,71),0)</f>
        <v/>
      </c>
      <c r="BV515">
        <f>IFERROR(INDEX(PP_Grid[#Data],$DD515,72),0)</f>
        <v/>
      </c>
      <c r="BW515">
        <f>IFERROR(INDEX(PP_Grid[#Data],$DD515,73),0)</f>
        <v/>
      </c>
      <c r="BX515">
        <f>IFERROR(INDEX(PP_Grid[#Data],$DD515,74),0)</f>
        <v/>
      </c>
      <c r="BY515">
        <f>IFERROR(INDEX(PP_Grid[#Data],$DD515,75),0)</f>
        <v/>
      </c>
      <c r="BZ515">
        <f>IFERROR(INDEX(PP_Grid[#Data],$DD515,76),0)</f>
        <v/>
      </c>
      <c r="CA515">
        <f>IFERROR(INDEX(PP_Grid[#Data],$DD515,77),0)</f>
        <v/>
      </c>
      <c r="CB515">
        <f>IFERROR(INDEX(PP_Grid[#Data],$DD515,78),0)</f>
        <v/>
      </c>
      <c r="CC515">
        <f>IFERROR(INDEX(PP_Grid[#Data],$DD515,79),0)</f>
        <v/>
      </c>
      <c r="CD515">
        <f>IFERROR(INDEX(PP_Grid[#Data],$DD515,80),0)</f>
        <v/>
      </c>
      <c r="CE515">
        <f>IFERROR(INDEX(PP_Grid[#Data],$DD515,81),0)</f>
        <v/>
      </c>
      <c r="CF515">
        <f>IFERROR(INDEX(PP_Grid[#Data],$DD515,82),0)</f>
        <v/>
      </c>
      <c r="CG515">
        <f>IFERROR(INDEX(PP_Grid[#Data],$DD515,83),0)</f>
        <v/>
      </c>
      <c r="CH515">
        <f>IFERROR(INDEX(PP_Grid[#Data],$DD515,84),0)</f>
        <v/>
      </c>
      <c r="CI515">
        <f>IFERROR(INDEX(PP_Grid[#Data],$DD515,85),0)</f>
        <v/>
      </c>
      <c r="CJ515">
        <f>IFERROR(INDEX(PP_Grid[#Data],$DD515,86),0)</f>
        <v/>
      </c>
      <c r="CK515">
        <f>IFERROR(INDEX(PP_Grid[#Data],$DD515,87),0)</f>
        <v/>
      </c>
      <c r="CL515">
        <f>IFERROR(INDEX(PP_Grid[#Data],$DD515,88),0)</f>
        <v/>
      </c>
      <c r="CM515">
        <f>IFERROR(INDEX(PP_Grid[#Data],$DD515,89),0)</f>
        <v/>
      </c>
      <c r="CN515">
        <f>IFERROR(INDEX(PP_Grid[#Data],$DD515,90),0)</f>
        <v/>
      </c>
      <c r="CO515">
        <f>IFERROR(INDEX(PP_Grid[#Data],$DD515,91),0)</f>
        <v/>
      </c>
      <c r="CP515">
        <f>IFERROR(INDEX(PP_Grid[#Data],$DD515,92),0)</f>
        <v/>
      </c>
      <c r="CQ515">
        <f>IFERROR(INDEX(PP_Grid[#Data],$DD515,93),0)</f>
        <v/>
      </c>
      <c r="CR515">
        <f>IFERROR(INDEX(PP_Grid[#Data],$DD515,94),0)</f>
        <v/>
      </c>
      <c r="CS515">
        <f>IFERROR(INDEX(PP_Grid[#Data],$DD515,95),0)</f>
        <v/>
      </c>
      <c r="CT515">
        <f>IFERROR(INDEX(PP_Grid[#Data],$DD515,96),0)</f>
        <v/>
      </c>
      <c r="CU515">
        <f>IFERROR(INDEX(PP_Grid[#Data],$DD515,97),0)</f>
        <v/>
      </c>
      <c r="CV515">
        <f>IFERROR(INDEX(PP_Grid[#Data],$DD515,98),0)</f>
        <v/>
      </c>
      <c r="CW515">
        <f>IFERROR(INDEX(PP_Grid[#Data],$DD515,99),0)</f>
        <v/>
      </c>
      <c r="CX515">
        <f>IFERROR(INDEX(PP_Grid[#Data],$DD515,100),0)</f>
        <v/>
      </c>
      <c r="CY515">
        <f>IFERROR(INDEX(PP_Grid[#Data],$DD515,101),0)</f>
        <v/>
      </c>
      <c r="CZ515">
        <f>IFERROR(INDEX(PP_Grid[#Data],$DD515,102),0)</f>
        <v/>
      </c>
      <c r="DA515">
        <f>IFERROR(INDEX(PP_Grid[#Data],$DD515,103),0)</f>
        <v/>
      </c>
      <c r="DB515">
        <f>IFERROR(INDEX(PP_Grid[#Data],$DD515,104),0)</f>
        <v/>
      </c>
      <c r="DC515">
        <f>IFERROR(INDEX(PP_Grid[#Data],$DD515,105),0)</f>
        <v/>
      </c>
      <c r="DD515" s="7">
        <f>IFERROR(MATCH($B515,PP_Grid[Intermediate],0),99999)</f>
        <v/>
      </c>
    </row>
    <row r="516">
      <c r="B516" t="inlineStr">
        <is>
          <t>使用量(kg)</t>
        </is>
      </c>
      <c r="C516">
        <f>SUMIFS(M_BOM[RM_Qty_Per_Batch],M_BOM[Intermediate],$B515,M_BOM[Part Name],$A500)</f>
        <v/>
      </c>
      <c r="D516">
        <f>$C516*D515</f>
        <v/>
      </c>
      <c r="E516">
        <f>$C516*E515</f>
        <v/>
      </c>
      <c r="F516">
        <f>$C516*F515</f>
        <v/>
      </c>
      <c r="G516">
        <f>$C516*G515</f>
        <v/>
      </c>
      <c r="H516">
        <f>$C516*H515</f>
        <v/>
      </c>
      <c r="I516">
        <f>$C516*I515</f>
        <v/>
      </c>
      <c r="J516">
        <f>$C516*J515</f>
        <v/>
      </c>
      <c r="K516">
        <f>$C516*K515</f>
        <v/>
      </c>
      <c r="L516">
        <f>$C516*L515</f>
        <v/>
      </c>
      <c r="M516">
        <f>$C516*M515</f>
        <v/>
      </c>
      <c r="N516">
        <f>$C516*N515</f>
        <v/>
      </c>
      <c r="O516">
        <f>$C516*O515</f>
        <v/>
      </c>
      <c r="P516">
        <f>$C516*P515</f>
        <v/>
      </c>
      <c r="Q516">
        <f>$C516*Q515</f>
        <v/>
      </c>
      <c r="R516">
        <f>$C516*R515</f>
        <v/>
      </c>
      <c r="S516">
        <f>$C516*S515</f>
        <v/>
      </c>
      <c r="T516">
        <f>$C516*T515</f>
        <v/>
      </c>
      <c r="U516">
        <f>$C516*U515</f>
        <v/>
      </c>
      <c r="V516">
        <f>$C516*V515</f>
        <v/>
      </c>
      <c r="W516">
        <f>$C516*W515</f>
        <v/>
      </c>
      <c r="X516">
        <f>$C516*X515</f>
        <v/>
      </c>
      <c r="Y516">
        <f>$C516*Y515</f>
        <v/>
      </c>
      <c r="Z516">
        <f>$C516*Z515</f>
        <v/>
      </c>
      <c r="AA516">
        <f>$C516*AA515</f>
        <v/>
      </c>
      <c r="AB516">
        <f>$C516*AB515</f>
        <v/>
      </c>
      <c r="AC516">
        <f>$C516*AC515</f>
        <v/>
      </c>
      <c r="AD516">
        <f>$C516*AD515</f>
        <v/>
      </c>
      <c r="AE516">
        <f>$C516*AE515</f>
        <v/>
      </c>
      <c r="AF516">
        <f>$C516*AF515</f>
        <v/>
      </c>
      <c r="AG516">
        <f>$C516*AG515</f>
        <v/>
      </c>
      <c r="AH516">
        <f>$C516*AH515</f>
        <v/>
      </c>
      <c r="AI516">
        <f>$C516*AI515</f>
        <v/>
      </c>
      <c r="AJ516">
        <f>$C516*AJ515</f>
        <v/>
      </c>
      <c r="AK516">
        <f>$C516*AK515</f>
        <v/>
      </c>
      <c r="AL516">
        <f>$C516*AL515</f>
        <v/>
      </c>
      <c r="AM516">
        <f>$C516*AM515</f>
        <v/>
      </c>
      <c r="AN516">
        <f>$C516*AN515</f>
        <v/>
      </c>
      <c r="AO516">
        <f>$C516*AO515</f>
        <v/>
      </c>
      <c r="AP516">
        <f>$C516*AP515</f>
        <v/>
      </c>
      <c r="AQ516">
        <f>$C516*AQ515</f>
        <v/>
      </c>
      <c r="AR516">
        <f>$C516*AR515</f>
        <v/>
      </c>
      <c r="AS516">
        <f>$C516*AS515</f>
        <v/>
      </c>
      <c r="AT516">
        <f>$C516*AT515</f>
        <v/>
      </c>
      <c r="AU516">
        <f>$C516*AU515</f>
        <v/>
      </c>
      <c r="AV516">
        <f>$C516*AV515</f>
        <v/>
      </c>
      <c r="AW516">
        <f>$C516*AW515</f>
        <v/>
      </c>
      <c r="AX516">
        <f>$C516*AX515</f>
        <v/>
      </c>
      <c r="AY516">
        <f>$C516*AY515</f>
        <v/>
      </c>
      <c r="AZ516">
        <f>$C516*AZ515</f>
        <v/>
      </c>
      <c r="BA516">
        <f>$C516*BA515</f>
        <v/>
      </c>
      <c r="BB516">
        <f>$C516*BB515</f>
        <v/>
      </c>
      <c r="BC516">
        <f>$C516*BC515</f>
        <v/>
      </c>
      <c r="BD516">
        <f>$C516*BD515</f>
        <v/>
      </c>
      <c r="BE516">
        <f>$C516*BE515</f>
        <v/>
      </c>
      <c r="BF516">
        <f>$C516*BF515</f>
        <v/>
      </c>
      <c r="BG516">
        <f>$C516*BG515</f>
        <v/>
      </c>
      <c r="BH516">
        <f>$C516*BH515</f>
        <v/>
      </c>
      <c r="BI516">
        <f>$C516*BI515</f>
        <v/>
      </c>
      <c r="BJ516">
        <f>$C516*BJ515</f>
        <v/>
      </c>
      <c r="BK516">
        <f>$C516*BK515</f>
        <v/>
      </c>
      <c r="BL516">
        <f>$C516*BL515</f>
        <v/>
      </c>
      <c r="BM516">
        <f>$C516*BM515</f>
        <v/>
      </c>
      <c r="BN516">
        <f>$C516*BN515</f>
        <v/>
      </c>
      <c r="BO516">
        <f>$C516*BO515</f>
        <v/>
      </c>
      <c r="BP516">
        <f>$C516*BP515</f>
        <v/>
      </c>
      <c r="BQ516">
        <f>$C516*BQ515</f>
        <v/>
      </c>
      <c r="BR516">
        <f>$C516*BR515</f>
        <v/>
      </c>
      <c r="BS516">
        <f>$C516*BS515</f>
        <v/>
      </c>
      <c r="BT516">
        <f>$C516*BT515</f>
        <v/>
      </c>
      <c r="BU516">
        <f>$C516*BU515</f>
        <v/>
      </c>
      <c r="BV516">
        <f>$C516*BV515</f>
        <v/>
      </c>
      <c r="BW516">
        <f>$C516*BW515</f>
        <v/>
      </c>
      <c r="BX516">
        <f>$C516*BX515</f>
        <v/>
      </c>
      <c r="BY516">
        <f>$C516*BY515</f>
        <v/>
      </c>
      <c r="BZ516">
        <f>$C516*BZ515</f>
        <v/>
      </c>
      <c r="CA516">
        <f>$C516*CA515</f>
        <v/>
      </c>
      <c r="CB516">
        <f>$C516*CB515</f>
        <v/>
      </c>
      <c r="CC516">
        <f>$C516*CC515</f>
        <v/>
      </c>
      <c r="CD516">
        <f>$C516*CD515</f>
        <v/>
      </c>
      <c r="CE516">
        <f>$C516*CE515</f>
        <v/>
      </c>
      <c r="CF516">
        <f>$C516*CF515</f>
        <v/>
      </c>
      <c r="CG516">
        <f>$C516*CG515</f>
        <v/>
      </c>
      <c r="CH516">
        <f>$C516*CH515</f>
        <v/>
      </c>
      <c r="CI516">
        <f>$C516*CI515</f>
        <v/>
      </c>
      <c r="CJ516">
        <f>$C516*CJ515</f>
        <v/>
      </c>
      <c r="CK516">
        <f>$C516*CK515</f>
        <v/>
      </c>
      <c r="CL516">
        <f>$C516*CL515</f>
        <v/>
      </c>
      <c r="CM516">
        <f>$C516*CM515</f>
        <v/>
      </c>
      <c r="CN516">
        <f>$C516*CN515</f>
        <v/>
      </c>
      <c r="CO516">
        <f>$C516*CO515</f>
        <v/>
      </c>
      <c r="CP516">
        <f>$C516*CP515</f>
        <v/>
      </c>
      <c r="CQ516">
        <f>$C516*CQ515</f>
        <v/>
      </c>
      <c r="CR516">
        <f>$C516*CR515</f>
        <v/>
      </c>
      <c r="CS516">
        <f>$C516*CS515</f>
        <v/>
      </c>
      <c r="CT516">
        <f>$C516*CT515</f>
        <v/>
      </c>
      <c r="CU516">
        <f>$C516*CU515</f>
        <v/>
      </c>
      <c r="CV516">
        <f>$C516*CV515</f>
        <v/>
      </c>
      <c r="CW516">
        <f>$C516*CW515</f>
        <v/>
      </c>
      <c r="CX516">
        <f>$C516*CX515</f>
        <v/>
      </c>
      <c r="CY516">
        <f>$C516*CY515</f>
        <v/>
      </c>
      <c r="CZ516">
        <f>$C516*CZ515</f>
        <v/>
      </c>
      <c r="DA516">
        <f>$C516*DA515</f>
        <v/>
      </c>
      <c r="DB516">
        <f>$C516*DB515</f>
        <v/>
      </c>
      <c r="DC516">
        <f>$C516*DC515</f>
        <v/>
      </c>
    </row>
    <row r="517">
      <c r="B517" t="inlineStr">
        <is>
          <t>VSP-604</t>
        </is>
      </c>
      <c r="C517" t="inlineStr">
        <is>
          <t>No. of batches</t>
        </is>
      </c>
      <c r="D517">
        <f>IFERROR(INDEX(PP_Grid[#Data],$DD517,2),0)</f>
        <v/>
      </c>
      <c r="E517">
        <f>IFERROR(INDEX(PP_Grid[#Data],$DD517,3),0)</f>
        <v/>
      </c>
      <c r="F517">
        <f>IFERROR(INDEX(PP_Grid[#Data],$DD517,4),0)</f>
        <v/>
      </c>
      <c r="G517">
        <f>IFERROR(INDEX(PP_Grid[#Data],$DD517,5),0)</f>
        <v/>
      </c>
      <c r="H517">
        <f>IFERROR(INDEX(PP_Grid[#Data],$DD517,6),0)</f>
        <v/>
      </c>
      <c r="I517">
        <f>IFERROR(INDEX(PP_Grid[#Data],$DD517,7),0)</f>
        <v/>
      </c>
      <c r="J517">
        <f>IFERROR(INDEX(PP_Grid[#Data],$DD517,8),0)</f>
        <v/>
      </c>
      <c r="K517">
        <f>IFERROR(INDEX(PP_Grid[#Data],$DD517,9),0)</f>
        <v/>
      </c>
      <c r="L517">
        <f>IFERROR(INDEX(PP_Grid[#Data],$DD517,10),0)</f>
        <v/>
      </c>
      <c r="M517">
        <f>IFERROR(INDEX(PP_Grid[#Data],$DD517,11),0)</f>
        <v/>
      </c>
      <c r="N517">
        <f>IFERROR(INDEX(PP_Grid[#Data],$DD517,12),0)</f>
        <v/>
      </c>
      <c r="O517">
        <f>IFERROR(INDEX(PP_Grid[#Data],$DD517,13),0)</f>
        <v/>
      </c>
      <c r="P517">
        <f>IFERROR(INDEX(PP_Grid[#Data],$DD517,14),0)</f>
        <v/>
      </c>
      <c r="Q517">
        <f>IFERROR(INDEX(PP_Grid[#Data],$DD517,15),0)</f>
        <v/>
      </c>
      <c r="R517">
        <f>IFERROR(INDEX(PP_Grid[#Data],$DD517,16),0)</f>
        <v/>
      </c>
      <c r="S517">
        <f>IFERROR(INDEX(PP_Grid[#Data],$DD517,17),0)</f>
        <v/>
      </c>
      <c r="T517">
        <f>IFERROR(INDEX(PP_Grid[#Data],$DD517,18),0)</f>
        <v/>
      </c>
      <c r="U517">
        <f>IFERROR(INDEX(PP_Grid[#Data],$DD517,19),0)</f>
        <v/>
      </c>
      <c r="V517">
        <f>IFERROR(INDEX(PP_Grid[#Data],$DD517,20),0)</f>
        <v/>
      </c>
      <c r="W517">
        <f>IFERROR(INDEX(PP_Grid[#Data],$DD517,21),0)</f>
        <v/>
      </c>
      <c r="X517">
        <f>IFERROR(INDEX(PP_Grid[#Data],$DD517,22),0)</f>
        <v/>
      </c>
      <c r="Y517">
        <f>IFERROR(INDEX(PP_Grid[#Data],$DD517,23),0)</f>
        <v/>
      </c>
      <c r="Z517">
        <f>IFERROR(INDEX(PP_Grid[#Data],$DD517,24),0)</f>
        <v/>
      </c>
      <c r="AA517">
        <f>IFERROR(INDEX(PP_Grid[#Data],$DD517,25),0)</f>
        <v/>
      </c>
      <c r="AB517">
        <f>IFERROR(INDEX(PP_Grid[#Data],$DD517,26),0)</f>
        <v/>
      </c>
      <c r="AC517">
        <f>IFERROR(INDEX(PP_Grid[#Data],$DD517,27),0)</f>
        <v/>
      </c>
      <c r="AD517">
        <f>IFERROR(INDEX(PP_Grid[#Data],$DD517,28),0)</f>
        <v/>
      </c>
      <c r="AE517">
        <f>IFERROR(INDEX(PP_Grid[#Data],$DD517,29),0)</f>
        <v/>
      </c>
      <c r="AF517">
        <f>IFERROR(INDEX(PP_Grid[#Data],$DD517,30),0)</f>
        <v/>
      </c>
      <c r="AG517">
        <f>IFERROR(INDEX(PP_Grid[#Data],$DD517,31),0)</f>
        <v/>
      </c>
      <c r="AH517">
        <f>IFERROR(INDEX(PP_Grid[#Data],$DD517,32),0)</f>
        <v/>
      </c>
      <c r="AI517">
        <f>IFERROR(INDEX(PP_Grid[#Data],$DD517,33),0)</f>
        <v/>
      </c>
      <c r="AJ517">
        <f>IFERROR(INDEX(PP_Grid[#Data],$DD517,34),0)</f>
        <v/>
      </c>
      <c r="AK517">
        <f>IFERROR(INDEX(PP_Grid[#Data],$DD517,35),0)</f>
        <v/>
      </c>
      <c r="AL517">
        <f>IFERROR(INDEX(PP_Grid[#Data],$DD517,36),0)</f>
        <v/>
      </c>
      <c r="AM517">
        <f>IFERROR(INDEX(PP_Grid[#Data],$DD517,37),0)</f>
        <v/>
      </c>
      <c r="AN517">
        <f>IFERROR(INDEX(PP_Grid[#Data],$DD517,38),0)</f>
        <v/>
      </c>
      <c r="AO517">
        <f>IFERROR(INDEX(PP_Grid[#Data],$DD517,39),0)</f>
        <v/>
      </c>
      <c r="AP517">
        <f>IFERROR(INDEX(PP_Grid[#Data],$DD517,40),0)</f>
        <v/>
      </c>
      <c r="AQ517">
        <f>IFERROR(INDEX(PP_Grid[#Data],$DD517,41),0)</f>
        <v/>
      </c>
      <c r="AR517">
        <f>IFERROR(INDEX(PP_Grid[#Data],$DD517,42),0)</f>
        <v/>
      </c>
      <c r="AS517">
        <f>IFERROR(INDEX(PP_Grid[#Data],$DD517,43),0)</f>
        <v/>
      </c>
      <c r="AT517">
        <f>IFERROR(INDEX(PP_Grid[#Data],$DD517,44),0)</f>
        <v/>
      </c>
      <c r="AU517">
        <f>IFERROR(INDEX(PP_Grid[#Data],$DD517,45),0)</f>
        <v/>
      </c>
      <c r="AV517">
        <f>IFERROR(INDEX(PP_Grid[#Data],$DD517,46),0)</f>
        <v/>
      </c>
      <c r="AW517">
        <f>IFERROR(INDEX(PP_Grid[#Data],$DD517,47),0)</f>
        <v/>
      </c>
      <c r="AX517">
        <f>IFERROR(INDEX(PP_Grid[#Data],$DD517,48),0)</f>
        <v/>
      </c>
      <c r="AY517">
        <f>IFERROR(INDEX(PP_Grid[#Data],$DD517,49),0)</f>
        <v/>
      </c>
      <c r="AZ517">
        <f>IFERROR(INDEX(PP_Grid[#Data],$DD517,50),0)</f>
        <v/>
      </c>
      <c r="BA517">
        <f>IFERROR(INDEX(PP_Grid[#Data],$DD517,51),0)</f>
        <v/>
      </c>
      <c r="BB517">
        <f>IFERROR(INDEX(PP_Grid[#Data],$DD517,52),0)</f>
        <v/>
      </c>
      <c r="BC517">
        <f>IFERROR(INDEX(PP_Grid[#Data],$DD517,53),0)</f>
        <v/>
      </c>
      <c r="BD517">
        <f>IFERROR(INDEX(PP_Grid[#Data],$DD517,54),0)</f>
        <v/>
      </c>
      <c r="BE517">
        <f>IFERROR(INDEX(PP_Grid[#Data],$DD517,55),0)</f>
        <v/>
      </c>
      <c r="BF517">
        <f>IFERROR(INDEX(PP_Grid[#Data],$DD517,56),0)</f>
        <v/>
      </c>
      <c r="BG517">
        <f>IFERROR(INDEX(PP_Grid[#Data],$DD517,57),0)</f>
        <v/>
      </c>
      <c r="BH517">
        <f>IFERROR(INDEX(PP_Grid[#Data],$DD517,58),0)</f>
        <v/>
      </c>
      <c r="BI517">
        <f>IFERROR(INDEX(PP_Grid[#Data],$DD517,59),0)</f>
        <v/>
      </c>
      <c r="BJ517">
        <f>IFERROR(INDEX(PP_Grid[#Data],$DD517,60),0)</f>
        <v/>
      </c>
      <c r="BK517">
        <f>IFERROR(INDEX(PP_Grid[#Data],$DD517,61),0)</f>
        <v/>
      </c>
      <c r="BL517">
        <f>IFERROR(INDEX(PP_Grid[#Data],$DD517,62),0)</f>
        <v/>
      </c>
      <c r="BM517">
        <f>IFERROR(INDEX(PP_Grid[#Data],$DD517,63),0)</f>
        <v/>
      </c>
      <c r="BN517">
        <f>IFERROR(INDEX(PP_Grid[#Data],$DD517,64),0)</f>
        <v/>
      </c>
      <c r="BO517">
        <f>IFERROR(INDEX(PP_Grid[#Data],$DD517,65),0)</f>
        <v/>
      </c>
      <c r="BP517">
        <f>IFERROR(INDEX(PP_Grid[#Data],$DD517,66),0)</f>
        <v/>
      </c>
      <c r="BQ517">
        <f>IFERROR(INDEX(PP_Grid[#Data],$DD517,67),0)</f>
        <v/>
      </c>
      <c r="BR517">
        <f>IFERROR(INDEX(PP_Grid[#Data],$DD517,68),0)</f>
        <v/>
      </c>
      <c r="BS517">
        <f>IFERROR(INDEX(PP_Grid[#Data],$DD517,69),0)</f>
        <v/>
      </c>
      <c r="BT517">
        <f>IFERROR(INDEX(PP_Grid[#Data],$DD517,70),0)</f>
        <v/>
      </c>
      <c r="BU517">
        <f>IFERROR(INDEX(PP_Grid[#Data],$DD517,71),0)</f>
        <v/>
      </c>
      <c r="BV517">
        <f>IFERROR(INDEX(PP_Grid[#Data],$DD517,72),0)</f>
        <v/>
      </c>
      <c r="BW517">
        <f>IFERROR(INDEX(PP_Grid[#Data],$DD517,73),0)</f>
        <v/>
      </c>
      <c r="BX517">
        <f>IFERROR(INDEX(PP_Grid[#Data],$DD517,74),0)</f>
        <v/>
      </c>
      <c r="BY517">
        <f>IFERROR(INDEX(PP_Grid[#Data],$DD517,75),0)</f>
        <v/>
      </c>
      <c r="BZ517">
        <f>IFERROR(INDEX(PP_Grid[#Data],$DD517,76),0)</f>
        <v/>
      </c>
      <c r="CA517">
        <f>IFERROR(INDEX(PP_Grid[#Data],$DD517,77),0)</f>
        <v/>
      </c>
      <c r="CB517">
        <f>IFERROR(INDEX(PP_Grid[#Data],$DD517,78),0)</f>
        <v/>
      </c>
      <c r="CC517">
        <f>IFERROR(INDEX(PP_Grid[#Data],$DD517,79),0)</f>
        <v/>
      </c>
      <c r="CD517">
        <f>IFERROR(INDEX(PP_Grid[#Data],$DD517,80),0)</f>
        <v/>
      </c>
      <c r="CE517">
        <f>IFERROR(INDEX(PP_Grid[#Data],$DD517,81),0)</f>
        <v/>
      </c>
      <c r="CF517">
        <f>IFERROR(INDEX(PP_Grid[#Data],$DD517,82),0)</f>
        <v/>
      </c>
      <c r="CG517">
        <f>IFERROR(INDEX(PP_Grid[#Data],$DD517,83),0)</f>
        <v/>
      </c>
      <c r="CH517">
        <f>IFERROR(INDEX(PP_Grid[#Data],$DD517,84),0)</f>
        <v/>
      </c>
      <c r="CI517">
        <f>IFERROR(INDEX(PP_Grid[#Data],$DD517,85),0)</f>
        <v/>
      </c>
      <c r="CJ517">
        <f>IFERROR(INDEX(PP_Grid[#Data],$DD517,86),0)</f>
        <v/>
      </c>
      <c r="CK517">
        <f>IFERROR(INDEX(PP_Grid[#Data],$DD517,87),0)</f>
        <v/>
      </c>
      <c r="CL517">
        <f>IFERROR(INDEX(PP_Grid[#Data],$DD517,88),0)</f>
        <v/>
      </c>
      <c r="CM517">
        <f>IFERROR(INDEX(PP_Grid[#Data],$DD517,89),0)</f>
        <v/>
      </c>
      <c r="CN517">
        <f>IFERROR(INDEX(PP_Grid[#Data],$DD517,90),0)</f>
        <v/>
      </c>
      <c r="CO517">
        <f>IFERROR(INDEX(PP_Grid[#Data],$DD517,91),0)</f>
        <v/>
      </c>
      <c r="CP517">
        <f>IFERROR(INDEX(PP_Grid[#Data],$DD517,92),0)</f>
        <v/>
      </c>
      <c r="CQ517">
        <f>IFERROR(INDEX(PP_Grid[#Data],$DD517,93),0)</f>
        <v/>
      </c>
      <c r="CR517">
        <f>IFERROR(INDEX(PP_Grid[#Data],$DD517,94),0)</f>
        <v/>
      </c>
      <c r="CS517">
        <f>IFERROR(INDEX(PP_Grid[#Data],$DD517,95),0)</f>
        <v/>
      </c>
      <c r="CT517">
        <f>IFERROR(INDEX(PP_Grid[#Data],$DD517,96),0)</f>
        <v/>
      </c>
      <c r="CU517">
        <f>IFERROR(INDEX(PP_Grid[#Data],$DD517,97),0)</f>
        <v/>
      </c>
      <c r="CV517">
        <f>IFERROR(INDEX(PP_Grid[#Data],$DD517,98),0)</f>
        <v/>
      </c>
      <c r="CW517">
        <f>IFERROR(INDEX(PP_Grid[#Data],$DD517,99),0)</f>
        <v/>
      </c>
      <c r="CX517">
        <f>IFERROR(INDEX(PP_Grid[#Data],$DD517,100),0)</f>
        <v/>
      </c>
      <c r="CY517">
        <f>IFERROR(INDEX(PP_Grid[#Data],$DD517,101),0)</f>
        <v/>
      </c>
      <c r="CZ517">
        <f>IFERROR(INDEX(PP_Grid[#Data],$DD517,102),0)</f>
        <v/>
      </c>
      <c r="DA517">
        <f>IFERROR(INDEX(PP_Grid[#Data],$DD517,103),0)</f>
        <v/>
      </c>
      <c r="DB517">
        <f>IFERROR(INDEX(PP_Grid[#Data],$DD517,104),0)</f>
        <v/>
      </c>
      <c r="DC517">
        <f>IFERROR(INDEX(PP_Grid[#Data],$DD517,105),0)</f>
        <v/>
      </c>
      <c r="DD517" s="7">
        <f>IFERROR(MATCH($B517,PP_Grid[Intermediate],0),99999)</f>
        <v/>
      </c>
    </row>
    <row r="518">
      <c r="B518" t="inlineStr">
        <is>
          <t>使用量(kg)</t>
        </is>
      </c>
      <c r="C518">
        <f>SUMIFS(M_BOM[RM_Qty_Per_Batch],M_BOM[Intermediate],$B517,M_BOM[Part Name],$A500)</f>
        <v/>
      </c>
      <c r="D518">
        <f>$C518*D517</f>
        <v/>
      </c>
      <c r="E518">
        <f>$C518*E517</f>
        <v/>
      </c>
      <c r="F518">
        <f>$C518*F517</f>
        <v/>
      </c>
      <c r="G518">
        <f>$C518*G517</f>
        <v/>
      </c>
      <c r="H518">
        <f>$C518*H517</f>
        <v/>
      </c>
      <c r="I518">
        <f>$C518*I517</f>
        <v/>
      </c>
      <c r="J518">
        <f>$C518*J517</f>
        <v/>
      </c>
      <c r="K518">
        <f>$C518*K517</f>
        <v/>
      </c>
      <c r="L518">
        <f>$C518*L517</f>
        <v/>
      </c>
      <c r="M518">
        <f>$C518*M517</f>
        <v/>
      </c>
      <c r="N518">
        <f>$C518*N517</f>
        <v/>
      </c>
      <c r="O518">
        <f>$C518*O517</f>
        <v/>
      </c>
      <c r="P518">
        <f>$C518*P517</f>
        <v/>
      </c>
      <c r="Q518">
        <f>$C518*Q517</f>
        <v/>
      </c>
      <c r="R518">
        <f>$C518*R517</f>
        <v/>
      </c>
      <c r="S518">
        <f>$C518*S517</f>
        <v/>
      </c>
      <c r="T518">
        <f>$C518*T517</f>
        <v/>
      </c>
      <c r="U518">
        <f>$C518*U517</f>
        <v/>
      </c>
      <c r="V518">
        <f>$C518*V517</f>
        <v/>
      </c>
      <c r="W518">
        <f>$C518*W517</f>
        <v/>
      </c>
      <c r="X518">
        <f>$C518*X517</f>
        <v/>
      </c>
      <c r="Y518">
        <f>$C518*Y517</f>
        <v/>
      </c>
      <c r="Z518">
        <f>$C518*Z517</f>
        <v/>
      </c>
      <c r="AA518">
        <f>$C518*AA517</f>
        <v/>
      </c>
      <c r="AB518">
        <f>$C518*AB517</f>
        <v/>
      </c>
      <c r="AC518">
        <f>$C518*AC517</f>
        <v/>
      </c>
      <c r="AD518">
        <f>$C518*AD517</f>
        <v/>
      </c>
      <c r="AE518">
        <f>$C518*AE517</f>
        <v/>
      </c>
      <c r="AF518">
        <f>$C518*AF517</f>
        <v/>
      </c>
      <c r="AG518">
        <f>$C518*AG517</f>
        <v/>
      </c>
      <c r="AH518">
        <f>$C518*AH517</f>
        <v/>
      </c>
      <c r="AI518">
        <f>$C518*AI517</f>
        <v/>
      </c>
      <c r="AJ518">
        <f>$C518*AJ517</f>
        <v/>
      </c>
      <c r="AK518">
        <f>$C518*AK517</f>
        <v/>
      </c>
      <c r="AL518">
        <f>$C518*AL517</f>
        <v/>
      </c>
      <c r="AM518">
        <f>$C518*AM517</f>
        <v/>
      </c>
      <c r="AN518">
        <f>$C518*AN517</f>
        <v/>
      </c>
      <c r="AO518">
        <f>$C518*AO517</f>
        <v/>
      </c>
      <c r="AP518">
        <f>$C518*AP517</f>
        <v/>
      </c>
      <c r="AQ518">
        <f>$C518*AQ517</f>
        <v/>
      </c>
      <c r="AR518">
        <f>$C518*AR517</f>
        <v/>
      </c>
      <c r="AS518">
        <f>$C518*AS517</f>
        <v/>
      </c>
      <c r="AT518">
        <f>$C518*AT517</f>
        <v/>
      </c>
      <c r="AU518">
        <f>$C518*AU517</f>
        <v/>
      </c>
      <c r="AV518">
        <f>$C518*AV517</f>
        <v/>
      </c>
      <c r="AW518">
        <f>$C518*AW517</f>
        <v/>
      </c>
      <c r="AX518">
        <f>$C518*AX517</f>
        <v/>
      </c>
      <c r="AY518">
        <f>$C518*AY517</f>
        <v/>
      </c>
      <c r="AZ518">
        <f>$C518*AZ517</f>
        <v/>
      </c>
      <c r="BA518">
        <f>$C518*BA517</f>
        <v/>
      </c>
      <c r="BB518">
        <f>$C518*BB517</f>
        <v/>
      </c>
      <c r="BC518">
        <f>$C518*BC517</f>
        <v/>
      </c>
      <c r="BD518">
        <f>$C518*BD517</f>
        <v/>
      </c>
      <c r="BE518">
        <f>$C518*BE517</f>
        <v/>
      </c>
      <c r="BF518">
        <f>$C518*BF517</f>
        <v/>
      </c>
      <c r="BG518">
        <f>$C518*BG517</f>
        <v/>
      </c>
      <c r="BH518">
        <f>$C518*BH517</f>
        <v/>
      </c>
      <c r="BI518">
        <f>$C518*BI517</f>
        <v/>
      </c>
      <c r="BJ518">
        <f>$C518*BJ517</f>
        <v/>
      </c>
      <c r="BK518">
        <f>$C518*BK517</f>
        <v/>
      </c>
      <c r="BL518">
        <f>$C518*BL517</f>
        <v/>
      </c>
      <c r="BM518">
        <f>$C518*BM517</f>
        <v/>
      </c>
      <c r="BN518">
        <f>$C518*BN517</f>
        <v/>
      </c>
      <c r="BO518">
        <f>$C518*BO517</f>
        <v/>
      </c>
      <c r="BP518">
        <f>$C518*BP517</f>
        <v/>
      </c>
      <c r="BQ518">
        <f>$C518*BQ517</f>
        <v/>
      </c>
      <c r="BR518">
        <f>$C518*BR517</f>
        <v/>
      </c>
      <c r="BS518">
        <f>$C518*BS517</f>
        <v/>
      </c>
      <c r="BT518">
        <f>$C518*BT517</f>
        <v/>
      </c>
      <c r="BU518">
        <f>$C518*BU517</f>
        <v/>
      </c>
      <c r="BV518">
        <f>$C518*BV517</f>
        <v/>
      </c>
      <c r="BW518">
        <f>$C518*BW517</f>
        <v/>
      </c>
      <c r="BX518">
        <f>$C518*BX517</f>
        <v/>
      </c>
      <c r="BY518">
        <f>$C518*BY517</f>
        <v/>
      </c>
      <c r="BZ518">
        <f>$C518*BZ517</f>
        <v/>
      </c>
      <c r="CA518">
        <f>$C518*CA517</f>
        <v/>
      </c>
      <c r="CB518">
        <f>$C518*CB517</f>
        <v/>
      </c>
      <c r="CC518">
        <f>$C518*CC517</f>
        <v/>
      </c>
      <c r="CD518">
        <f>$C518*CD517</f>
        <v/>
      </c>
      <c r="CE518">
        <f>$C518*CE517</f>
        <v/>
      </c>
      <c r="CF518">
        <f>$C518*CF517</f>
        <v/>
      </c>
      <c r="CG518">
        <f>$C518*CG517</f>
        <v/>
      </c>
      <c r="CH518">
        <f>$C518*CH517</f>
        <v/>
      </c>
      <c r="CI518">
        <f>$C518*CI517</f>
        <v/>
      </c>
      <c r="CJ518">
        <f>$C518*CJ517</f>
        <v/>
      </c>
      <c r="CK518">
        <f>$C518*CK517</f>
        <v/>
      </c>
      <c r="CL518">
        <f>$C518*CL517</f>
        <v/>
      </c>
      <c r="CM518">
        <f>$C518*CM517</f>
        <v/>
      </c>
      <c r="CN518">
        <f>$C518*CN517</f>
        <v/>
      </c>
      <c r="CO518">
        <f>$C518*CO517</f>
        <v/>
      </c>
      <c r="CP518">
        <f>$C518*CP517</f>
        <v/>
      </c>
      <c r="CQ518">
        <f>$C518*CQ517</f>
        <v/>
      </c>
      <c r="CR518">
        <f>$C518*CR517</f>
        <v/>
      </c>
      <c r="CS518">
        <f>$C518*CS517</f>
        <v/>
      </c>
      <c r="CT518">
        <f>$C518*CT517</f>
        <v/>
      </c>
      <c r="CU518">
        <f>$C518*CU517</f>
        <v/>
      </c>
      <c r="CV518">
        <f>$C518*CV517</f>
        <v/>
      </c>
      <c r="CW518">
        <f>$C518*CW517</f>
        <v/>
      </c>
      <c r="CX518">
        <f>$C518*CX517</f>
        <v/>
      </c>
      <c r="CY518">
        <f>$C518*CY517</f>
        <v/>
      </c>
      <c r="CZ518">
        <f>$C518*CZ517</f>
        <v/>
      </c>
      <c r="DA518">
        <f>$C518*DA517</f>
        <v/>
      </c>
      <c r="DB518">
        <f>$C518*DB517</f>
        <v/>
      </c>
      <c r="DC518">
        <f>$C518*DC517</f>
        <v/>
      </c>
    </row>
    <row r="519">
      <c r="B519" t="inlineStr">
        <is>
          <t>VSP-606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7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Name],$A500)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VSP-607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7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Name],$A500)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VSP-738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7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Name],$A500)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VSP-739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7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Name],$A500)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VSP-820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7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Name],$A500)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VSP-869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7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Name],$A500)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VSP-989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7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Name],$A500)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VSZ-745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7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Name],$A500)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TSP-1388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7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Name],$A500)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TSP-924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7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Name],$A500)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TSP-925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7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Name],$A500)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s="4" t="inlineStr">
        <is>
          <t>合計使用量(kg)/週</t>
        </is>
      </c>
      <c r="D541">
        <f>'Grid_Requirement'!B19</f>
        <v/>
      </c>
      <c r="E541">
        <f>'Grid_Requirement'!C19</f>
        <v/>
      </c>
      <c r="F541">
        <f>'Grid_Requirement'!D19</f>
        <v/>
      </c>
      <c r="G541">
        <f>'Grid_Requirement'!E19</f>
        <v/>
      </c>
      <c r="H541">
        <f>'Grid_Requirement'!F19</f>
        <v/>
      </c>
      <c r="I541">
        <f>'Grid_Requirement'!G19</f>
        <v/>
      </c>
      <c r="J541">
        <f>'Grid_Requirement'!H19</f>
        <v/>
      </c>
      <c r="K541">
        <f>'Grid_Requirement'!I19</f>
        <v/>
      </c>
      <c r="L541">
        <f>'Grid_Requirement'!J19</f>
        <v/>
      </c>
      <c r="M541">
        <f>'Grid_Requirement'!K19</f>
        <v/>
      </c>
      <c r="N541">
        <f>'Grid_Requirement'!L19</f>
        <v/>
      </c>
      <c r="O541">
        <f>'Grid_Requirement'!M19</f>
        <v/>
      </c>
      <c r="P541">
        <f>'Grid_Requirement'!N19</f>
        <v/>
      </c>
      <c r="Q541">
        <f>'Grid_Requirement'!O19</f>
        <v/>
      </c>
      <c r="R541">
        <f>'Grid_Requirement'!P19</f>
        <v/>
      </c>
      <c r="S541">
        <f>'Grid_Requirement'!Q19</f>
        <v/>
      </c>
      <c r="T541">
        <f>'Grid_Requirement'!R19</f>
        <v/>
      </c>
      <c r="U541">
        <f>'Grid_Requirement'!S19</f>
        <v/>
      </c>
      <c r="V541">
        <f>'Grid_Requirement'!T19</f>
        <v/>
      </c>
      <c r="W541">
        <f>'Grid_Requirement'!U19</f>
        <v/>
      </c>
      <c r="X541">
        <f>'Grid_Requirement'!V19</f>
        <v/>
      </c>
      <c r="Y541">
        <f>'Grid_Requirement'!W19</f>
        <v/>
      </c>
      <c r="Z541">
        <f>'Grid_Requirement'!X19</f>
        <v/>
      </c>
      <c r="AA541">
        <f>'Grid_Requirement'!Y19</f>
        <v/>
      </c>
      <c r="AB541">
        <f>'Grid_Requirement'!Z19</f>
        <v/>
      </c>
      <c r="AC541">
        <f>'Grid_Requirement'!AA19</f>
        <v/>
      </c>
      <c r="AD541">
        <f>'Grid_Requirement'!AB19</f>
        <v/>
      </c>
      <c r="AE541">
        <f>'Grid_Requirement'!AC19</f>
        <v/>
      </c>
      <c r="AF541">
        <f>'Grid_Requirement'!AD19</f>
        <v/>
      </c>
      <c r="AG541">
        <f>'Grid_Requirement'!AE19</f>
        <v/>
      </c>
      <c r="AH541">
        <f>'Grid_Requirement'!AF19</f>
        <v/>
      </c>
      <c r="AI541">
        <f>'Grid_Requirement'!AG19</f>
        <v/>
      </c>
      <c r="AJ541">
        <f>'Grid_Requirement'!AH19</f>
        <v/>
      </c>
      <c r="AK541">
        <f>'Grid_Requirement'!AI19</f>
        <v/>
      </c>
      <c r="AL541">
        <f>'Grid_Requirement'!AJ19</f>
        <v/>
      </c>
      <c r="AM541">
        <f>'Grid_Requirement'!AK19</f>
        <v/>
      </c>
      <c r="AN541">
        <f>'Grid_Requirement'!AL19</f>
        <v/>
      </c>
      <c r="AO541">
        <f>'Grid_Requirement'!AM19</f>
        <v/>
      </c>
      <c r="AP541">
        <f>'Grid_Requirement'!AN19</f>
        <v/>
      </c>
      <c r="AQ541">
        <f>'Grid_Requirement'!AO19</f>
        <v/>
      </c>
      <c r="AR541">
        <f>'Grid_Requirement'!AP19</f>
        <v/>
      </c>
      <c r="AS541">
        <f>'Grid_Requirement'!AQ19</f>
        <v/>
      </c>
      <c r="AT541">
        <f>'Grid_Requirement'!AR19</f>
        <v/>
      </c>
      <c r="AU541">
        <f>'Grid_Requirement'!AS19</f>
        <v/>
      </c>
      <c r="AV541">
        <f>'Grid_Requirement'!AT19</f>
        <v/>
      </c>
      <c r="AW541">
        <f>'Grid_Requirement'!AU19</f>
        <v/>
      </c>
      <c r="AX541">
        <f>'Grid_Requirement'!AV19</f>
        <v/>
      </c>
      <c r="AY541">
        <f>'Grid_Requirement'!AW19</f>
        <v/>
      </c>
      <c r="AZ541">
        <f>'Grid_Requirement'!AX19</f>
        <v/>
      </c>
      <c r="BA541">
        <f>'Grid_Requirement'!AY19</f>
        <v/>
      </c>
      <c r="BB541">
        <f>'Grid_Requirement'!AZ19</f>
        <v/>
      </c>
      <c r="BC541">
        <f>'Grid_Requirement'!BA19</f>
        <v/>
      </c>
      <c r="BD541">
        <f>'Grid_Requirement'!BB19</f>
        <v/>
      </c>
      <c r="BE541">
        <f>'Grid_Requirement'!BC19</f>
        <v/>
      </c>
      <c r="BF541">
        <f>'Grid_Requirement'!BD19</f>
        <v/>
      </c>
      <c r="BG541">
        <f>'Grid_Requirement'!BE19</f>
        <v/>
      </c>
      <c r="BH541">
        <f>'Grid_Requirement'!BF19</f>
        <v/>
      </c>
      <c r="BI541">
        <f>'Grid_Requirement'!BG19</f>
        <v/>
      </c>
      <c r="BJ541">
        <f>'Grid_Requirement'!BH19</f>
        <v/>
      </c>
      <c r="BK541">
        <f>'Grid_Requirement'!BI19</f>
        <v/>
      </c>
      <c r="BL541">
        <f>'Grid_Requirement'!BJ19</f>
        <v/>
      </c>
      <c r="BM541">
        <f>'Grid_Requirement'!BK19</f>
        <v/>
      </c>
      <c r="BN541">
        <f>'Grid_Requirement'!BL19</f>
        <v/>
      </c>
      <c r="BO541">
        <f>'Grid_Requirement'!BM19</f>
        <v/>
      </c>
      <c r="BP541">
        <f>'Grid_Requirement'!BN19</f>
        <v/>
      </c>
      <c r="BQ541">
        <f>'Grid_Requirement'!BO19</f>
        <v/>
      </c>
      <c r="BR541">
        <f>'Grid_Requirement'!BP19</f>
        <v/>
      </c>
      <c r="BS541">
        <f>'Grid_Requirement'!BQ19</f>
        <v/>
      </c>
      <c r="BT541">
        <f>'Grid_Requirement'!BR19</f>
        <v/>
      </c>
      <c r="BU541">
        <f>'Grid_Requirement'!BS19</f>
        <v/>
      </c>
      <c r="BV541">
        <f>'Grid_Requirement'!BT19</f>
        <v/>
      </c>
      <c r="BW541">
        <f>'Grid_Requirement'!BU19</f>
        <v/>
      </c>
      <c r="BX541">
        <f>'Grid_Requirement'!BV19</f>
        <v/>
      </c>
      <c r="BY541">
        <f>'Grid_Requirement'!BW19</f>
        <v/>
      </c>
      <c r="BZ541">
        <f>'Grid_Requirement'!BX19</f>
        <v/>
      </c>
      <c r="CA541">
        <f>'Grid_Requirement'!BY19</f>
        <v/>
      </c>
      <c r="CB541">
        <f>'Grid_Requirement'!BZ19</f>
        <v/>
      </c>
      <c r="CC541">
        <f>'Grid_Requirement'!CA19</f>
        <v/>
      </c>
      <c r="CD541">
        <f>'Grid_Requirement'!CB19</f>
        <v/>
      </c>
      <c r="CE541">
        <f>'Grid_Requirement'!CC19</f>
        <v/>
      </c>
      <c r="CF541">
        <f>'Grid_Requirement'!CD19</f>
        <v/>
      </c>
      <c r="CG541">
        <f>'Grid_Requirement'!CE19</f>
        <v/>
      </c>
      <c r="CH541">
        <f>'Grid_Requirement'!CF19</f>
        <v/>
      </c>
      <c r="CI541">
        <f>'Grid_Requirement'!CG19</f>
        <v/>
      </c>
      <c r="CJ541">
        <f>'Grid_Requirement'!CH19</f>
        <v/>
      </c>
      <c r="CK541">
        <f>'Grid_Requirement'!CI19</f>
        <v/>
      </c>
      <c r="CL541">
        <f>'Grid_Requirement'!CJ19</f>
        <v/>
      </c>
      <c r="CM541">
        <f>'Grid_Requirement'!CK19</f>
        <v/>
      </c>
      <c r="CN541">
        <f>'Grid_Requirement'!CL19</f>
        <v/>
      </c>
      <c r="CO541">
        <f>'Grid_Requirement'!CM19</f>
        <v/>
      </c>
      <c r="CP541">
        <f>'Grid_Requirement'!CN19</f>
        <v/>
      </c>
      <c r="CQ541">
        <f>'Grid_Requirement'!CO19</f>
        <v/>
      </c>
      <c r="CR541">
        <f>'Grid_Requirement'!CP19</f>
        <v/>
      </c>
      <c r="CS541">
        <f>'Grid_Requirement'!CQ19</f>
        <v/>
      </c>
      <c r="CT541">
        <f>'Grid_Requirement'!CR19</f>
        <v/>
      </c>
      <c r="CU541">
        <f>'Grid_Requirement'!CS19</f>
        <v/>
      </c>
      <c r="CV541">
        <f>'Grid_Requirement'!CT19</f>
        <v/>
      </c>
      <c r="CW541">
        <f>'Grid_Requirement'!CU19</f>
        <v/>
      </c>
      <c r="CX541">
        <f>'Grid_Requirement'!CV19</f>
        <v/>
      </c>
      <c r="CY541">
        <f>'Grid_Requirement'!CW19</f>
        <v/>
      </c>
      <c r="CZ541">
        <f>'Grid_Requirement'!CX19</f>
        <v/>
      </c>
      <c r="DA541">
        <f>'Grid_Requirement'!CY19</f>
        <v/>
      </c>
      <c r="DB541">
        <f>'Grid_Requirement'!CZ19</f>
        <v/>
      </c>
      <c r="DC541">
        <f>'Grid_Requirement'!DA19</f>
        <v/>
      </c>
    </row>
    <row r="542">
      <c r="B542" t="inlineStr">
        <is>
          <t>TTAF在庫(実績,kg)</t>
        </is>
      </c>
      <c r="D542">
        <f>'T_TTAFStock'!B23</f>
        <v/>
      </c>
      <c r="E542">
        <f>'T_TTAFStock'!C23</f>
        <v/>
      </c>
      <c r="F542">
        <f>'T_TTAFStock'!D23</f>
        <v/>
      </c>
      <c r="G542">
        <f>'T_TTAFStock'!E23</f>
        <v/>
      </c>
      <c r="H542">
        <f>'T_TTAFStock'!F23</f>
        <v/>
      </c>
      <c r="I542">
        <f>'T_TTAFStock'!G23</f>
        <v/>
      </c>
      <c r="J542">
        <f>'T_TTAFStock'!H23</f>
        <v/>
      </c>
      <c r="K542">
        <f>'T_TTAFStock'!I23</f>
        <v/>
      </c>
      <c r="L542">
        <f>'T_TTAFStock'!J23</f>
        <v/>
      </c>
      <c r="M542">
        <f>'T_TTAFStock'!K23</f>
        <v/>
      </c>
      <c r="N542">
        <f>'T_TTAFStock'!L23</f>
        <v/>
      </c>
      <c r="O542">
        <f>'T_TTAFStock'!M23</f>
        <v/>
      </c>
      <c r="P542">
        <f>'T_TTAFStock'!N23</f>
        <v/>
      </c>
      <c r="Q542">
        <f>'T_TTAFStock'!O23</f>
        <v/>
      </c>
      <c r="R542">
        <f>'T_TTAFStock'!P23</f>
        <v/>
      </c>
      <c r="S542">
        <f>'T_TTAFStock'!Q23</f>
        <v/>
      </c>
      <c r="T542">
        <f>'T_TTAFStock'!R23</f>
        <v/>
      </c>
      <c r="U542">
        <f>'T_TTAFStock'!S23</f>
        <v/>
      </c>
      <c r="V542">
        <f>'T_TTAFStock'!T23</f>
        <v/>
      </c>
      <c r="W542">
        <f>'T_TTAFStock'!U23</f>
        <v/>
      </c>
      <c r="X542">
        <f>'T_TTAFStock'!V23</f>
        <v/>
      </c>
      <c r="Y542">
        <f>'T_TTAFStock'!W23</f>
        <v/>
      </c>
      <c r="Z542">
        <f>'T_TTAFStock'!X23</f>
        <v/>
      </c>
      <c r="AA542">
        <f>'T_TTAFStock'!Y23</f>
        <v/>
      </c>
      <c r="AB542">
        <f>'T_TTAFStock'!Z23</f>
        <v/>
      </c>
      <c r="AC542">
        <f>'T_TTAFStock'!AA23</f>
        <v/>
      </c>
      <c r="AD542">
        <f>'T_TTAFStock'!AB23</f>
        <v/>
      </c>
      <c r="AE542">
        <f>'T_TTAFStock'!AC23</f>
        <v/>
      </c>
      <c r="AF542">
        <f>'T_TTAFStock'!AD23</f>
        <v/>
      </c>
      <c r="AG542">
        <f>'T_TTAFStock'!AE23</f>
        <v/>
      </c>
      <c r="AH542">
        <f>'T_TTAFStock'!AF23</f>
        <v/>
      </c>
      <c r="AI542">
        <f>'T_TTAFStock'!AG23</f>
        <v/>
      </c>
      <c r="AJ542">
        <f>'T_TTAFStock'!AH23</f>
        <v/>
      </c>
      <c r="AK542">
        <f>'T_TTAFStock'!AI23</f>
        <v/>
      </c>
      <c r="AL542">
        <f>'T_TTAFStock'!AJ23</f>
        <v/>
      </c>
      <c r="AM542">
        <f>'T_TTAFStock'!AK23</f>
        <v/>
      </c>
      <c r="AN542">
        <f>'T_TTAFStock'!AL23</f>
        <v/>
      </c>
      <c r="AO542">
        <f>'T_TTAFStock'!AM23</f>
        <v/>
      </c>
      <c r="AP542">
        <f>'T_TTAFStock'!AN23</f>
        <v/>
      </c>
      <c r="AQ542">
        <f>'T_TTAFStock'!AO23</f>
        <v/>
      </c>
      <c r="AR542">
        <f>'T_TTAFStock'!AP23</f>
        <v/>
      </c>
      <c r="AS542">
        <f>'T_TTAFStock'!AQ23</f>
        <v/>
      </c>
      <c r="AT542">
        <f>'T_TTAFStock'!AR23</f>
        <v/>
      </c>
      <c r="AU542">
        <f>'T_TTAFStock'!AS23</f>
        <v/>
      </c>
      <c r="AV542">
        <f>'T_TTAFStock'!AT23</f>
        <v/>
      </c>
      <c r="AW542">
        <f>'T_TTAFStock'!AU23</f>
        <v/>
      </c>
      <c r="AX542">
        <f>'T_TTAFStock'!AV23</f>
        <v/>
      </c>
      <c r="AY542">
        <f>'T_TTAFStock'!AW23</f>
        <v/>
      </c>
      <c r="AZ542">
        <f>'T_TTAFStock'!AX23</f>
        <v/>
      </c>
      <c r="BA542">
        <f>'T_TTAFStock'!AY23</f>
        <v/>
      </c>
      <c r="BB542">
        <f>'T_TTAFStock'!AZ23</f>
        <v/>
      </c>
      <c r="BC542">
        <f>'T_TTAFStock'!BA23</f>
        <v/>
      </c>
      <c r="BD542">
        <f>'T_TTAFStock'!BB23</f>
        <v/>
      </c>
      <c r="BE542">
        <f>'T_TTAFStock'!BC23</f>
        <v/>
      </c>
      <c r="BF542">
        <f>'T_TTAFStock'!BD23</f>
        <v/>
      </c>
      <c r="BG542">
        <f>'T_TTAFStock'!BE23</f>
        <v/>
      </c>
      <c r="BH542">
        <f>'T_TTAFStock'!BF23</f>
        <v/>
      </c>
      <c r="BI542">
        <f>'T_TTAFStock'!BG23</f>
        <v/>
      </c>
      <c r="BJ542">
        <f>'T_TTAFStock'!BH23</f>
        <v/>
      </c>
      <c r="BK542">
        <f>'T_TTAFStock'!BI23</f>
        <v/>
      </c>
      <c r="BL542">
        <f>'T_TTAFStock'!BJ23</f>
        <v/>
      </c>
      <c r="BM542">
        <f>'T_TTAFStock'!BK23</f>
        <v/>
      </c>
      <c r="BN542">
        <f>'T_TTAFStock'!BL23</f>
        <v/>
      </c>
      <c r="BO542">
        <f>'T_TTAFStock'!BM23</f>
        <v/>
      </c>
      <c r="BP542">
        <f>'T_TTAFStock'!BN23</f>
        <v/>
      </c>
      <c r="BQ542">
        <f>'T_TTAFStock'!BO23</f>
        <v/>
      </c>
      <c r="BR542">
        <f>'T_TTAFStock'!BP23</f>
        <v/>
      </c>
      <c r="BS542">
        <f>'T_TTAFStock'!BQ23</f>
        <v/>
      </c>
      <c r="BT542">
        <f>'T_TTAFStock'!BR23</f>
        <v/>
      </c>
      <c r="BU542">
        <f>'T_TTAFStock'!BS23</f>
        <v/>
      </c>
      <c r="BV542">
        <f>'T_TTAFStock'!BT23</f>
        <v/>
      </c>
      <c r="BW542">
        <f>'T_TTAFStock'!BU23</f>
        <v/>
      </c>
      <c r="BX542">
        <f>'T_TTAFStock'!BV23</f>
        <v/>
      </c>
      <c r="BY542">
        <f>'T_TTAFStock'!BW23</f>
        <v/>
      </c>
      <c r="BZ542">
        <f>'T_TTAFStock'!BX23</f>
        <v/>
      </c>
      <c r="CA542">
        <f>'T_TTAFStock'!BY23</f>
        <v/>
      </c>
      <c r="CB542">
        <f>'T_TTAFStock'!BZ23</f>
        <v/>
      </c>
      <c r="CC542">
        <f>'T_TTAFStock'!CA23</f>
        <v/>
      </c>
      <c r="CD542">
        <f>'T_TTAFStock'!CB23</f>
        <v/>
      </c>
      <c r="CE542">
        <f>'T_TTAFStock'!CC23</f>
        <v/>
      </c>
      <c r="CF542">
        <f>'T_TTAFStock'!CD23</f>
        <v/>
      </c>
      <c r="CG542">
        <f>'T_TTAFStock'!CE23</f>
        <v/>
      </c>
      <c r="CH542">
        <f>'T_TTAFStock'!CF23</f>
        <v/>
      </c>
      <c r="CI542">
        <f>'T_TTAFStock'!CG23</f>
        <v/>
      </c>
      <c r="CJ542">
        <f>'T_TTAFStock'!CH23</f>
        <v/>
      </c>
      <c r="CK542">
        <f>'T_TTAFStock'!CI23</f>
        <v/>
      </c>
      <c r="CL542">
        <f>'T_TTAFStock'!CJ23</f>
        <v/>
      </c>
      <c r="CM542">
        <f>'T_TTAFStock'!CK23</f>
        <v/>
      </c>
      <c r="CN542">
        <f>'T_TTAFStock'!CL23</f>
        <v/>
      </c>
      <c r="CO542">
        <f>'T_TTAFStock'!CM23</f>
        <v/>
      </c>
      <c r="CP542">
        <f>'T_TTAFStock'!CN23</f>
        <v/>
      </c>
      <c r="CQ542">
        <f>'T_TTAFStock'!CO23</f>
        <v/>
      </c>
      <c r="CR542">
        <f>'T_TTAFStock'!CP23</f>
        <v/>
      </c>
      <c r="CS542">
        <f>'T_TTAFStock'!CQ23</f>
        <v/>
      </c>
      <c r="CT542">
        <f>'T_TTAFStock'!CR23</f>
        <v/>
      </c>
      <c r="CU542">
        <f>'T_TTAFStock'!CS23</f>
        <v/>
      </c>
      <c r="CV542">
        <f>'T_TTAFStock'!CT23</f>
        <v/>
      </c>
      <c r="CW542">
        <f>'T_TTAFStock'!CU23</f>
        <v/>
      </c>
      <c r="CX542">
        <f>'T_TTAFStock'!CV23</f>
        <v/>
      </c>
      <c r="CY542">
        <f>'T_TTAFStock'!CW23</f>
        <v/>
      </c>
      <c r="CZ542">
        <f>'T_TTAFStock'!CX23</f>
        <v/>
      </c>
      <c r="DA542">
        <f>'T_TTAFStock'!CY23</f>
        <v/>
      </c>
      <c r="DB542">
        <f>'T_TTAFStock'!CZ23</f>
        <v/>
      </c>
      <c r="DC542">
        <f>'T_TTAFStock'!DA23</f>
        <v/>
      </c>
    </row>
    <row r="543">
      <c r="B543" t="inlineStr">
        <is>
          <t>自社在庫(実績,kg)</t>
        </is>
      </c>
      <c r="D543">
        <f>'T_SelfStock'!B23</f>
        <v/>
      </c>
      <c r="E543">
        <f>'T_SelfStock'!C23</f>
        <v/>
      </c>
      <c r="F543">
        <f>'T_SelfStock'!D23</f>
        <v/>
      </c>
      <c r="G543">
        <f>'T_SelfStock'!E23</f>
        <v/>
      </c>
      <c r="H543">
        <f>'T_SelfStock'!F23</f>
        <v/>
      </c>
      <c r="I543">
        <f>'T_SelfStock'!G23</f>
        <v/>
      </c>
      <c r="J543">
        <f>'T_SelfStock'!H23</f>
        <v/>
      </c>
      <c r="K543">
        <f>'T_SelfStock'!I23</f>
        <v/>
      </c>
      <c r="L543">
        <f>'T_SelfStock'!J23</f>
        <v/>
      </c>
      <c r="M543">
        <f>'T_SelfStock'!K23</f>
        <v/>
      </c>
      <c r="N543">
        <f>'T_SelfStock'!L23</f>
        <v/>
      </c>
      <c r="O543">
        <f>'T_SelfStock'!M23</f>
        <v/>
      </c>
      <c r="P543">
        <f>'T_SelfStock'!N23</f>
        <v/>
      </c>
      <c r="Q543">
        <f>'T_SelfStock'!O23</f>
        <v/>
      </c>
      <c r="R543">
        <f>'T_SelfStock'!P23</f>
        <v/>
      </c>
      <c r="S543">
        <f>'T_SelfStock'!Q23</f>
        <v/>
      </c>
      <c r="T543">
        <f>'T_SelfStock'!R23</f>
        <v/>
      </c>
      <c r="U543">
        <f>'T_SelfStock'!S23</f>
        <v/>
      </c>
      <c r="V543">
        <f>'T_SelfStock'!T23</f>
        <v/>
      </c>
      <c r="W543">
        <f>'T_SelfStock'!U23</f>
        <v/>
      </c>
      <c r="X543">
        <f>'T_SelfStock'!V23</f>
        <v/>
      </c>
      <c r="Y543">
        <f>'T_SelfStock'!W23</f>
        <v/>
      </c>
      <c r="Z543">
        <f>'T_SelfStock'!X23</f>
        <v/>
      </c>
      <c r="AA543">
        <f>'T_SelfStock'!Y23</f>
        <v/>
      </c>
      <c r="AB543">
        <f>'T_SelfStock'!Z23</f>
        <v/>
      </c>
      <c r="AC543">
        <f>'T_SelfStock'!AA23</f>
        <v/>
      </c>
      <c r="AD543">
        <f>'T_SelfStock'!AB23</f>
        <v/>
      </c>
      <c r="AE543">
        <f>'T_SelfStock'!AC23</f>
        <v/>
      </c>
      <c r="AF543">
        <f>'T_SelfStock'!AD23</f>
        <v/>
      </c>
      <c r="AG543">
        <f>'T_SelfStock'!AE23</f>
        <v/>
      </c>
      <c r="AH543">
        <f>'T_SelfStock'!AF23</f>
        <v/>
      </c>
      <c r="AI543">
        <f>'T_SelfStock'!AG23</f>
        <v/>
      </c>
      <c r="AJ543">
        <f>'T_SelfStock'!AH23</f>
        <v/>
      </c>
      <c r="AK543">
        <f>'T_SelfStock'!AI23</f>
        <v/>
      </c>
      <c r="AL543">
        <f>'T_SelfStock'!AJ23</f>
        <v/>
      </c>
      <c r="AM543">
        <f>'T_SelfStock'!AK23</f>
        <v/>
      </c>
      <c r="AN543">
        <f>'T_SelfStock'!AL23</f>
        <v/>
      </c>
      <c r="AO543">
        <f>'T_SelfStock'!AM23</f>
        <v/>
      </c>
      <c r="AP543">
        <f>'T_SelfStock'!AN23</f>
        <v/>
      </c>
      <c r="AQ543">
        <f>'T_SelfStock'!AO23</f>
        <v/>
      </c>
      <c r="AR543">
        <f>'T_SelfStock'!AP23</f>
        <v/>
      </c>
      <c r="AS543">
        <f>'T_SelfStock'!AQ23</f>
        <v/>
      </c>
      <c r="AT543">
        <f>'T_SelfStock'!AR23</f>
        <v/>
      </c>
      <c r="AU543">
        <f>'T_SelfStock'!AS23</f>
        <v/>
      </c>
      <c r="AV543">
        <f>'T_SelfStock'!AT23</f>
        <v/>
      </c>
      <c r="AW543">
        <f>'T_SelfStock'!AU23</f>
        <v/>
      </c>
      <c r="AX543">
        <f>'T_SelfStock'!AV23</f>
        <v/>
      </c>
      <c r="AY543">
        <f>'T_SelfStock'!AW23</f>
        <v/>
      </c>
      <c r="AZ543">
        <f>'T_SelfStock'!AX23</f>
        <v/>
      </c>
      <c r="BA543">
        <f>'T_SelfStock'!AY23</f>
        <v/>
      </c>
      <c r="BB543">
        <f>'T_SelfStock'!AZ23</f>
        <v/>
      </c>
      <c r="BC543">
        <f>'T_SelfStock'!BA23</f>
        <v/>
      </c>
      <c r="BD543">
        <f>'T_SelfStock'!BB23</f>
        <v/>
      </c>
      <c r="BE543">
        <f>'T_SelfStock'!BC23</f>
        <v/>
      </c>
      <c r="BF543">
        <f>'T_SelfStock'!BD23</f>
        <v/>
      </c>
      <c r="BG543">
        <f>'T_SelfStock'!BE23</f>
        <v/>
      </c>
      <c r="BH543">
        <f>'T_SelfStock'!BF23</f>
        <v/>
      </c>
      <c r="BI543">
        <f>'T_SelfStock'!BG23</f>
        <v/>
      </c>
      <c r="BJ543">
        <f>'T_SelfStock'!BH23</f>
        <v/>
      </c>
      <c r="BK543">
        <f>'T_SelfStock'!BI23</f>
        <v/>
      </c>
      <c r="BL543">
        <f>'T_SelfStock'!BJ23</f>
        <v/>
      </c>
      <c r="BM543">
        <f>'T_SelfStock'!BK23</f>
        <v/>
      </c>
      <c r="BN543">
        <f>'T_SelfStock'!BL23</f>
        <v/>
      </c>
      <c r="BO543">
        <f>'T_SelfStock'!BM23</f>
        <v/>
      </c>
      <c r="BP543">
        <f>'T_SelfStock'!BN23</f>
        <v/>
      </c>
      <c r="BQ543">
        <f>'T_SelfStock'!BO23</f>
        <v/>
      </c>
      <c r="BR543">
        <f>'T_SelfStock'!BP23</f>
        <v/>
      </c>
      <c r="BS543">
        <f>'T_SelfStock'!BQ23</f>
        <v/>
      </c>
      <c r="BT543">
        <f>'T_SelfStock'!BR23</f>
        <v/>
      </c>
      <c r="BU543">
        <f>'T_SelfStock'!BS23</f>
        <v/>
      </c>
      <c r="BV543">
        <f>'T_SelfStock'!BT23</f>
        <v/>
      </c>
      <c r="BW543">
        <f>'T_SelfStock'!BU23</f>
        <v/>
      </c>
      <c r="BX543">
        <f>'T_SelfStock'!BV23</f>
        <v/>
      </c>
      <c r="BY543">
        <f>'T_SelfStock'!BW23</f>
        <v/>
      </c>
      <c r="BZ543">
        <f>'T_SelfStock'!BX23</f>
        <v/>
      </c>
      <c r="CA543">
        <f>'T_SelfStock'!BY23</f>
        <v/>
      </c>
      <c r="CB543">
        <f>'T_SelfStock'!BZ23</f>
        <v/>
      </c>
      <c r="CC543">
        <f>'T_SelfStock'!CA23</f>
        <v/>
      </c>
      <c r="CD543">
        <f>'T_SelfStock'!CB23</f>
        <v/>
      </c>
      <c r="CE543">
        <f>'T_SelfStock'!CC23</f>
        <v/>
      </c>
      <c r="CF543">
        <f>'T_SelfStock'!CD23</f>
        <v/>
      </c>
      <c r="CG543">
        <f>'T_SelfStock'!CE23</f>
        <v/>
      </c>
      <c r="CH543">
        <f>'T_SelfStock'!CF23</f>
        <v/>
      </c>
      <c r="CI543">
        <f>'T_SelfStock'!CG23</f>
        <v/>
      </c>
      <c r="CJ543">
        <f>'T_SelfStock'!CH23</f>
        <v/>
      </c>
      <c r="CK543">
        <f>'T_SelfStock'!CI23</f>
        <v/>
      </c>
      <c r="CL543">
        <f>'T_SelfStock'!CJ23</f>
        <v/>
      </c>
      <c r="CM543">
        <f>'T_SelfStock'!CK23</f>
        <v/>
      </c>
      <c r="CN543">
        <f>'T_SelfStock'!CL23</f>
        <v/>
      </c>
      <c r="CO543">
        <f>'T_SelfStock'!CM23</f>
        <v/>
      </c>
      <c r="CP543">
        <f>'T_SelfStock'!CN23</f>
        <v/>
      </c>
      <c r="CQ543">
        <f>'T_SelfStock'!CO23</f>
        <v/>
      </c>
      <c r="CR543">
        <f>'T_SelfStock'!CP23</f>
        <v/>
      </c>
      <c r="CS543">
        <f>'T_SelfStock'!CQ23</f>
        <v/>
      </c>
      <c r="CT543">
        <f>'T_SelfStock'!CR23</f>
        <v/>
      </c>
      <c r="CU543">
        <f>'T_SelfStock'!CS23</f>
        <v/>
      </c>
      <c r="CV543">
        <f>'T_SelfStock'!CT23</f>
        <v/>
      </c>
      <c r="CW543">
        <f>'T_SelfStock'!CU23</f>
        <v/>
      </c>
      <c r="CX543">
        <f>'T_SelfStock'!CV23</f>
        <v/>
      </c>
      <c r="CY543">
        <f>'T_SelfStock'!CW23</f>
        <v/>
      </c>
      <c r="CZ543">
        <f>'T_SelfStock'!CX23</f>
        <v/>
      </c>
      <c r="DA543">
        <f>'T_SelfStock'!CY23</f>
        <v/>
      </c>
      <c r="DB543">
        <f>'T_SelfStock'!CZ23</f>
        <v/>
      </c>
      <c r="DC543">
        <f>'T_SelfStock'!DA23</f>
        <v/>
      </c>
    </row>
    <row r="544">
      <c r="B544" s="4" t="inlineStr">
        <is>
          <t>合計在庫(週末時点,kg)</t>
        </is>
      </c>
      <c r="D544">
        <f>'Grid_Stock'!B19</f>
        <v/>
      </c>
      <c r="E544">
        <f>'Grid_Stock'!C19</f>
        <v/>
      </c>
      <c r="F544">
        <f>'Grid_Stock'!D19</f>
        <v/>
      </c>
      <c r="G544">
        <f>'Grid_Stock'!E19</f>
        <v/>
      </c>
      <c r="H544">
        <f>'Grid_Stock'!F19</f>
        <v/>
      </c>
      <c r="I544">
        <f>'Grid_Stock'!G19</f>
        <v/>
      </c>
      <c r="J544">
        <f>'Grid_Stock'!H19</f>
        <v/>
      </c>
      <c r="K544">
        <f>'Grid_Stock'!I19</f>
        <v/>
      </c>
      <c r="L544">
        <f>'Grid_Stock'!J19</f>
        <v/>
      </c>
      <c r="M544">
        <f>'Grid_Stock'!K19</f>
        <v/>
      </c>
      <c r="N544">
        <f>'Grid_Stock'!L19</f>
        <v/>
      </c>
      <c r="O544">
        <f>'Grid_Stock'!M19</f>
        <v/>
      </c>
      <c r="P544">
        <f>'Grid_Stock'!N19</f>
        <v/>
      </c>
      <c r="Q544">
        <f>'Grid_Stock'!O19</f>
        <v/>
      </c>
      <c r="R544">
        <f>'Grid_Stock'!P19</f>
        <v/>
      </c>
      <c r="S544">
        <f>'Grid_Stock'!Q19</f>
        <v/>
      </c>
      <c r="T544">
        <f>'Grid_Stock'!R19</f>
        <v/>
      </c>
      <c r="U544">
        <f>'Grid_Stock'!S19</f>
        <v/>
      </c>
      <c r="V544">
        <f>'Grid_Stock'!T19</f>
        <v/>
      </c>
      <c r="W544">
        <f>'Grid_Stock'!U19</f>
        <v/>
      </c>
      <c r="X544">
        <f>'Grid_Stock'!V19</f>
        <v/>
      </c>
      <c r="Y544">
        <f>'Grid_Stock'!W19</f>
        <v/>
      </c>
      <c r="Z544">
        <f>'Grid_Stock'!X19</f>
        <v/>
      </c>
      <c r="AA544">
        <f>'Grid_Stock'!Y19</f>
        <v/>
      </c>
      <c r="AB544">
        <f>'Grid_Stock'!Z19</f>
        <v/>
      </c>
      <c r="AC544">
        <f>'Grid_Stock'!AA19</f>
        <v/>
      </c>
      <c r="AD544">
        <f>'Grid_Stock'!AB19</f>
        <v/>
      </c>
      <c r="AE544">
        <f>'Grid_Stock'!AC19</f>
        <v/>
      </c>
      <c r="AF544">
        <f>'Grid_Stock'!AD19</f>
        <v/>
      </c>
      <c r="AG544">
        <f>'Grid_Stock'!AE19</f>
        <v/>
      </c>
      <c r="AH544">
        <f>'Grid_Stock'!AF19</f>
        <v/>
      </c>
      <c r="AI544">
        <f>'Grid_Stock'!AG19</f>
        <v/>
      </c>
      <c r="AJ544">
        <f>'Grid_Stock'!AH19</f>
        <v/>
      </c>
      <c r="AK544">
        <f>'Grid_Stock'!AI19</f>
        <v/>
      </c>
      <c r="AL544">
        <f>'Grid_Stock'!AJ19</f>
        <v/>
      </c>
      <c r="AM544">
        <f>'Grid_Stock'!AK19</f>
        <v/>
      </c>
      <c r="AN544">
        <f>'Grid_Stock'!AL19</f>
        <v/>
      </c>
      <c r="AO544">
        <f>'Grid_Stock'!AM19</f>
        <v/>
      </c>
      <c r="AP544">
        <f>'Grid_Stock'!AN19</f>
        <v/>
      </c>
      <c r="AQ544">
        <f>'Grid_Stock'!AO19</f>
        <v/>
      </c>
      <c r="AR544">
        <f>'Grid_Stock'!AP19</f>
        <v/>
      </c>
      <c r="AS544">
        <f>'Grid_Stock'!AQ19</f>
        <v/>
      </c>
      <c r="AT544">
        <f>'Grid_Stock'!AR19</f>
        <v/>
      </c>
      <c r="AU544">
        <f>'Grid_Stock'!AS19</f>
        <v/>
      </c>
      <c r="AV544">
        <f>'Grid_Stock'!AT19</f>
        <v/>
      </c>
      <c r="AW544">
        <f>'Grid_Stock'!AU19</f>
        <v/>
      </c>
      <c r="AX544">
        <f>'Grid_Stock'!AV19</f>
        <v/>
      </c>
      <c r="AY544">
        <f>'Grid_Stock'!AW19</f>
        <v/>
      </c>
      <c r="AZ544">
        <f>'Grid_Stock'!AX19</f>
        <v/>
      </c>
      <c r="BA544">
        <f>'Grid_Stock'!AY19</f>
        <v/>
      </c>
      <c r="BB544">
        <f>'Grid_Stock'!AZ19</f>
        <v/>
      </c>
      <c r="BC544">
        <f>'Grid_Stock'!BA19</f>
        <v/>
      </c>
      <c r="BD544">
        <f>'Grid_Stock'!BB19</f>
        <v/>
      </c>
      <c r="BE544">
        <f>'Grid_Stock'!BC19</f>
        <v/>
      </c>
      <c r="BF544">
        <f>'Grid_Stock'!BD19</f>
        <v/>
      </c>
      <c r="BG544">
        <f>'Grid_Stock'!BE19</f>
        <v/>
      </c>
      <c r="BH544">
        <f>'Grid_Stock'!BF19</f>
        <v/>
      </c>
      <c r="BI544">
        <f>'Grid_Stock'!BG19</f>
        <v/>
      </c>
      <c r="BJ544">
        <f>'Grid_Stock'!BH19</f>
        <v/>
      </c>
      <c r="BK544">
        <f>'Grid_Stock'!BI19</f>
        <v/>
      </c>
      <c r="BL544">
        <f>'Grid_Stock'!BJ19</f>
        <v/>
      </c>
      <c r="BM544">
        <f>'Grid_Stock'!BK19</f>
        <v/>
      </c>
      <c r="BN544">
        <f>'Grid_Stock'!BL19</f>
        <v/>
      </c>
      <c r="BO544">
        <f>'Grid_Stock'!BM19</f>
        <v/>
      </c>
      <c r="BP544">
        <f>'Grid_Stock'!BN19</f>
        <v/>
      </c>
      <c r="BQ544">
        <f>'Grid_Stock'!BO19</f>
        <v/>
      </c>
      <c r="BR544">
        <f>'Grid_Stock'!BP19</f>
        <v/>
      </c>
      <c r="BS544">
        <f>'Grid_Stock'!BQ19</f>
        <v/>
      </c>
      <c r="BT544">
        <f>'Grid_Stock'!BR19</f>
        <v/>
      </c>
      <c r="BU544">
        <f>'Grid_Stock'!BS19</f>
        <v/>
      </c>
      <c r="BV544">
        <f>'Grid_Stock'!BT19</f>
        <v/>
      </c>
      <c r="BW544">
        <f>'Grid_Stock'!BU19</f>
        <v/>
      </c>
      <c r="BX544">
        <f>'Grid_Stock'!BV19</f>
        <v/>
      </c>
      <c r="BY544">
        <f>'Grid_Stock'!BW19</f>
        <v/>
      </c>
      <c r="BZ544">
        <f>'Grid_Stock'!BX19</f>
        <v/>
      </c>
      <c r="CA544">
        <f>'Grid_Stock'!BY19</f>
        <v/>
      </c>
      <c r="CB544">
        <f>'Grid_Stock'!BZ19</f>
        <v/>
      </c>
      <c r="CC544">
        <f>'Grid_Stock'!CA19</f>
        <v/>
      </c>
      <c r="CD544">
        <f>'Grid_Stock'!CB19</f>
        <v/>
      </c>
      <c r="CE544">
        <f>'Grid_Stock'!CC19</f>
        <v/>
      </c>
      <c r="CF544">
        <f>'Grid_Stock'!CD19</f>
        <v/>
      </c>
      <c r="CG544">
        <f>'Grid_Stock'!CE19</f>
        <v/>
      </c>
      <c r="CH544">
        <f>'Grid_Stock'!CF19</f>
        <v/>
      </c>
      <c r="CI544">
        <f>'Grid_Stock'!CG19</f>
        <v/>
      </c>
      <c r="CJ544">
        <f>'Grid_Stock'!CH19</f>
        <v/>
      </c>
      <c r="CK544">
        <f>'Grid_Stock'!CI19</f>
        <v/>
      </c>
      <c r="CL544">
        <f>'Grid_Stock'!CJ19</f>
        <v/>
      </c>
      <c r="CM544">
        <f>'Grid_Stock'!CK19</f>
        <v/>
      </c>
      <c r="CN544">
        <f>'Grid_Stock'!CL19</f>
        <v/>
      </c>
      <c r="CO544">
        <f>'Grid_Stock'!CM19</f>
        <v/>
      </c>
      <c r="CP544">
        <f>'Grid_Stock'!CN19</f>
        <v/>
      </c>
      <c r="CQ544">
        <f>'Grid_Stock'!CO19</f>
        <v/>
      </c>
      <c r="CR544">
        <f>'Grid_Stock'!CP19</f>
        <v/>
      </c>
      <c r="CS544">
        <f>'Grid_Stock'!CQ19</f>
        <v/>
      </c>
      <c r="CT544">
        <f>'Grid_Stock'!CR19</f>
        <v/>
      </c>
      <c r="CU544">
        <f>'Grid_Stock'!CS19</f>
        <v/>
      </c>
      <c r="CV544">
        <f>'Grid_Stock'!CT19</f>
        <v/>
      </c>
      <c r="CW544">
        <f>'Grid_Stock'!CU19</f>
        <v/>
      </c>
      <c r="CX544">
        <f>'Grid_Stock'!CV19</f>
        <v/>
      </c>
      <c r="CY544">
        <f>'Grid_Stock'!CW19</f>
        <v/>
      </c>
      <c r="CZ544">
        <f>'Grid_Stock'!CX19</f>
        <v/>
      </c>
      <c r="DA544">
        <f>'Grid_Stock'!CY19</f>
        <v/>
      </c>
      <c r="DB544">
        <f>'Grid_Stock'!CZ19</f>
        <v/>
      </c>
      <c r="DC544">
        <f>'Grid_Stock'!DA19</f>
        <v/>
      </c>
    </row>
    <row r="545">
      <c r="B545" s="16" t="inlineStr">
        <is>
          <t>（発注の目安はDashboardの基準在庫[下限/上限]と色分けを参照）</t>
        </is>
      </c>
    </row>
    <row r="547">
      <c r="A547" s="14" t="inlineStr">
        <is>
          <t>CHEM-1510</t>
        </is>
      </c>
      <c r="B547" s="14" t="inlineStr">
        <is>
          <t>BA-070</t>
        </is>
      </c>
      <c r="C547" s="15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  <c r="AO547" s="14" t="n"/>
      <c r="AP547" s="14" t="n"/>
      <c r="AQ547" s="14" t="n"/>
      <c r="AR547" s="14" t="n"/>
      <c r="AS547" s="14" t="n"/>
      <c r="AT547" s="14" t="n"/>
      <c r="AU547" s="14" t="n"/>
      <c r="AV547" s="14" t="n"/>
      <c r="AW547" s="14" t="n"/>
      <c r="AX547" s="14" t="n"/>
      <c r="AY547" s="14" t="n"/>
      <c r="AZ547" s="14" t="n"/>
      <c r="BA547" s="14" t="n"/>
      <c r="BB547" s="14" t="n"/>
      <c r="BC547" s="14" t="n"/>
      <c r="BD547" s="14" t="n"/>
      <c r="BE547" s="14" t="n"/>
      <c r="BF547" s="14" t="n"/>
      <c r="BG547" s="14" t="n"/>
      <c r="BH547" s="14" t="n"/>
      <c r="BI547" s="14" t="n"/>
      <c r="BJ547" s="14" t="n"/>
      <c r="BK547" s="14" t="n"/>
      <c r="BL547" s="14" t="n"/>
      <c r="BM547" s="14" t="n"/>
      <c r="BN547" s="14" t="n"/>
      <c r="BO547" s="14" t="n"/>
      <c r="BP547" s="14" t="n"/>
      <c r="BQ547" s="14" t="n"/>
      <c r="BR547" s="14" t="n"/>
      <c r="BS547" s="14" t="n"/>
      <c r="BT547" s="14" t="n"/>
      <c r="BU547" s="14" t="n"/>
      <c r="BV547" s="14" t="n"/>
      <c r="BW547" s="14" t="n"/>
      <c r="BX547" s="14" t="n"/>
      <c r="BY547" s="14" t="n"/>
      <c r="BZ547" s="14" t="n"/>
      <c r="CA547" s="14" t="n"/>
      <c r="CB547" s="14" t="n"/>
      <c r="CC547" s="14" t="n"/>
      <c r="CD547" s="14" t="n"/>
      <c r="CE547" s="14" t="n"/>
      <c r="CF547" s="14" t="n"/>
      <c r="CG547" s="14" t="n"/>
      <c r="CH547" s="14" t="n"/>
      <c r="CI547" s="14" t="n"/>
      <c r="CJ547" s="14" t="n"/>
      <c r="CK547" s="14" t="n"/>
      <c r="CL547" s="14" t="n"/>
      <c r="CM547" s="14" t="n"/>
      <c r="CN547" s="14" t="n"/>
      <c r="CO547" s="14" t="n"/>
      <c r="CP547" s="14" t="n"/>
      <c r="CQ547" s="14" t="n"/>
      <c r="CR547" s="14" t="n"/>
      <c r="CS547" s="14" t="n"/>
      <c r="CT547" s="14" t="n"/>
      <c r="CU547" s="14" t="n"/>
      <c r="CV547" s="14" t="n"/>
      <c r="CW547" s="14" t="n"/>
      <c r="CX547" s="14" t="n"/>
      <c r="CY547" s="14" t="n"/>
      <c r="CZ547" s="14" t="n"/>
      <c r="DA547" s="14" t="n"/>
      <c r="DB547" s="14" t="n"/>
      <c r="DC547" s="14" t="n"/>
    </row>
    <row r="548">
      <c r="B548" t="inlineStr">
        <is>
          <t>TSP-219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Name],$A547)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TSP-360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Name],$A547)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TSP-367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Name],$A547)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TSP-544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Name],$A547)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TSP-710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Name],$A547)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TSZ-616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Name],$A547)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VSP-739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Name],$A547)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VSP-820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Name],$A547)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VSP-869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Name],$A547)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VSP-989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Name],$A547)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TSP-1388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Name],$A547)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TSP-924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Name],$A547)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TSP-925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Name],$A547)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4" t="inlineStr">
        <is>
          <t>合計使用量(kg)/週</t>
        </is>
      </c>
      <c r="D574">
        <f>'Grid_Requirement'!B35</f>
        <v/>
      </c>
      <c r="E574">
        <f>'Grid_Requirement'!C35</f>
        <v/>
      </c>
      <c r="F574">
        <f>'Grid_Requirement'!D35</f>
        <v/>
      </c>
      <c r="G574">
        <f>'Grid_Requirement'!E35</f>
        <v/>
      </c>
      <c r="H574">
        <f>'Grid_Requirement'!F35</f>
        <v/>
      </c>
      <c r="I574">
        <f>'Grid_Requirement'!G35</f>
        <v/>
      </c>
      <c r="J574">
        <f>'Grid_Requirement'!H35</f>
        <v/>
      </c>
      <c r="K574">
        <f>'Grid_Requirement'!I35</f>
        <v/>
      </c>
      <c r="L574">
        <f>'Grid_Requirement'!J35</f>
        <v/>
      </c>
      <c r="M574">
        <f>'Grid_Requirement'!K35</f>
        <v/>
      </c>
      <c r="N574">
        <f>'Grid_Requirement'!L35</f>
        <v/>
      </c>
      <c r="O574">
        <f>'Grid_Requirement'!M35</f>
        <v/>
      </c>
      <c r="P574">
        <f>'Grid_Requirement'!N35</f>
        <v/>
      </c>
      <c r="Q574">
        <f>'Grid_Requirement'!O35</f>
        <v/>
      </c>
      <c r="R574">
        <f>'Grid_Requirement'!P35</f>
        <v/>
      </c>
      <c r="S574">
        <f>'Grid_Requirement'!Q35</f>
        <v/>
      </c>
      <c r="T574">
        <f>'Grid_Requirement'!R35</f>
        <v/>
      </c>
      <c r="U574">
        <f>'Grid_Requirement'!S35</f>
        <v/>
      </c>
      <c r="V574">
        <f>'Grid_Requirement'!T35</f>
        <v/>
      </c>
      <c r="W574">
        <f>'Grid_Requirement'!U35</f>
        <v/>
      </c>
      <c r="X574">
        <f>'Grid_Requirement'!V35</f>
        <v/>
      </c>
      <c r="Y574">
        <f>'Grid_Requirement'!W35</f>
        <v/>
      </c>
      <c r="Z574">
        <f>'Grid_Requirement'!X35</f>
        <v/>
      </c>
      <c r="AA574">
        <f>'Grid_Requirement'!Y35</f>
        <v/>
      </c>
      <c r="AB574">
        <f>'Grid_Requirement'!Z35</f>
        <v/>
      </c>
      <c r="AC574">
        <f>'Grid_Requirement'!AA35</f>
        <v/>
      </c>
      <c r="AD574">
        <f>'Grid_Requirement'!AB35</f>
        <v/>
      </c>
      <c r="AE574">
        <f>'Grid_Requirement'!AC35</f>
        <v/>
      </c>
      <c r="AF574">
        <f>'Grid_Requirement'!AD35</f>
        <v/>
      </c>
      <c r="AG574">
        <f>'Grid_Requirement'!AE35</f>
        <v/>
      </c>
      <c r="AH574">
        <f>'Grid_Requirement'!AF35</f>
        <v/>
      </c>
      <c r="AI574">
        <f>'Grid_Requirement'!AG35</f>
        <v/>
      </c>
      <c r="AJ574">
        <f>'Grid_Requirement'!AH35</f>
        <v/>
      </c>
      <c r="AK574">
        <f>'Grid_Requirement'!AI35</f>
        <v/>
      </c>
      <c r="AL574">
        <f>'Grid_Requirement'!AJ35</f>
        <v/>
      </c>
      <c r="AM574">
        <f>'Grid_Requirement'!AK35</f>
        <v/>
      </c>
      <c r="AN574">
        <f>'Grid_Requirement'!AL35</f>
        <v/>
      </c>
      <c r="AO574">
        <f>'Grid_Requirement'!AM35</f>
        <v/>
      </c>
      <c r="AP574">
        <f>'Grid_Requirement'!AN35</f>
        <v/>
      </c>
      <c r="AQ574">
        <f>'Grid_Requirement'!AO35</f>
        <v/>
      </c>
      <c r="AR574">
        <f>'Grid_Requirement'!AP35</f>
        <v/>
      </c>
      <c r="AS574">
        <f>'Grid_Requirement'!AQ35</f>
        <v/>
      </c>
      <c r="AT574">
        <f>'Grid_Requirement'!AR35</f>
        <v/>
      </c>
      <c r="AU574">
        <f>'Grid_Requirement'!AS35</f>
        <v/>
      </c>
      <c r="AV574">
        <f>'Grid_Requirement'!AT35</f>
        <v/>
      </c>
      <c r="AW574">
        <f>'Grid_Requirement'!AU35</f>
        <v/>
      </c>
      <c r="AX574">
        <f>'Grid_Requirement'!AV35</f>
        <v/>
      </c>
      <c r="AY574">
        <f>'Grid_Requirement'!AW35</f>
        <v/>
      </c>
      <c r="AZ574">
        <f>'Grid_Requirement'!AX35</f>
        <v/>
      </c>
      <c r="BA574">
        <f>'Grid_Requirement'!AY35</f>
        <v/>
      </c>
      <c r="BB574">
        <f>'Grid_Requirement'!AZ35</f>
        <v/>
      </c>
      <c r="BC574">
        <f>'Grid_Requirement'!BA35</f>
        <v/>
      </c>
      <c r="BD574">
        <f>'Grid_Requirement'!BB35</f>
        <v/>
      </c>
      <c r="BE574">
        <f>'Grid_Requirement'!BC35</f>
        <v/>
      </c>
      <c r="BF574">
        <f>'Grid_Requirement'!BD35</f>
        <v/>
      </c>
      <c r="BG574">
        <f>'Grid_Requirement'!BE35</f>
        <v/>
      </c>
      <c r="BH574">
        <f>'Grid_Requirement'!BF35</f>
        <v/>
      </c>
      <c r="BI574">
        <f>'Grid_Requirement'!BG35</f>
        <v/>
      </c>
      <c r="BJ574">
        <f>'Grid_Requirement'!BH35</f>
        <v/>
      </c>
      <c r="BK574">
        <f>'Grid_Requirement'!BI35</f>
        <v/>
      </c>
      <c r="BL574">
        <f>'Grid_Requirement'!BJ35</f>
        <v/>
      </c>
      <c r="BM574">
        <f>'Grid_Requirement'!BK35</f>
        <v/>
      </c>
      <c r="BN574">
        <f>'Grid_Requirement'!BL35</f>
        <v/>
      </c>
      <c r="BO574">
        <f>'Grid_Requirement'!BM35</f>
        <v/>
      </c>
      <c r="BP574">
        <f>'Grid_Requirement'!BN35</f>
        <v/>
      </c>
      <c r="BQ574">
        <f>'Grid_Requirement'!BO35</f>
        <v/>
      </c>
      <c r="BR574">
        <f>'Grid_Requirement'!BP35</f>
        <v/>
      </c>
      <c r="BS574">
        <f>'Grid_Requirement'!BQ35</f>
        <v/>
      </c>
      <c r="BT574">
        <f>'Grid_Requirement'!BR35</f>
        <v/>
      </c>
      <c r="BU574">
        <f>'Grid_Requirement'!BS35</f>
        <v/>
      </c>
      <c r="BV574">
        <f>'Grid_Requirement'!BT35</f>
        <v/>
      </c>
      <c r="BW574">
        <f>'Grid_Requirement'!BU35</f>
        <v/>
      </c>
      <c r="BX574">
        <f>'Grid_Requirement'!BV35</f>
        <v/>
      </c>
      <c r="BY574">
        <f>'Grid_Requirement'!BW35</f>
        <v/>
      </c>
      <c r="BZ574">
        <f>'Grid_Requirement'!BX35</f>
        <v/>
      </c>
      <c r="CA574">
        <f>'Grid_Requirement'!BY35</f>
        <v/>
      </c>
      <c r="CB574">
        <f>'Grid_Requirement'!BZ35</f>
        <v/>
      </c>
      <c r="CC574">
        <f>'Grid_Requirement'!CA35</f>
        <v/>
      </c>
      <c r="CD574">
        <f>'Grid_Requirement'!CB35</f>
        <v/>
      </c>
      <c r="CE574">
        <f>'Grid_Requirement'!CC35</f>
        <v/>
      </c>
      <c r="CF574">
        <f>'Grid_Requirement'!CD35</f>
        <v/>
      </c>
      <c r="CG574">
        <f>'Grid_Requirement'!CE35</f>
        <v/>
      </c>
      <c r="CH574">
        <f>'Grid_Requirement'!CF35</f>
        <v/>
      </c>
      <c r="CI574">
        <f>'Grid_Requirement'!CG35</f>
        <v/>
      </c>
      <c r="CJ574">
        <f>'Grid_Requirement'!CH35</f>
        <v/>
      </c>
      <c r="CK574">
        <f>'Grid_Requirement'!CI35</f>
        <v/>
      </c>
      <c r="CL574">
        <f>'Grid_Requirement'!CJ35</f>
        <v/>
      </c>
      <c r="CM574">
        <f>'Grid_Requirement'!CK35</f>
        <v/>
      </c>
      <c r="CN574">
        <f>'Grid_Requirement'!CL35</f>
        <v/>
      </c>
      <c r="CO574">
        <f>'Grid_Requirement'!CM35</f>
        <v/>
      </c>
      <c r="CP574">
        <f>'Grid_Requirement'!CN35</f>
        <v/>
      </c>
      <c r="CQ574">
        <f>'Grid_Requirement'!CO35</f>
        <v/>
      </c>
      <c r="CR574">
        <f>'Grid_Requirement'!CP35</f>
        <v/>
      </c>
      <c r="CS574">
        <f>'Grid_Requirement'!CQ35</f>
        <v/>
      </c>
      <c r="CT574">
        <f>'Grid_Requirement'!CR35</f>
        <v/>
      </c>
      <c r="CU574">
        <f>'Grid_Requirement'!CS35</f>
        <v/>
      </c>
      <c r="CV574">
        <f>'Grid_Requirement'!CT35</f>
        <v/>
      </c>
      <c r="CW574">
        <f>'Grid_Requirement'!CU35</f>
        <v/>
      </c>
      <c r="CX574">
        <f>'Grid_Requirement'!CV35</f>
        <v/>
      </c>
      <c r="CY574">
        <f>'Grid_Requirement'!CW35</f>
        <v/>
      </c>
      <c r="CZ574">
        <f>'Grid_Requirement'!CX35</f>
        <v/>
      </c>
      <c r="DA574">
        <f>'Grid_Requirement'!CY35</f>
        <v/>
      </c>
      <c r="DB574">
        <f>'Grid_Requirement'!CZ35</f>
        <v/>
      </c>
      <c r="DC574">
        <f>'Grid_Requirement'!DA35</f>
        <v/>
      </c>
    </row>
    <row r="575">
      <c r="B575" t="inlineStr">
        <is>
          <t>TTAF在庫(実績,kg)</t>
        </is>
      </c>
      <c r="D575">
        <f>'T_TTAFStock'!B39</f>
        <v/>
      </c>
      <c r="E575">
        <f>'T_TTAFStock'!C39</f>
        <v/>
      </c>
      <c r="F575">
        <f>'T_TTAFStock'!D39</f>
        <v/>
      </c>
      <c r="G575">
        <f>'T_TTAFStock'!E39</f>
        <v/>
      </c>
      <c r="H575">
        <f>'T_TTAFStock'!F39</f>
        <v/>
      </c>
      <c r="I575">
        <f>'T_TTAFStock'!G39</f>
        <v/>
      </c>
      <c r="J575">
        <f>'T_TTAFStock'!H39</f>
        <v/>
      </c>
      <c r="K575">
        <f>'T_TTAFStock'!I39</f>
        <v/>
      </c>
      <c r="L575">
        <f>'T_TTAFStock'!J39</f>
        <v/>
      </c>
      <c r="M575">
        <f>'T_TTAFStock'!K39</f>
        <v/>
      </c>
      <c r="N575">
        <f>'T_TTAFStock'!L39</f>
        <v/>
      </c>
      <c r="O575">
        <f>'T_TTAFStock'!M39</f>
        <v/>
      </c>
      <c r="P575">
        <f>'T_TTAFStock'!N39</f>
        <v/>
      </c>
      <c r="Q575">
        <f>'T_TTAFStock'!O39</f>
        <v/>
      </c>
      <c r="R575">
        <f>'T_TTAFStock'!P39</f>
        <v/>
      </c>
      <c r="S575">
        <f>'T_TTAFStock'!Q39</f>
        <v/>
      </c>
      <c r="T575">
        <f>'T_TTAFStock'!R39</f>
        <v/>
      </c>
      <c r="U575">
        <f>'T_TTAFStock'!S39</f>
        <v/>
      </c>
      <c r="V575">
        <f>'T_TTAFStock'!T39</f>
        <v/>
      </c>
      <c r="W575">
        <f>'T_TTAFStock'!U39</f>
        <v/>
      </c>
      <c r="X575">
        <f>'T_TTAFStock'!V39</f>
        <v/>
      </c>
      <c r="Y575">
        <f>'T_TTAFStock'!W39</f>
        <v/>
      </c>
      <c r="Z575">
        <f>'T_TTAFStock'!X39</f>
        <v/>
      </c>
      <c r="AA575">
        <f>'T_TTAFStock'!Y39</f>
        <v/>
      </c>
      <c r="AB575">
        <f>'T_TTAFStock'!Z39</f>
        <v/>
      </c>
      <c r="AC575">
        <f>'T_TTAFStock'!AA39</f>
        <v/>
      </c>
      <c r="AD575">
        <f>'T_TTAFStock'!AB39</f>
        <v/>
      </c>
      <c r="AE575">
        <f>'T_TTAFStock'!AC39</f>
        <v/>
      </c>
      <c r="AF575">
        <f>'T_TTAFStock'!AD39</f>
        <v/>
      </c>
      <c r="AG575">
        <f>'T_TTAFStock'!AE39</f>
        <v/>
      </c>
      <c r="AH575">
        <f>'T_TTAFStock'!AF39</f>
        <v/>
      </c>
      <c r="AI575">
        <f>'T_TTAFStock'!AG39</f>
        <v/>
      </c>
      <c r="AJ575">
        <f>'T_TTAFStock'!AH39</f>
        <v/>
      </c>
      <c r="AK575">
        <f>'T_TTAFStock'!AI39</f>
        <v/>
      </c>
      <c r="AL575">
        <f>'T_TTAFStock'!AJ39</f>
        <v/>
      </c>
      <c r="AM575">
        <f>'T_TTAFStock'!AK39</f>
        <v/>
      </c>
      <c r="AN575">
        <f>'T_TTAFStock'!AL39</f>
        <v/>
      </c>
      <c r="AO575">
        <f>'T_TTAFStock'!AM39</f>
        <v/>
      </c>
      <c r="AP575">
        <f>'T_TTAFStock'!AN39</f>
        <v/>
      </c>
      <c r="AQ575">
        <f>'T_TTAFStock'!AO39</f>
        <v/>
      </c>
      <c r="AR575">
        <f>'T_TTAFStock'!AP39</f>
        <v/>
      </c>
      <c r="AS575">
        <f>'T_TTAFStock'!AQ39</f>
        <v/>
      </c>
      <c r="AT575">
        <f>'T_TTAFStock'!AR39</f>
        <v/>
      </c>
      <c r="AU575">
        <f>'T_TTAFStock'!AS39</f>
        <v/>
      </c>
      <c r="AV575">
        <f>'T_TTAFStock'!AT39</f>
        <v/>
      </c>
      <c r="AW575">
        <f>'T_TTAFStock'!AU39</f>
        <v/>
      </c>
      <c r="AX575">
        <f>'T_TTAFStock'!AV39</f>
        <v/>
      </c>
      <c r="AY575">
        <f>'T_TTAFStock'!AW39</f>
        <v/>
      </c>
      <c r="AZ575">
        <f>'T_TTAFStock'!AX39</f>
        <v/>
      </c>
      <c r="BA575">
        <f>'T_TTAFStock'!AY39</f>
        <v/>
      </c>
      <c r="BB575">
        <f>'T_TTAFStock'!AZ39</f>
        <v/>
      </c>
      <c r="BC575">
        <f>'T_TTAFStock'!BA39</f>
        <v/>
      </c>
      <c r="BD575">
        <f>'T_TTAFStock'!BB39</f>
        <v/>
      </c>
      <c r="BE575">
        <f>'T_TTAFStock'!BC39</f>
        <v/>
      </c>
      <c r="BF575">
        <f>'T_TTAFStock'!BD39</f>
        <v/>
      </c>
      <c r="BG575">
        <f>'T_TTAFStock'!BE39</f>
        <v/>
      </c>
      <c r="BH575">
        <f>'T_TTAFStock'!BF39</f>
        <v/>
      </c>
      <c r="BI575">
        <f>'T_TTAFStock'!BG39</f>
        <v/>
      </c>
      <c r="BJ575">
        <f>'T_TTAFStock'!BH39</f>
        <v/>
      </c>
      <c r="BK575">
        <f>'T_TTAFStock'!BI39</f>
        <v/>
      </c>
      <c r="BL575">
        <f>'T_TTAFStock'!BJ39</f>
        <v/>
      </c>
      <c r="BM575">
        <f>'T_TTAFStock'!BK39</f>
        <v/>
      </c>
      <c r="BN575">
        <f>'T_TTAFStock'!BL39</f>
        <v/>
      </c>
      <c r="BO575">
        <f>'T_TTAFStock'!BM39</f>
        <v/>
      </c>
      <c r="BP575">
        <f>'T_TTAFStock'!BN39</f>
        <v/>
      </c>
      <c r="BQ575">
        <f>'T_TTAFStock'!BO39</f>
        <v/>
      </c>
      <c r="BR575">
        <f>'T_TTAFStock'!BP39</f>
        <v/>
      </c>
      <c r="BS575">
        <f>'T_TTAFStock'!BQ39</f>
        <v/>
      </c>
      <c r="BT575">
        <f>'T_TTAFStock'!BR39</f>
        <v/>
      </c>
      <c r="BU575">
        <f>'T_TTAFStock'!BS39</f>
        <v/>
      </c>
      <c r="BV575">
        <f>'T_TTAFStock'!BT39</f>
        <v/>
      </c>
      <c r="BW575">
        <f>'T_TTAFStock'!BU39</f>
        <v/>
      </c>
      <c r="BX575">
        <f>'T_TTAFStock'!BV39</f>
        <v/>
      </c>
      <c r="BY575">
        <f>'T_TTAFStock'!BW39</f>
        <v/>
      </c>
      <c r="BZ575">
        <f>'T_TTAFStock'!BX39</f>
        <v/>
      </c>
      <c r="CA575">
        <f>'T_TTAFStock'!BY39</f>
        <v/>
      </c>
      <c r="CB575">
        <f>'T_TTAFStock'!BZ39</f>
        <v/>
      </c>
      <c r="CC575">
        <f>'T_TTAFStock'!CA39</f>
        <v/>
      </c>
      <c r="CD575">
        <f>'T_TTAFStock'!CB39</f>
        <v/>
      </c>
      <c r="CE575">
        <f>'T_TTAFStock'!CC39</f>
        <v/>
      </c>
      <c r="CF575">
        <f>'T_TTAFStock'!CD39</f>
        <v/>
      </c>
      <c r="CG575">
        <f>'T_TTAFStock'!CE39</f>
        <v/>
      </c>
      <c r="CH575">
        <f>'T_TTAFStock'!CF39</f>
        <v/>
      </c>
      <c r="CI575">
        <f>'T_TTAFStock'!CG39</f>
        <v/>
      </c>
      <c r="CJ575">
        <f>'T_TTAFStock'!CH39</f>
        <v/>
      </c>
      <c r="CK575">
        <f>'T_TTAFStock'!CI39</f>
        <v/>
      </c>
      <c r="CL575">
        <f>'T_TTAFStock'!CJ39</f>
        <v/>
      </c>
      <c r="CM575">
        <f>'T_TTAFStock'!CK39</f>
        <v/>
      </c>
      <c r="CN575">
        <f>'T_TTAFStock'!CL39</f>
        <v/>
      </c>
      <c r="CO575">
        <f>'T_TTAFStock'!CM39</f>
        <v/>
      </c>
      <c r="CP575">
        <f>'T_TTAFStock'!CN39</f>
        <v/>
      </c>
      <c r="CQ575">
        <f>'T_TTAFStock'!CO39</f>
        <v/>
      </c>
      <c r="CR575">
        <f>'T_TTAFStock'!CP39</f>
        <v/>
      </c>
      <c r="CS575">
        <f>'T_TTAFStock'!CQ39</f>
        <v/>
      </c>
      <c r="CT575">
        <f>'T_TTAFStock'!CR39</f>
        <v/>
      </c>
      <c r="CU575">
        <f>'T_TTAFStock'!CS39</f>
        <v/>
      </c>
      <c r="CV575">
        <f>'T_TTAFStock'!CT39</f>
        <v/>
      </c>
      <c r="CW575">
        <f>'T_TTAFStock'!CU39</f>
        <v/>
      </c>
      <c r="CX575">
        <f>'T_TTAFStock'!CV39</f>
        <v/>
      </c>
      <c r="CY575">
        <f>'T_TTAFStock'!CW39</f>
        <v/>
      </c>
      <c r="CZ575">
        <f>'T_TTAFStock'!CX39</f>
        <v/>
      </c>
      <c r="DA575">
        <f>'T_TTAFStock'!CY39</f>
        <v/>
      </c>
      <c r="DB575">
        <f>'T_TTAFStock'!CZ39</f>
        <v/>
      </c>
      <c r="DC575">
        <f>'T_TTAFStock'!DA39</f>
        <v/>
      </c>
    </row>
    <row r="576">
      <c r="B576" t="inlineStr">
        <is>
          <t>自社在庫(実績,kg)</t>
        </is>
      </c>
      <c r="D576">
        <f>'T_SelfStock'!B39</f>
        <v/>
      </c>
      <c r="E576">
        <f>'T_SelfStock'!C39</f>
        <v/>
      </c>
      <c r="F576">
        <f>'T_SelfStock'!D39</f>
        <v/>
      </c>
      <c r="G576">
        <f>'T_SelfStock'!E39</f>
        <v/>
      </c>
      <c r="H576">
        <f>'T_SelfStock'!F39</f>
        <v/>
      </c>
      <c r="I576">
        <f>'T_SelfStock'!G39</f>
        <v/>
      </c>
      <c r="J576">
        <f>'T_SelfStock'!H39</f>
        <v/>
      </c>
      <c r="K576">
        <f>'T_SelfStock'!I39</f>
        <v/>
      </c>
      <c r="L576">
        <f>'T_SelfStock'!J39</f>
        <v/>
      </c>
      <c r="M576">
        <f>'T_SelfStock'!K39</f>
        <v/>
      </c>
      <c r="N576">
        <f>'T_SelfStock'!L39</f>
        <v/>
      </c>
      <c r="O576">
        <f>'T_SelfStock'!M39</f>
        <v/>
      </c>
      <c r="P576">
        <f>'T_SelfStock'!N39</f>
        <v/>
      </c>
      <c r="Q576">
        <f>'T_SelfStock'!O39</f>
        <v/>
      </c>
      <c r="R576">
        <f>'T_SelfStock'!P39</f>
        <v/>
      </c>
      <c r="S576">
        <f>'T_SelfStock'!Q39</f>
        <v/>
      </c>
      <c r="T576">
        <f>'T_SelfStock'!R39</f>
        <v/>
      </c>
      <c r="U576">
        <f>'T_SelfStock'!S39</f>
        <v/>
      </c>
      <c r="V576">
        <f>'T_SelfStock'!T39</f>
        <v/>
      </c>
      <c r="W576">
        <f>'T_SelfStock'!U39</f>
        <v/>
      </c>
      <c r="X576">
        <f>'T_SelfStock'!V39</f>
        <v/>
      </c>
      <c r="Y576">
        <f>'T_SelfStock'!W39</f>
        <v/>
      </c>
      <c r="Z576">
        <f>'T_SelfStock'!X39</f>
        <v/>
      </c>
      <c r="AA576">
        <f>'T_SelfStock'!Y39</f>
        <v/>
      </c>
      <c r="AB576">
        <f>'T_SelfStock'!Z39</f>
        <v/>
      </c>
      <c r="AC576">
        <f>'T_SelfStock'!AA39</f>
        <v/>
      </c>
      <c r="AD576">
        <f>'T_SelfStock'!AB39</f>
        <v/>
      </c>
      <c r="AE576">
        <f>'T_SelfStock'!AC39</f>
        <v/>
      </c>
      <c r="AF576">
        <f>'T_SelfStock'!AD39</f>
        <v/>
      </c>
      <c r="AG576">
        <f>'T_SelfStock'!AE39</f>
        <v/>
      </c>
      <c r="AH576">
        <f>'T_SelfStock'!AF39</f>
        <v/>
      </c>
      <c r="AI576">
        <f>'T_SelfStock'!AG39</f>
        <v/>
      </c>
      <c r="AJ576">
        <f>'T_SelfStock'!AH39</f>
        <v/>
      </c>
      <c r="AK576">
        <f>'T_SelfStock'!AI39</f>
        <v/>
      </c>
      <c r="AL576">
        <f>'T_SelfStock'!AJ39</f>
        <v/>
      </c>
      <c r="AM576">
        <f>'T_SelfStock'!AK39</f>
        <v/>
      </c>
      <c r="AN576">
        <f>'T_SelfStock'!AL39</f>
        <v/>
      </c>
      <c r="AO576">
        <f>'T_SelfStock'!AM39</f>
        <v/>
      </c>
      <c r="AP576">
        <f>'T_SelfStock'!AN39</f>
        <v/>
      </c>
      <c r="AQ576">
        <f>'T_SelfStock'!AO39</f>
        <v/>
      </c>
      <c r="AR576">
        <f>'T_SelfStock'!AP39</f>
        <v/>
      </c>
      <c r="AS576">
        <f>'T_SelfStock'!AQ39</f>
        <v/>
      </c>
      <c r="AT576">
        <f>'T_SelfStock'!AR39</f>
        <v/>
      </c>
      <c r="AU576">
        <f>'T_SelfStock'!AS39</f>
        <v/>
      </c>
      <c r="AV576">
        <f>'T_SelfStock'!AT39</f>
        <v/>
      </c>
      <c r="AW576">
        <f>'T_SelfStock'!AU39</f>
        <v/>
      </c>
      <c r="AX576">
        <f>'T_SelfStock'!AV39</f>
        <v/>
      </c>
      <c r="AY576">
        <f>'T_SelfStock'!AW39</f>
        <v/>
      </c>
      <c r="AZ576">
        <f>'T_SelfStock'!AX39</f>
        <v/>
      </c>
      <c r="BA576">
        <f>'T_SelfStock'!AY39</f>
        <v/>
      </c>
      <c r="BB576">
        <f>'T_SelfStock'!AZ39</f>
        <v/>
      </c>
      <c r="BC576">
        <f>'T_SelfStock'!BA39</f>
        <v/>
      </c>
      <c r="BD576">
        <f>'T_SelfStock'!BB39</f>
        <v/>
      </c>
      <c r="BE576">
        <f>'T_SelfStock'!BC39</f>
        <v/>
      </c>
      <c r="BF576">
        <f>'T_SelfStock'!BD39</f>
        <v/>
      </c>
      <c r="BG576">
        <f>'T_SelfStock'!BE39</f>
        <v/>
      </c>
      <c r="BH576">
        <f>'T_SelfStock'!BF39</f>
        <v/>
      </c>
      <c r="BI576">
        <f>'T_SelfStock'!BG39</f>
        <v/>
      </c>
      <c r="BJ576">
        <f>'T_SelfStock'!BH39</f>
        <v/>
      </c>
      <c r="BK576">
        <f>'T_SelfStock'!BI39</f>
        <v/>
      </c>
      <c r="BL576">
        <f>'T_SelfStock'!BJ39</f>
        <v/>
      </c>
      <c r="BM576">
        <f>'T_SelfStock'!BK39</f>
        <v/>
      </c>
      <c r="BN576">
        <f>'T_SelfStock'!BL39</f>
        <v/>
      </c>
      <c r="BO576">
        <f>'T_SelfStock'!BM39</f>
        <v/>
      </c>
      <c r="BP576">
        <f>'T_SelfStock'!BN39</f>
        <v/>
      </c>
      <c r="BQ576">
        <f>'T_SelfStock'!BO39</f>
        <v/>
      </c>
      <c r="BR576">
        <f>'T_SelfStock'!BP39</f>
        <v/>
      </c>
      <c r="BS576">
        <f>'T_SelfStock'!BQ39</f>
        <v/>
      </c>
      <c r="BT576">
        <f>'T_SelfStock'!BR39</f>
        <v/>
      </c>
      <c r="BU576">
        <f>'T_SelfStock'!BS39</f>
        <v/>
      </c>
      <c r="BV576">
        <f>'T_SelfStock'!BT39</f>
        <v/>
      </c>
      <c r="BW576">
        <f>'T_SelfStock'!BU39</f>
        <v/>
      </c>
      <c r="BX576">
        <f>'T_SelfStock'!BV39</f>
        <v/>
      </c>
      <c r="BY576">
        <f>'T_SelfStock'!BW39</f>
        <v/>
      </c>
      <c r="BZ576">
        <f>'T_SelfStock'!BX39</f>
        <v/>
      </c>
      <c r="CA576">
        <f>'T_SelfStock'!BY39</f>
        <v/>
      </c>
      <c r="CB576">
        <f>'T_SelfStock'!BZ39</f>
        <v/>
      </c>
      <c r="CC576">
        <f>'T_SelfStock'!CA39</f>
        <v/>
      </c>
      <c r="CD576">
        <f>'T_SelfStock'!CB39</f>
        <v/>
      </c>
      <c r="CE576">
        <f>'T_SelfStock'!CC39</f>
        <v/>
      </c>
      <c r="CF576">
        <f>'T_SelfStock'!CD39</f>
        <v/>
      </c>
      <c r="CG576">
        <f>'T_SelfStock'!CE39</f>
        <v/>
      </c>
      <c r="CH576">
        <f>'T_SelfStock'!CF39</f>
        <v/>
      </c>
      <c r="CI576">
        <f>'T_SelfStock'!CG39</f>
        <v/>
      </c>
      <c r="CJ576">
        <f>'T_SelfStock'!CH39</f>
        <v/>
      </c>
      <c r="CK576">
        <f>'T_SelfStock'!CI39</f>
        <v/>
      </c>
      <c r="CL576">
        <f>'T_SelfStock'!CJ39</f>
        <v/>
      </c>
      <c r="CM576">
        <f>'T_SelfStock'!CK39</f>
        <v/>
      </c>
      <c r="CN576">
        <f>'T_SelfStock'!CL39</f>
        <v/>
      </c>
      <c r="CO576">
        <f>'T_SelfStock'!CM39</f>
        <v/>
      </c>
      <c r="CP576">
        <f>'T_SelfStock'!CN39</f>
        <v/>
      </c>
      <c r="CQ576">
        <f>'T_SelfStock'!CO39</f>
        <v/>
      </c>
      <c r="CR576">
        <f>'T_SelfStock'!CP39</f>
        <v/>
      </c>
      <c r="CS576">
        <f>'T_SelfStock'!CQ39</f>
        <v/>
      </c>
      <c r="CT576">
        <f>'T_SelfStock'!CR39</f>
        <v/>
      </c>
      <c r="CU576">
        <f>'T_SelfStock'!CS39</f>
        <v/>
      </c>
      <c r="CV576">
        <f>'T_SelfStock'!CT39</f>
        <v/>
      </c>
      <c r="CW576">
        <f>'T_SelfStock'!CU39</f>
        <v/>
      </c>
      <c r="CX576">
        <f>'T_SelfStock'!CV39</f>
        <v/>
      </c>
      <c r="CY576">
        <f>'T_SelfStock'!CW39</f>
        <v/>
      </c>
      <c r="CZ576">
        <f>'T_SelfStock'!CX39</f>
        <v/>
      </c>
      <c r="DA576">
        <f>'T_SelfStock'!CY39</f>
        <v/>
      </c>
      <c r="DB576">
        <f>'T_SelfStock'!CZ39</f>
        <v/>
      </c>
      <c r="DC576">
        <f>'T_SelfStock'!DA39</f>
        <v/>
      </c>
    </row>
    <row r="577">
      <c r="B577" s="4" t="inlineStr">
        <is>
          <t>合計在庫(週末時点,kg)</t>
        </is>
      </c>
      <c r="D577">
        <f>'Grid_Stock'!B35</f>
        <v/>
      </c>
      <c r="E577">
        <f>'Grid_Stock'!C35</f>
        <v/>
      </c>
      <c r="F577">
        <f>'Grid_Stock'!D35</f>
        <v/>
      </c>
      <c r="G577">
        <f>'Grid_Stock'!E35</f>
        <v/>
      </c>
      <c r="H577">
        <f>'Grid_Stock'!F35</f>
        <v/>
      </c>
      <c r="I577">
        <f>'Grid_Stock'!G35</f>
        <v/>
      </c>
      <c r="J577">
        <f>'Grid_Stock'!H35</f>
        <v/>
      </c>
      <c r="K577">
        <f>'Grid_Stock'!I35</f>
        <v/>
      </c>
      <c r="L577">
        <f>'Grid_Stock'!J35</f>
        <v/>
      </c>
      <c r="M577">
        <f>'Grid_Stock'!K35</f>
        <v/>
      </c>
      <c r="N577">
        <f>'Grid_Stock'!L35</f>
        <v/>
      </c>
      <c r="O577">
        <f>'Grid_Stock'!M35</f>
        <v/>
      </c>
      <c r="P577">
        <f>'Grid_Stock'!N35</f>
        <v/>
      </c>
      <c r="Q577">
        <f>'Grid_Stock'!O35</f>
        <v/>
      </c>
      <c r="R577">
        <f>'Grid_Stock'!P35</f>
        <v/>
      </c>
      <c r="S577">
        <f>'Grid_Stock'!Q35</f>
        <v/>
      </c>
      <c r="T577">
        <f>'Grid_Stock'!R35</f>
        <v/>
      </c>
      <c r="U577">
        <f>'Grid_Stock'!S35</f>
        <v/>
      </c>
      <c r="V577">
        <f>'Grid_Stock'!T35</f>
        <v/>
      </c>
      <c r="W577">
        <f>'Grid_Stock'!U35</f>
        <v/>
      </c>
      <c r="X577">
        <f>'Grid_Stock'!V35</f>
        <v/>
      </c>
      <c r="Y577">
        <f>'Grid_Stock'!W35</f>
        <v/>
      </c>
      <c r="Z577">
        <f>'Grid_Stock'!X35</f>
        <v/>
      </c>
      <c r="AA577">
        <f>'Grid_Stock'!Y35</f>
        <v/>
      </c>
      <c r="AB577">
        <f>'Grid_Stock'!Z35</f>
        <v/>
      </c>
      <c r="AC577">
        <f>'Grid_Stock'!AA35</f>
        <v/>
      </c>
      <c r="AD577">
        <f>'Grid_Stock'!AB35</f>
        <v/>
      </c>
      <c r="AE577">
        <f>'Grid_Stock'!AC35</f>
        <v/>
      </c>
      <c r="AF577">
        <f>'Grid_Stock'!AD35</f>
        <v/>
      </c>
      <c r="AG577">
        <f>'Grid_Stock'!AE35</f>
        <v/>
      </c>
      <c r="AH577">
        <f>'Grid_Stock'!AF35</f>
        <v/>
      </c>
      <c r="AI577">
        <f>'Grid_Stock'!AG35</f>
        <v/>
      </c>
      <c r="AJ577">
        <f>'Grid_Stock'!AH35</f>
        <v/>
      </c>
      <c r="AK577">
        <f>'Grid_Stock'!AI35</f>
        <v/>
      </c>
      <c r="AL577">
        <f>'Grid_Stock'!AJ35</f>
        <v/>
      </c>
      <c r="AM577">
        <f>'Grid_Stock'!AK35</f>
        <v/>
      </c>
      <c r="AN577">
        <f>'Grid_Stock'!AL35</f>
        <v/>
      </c>
      <c r="AO577">
        <f>'Grid_Stock'!AM35</f>
        <v/>
      </c>
      <c r="AP577">
        <f>'Grid_Stock'!AN35</f>
        <v/>
      </c>
      <c r="AQ577">
        <f>'Grid_Stock'!AO35</f>
        <v/>
      </c>
      <c r="AR577">
        <f>'Grid_Stock'!AP35</f>
        <v/>
      </c>
      <c r="AS577">
        <f>'Grid_Stock'!AQ35</f>
        <v/>
      </c>
      <c r="AT577">
        <f>'Grid_Stock'!AR35</f>
        <v/>
      </c>
      <c r="AU577">
        <f>'Grid_Stock'!AS35</f>
        <v/>
      </c>
      <c r="AV577">
        <f>'Grid_Stock'!AT35</f>
        <v/>
      </c>
      <c r="AW577">
        <f>'Grid_Stock'!AU35</f>
        <v/>
      </c>
      <c r="AX577">
        <f>'Grid_Stock'!AV35</f>
        <v/>
      </c>
      <c r="AY577">
        <f>'Grid_Stock'!AW35</f>
        <v/>
      </c>
      <c r="AZ577">
        <f>'Grid_Stock'!AX35</f>
        <v/>
      </c>
      <c r="BA577">
        <f>'Grid_Stock'!AY35</f>
        <v/>
      </c>
      <c r="BB577">
        <f>'Grid_Stock'!AZ35</f>
        <v/>
      </c>
      <c r="BC577">
        <f>'Grid_Stock'!BA35</f>
        <v/>
      </c>
      <c r="BD577">
        <f>'Grid_Stock'!BB35</f>
        <v/>
      </c>
      <c r="BE577">
        <f>'Grid_Stock'!BC35</f>
        <v/>
      </c>
      <c r="BF577">
        <f>'Grid_Stock'!BD35</f>
        <v/>
      </c>
      <c r="BG577">
        <f>'Grid_Stock'!BE35</f>
        <v/>
      </c>
      <c r="BH577">
        <f>'Grid_Stock'!BF35</f>
        <v/>
      </c>
      <c r="BI577">
        <f>'Grid_Stock'!BG35</f>
        <v/>
      </c>
      <c r="BJ577">
        <f>'Grid_Stock'!BH35</f>
        <v/>
      </c>
      <c r="BK577">
        <f>'Grid_Stock'!BI35</f>
        <v/>
      </c>
      <c r="BL577">
        <f>'Grid_Stock'!BJ35</f>
        <v/>
      </c>
      <c r="BM577">
        <f>'Grid_Stock'!BK35</f>
        <v/>
      </c>
      <c r="BN577">
        <f>'Grid_Stock'!BL35</f>
        <v/>
      </c>
      <c r="BO577">
        <f>'Grid_Stock'!BM35</f>
        <v/>
      </c>
      <c r="BP577">
        <f>'Grid_Stock'!BN35</f>
        <v/>
      </c>
      <c r="BQ577">
        <f>'Grid_Stock'!BO35</f>
        <v/>
      </c>
      <c r="BR577">
        <f>'Grid_Stock'!BP35</f>
        <v/>
      </c>
      <c r="BS577">
        <f>'Grid_Stock'!BQ35</f>
        <v/>
      </c>
      <c r="BT577">
        <f>'Grid_Stock'!BR35</f>
        <v/>
      </c>
      <c r="BU577">
        <f>'Grid_Stock'!BS35</f>
        <v/>
      </c>
      <c r="BV577">
        <f>'Grid_Stock'!BT35</f>
        <v/>
      </c>
      <c r="BW577">
        <f>'Grid_Stock'!BU35</f>
        <v/>
      </c>
      <c r="BX577">
        <f>'Grid_Stock'!BV35</f>
        <v/>
      </c>
      <c r="BY577">
        <f>'Grid_Stock'!BW35</f>
        <v/>
      </c>
      <c r="BZ577">
        <f>'Grid_Stock'!BX35</f>
        <v/>
      </c>
      <c r="CA577">
        <f>'Grid_Stock'!BY35</f>
        <v/>
      </c>
      <c r="CB577">
        <f>'Grid_Stock'!BZ35</f>
        <v/>
      </c>
      <c r="CC577">
        <f>'Grid_Stock'!CA35</f>
        <v/>
      </c>
      <c r="CD577">
        <f>'Grid_Stock'!CB35</f>
        <v/>
      </c>
      <c r="CE577">
        <f>'Grid_Stock'!CC35</f>
        <v/>
      </c>
      <c r="CF577">
        <f>'Grid_Stock'!CD35</f>
        <v/>
      </c>
      <c r="CG577">
        <f>'Grid_Stock'!CE35</f>
        <v/>
      </c>
      <c r="CH577">
        <f>'Grid_Stock'!CF35</f>
        <v/>
      </c>
      <c r="CI577">
        <f>'Grid_Stock'!CG35</f>
        <v/>
      </c>
      <c r="CJ577">
        <f>'Grid_Stock'!CH35</f>
        <v/>
      </c>
      <c r="CK577">
        <f>'Grid_Stock'!CI35</f>
        <v/>
      </c>
      <c r="CL577">
        <f>'Grid_Stock'!CJ35</f>
        <v/>
      </c>
      <c r="CM577">
        <f>'Grid_Stock'!CK35</f>
        <v/>
      </c>
      <c r="CN577">
        <f>'Grid_Stock'!CL35</f>
        <v/>
      </c>
      <c r="CO577">
        <f>'Grid_Stock'!CM35</f>
        <v/>
      </c>
      <c r="CP577">
        <f>'Grid_Stock'!CN35</f>
        <v/>
      </c>
      <c r="CQ577">
        <f>'Grid_Stock'!CO35</f>
        <v/>
      </c>
      <c r="CR577">
        <f>'Grid_Stock'!CP35</f>
        <v/>
      </c>
      <c r="CS577">
        <f>'Grid_Stock'!CQ35</f>
        <v/>
      </c>
      <c r="CT577">
        <f>'Grid_Stock'!CR35</f>
        <v/>
      </c>
      <c r="CU577">
        <f>'Grid_Stock'!CS35</f>
        <v/>
      </c>
      <c r="CV577">
        <f>'Grid_Stock'!CT35</f>
        <v/>
      </c>
      <c r="CW577">
        <f>'Grid_Stock'!CU35</f>
        <v/>
      </c>
      <c r="CX577">
        <f>'Grid_Stock'!CV35</f>
        <v/>
      </c>
      <c r="CY577">
        <f>'Grid_Stock'!CW35</f>
        <v/>
      </c>
      <c r="CZ577">
        <f>'Grid_Stock'!CX35</f>
        <v/>
      </c>
      <c r="DA577">
        <f>'Grid_Stock'!CY35</f>
        <v/>
      </c>
      <c r="DB577">
        <f>'Grid_Stock'!CZ35</f>
        <v/>
      </c>
      <c r="DC577">
        <f>'Grid_Stock'!DA35</f>
        <v/>
      </c>
    </row>
    <row r="578">
      <c r="B578" s="16" t="inlineStr">
        <is>
          <t>（発注の目安はDashboardの基準在庫[下限/上限]と色分けを参照）</t>
        </is>
      </c>
    </row>
    <row r="580">
      <c r="A580" s="14" t="inlineStr">
        <is>
          <t>0JN</t>
        </is>
      </c>
      <c r="B580" s="14" t="inlineStr">
        <is>
          <t>N30S/10 : 11R-11 (F2090) Poland</t>
        </is>
      </c>
      <c r="C580" s="15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4" t="n"/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  <c r="BS580" s="14" t="n"/>
      <c r="BT580" s="14" t="n"/>
      <c r="BU580" s="14" t="n"/>
      <c r="BV580" s="14" t="n"/>
      <c r="BW580" s="14" t="n"/>
      <c r="BX580" s="14" t="n"/>
      <c r="BY580" s="14" t="n"/>
      <c r="BZ580" s="14" t="n"/>
      <c r="CA580" s="14" t="n"/>
      <c r="CB580" s="14" t="n"/>
      <c r="CC580" s="14" t="n"/>
      <c r="CD580" s="14" t="n"/>
      <c r="CE580" s="14" t="n"/>
      <c r="CF580" s="14" t="n"/>
      <c r="CG580" s="14" t="n"/>
      <c r="CH580" s="14" t="n"/>
      <c r="CI580" s="14" t="n"/>
      <c r="CJ580" s="14" t="n"/>
      <c r="CK580" s="14" t="n"/>
      <c r="CL580" s="14" t="n"/>
      <c r="CM580" s="14" t="n"/>
      <c r="CN580" s="14" t="n"/>
      <c r="CO580" s="14" t="n"/>
      <c r="CP580" s="14" t="n"/>
      <c r="CQ580" s="14" t="n"/>
      <c r="CR580" s="14" t="n"/>
      <c r="CS580" s="14" t="n"/>
      <c r="CT580" s="14" t="n"/>
      <c r="CU580" s="14" t="n"/>
      <c r="CV580" s="14" t="n"/>
      <c r="CW580" s="14" t="n"/>
      <c r="CX580" s="14" t="n"/>
      <c r="CY580" s="14" t="n"/>
      <c r="CZ580" s="14" t="n"/>
      <c r="DA580" s="14" t="n"/>
      <c r="DB580" s="14" t="n"/>
      <c r="DC580" s="14" t="n"/>
    </row>
    <row r="581">
      <c r="B581" t="inlineStr">
        <is>
          <t>TSP-219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7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Name],$A580)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TVS-833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7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Name],$A580)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TSP-1449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7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Name],$A580)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VSP-600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7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Name],$A580)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VSP-601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7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Name],$A580)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VSP-603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7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Name],$A580)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t="inlineStr">
        <is>
          <t>VSP-604</t>
        </is>
      </c>
      <c r="C593" t="inlineStr">
        <is>
          <t>No. of batches</t>
        </is>
      </c>
      <c r="D593">
        <f>IFERROR(INDEX(PP_Grid[#Data],$DD593,2),0)</f>
        <v/>
      </c>
      <c r="E593">
        <f>IFERROR(INDEX(PP_Grid[#Data],$DD593,3),0)</f>
        <v/>
      </c>
      <c r="F593">
        <f>IFERROR(INDEX(PP_Grid[#Data],$DD593,4),0)</f>
        <v/>
      </c>
      <c r="G593">
        <f>IFERROR(INDEX(PP_Grid[#Data],$DD593,5),0)</f>
        <v/>
      </c>
      <c r="H593">
        <f>IFERROR(INDEX(PP_Grid[#Data],$DD593,6),0)</f>
        <v/>
      </c>
      <c r="I593">
        <f>IFERROR(INDEX(PP_Grid[#Data],$DD593,7),0)</f>
        <v/>
      </c>
      <c r="J593">
        <f>IFERROR(INDEX(PP_Grid[#Data],$DD593,8),0)</f>
        <v/>
      </c>
      <c r="K593">
        <f>IFERROR(INDEX(PP_Grid[#Data],$DD593,9),0)</f>
        <v/>
      </c>
      <c r="L593">
        <f>IFERROR(INDEX(PP_Grid[#Data],$DD593,10),0)</f>
        <v/>
      </c>
      <c r="M593">
        <f>IFERROR(INDEX(PP_Grid[#Data],$DD593,11),0)</f>
        <v/>
      </c>
      <c r="N593">
        <f>IFERROR(INDEX(PP_Grid[#Data],$DD593,12),0)</f>
        <v/>
      </c>
      <c r="O593">
        <f>IFERROR(INDEX(PP_Grid[#Data],$DD593,13),0)</f>
        <v/>
      </c>
      <c r="P593">
        <f>IFERROR(INDEX(PP_Grid[#Data],$DD593,14),0)</f>
        <v/>
      </c>
      <c r="Q593">
        <f>IFERROR(INDEX(PP_Grid[#Data],$DD593,15),0)</f>
        <v/>
      </c>
      <c r="R593">
        <f>IFERROR(INDEX(PP_Grid[#Data],$DD593,16),0)</f>
        <v/>
      </c>
      <c r="S593">
        <f>IFERROR(INDEX(PP_Grid[#Data],$DD593,17),0)</f>
        <v/>
      </c>
      <c r="T593">
        <f>IFERROR(INDEX(PP_Grid[#Data],$DD593,18),0)</f>
        <v/>
      </c>
      <c r="U593">
        <f>IFERROR(INDEX(PP_Grid[#Data],$DD593,19),0)</f>
        <v/>
      </c>
      <c r="V593">
        <f>IFERROR(INDEX(PP_Grid[#Data],$DD593,20),0)</f>
        <v/>
      </c>
      <c r="W593">
        <f>IFERROR(INDEX(PP_Grid[#Data],$DD593,21),0)</f>
        <v/>
      </c>
      <c r="X593">
        <f>IFERROR(INDEX(PP_Grid[#Data],$DD593,22),0)</f>
        <v/>
      </c>
      <c r="Y593">
        <f>IFERROR(INDEX(PP_Grid[#Data],$DD593,23),0)</f>
        <v/>
      </c>
      <c r="Z593">
        <f>IFERROR(INDEX(PP_Grid[#Data],$DD593,24),0)</f>
        <v/>
      </c>
      <c r="AA593">
        <f>IFERROR(INDEX(PP_Grid[#Data],$DD593,25),0)</f>
        <v/>
      </c>
      <c r="AB593">
        <f>IFERROR(INDEX(PP_Grid[#Data],$DD593,26),0)</f>
        <v/>
      </c>
      <c r="AC593">
        <f>IFERROR(INDEX(PP_Grid[#Data],$DD593,27),0)</f>
        <v/>
      </c>
      <c r="AD593">
        <f>IFERROR(INDEX(PP_Grid[#Data],$DD593,28),0)</f>
        <v/>
      </c>
      <c r="AE593">
        <f>IFERROR(INDEX(PP_Grid[#Data],$DD593,29),0)</f>
        <v/>
      </c>
      <c r="AF593">
        <f>IFERROR(INDEX(PP_Grid[#Data],$DD593,30),0)</f>
        <v/>
      </c>
      <c r="AG593">
        <f>IFERROR(INDEX(PP_Grid[#Data],$DD593,31),0)</f>
        <v/>
      </c>
      <c r="AH593">
        <f>IFERROR(INDEX(PP_Grid[#Data],$DD593,32),0)</f>
        <v/>
      </c>
      <c r="AI593">
        <f>IFERROR(INDEX(PP_Grid[#Data],$DD593,33),0)</f>
        <v/>
      </c>
      <c r="AJ593">
        <f>IFERROR(INDEX(PP_Grid[#Data],$DD593,34),0)</f>
        <v/>
      </c>
      <c r="AK593">
        <f>IFERROR(INDEX(PP_Grid[#Data],$DD593,35),0)</f>
        <v/>
      </c>
      <c r="AL593">
        <f>IFERROR(INDEX(PP_Grid[#Data],$DD593,36),0)</f>
        <v/>
      </c>
      <c r="AM593">
        <f>IFERROR(INDEX(PP_Grid[#Data],$DD593,37),0)</f>
        <v/>
      </c>
      <c r="AN593">
        <f>IFERROR(INDEX(PP_Grid[#Data],$DD593,38),0)</f>
        <v/>
      </c>
      <c r="AO593">
        <f>IFERROR(INDEX(PP_Grid[#Data],$DD593,39),0)</f>
        <v/>
      </c>
      <c r="AP593">
        <f>IFERROR(INDEX(PP_Grid[#Data],$DD593,40),0)</f>
        <v/>
      </c>
      <c r="AQ593">
        <f>IFERROR(INDEX(PP_Grid[#Data],$DD593,41),0)</f>
        <v/>
      </c>
      <c r="AR593">
        <f>IFERROR(INDEX(PP_Grid[#Data],$DD593,42),0)</f>
        <v/>
      </c>
      <c r="AS593">
        <f>IFERROR(INDEX(PP_Grid[#Data],$DD593,43),0)</f>
        <v/>
      </c>
      <c r="AT593">
        <f>IFERROR(INDEX(PP_Grid[#Data],$DD593,44),0)</f>
        <v/>
      </c>
      <c r="AU593">
        <f>IFERROR(INDEX(PP_Grid[#Data],$DD593,45),0)</f>
        <v/>
      </c>
      <c r="AV593">
        <f>IFERROR(INDEX(PP_Grid[#Data],$DD593,46),0)</f>
        <v/>
      </c>
      <c r="AW593">
        <f>IFERROR(INDEX(PP_Grid[#Data],$DD593,47),0)</f>
        <v/>
      </c>
      <c r="AX593">
        <f>IFERROR(INDEX(PP_Grid[#Data],$DD593,48),0)</f>
        <v/>
      </c>
      <c r="AY593">
        <f>IFERROR(INDEX(PP_Grid[#Data],$DD593,49),0)</f>
        <v/>
      </c>
      <c r="AZ593">
        <f>IFERROR(INDEX(PP_Grid[#Data],$DD593,50),0)</f>
        <v/>
      </c>
      <c r="BA593">
        <f>IFERROR(INDEX(PP_Grid[#Data],$DD593,51),0)</f>
        <v/>
      </c>
      <c r="BB593">
        <f>IFERROR(INDEX(PP_Grid[#Data],$DD593,52),0)</f>
        <v/>
      </c>
      <c r="BC593">
        <f>IFERROR(INDEX(PP_Grid[#Data],$DD593,53),0)</f>
        <v/>
      </c>
      <c r="BD593">
        <f>IFERROR(INDEX(PP_Grid[#Data],$DD593,54),0)</f>
        <v/>
      </c>
      <c r="BE593">
        <f>IFERROR(INDEX(PP_Grid[#Data],$DD593,55),0)</f>
        <v/>
      </c>
      <c r="BF593">
        <f>IFERROR(INDEX(PP_Grid[#Data],$DD593,56),0)</f>
        <v/>
      </c>
      <c r="BG593">
        <f>IFERROR(INDEX(PP_Grid[#Data],$DD593,57),0)</f>
        <v/>
      </c>
      <c r="BH593">
        <f>IFERROR(INDEX(PP_Grid[#Data],$DD593,58),0)</f>
        <v/>
      </c>
      <c r="BI593">
        <f>IFERROR(INDEX(PP_Grid[#Data],$DD593,59),0)</f>
        <v/>
      </c>
      <c r="BJ593">
        <f>IFERROR(INDEX(PP_Grid[#Data],$DD593,60),0)</f>
        <v/>
      </c>
      <c r="BK593">
        <f>IFERROR(INDEX(PP_Grid[#Data],$DD593,61),0)</f>
        <v/>
      </c>
      <c r="BL593">
        <f>IFERROR(INDEX(PP_Grid[#Data],$DD593,62),0)</f>
        <v/>
      </c>
      <c r="BM593">
        <f>IFERROR(INDEX(PP_Grid[#Data],$DD593,63),0)</f>
        <v/>
      </c>
      <c r="BN593">
        <f>IFERROR(INDEX(PP_Grid[#Data],$DD593,64),0)</f>
        <v/>
      </c>
      <c r="BO593">
        <f>IFERROR(INDEX(PP_Grid[#Data],$DD593,65),0)</f>
        <v/>
      </c>
      <c r="BP593">
        <f>IFERROR(INDEX(PP_Grid[#Data],$DD593,66),0)</f>
        <v/>
      </c>
      <c r="BQ593">
        <f>IFERROR(INDEX(PP_Grid[#Data],$DD593,67),0)</f>
        <v/>
      </c>
      <c r="BR593">
        <f>IFERROR(INDEX(PP_Grid[#Data],$DD593,68),0)</f>
        <v/>
      </c>
      <c r="BS593">
        <f>IFERROR(INDEX(PP_Grid[#Data],$DD593,69),0)</f>
        <v/>
      </c>
      <c r="BT593">
        <f>IFERROR(INDEX(PP_Grid[#Data],$DD593,70),0)</f>
        <v/>
      </c>
      <c r="BU593">
        <f>IFERROR(INDEX(PP_Grid[#Data],$DD593,71),0)</f>
        <v/>
      </c>
      <c r="BV593">
        <f>IFERROR(INDEX(PP_Grid[#Data],$DD593,72),0)</f>
        <v/>
      </c>
      <c r="BW593">
        <f>IFERROR(INDEX(PP_Grid[#Data],$DD593,73),0)</f>
        <v/>
      </c>
      <c r="BX593">
        <f>IFERROR(INDEX(PP_Grid[#Data],$DD593,74),0)</f>
        <v/>
      </c>
      <c r="BY593">
        <f>IFERROR(INDEX(PP_Grid[#Data],$DD593,75),0)</f>
        <v/>
      </c>
      <c r="BZ593">
        <f>IFERROR(INDEX(PP_Grid[#Data],$DD593,76),0)</f>
        <v/>
      </c>
      <c r="CA593">
        <f>IFERROR(INDEX(PP_Grid[#Data],$DD593,77),0)</f>
        <v/>
      </c>
      <c r="CB593">
        <f>IFERROR(INDEX(PP_Grid[#Data],$DD593,78),0)</f>
        <v/>
      </c>
      <c r="CC593">
        <f>IFERROR(INDEX(PP_Grid[#Data],$DD593,79),0)</f>
        <v/>
      </c>
      <c r="CD593">
        <f>IFERROR(INDEX(PP_Grid[#Data],$DD593,80),0)</f>
        <v/>
      </c>
      <c r="CE593">
        <f>IFERROR(INDEX(PP_Grid[#Data],$DD593,81),0)</f>
        <v/>
      </c>
      <c r="CF593">
        <f>IFERROR(INDEX(PP_Grid[#Data],$DD593,82),0)</f>
        <v/>
      </c>
      <c r="CG593">
        <f>IFERROR(INDEX(PP_Grid[#Data],$DD593,83),0)</f>
        <v/>
      </c>
      <c r="CH593">
        <f>IFERROR(INDEX(PP_Grid[#Data],$DD593,84),0)</f>
        <v/>
      </c>
      <c r="CI593">
        <f>IFERROR(INDEX(PP_Grid[#Data],$DD593,85),0)</f>
        <v/>
      </c>
      <c r="CJ593">
        <f>IFERROR(INDEX(PP_Grid[#Data],$DD593,86),0)</f>
        <v/>
      </c>
      <c r="CK593">
        <f>IFERROR(INDEX(PP_Grid[#Data],$DD593,87),0)</f>
        <v/>
      </c>
      <c r="CL593">
        <f>IFERROR(INDEX(PP_Grid[#Data],$DD593,88),0)</f>
        <v/>
      </c>
      <c r="CM593">
        <f>IFERROR(INDEX(PP_Grid[#Data],$DD593,89),0)</f>
        <v/>
      </c>
      <c r="CN593">
        <f>IFERROR(INDEX(PP_Grid[#Data],$DD593,90),0)</f>
        <v/>
      </c>
      <c r="CO593">
        <f>IFERROR(INDEX(PP_Grid[#Data],$DD593,91),0)</f>
        <v/>
      </c>
      <c r="CP593">
        <f>IFERROR(INDEX(PP_Grid[#Data],$DD593,92),0)</f>
        <v/>
      </c>
      <c r="CQ593">
        <f>IFERROR(INDEX(PP_Grid[#Data],$DD593,93),0)</f>
        <v/>
      </c>
      <c r="CR593">
        <f>IFERROR(INDEX(PP_Grid[#Data],$DD593,94),0)</f>
        <v/>
      </c>
      <c r="CS593">
        <f>IFERROR(INDEX(PP_Grid[#Data],$DD593,95),0)</f>
        <v/>
      </c>
      <c r="CT593">
        <f>IFERROR(INDEX(PP_Grid[#Data],$DD593,96),0)</f>
        <v/>
      </c>
      <c r="CU593">
        <f>IFERROR(INDEX(PP_Grid[#Data],$DD593,97),0)</f>
        <v/>
      </c>
      <c r="CV593">
        <f>IFERROR(INDEX(PP_Grid[#Data],$DD593,98),0)</f>
        <v/>
      </c>
      <c r="CW593">
        <f>IFERROR(INDEX(PP_Grid[#Data],$DD593,99),0)</f>
        <v/>
      </c>
      <c r="CX593">
        <f>IFERROR(INDEX(PP_Grid[#Data],$DD593,100),0)</f>
        <v/>
      </c>
      <c r="CY593">
        <f>IFERROR(INDEX(PP_Grid[#Data],$DD593,101),0)</f>
        <v/>
      </c>
      <c r="CZ593">
        <f>IFERROR(INDEX(PP_Grid[#Data],$DD593,102),0)</f>
        <v/>
      </c>
      <c r="DA593">
        <f>IFERROR(INDEX(PP_Grid[#Data],$DD593,103),0)</f>
        <v/>
      </c>
      <c r="DB593">
        <f>IFERROR(INDEX(PP_Grid[#Data],$DD593,104),0)</f>
        <v/>
      </c>
      <c r="DC593">
        <f>IFERROR(INDEX(PP_Grid[#Data],$DD593,105),0)</f>
        <v/>
      </c>
      <c r="DD593" s="7">
        <f>IFERROR(MATCH($B593,PP_Grid[Intermediate],0),99999)</f>
        <v/>
      </c>
    </row>
    <row r="594">
      <c r="B594" t="inlineStr">
        <is>
          <t>使用量(kg)</t>
        </is>
      </c>
      <c r="C594">
        <f>SUMIFS(M_BOM[RM_Qty_Per_Batch],M_BOM[Intermediate],$B593,M_BOM[Part Name],$A580)</f>
        <v/>
      </c>
      <c r="D594">
        <f>$C594*D593</f>
        <v/>
      </c>
      <c r="E594">
        <f>$C594*E593</f>
        <v/>
      </c>
      <c r="F594">
        <f>$C594*F593</f>
        <v/>
      </c>
      <c r="G594">
        <f>$C594*G593</f>
        <v/>
      </c>
      <c r="H594">
        <f>$C594*H593</f>
        <v/>
      </c>
      <c r="I594">
        <f>$C594*I593</f>
        <v/>
      </c>
      <c r="J594">
        <f>$C594*J593</f>
        <v/>
      </c>
      <c r="K594">
        <f>$C594*K593</f>
        <v/>
      </c>
      <c r="L594">
        <f>$C594*L593</f>
        <v/>
      </c>
      <c r="M594">
        <f>$C594*M593</f>
        <v/>
      </c>
      <c r="N594">
        <f>$C594*N593</f>
        <v/>
      </c>
      <c r="O594">
        <f>$C594*O593</f>
        <v/>
      </c>
      <c r="P594">
        <f>$C594*P593</f>
        <v/>
      </c>
      <c r="Q594">
        <f>$C594*Q593</f>
        <v/>
      </c>
      <c r="R594">
        <f>$C594*R593</f>
        <v/>
      </c>
      <c r="S594">
        <f>$C594*S593</f>
        <v/>
      </c>
      <c r="T594">
        <f>$C594*T593</f>
        <v/>
      </c>
      <c r="U594">
        <f>$C594*U593</f>
        <v/>
      </c>
      <c r="V594">
        <f>$C594*V593</f>
        <v/>
      </c>
      <c r="W594">
        <f>$C594*W593</f>
        <v/>
      </c>
      <c r="X594">
        <f>$C594*X593</f>
        <v/>
      </c>
      <c r="Y594">
        <f>$C594*Y593</f>
        <v/>
      </c>
      <c r="Z594">
        <f>$C594*Z593</f>
        <v/>
      </c>
      <c r="AA594">
        <f>$C594*AA593</f>
        <v/>
      </c>
      <c r="AB594">
        <f>$C594*AB593</f>
        <v/>
      </c>
      <c r="AC594">
        <f>$C594*AC593</f>
        <v/>
      </c>
      <c r="AD594">
        <f>$C594*AD593</f>
        <v/>
      </c>
      <c r="AE594">
        <f>$C594*AE593</f>
        <v/>
      </c>
      <c r="AF594">
        <f>$C594*AF593</f>
        <v/>
      </c>
      <c r="AG594">
        <f>$C594*AG593</f>
        <v/>
      </c>
      <c r="AH594">
        <f>$C594*AH593</f>
        <v/>
      </c>
      <c r="AI594">
        <f>$C594*AI593</f>
        <v/>
      </c>
      <c r="AJ594">
        <f>$C594*AJ593</f>
        <v/>
      </c>
      <c r="AK594">
        <f>$C594*AK593</f>
        <v/>
      </c>
      <c r="AL594">
        <f>$C594*AL593</f>
        <v/>
      </c>
      <c r="AM594">
        <f>$C594*AM593</f>
        <v/>
      </c>
      <c r="AN594">
        <f>$C594*AN593</f>
        <v/>
      </c>
      <c r="AO594">
        <f>$C594*AO593</f>
        <v/>
      </c>
      <c r="AP594">
        <f>$C594*AP593</f>
        <v/>
      </c>
      <c r="AQ594">
        <f>$C594*AQ593</f>
        <v/>
      </c>
      <c r="AR594">
        <f>$C594*AR593</f>
        <v/>
      </c>
      <c r="AS594">
        <f>$C594*AS593</f>
        <v/>
      </c>
      <c r="AT594">
        <f>$C594*AT593</f>
        <v/>
      </c>
      <c r="AU594">
        <f>$C594*AU593</f>
        <v/>
      </c>
      <c r="AV594">
        <f>$C594*AV593</f>
        <v/>
      </c>
      <c r="AW594">
        <f>$C594*AW593</f>
        <v/>
      </c>
      <c r="AX594">
        <f>$C594*AX593</f>
        <v/>
      </c>
      <c r="AY594">
        <f>$C594*AY593</f>
        <v/>
      </c>
      <c r="AZ594">
        <f>$C594*AZ593</f>
        <v/>
      </c>
      <c r="BA594">
        <f>$C594*BA593</f>
        <v/>
      </c>
      <c r="BB594">
        <f>$C594*BB593</f>
        <v/>
      </c>
      <c r="BC594">
        <f>$C594*BC593</f>
        <v/>
      </c>
      <c r="BD594">
        <f>$C594*BD593</f>
        <v/>
      </c>
      <c r="BE594">
        <f>$C594*BE593</f>
        <v/>
      </c>
      <c r="BF594">
        <f>$C594*BF593</f>
        <v/>
      </c>
      <c r="BG594">
        <f>$C594*BG593</f>
        <v/>
      </c>
      <c r="BH594">
        <f>$C594*BH593</f>
        <v/>
      </c>
      <c r="BI594">
        <f>$C594*BI593</f>
        <v/>
      </c>
      <c r="BJ594">
        <f>$C594*BJ593</f>
        <v/>
      </c>
      <c r="BK594">
        <f>$C594*BK593</f>
        <v/>
      </c>
      <c r="BL594">
        <f>$C594*BL593</f>
        <v/>
      </c>
      <c r="BM594">
        <f>$C594*BM593</f>
        <v/>
      </c>
      <c r="BN594">
        <f>$C594*BN593</f>
        <v/>
      </c>
      <c r="BO594">
        <f>$C594*BO593</f>
        <v/>
      </c>
      <c r="BP594">
        <f>$C594*BP593</f>
        <v/>
      </c>
      <c r="BQ594">
        <f>$C594*BQ593</f>
        <v/>
      </c>
      <c r="BR594">
        <f>$C594*BR593</f>
        <v/>
      </c>
      <c r="BS594">
        <f>$C594*BS593</f>
        <v/>
      </c>
      <c r="BT594">
        <f>$C594*BT593</f>
        <v/>
      </c>
      <c r="BU594">
        <f>$C594*BU593</f>
        <v/>
      </c>
      <c r="BV594">
        <f>$C594*BV593</f>
        <v/>
      </c>
      <c r="BW594">
        <f>$C594*BW593</f>
        <v/>
      </c>
      <c r="BX594">
        <f>$C594*BX593</f>
        <v/>
      </c>
      <c r="BY594">
        <f>$C594*BY593</f>
        <v/>
      </c>
      <c r="BZ594">
        <f>$C594*BZ593</f>
        <v/>
      </c>
      <c r="CA594">
        <f>$C594*CA593</f>
        <v/>
      </c>
      <c r="CB594">
        <f>$C594*CB593</f>
        <v/>
      </c>
      <c r="CC594">
        <f>$C594*CC593</f>
        <v/>
      </c>
      <c r="CD594">
        <f>$C594*CD593</f>
        <v/>
      </c>
      <c r="CE594">
        <f>$C594*CE593</f>
        <v/>
      </c>
      <c r="CF594">
        <f>$C594*CF593</f>
        <v/>
      </c>
      <c r="CG594">
        <f>$C594*CG593</f>
        <v/>
      </c>
      <c r="CH594">
        <f>$C594*CH593</f>
        <v/>
      </c>
      <c r="CI594">
        <f>$C594*CI593</f>
        <v/>
      </c>
      <c r="CJ594">
        <f>$C594*CJ593</f>
        <v/>
      </c>
      <c r="CK594">
        <f>$C594*CK593</f>
        <v/>
      </c>
      <c r="CL594">
        <f>$C594*CL593</f>
        <v/>
      </c>
      <c r="CM594">
        <f>$C594*CM593</f>
        <v/>
      </c>
      <c r="CN594">
        <f>$C594*CN593</f>
        <v/>
      </c>
      <c r="CO594">
        <f>$C594*CO593</f>
        <v/>
      </c>
      <c r="CP594">
        <f>$C594*CP593</f>
        <v/>
      </c>
      <c r="CQ594">
        <f>$C594*CQ593</f>
        <v/>
      </c>
      <c r="CR594">
        <f>$C594*CR593</f>
        <v/>
      </c>
      <c r="CS594">
        <f>$C594*CS593</f>
        <v/>
      </c>
      <c r="CT594">
        <f>$C594*CT593</f>
        <v/>
      </c>
      <c r="CU594">
        <f>$C594*CU593</f>
        <v/>
      </c>
      <c r="CV594">
        <f>$C594*CV593</f>
        <v/>
      </c>
      <c r="CW594">
        <f>$C594*CW593</f>
        <v/>
      </c>
      <c r="CX594">
        <f>$C594*CX593</f>
        <v/>
      </c>
      <c r="CY594">
        <f>$C594*CY593</f>
        <v/>
      </c>
      <c r="CZ594">
        <f>$C594*CZ593</f>
        <v/>
      </c>
      <c r="DA594">
        <f>$C594*DA593</f>
        <v/>
      </c>
      <c r="DB594">
        <f>$C594*DB593</f>
        <v/>
      </c>
      <c r="DC594">
        <f>$C594*DC593</f>
        <v/>
      </c>
    </row>
    <row r="595">
      <c r="B595" t="inlineStr">
        <is>
          <t>VSP-606</t>
        </is>
      </c>
      <c r="C595" t="inlineStr">
        <is>
          <t>No. of batches</t>
        </is>
      </c>
      <c r="D595">
        <f>IFERROR(INDEX(PP_Grid[#Data],$DD595,2),0)</f>
        <v/>
      </c>
      <c r="E595">
        <f>IFERROR(INDEX(PP_Grid[#Data],$DD595,3),0)</f>
        <v/>
      </c>
      <c r="F595">
        <f>IFERROR(INDEX(PP_Grid[#Data],$DD595,4),0)</f>
        <v/>
      </c>
      <c r="G595">
        <f>IFERROR(INDEX(PP_Grid[#Data],$DD595,5),0)</f>
        <v/>
      </c>
      <c r="H595">
        <f>IFERROR(INDEX(PP_Grid[#Data],$DD595,6),0)</f>
        <v/>
      </c>
      <c r="I595">
        <f>IFERROR(INDEX(PP_Grid[#Data],$DD595,7),0)</f>
        <v/>
      </c>
      <c r="J595">
        <f>IFERROR(INDEX(PP_Grid[#Data],$DD595,8),0)</f>
        <v/>
      </c>
      <c r="K595">
        <f>IFERROR(INDEX(PP_Grid[#Data],$DD595,9),0)</f>
        <v/>
      </c>
      <c r="L595">
        <f>IFERROR(INDEX(PP_Grid[#Data],$DD595,10),0)</f>
        <v/>
      </c>
      <c r="M595">
        <f>IFERROR(INDEX(PP_Grid[#Data],$DD595,11),0)</f>
        <v/>
      </c>
      <c r="N595">
        <f>IFERROR(INDEX(PP_Grid[#Data],$DD595,12),0)</f>
        <v/>
      </c>
      <c r="O595">
        <f>IFERROR(INDEX(PP_Grid[#Data],$DD595,13),0)</f>
        <v/>
      </c>
      <c r="P595">
        <f>IFERROR(INDEX(PP_Grid[#Data],$DD595,14),0)</f>
        <v/>
      </c>
      <c r="Q595">
        <f>IFERROR(INDEX(PP_Grid[#Data],$DD595,15),0)</f>
        <v/>
      </c>
      <c r="R595">
        <f>IFERROR(INDEX(PP_Grid[#Data],$DD595,16),0)</f>
        <v/>
      </c>
      <c r="S595">
        <f>IFERROR(INDEX(PP_Grid[#Data],$DD595,17),0)</f>
        <v/>
      </c>
      <c r="T595">
        <f>IFERROR(INDEX(PP_Grid[#Data],$DD595,18),0)</f>
        <v/>
      </c>
      <c r="U595">
        <f>IFERROR(INDEX(PP_Grid[#Data],$DD595,19),0)</f>
        <v/>
      </c>
      <c r="V595">
        <f>IFERROR(INDEX(PP_Grid[#Data],$DD595,20),0)</f>
        <v/>
      </c>
      <c r="W595">
        <f>IFERROR(INDEX(PP_Grid[#Data],$DD595,21),0)</f>
        <v/>
      </c>
      <c r="X595">
        <f>IFERROR(INDEX(PP_Grid[#Data],$DD595,22),0)</f>
        <v/>
      </c>
      <c r="Y595">
        <f>IFERROR(INDEX(PP_Grid[#Data],$DD595,23),0)</f>
        <v/>
      </c>
      <c r="Z595">
        <f>IFERROR(INDEX(PP_Grid[#Data],$DD595,24),0)</f>
        <v/>
      </c>
      <c r="AA595">
        <f>IFERROR(INDEX(PP_Grid[#Data],$DD595,25),0)</f>
        <v/>
      </c>
      <c r="AB595">
        <f>IFERROR(INDEX(PP_Grid[#Data],$DD595,26),0)</f>
        <v/>
      </c>
      <c r="AC595">
        <f>IFERROR(INDEX(PP_Grid[#Data],$DD595,27),0)</f>
        <v/>
      </c>
      <c r="AD595">
        <f>IFERROR(INDEX(PP_Grid[#Data],$DD595,28),0)</f>
        <v/>
      </c>
      <c r="AE595">
        <f>IFERROR(INDEX(PP_Grid[#Data],$DD595,29),0)</f>
        <v/>
      </c>
      <c r="AF595">
        <f>IFERROR(INDEX(PP_Grid[#Data],$DD595,30),0)</f>
        <v/>
      </c>
      <c r="AG595">
        <f>IFERROR(INDEX(PP_Grid[#Data],$DD595,31),0)</f>
        <v/>
      </c>
      <c r="AH595">
        <f>IFERROR(INDEX(PP_Grid[#Data],$DD595,32),0)</f>
        <v/>
      </c>
      <c r="AI595">
        <f>IFERROR(INDEX(PP_Grid[#Data],$DD595,33),0)</f>
        <v/>
      </c>
      <c r="AJ595">
        <f>IFERROR(INDEX(PP_Grid[#Data],$DD595,34),0)</f>
        <v/>
      </c>
      <c r="AK595">
        <f>IFERROR(INDEX(PP_Grid[#Data],$DD595,35),0)</f>
        <v/>
      </c>
      <c r="AL595">
        <f>IFERROR(INDEX(PP_Grid[#Data],$DD595,36),0)</f>
        <v/>
      </c>
      <c r="AM595">
        <f>IFERROR(INDEX(PP_Grid[#Data],$DD595,37),0)</f>
        <v/>
      </c>
      <c r="AN595">
        <f>IFERROR(INDEX(PP_Grid[#Data],$DD595,38),0)</f>
        <v/>
      </c>
      <c r="AO595">
        <f>IFERROR(INDEX(PP_Grid[#Data],$DD595,39),0)</f>
        <v/>
      </c>
      <c r="AP595">
        <f>IFERROR(INDEX(PP_Grid[#Data],$DD595,40),0)</f>
        <v/>
      </c>
      <c r="AQ595">
        <f>IFERROR(INDEX(PP_Grid[#Data],$DD595,41),0)</f>
        <v/>
      </c>
      <c r="AR595">
        <f>IFERROR(INDEX(PP_Grid[#Data],$DD595,42),0)</f>
        <v/>
      </c>
      <c r="AS595">
        <f>IFERROR(INDEX(PP_Grid[#Data],$DD595,43),0)</f>
        <v/>
      </c>
      <c r="AT595">
        <f>IFERROR(INDEX(PP_Grid[#Data],$DD595,44),0)</f>
        <v/>
      </c>
      <c r="AU595">
        <f>IFERROR(INDEX(PP_Grid[#Data],$DD595,45),0)</f>
        <v/>
      </c>
      <c r="AV595">
        <f>IFERROR(INDEX(PP_Grid[#Data],$DD595,46),0)</f>
        <v/>
      </c>
      <c r="AW595">
        <f>IFERROR(INDEX(PP_Grid[#Data],$DD595,47),0)</f>
        <v/>
      </c>
      <c r="AX595">
        <f>IFERROR(INDEX(PP_Grid[#Data],$DD595,48),0)</f>
        <v/>
      </c>
      <c r="AY595">
        <f>IFERROR(INDEX(PP_Grid[#Data],$DD595,49),0)</f>
        <v/>
      </c>
      <c r="AZ595">
        <f>IFERROR(INDEX(PP_Grid[#Data],$DD595,50),0)</f>
        <v/>
      </c>
      <c r="BA595">
        <f>IFERROR(INDEX(PP_Grid[#Data],$DD595,51),0)</f>
        <v/>
      </c>
      <c r="BB595">
        <f>IFERROR(INDEX(PP_Grid[#Data],$DD595,52),0)</f>
        <v/>
      </c>
      <c r="BC595">
        <f>IFERROR(INDEX(PP_Grid[#Data],$DD595,53),0)</f>
        <v/>
      </c>
      <c r="BD595">
        <f>IFERROR(INDEX(PP_Grid[#Data],$DD595,54),0)</f>
        <v/>
      </c>
      <c r="BE595">
        <f>IFERROR(INDEX(PP_Grid[#Data],$DD595,55),0)</f>
        <v/>
      </c>
      <c r="BF595">
        <f>IFERROR(INDEX(PP_Grid[#Data],$DD595,56),0)</f>
        <v/>
      </c>
      <c r="BG595">
        <f>IFERROR(INDEX(PP_Grid[#Data],$DD595,57),0)</f>
        <v/>
      </c>
      <c r="BH595">
        <f>IFERROR(INDEX(PP_Grid[#Data],$DD595,58),0)</f>
        <v/>
      </c>
      <c r="BI595">
        <f>IFERROR(INDEX(PP_Grid[#Data],$DD595,59),0)</f>
        <v/>
      </c>
      <c r="BJ595">
        <f>IFERROR(INDEX(PP_Grid[#Data],$DD595,60),0)</f>
        <v/>
      </c>
      <c r="BK595">
        <f>IFERROR(INDEX(PP_Grid[#Data],$DD595,61),0)</f>
        <v/>
      </c>
      <c r="BL595">
        <f>IFERROR(INDEX(PP_Grid[#Data],$DD595,62),0)</f>
        <v/>
      </c>
      <c r="BM595">
        <f>IFERROR(INDEX(PP_Grid[#Data],$DD595,63),0)</f>
        <v/>
      </c>
      <c r="BN595">
        <f>IFERROR(INDEX(PP_Grid[#Data],$DD595,64),0)</f>
        <v/>
      </c>
      <c r="BO595">
        <f>IFERROR(INDEX(PP_Grid[#Data],$DD595,65),0)</f>
        <v/>
      </c>
      <c r="BP595">
        <f>IFERROR(INDEX(PP_Grid[#Data],$DD595,66),0)</f>
        <v/>
      </c>
      <c r="BQ595">
        <f>IFERROR(INDEX(PP_Grid[#Data],$DD595,67),0)</f>
        <v/>
      </c>
      <c r="BR595">
        <f>IFERROR(INDEX(PP_Grid[#Data],$DD595,68),0)</f>
        <v/>
      </c>
      <c r="BS595">
        <f>IFERROR(INDEX(PP_Grid[#Data],$DD595,69),0)</f>
        <v/>
      </c>
      <c r="BT595">
        <f>IFERROR(INDEX(PP_Grid[#Data],$DD595,70),0)</f>
        <v/>
      </c>
      <c r="BU595">
        <f>IFERROR(INDEX(PP_Grid[#Data],$DD595,71),0)</f>
        <v/>
      </c>
      <c r="BV595">
        <f>IFERROR(INDEX(PP_Grid[#Data],$DD595,72),0)</f>
        <v/>
      </c>
      <c r="BW595">
        <f>IFERROR(INDEX(PP_Grid[#Data],$DD595,73),0)</f>
        <v/>
      </c>
      <c r="BX595">
        <f>IFERROR(INDEX(PP_Grid[#Data],$DD595,74),0)</f>
        <v/>
      </c>
      <c r="BY595">
        <f>IFERROR(INDEX(PP_Grid[#Data],$DD595,75),0)</f>
        <v/>
      </c>
      <c r="BZ595">
        <f>IFERROR(INDEX(PP_Grid[#Data],$DD595,76),0)</f>
        <v/>
      </c>
      <c r="CA595">
        <f>IFERROR(INDEX(PP_Grid[#Data],$DD595,77),0)</f>
        <v/>
      </c>
      <c r="CB595">
        <f>IFERROR(INDEX(PP_Grid[#Data],$DD595,78),0)</f>
        <v/>
      </c>
      <c r="CC595">
        <f>IFERROR(INDEX(PP_Grid[#Data],$DD595,79),0)</f>
        <v/>
      </c>
      <c r="CD595">
        <f>IFERROR(INDEX(PP_Grid[#Data],$DD595,80),0)</f>
        <v/>
      </c>
      <c r="CE595">
        <f>IFERROR(INDEX(PP_Grid[#Data],$DD595,81),0)</f>
        <v/>
      </c>
      <c r="CF595">
        <f>IFERROR(INDEX(PP_Grid[#Data],$DD595,82),0)</f>
        <v/>
      </c>
      <c r="CG595">
        <f>IFERROR(INDEX(PP_Grid[#Data],$DD595,83),0)</f>
        <v/>
      </c>
      <c r="CH595">
        <f>IFERROR(INDEX(PP_Grid[#Data],$DD595,84),0)</f>
        <v/>
      </c>
      <c r="CI595">
        <f>IFERROR(INDEX(PP_Grid[#Data],$DD595,85),0)</f>
        <v/>
      </c>
      <c r="CJ595">
        <f>IFERROR(INDEX(PP_Grid[#Data],$DD595,86),0)</f>
        <v/>
      </c>
      <c r="CK595">
        <f>IFERROR(INDEX(PP_Grid[#Data],$DD595,87),0)</f>
        <v/>
      </c>
      <c r="CL595">
        <f>IFERROR(INDEX(PP_Grid[#Data],$DD595,88),0)</f>
        <v/>
      </c>
      <c r="CM595">
        <f>IFERROR(INDEX(PP_Grid[#Data],$DD595,89),0)</f>
        <v/>
      </c>
      <c r="CN595">
        <f>IFERROR(INDEX(PP_Grid[#Data],$DD595,90),0)</f>
        <v/>
      </c>
      <c r="CO595">
        <f>IFERROR(INDEX(PP_Grid[#Data],$DD595,91),0)</f>
        <v/>
      </c>
      <c r="CP595">
        <f>IFERROR(INDEX(PP_Grid[#Data],$DD595,92),0)</f>
        <v/>
      </c>
      <c r="CQ595">
        <f>IFERROR(INDEX(PP_Grid[#Data],$DD595,93),0)</f>
        <v/>
      </c>
      <c r="CR595">
        <f>IFERROR(INDEX(PP_Grid[#Data],$DD595,94),0)</f>
        <v/>
      </c>
      <c r="CS595">
        <f>IFERROR(INDEX(PP_Grid[#Data],$DD595,95),0)</f>
        <v/>
      </c>
      <c r="CT595">
        <f>IFERROR(INDEX(PP_Grid[#Data],$DD595,96),0)</f>
        <v/>
      </c>
      <c r="CU595">
        <f>IFERROR(INDEX(PP_Grid[#Data],$DD595,97),0)</f>
        <v/>
      </c>
      <c r="CV595">
        <f>IFERROR(INDEX(PP_Grid[#Data],$DD595,98),0)</f>
        <v/>
      </c>
      <c r="CW595">
        <f>IFERROR(INDEX(PP_Grid[#Data],$DD595,99),0)</f>
        <v/>
      </c>
      <c r="CX595">
        <f>IFERROR(INDEX(PP_Grid[#Data],$DD595,100),0)</f>
        <v/>
      </c>
      <c r="CY595">
        <f>IFERROR(INDEX(PP_Grid[#Data],$DD595,101),0)</f>
        <v/>
      </c>
      <c r="CZ595">
        <f>IFERROR(INDEX(PP_Grid[#Data],$DD595,102),0)</f>
        <v/>
      </c>
      <c r="DA595">
        <f>IFERROR(INDEX(PP_Grid[#Data],$DD595,103),0)</f>
        <v/>
      </c>
      <c r="DB595">
        <f>IFERROR(INDEX(PP_Grid[#Data],$DD595,104),0)</f>
        <v/>
      </c>
      <c r="DC595">
        <f>IFERROR(INDEX(PP_Grid[#Data],$DD595,105),0)</f>
        <v/>
      </c>
      <c r="DD595" s="7">
        <f>IFERROR(MATCH($B595,PP_Grid[Intermediate],0),99999)</f>
        <v/>
      </c>
    </row>
    <row r="596">
      <c r="B596" t="inlineStr">
        <is>
          <t>使用量(kg)</t>
        </is>
      </c>
      <c r="C596">
        <f>SUMIFS(M_BOM[RM_Qty_Per_Batch],M_BOM[Intermediate],$B595,M_BOM[Part Name],$A580)</f>
        <v/>
      </c>
      <c r="D596">
        <f>$C596*D595</f>
        <v/>
      </c>
      <c r="E596">
        <f>$C596*E595</f>
        <v/>
      </c>
      <c r="F596">
        <f>$C596*F595</f>
        <v/>
      </c>
      <c r="G596">
        <f>$C596*G595</f>
        <v/>
      </c>
      <c r="H596">
        <f>$C596*H595</f>
        <v/>
      </c>
      <c r="I596">
        <f>$C596*I595</f>
        <v/>
      </c>
      <c r="J596">
        <f>$C596*J595</f>
        <v/>
      </c>
      <c r="K596">
        <f>$C596*K595</f>
        <v/>
      </c>
      <c r="L596">
        <f>$C596*L595</f>
        <v/>
      </c>
      <c r="M596">
        <f>$C596*M595</f>
        <v/>
      </c>
      <c r="N596">
        <f>$C596*N595</f>
        <v/>
      </c>
      <c r="O596">
        <f>$C596*O595</f>
        <v/>
      </c>
      <c r="P596">
        <f>$C596*P595</f>
        <v/>
      </c>
      <c r="Q596">
        <f>$C596*Q595</f>
        <v/>
      </c>
      <c r="R596">
        <f>$C596*R595</f>
        <v/>
      </c>
      <c r="S596">
        <f>$C596*S595</f>
        <v/>
      </c>
      <c r="T596">
        <f>$C596*T595</f>
        <v/>
      </c>
      <c r="U596">
        <f>$C596*U595</f>
        <v/>
      </c>
      <c r="V596">
        <f>$C596*V595</f>
        <v/>
      </c>
      <c r="W596">
        <f>$C596*W595</f>
        <v/>
      </c>
      <c r="X596">
        <f>$C596*X595</f>
        <v/>
      </c>
      <c r="Y596">
        <f>$C596*Y595</f>
        <v/>
      </c>
      <c r="Z596">
        <f>$C596*Z595</f>
        <v/>
      </c>
      <c r="AA596">
        <f>$C596*AA595</f>
        <v/>
      </c>
      <c r="AB596">
        <f>$C596*AB595</f>
        <v/>
      </c>
      <c r="AC596">
        <f>$C596*AC595</f>
        <v/>
      </c>
      <c r="AD596">
        <f>$C596*AD595</f>
        <v/>
      </c>
      <c r="AE596">
        <f>$C596*AE595</f>
        <v/>
      </c>
      <c r="AF596">
        <f>$C596*AF595</f>
        <v/>
      </c>
      <c r="AG596">
        <f>$C596*AG595</f>
        <v/>
      </c>
      <c r="AH596">
        <f>$C596*AH595</f>
        <v/>
      </c>
      <c r="AI596">
        <f>$C596*AI595</f>
        <v/>
      </c>
      <c r="AJ596">
        <f>$C596*AJ595</f>
        <v/>
      </c>
      <c r="AK596">
        <f>$C596*AK595</f>
        <v/>
      </c>
      <c r="AL596">
        <f>$C596*AL595</f>
        <v/>
      </c>
      <c r="AM596">
        <f>$C596*AM595</f>
        <v/>
      </c>
      <c r="AN596">
        <f>$C596*AN595</f>
        <v/>
      </c>
      <c r="AO596">
        <f>$C596*AO595</f>
        <v/>
      </c>
      <c r="AP596">
        <f>$C596*AP595</f>
        <v/>
      </c>
      <c r="AQ596">
        <f>$C596*AQ595</f>
        <v/>
      </c>
      <c r="AR596">
        <f>$C596*AR595</f>
        <v/>
      </c>
      <c r="AS596">
        <f>$C596*AS595</f>
        <v/>
      </c>
      <c r="AT596">
        <f>$C596*AT595</f>
        <v/>
      </c>
      <c r="AU596">
        <f>$C596*AU595</f>
        <v/>
      </c>
      <c r="AV596">
        <f>$C596*AV595</f>
        <v/>
      </c>
      <c r="AW596">
        <f>$C596*AW595</f>
        <v/>
      </c>
      <c r="AX596">
        <f>$C596*AX595</f>
        <v/>
      </c>
      <c r="AY596">
        <f>$C596*AY595</f>
        <v/>
      </c>
      <c r="AZ596">
        <f>$C596*AZ595</f>
        <v/>
      </c>
      <c r="BA596">
        <f>$C596*BA595</f>
        <v/>
      </c>
      <c r="BB596">
        <f>$C596*BB595</f>
        <v/>
      </c>
      <c r="BC596">
        <f>$C596*BC595</f>
        <v/>
      </c>
      <c r="BD596">
        <f>$C596*BD595</f>
        <v/>
      </c>
      <c r="BE596">
        <f>$C596*BE595</f>
        <v/>
      </c>
      <c r="BF596">
        <f>$C596*BF595</f>
        <v/>
      </c>
      <c r="BG596">
        <f>$C596*BG595</f>
        <v/>
      </c>
      <c r="BH596">
        <f>$C596*BH595</f>
        <v/>
      </c>
      <c r="BI596">
        <f>$C596*BI595</f>
        <v/>
      </c>
      <c r="BJ596">
        <f>$C596*BJ595</f>
        <v/>
      </c>
      <c r="BK596">
        <f>$C596*BK595</f>
        <v/>
      </c>
      <c r="BL596">
        <f>$C596*BL595</f>
        <v/>
      </c>
      <c r="BM596">
        <f>$C596*BM595</f>
        <v/>
      </c>
      <c r="BN596">
        <f>$C596*BN595</f>
        <v/>
      </c>
      <c r="BO596">
        <f>$C596*BO595</f>
        <v/>
      </c>
      <c r="BP596">
        <f>$C596*BP595</f>
        <v/>
      </c>
      <c r="BQ596">
        <f>$C596*BQ595</f>
        <v/>
      </c>
      <c r="BR596">
        <f>$C596*BR595</f>
        <v/>
      </c>
      <c r="BS596">
        <f>$C596*BS595</f>
        <v/>
      </c>
      <c r="BT596">
        <f>$C596*BT595</f>
        <v/>
      </c>
      <c r="BU596">
        <f>$C596*BU595</f>
        <v/>
      </c>
      <c r="BV596">
        <f>$C596*BV595</f>
        <v/>
      </c>
      <c r="BW596">
        <f>$C596*BW595</f>
        <v/>
      </c>
      <c r="BX596">
        <f>$C596*BX595</f>
        <v/>
      </c>
      <c r="BY596">
        <f>$C596*BY595</f>
        <v/>
      </c>
      <c r="BZ596">
        <f>$C596*BZ595</f>
        <v/>
      </c>
      <c r="CA596">
        <f>$C596*CA595</f>
        <v/>
      </c>
      <c r="CB596">
        <f>$C596*CB595</f>
        <v/>
      </c>
      <c r="CC596">
        <f>$C596*CC595</f>
        <v/>
      </c>
      <c r="CD596">
        <f>$C596*CD595</f>
        <v/>
      </c>
      <c r="CE596">
        <f>$C596*CE595</f>
        <v/>
      </c>
      <c r="CF596">
        <f>$C596*CF595</f>
        <v/>
      </c>
      <c r="CG596">
        <f>$C596*CG595</f>
        <v/>
      </c>
      <c r="CH596">
        <f>$C596*CH595</f>
        <v/>
      </c>
      <c r="CI596">
        <f>$C596*CI595</f>
        <v/>
      </c>
      <c r="CJ596">
        <f>$C596*CJ595</f>
        <v/>
      </c>
      <c r="CK596">
        <f>$C596*CK595</f>
        <v/>
      </c>
      <c r="CL596">
        <f>$C596*CL595</f>
        <v/>
      </c>
      <c r="CM596">
        <f>$C596*CM595</f>
        <v/>
      </c>
      <c r="CN596">
        <f>$C596*CN595</f>
        <v/>
      </c>
      <c r="CO596">
        <f>$C596*CO595</f>
        <v/>
      </c>
      <c r="CP596">
        <f>$C596*CP595</f>
        <v/>
      </c>
      <c r="CQ596">
        <f>$C596*CQ595</f>
        <v/>
      </c>
      <c r="CR596">
        <f>$C596*CR595</f>
        <v/>
      </c>
      <c r="CS596">
        <f>$C596*CS595</f>
        <v/>
      </c>
      <c r="CT596">
        <f>$C596*CT595</f>
        <v/>
      </c>
      <c r="CU596">
        <f>$C596*CU595</f>
        <v/>
      </c>
      <c r="CV596">
        <f>$C596*CV595</f>
        <v/>
      </c>
      <c r="CW596">
        <f>$C596*CW595</f>
        <v/>
      </c>
      <c r="CX596">
        <f>$C596*CX595</f>
        <v/>
      </c>
      <c r="CY596">
        <f>$C596*CY595</f>
        <v/>
      </c>
      <c r="CZ596">
        <f>$C596*CZ595</f>
        <v/>
      </c>
      <c r="DA596">
        <f>$C596*DA595</f>
        <v/>
      </c>
      <c r="DB596">
        <f>$C596*DB595</f>
        <v/>
      </c>
      <c r="DC596">
        <f>$C596*DC595</f>
        <v/>
      </c>
    </row>
    <row r="597">
      <c r="B597" t="inlineStr">
        <is>
          <t>VSP-607</t>
        </is>
      </c>
      <c r="C597" t="inlineStr">
        <is>
          <t>No. of batches</t>
        </is>
      </c>
      <c r="D597">
        <f>IFERROR(INDEX(PP_Grid[#Data],$DD597,2),0)</f>
        <v/>
      </c>
      <c r="E597">
        <f>IFERROR(INDEX(PP_Grid[#Data],$DD597,3),0)</f>
        <v/>
      </c>
      <c r="F597">
        <f>IFERROR(INDEX(PP_Grid[#Data],$DD597,4),0)</f>
        <v/>
      </c>
      <c r="G597">
        <f>IFERROR(INDEX(PP_Grid[#Data],$DD597,5),0)</f>
        <v/>
      </c>
      <c r="H597">
        <f>IFERROR(INDEX(PP_Grid[#Data],$DD597,6),0)</f>
        <v/>
      </c>
      <c r="I597">
        <f>IFERROR(INDEX(PP_Grid[#Data],$DD597,7),0)</f>
        <v/>
      </c>
      <c r="J597">
        <f>IFERROR(INDEX(PP_Grid[#Data],$DD597,8),0)</f>
        <v/>
      </c>
      <c r="K597">
        <f>IFERROR(INDEX(PP_Grid[#Data],$DD597,9),0)</f>
        <v/>
      </c>
      <c r="L597">
        <f>IFERROR(INDEX(PP_Grid[#Data],$DD597,10),0)</f>
        <v/>
      </c>
      <c r="M597">
        <f>IFERROR(INDEX(PP_Grid[#Data],$DD597,11),0)</f>
        <v/>
      </c>
      <c r="N597">
        <f>IFERROR(INDEX(PP_Grid[#Data],$DD597,12),0)</f>
        <v/>
      </c>
      <c r="O597">
        <f>IFERROR(INDEX(PP_Grid[#Data],$DD597,13),0)</f>
        <v/>
      </c>
      <c r="P597">
        <f>IFERROR(INDEX(PP_Grid[#Data],$DD597,14),0)</f>
        <v/>
      </c>
      <c r="Q597">
        <f>IFERROR(INDEX(PP_Grid[#Data],$DD597,15),0)</f>
        <v/>
      </c>
      <c r="R597">
        <f>IFERROR(INDEX(PP_Grid[#Data],$DD597,16),0)</f>
        <v/>
      </c>
      <c r="S597">
        <f>IFERROR(INDEX(PP_Grid[#Data],$DD597,17),0)</f>
        <v/>
      </c>
      <c r="T597">
        <f>IFERROR(INDEX(PP_Grid[#Data],$DD597,18),0)</f>
        <v/>
      </c>
      <c r="U597">
        <f>IFERROR(INDEX(PP_Grid[#Data],$DD597,19),0)</f>
        <v/>
      </c>
      <c r="V597">
        <f>IFERROR(INDEX(PP_Grid[#Data],$DD597,20),0)</f>
        <v/>
      </c>
      <c r="W597">
        <f>IFERROR(INDEX(PP_Grid[#Data],$DD597,21),0)</f>
        <v/>
      </c>
      <c r="X597">
        <f>IFERROR(INDEX(PP_Grid[#Data],$DD597,22),0)</f>
        <v/>
      </c>
      <c r="Y597">
        <f>IFERROR(INDEX(PP_Grid[#Data],$DD597,23),0)</f>
        <v/>
      </c>
      <c r="Z597">
        <f>IFERROR(INDEX(PP_Grid[#Data],$DD597,24),0)</f>
        <v/>
      </c>
      <c r="AA597">
        <f>IFERROR(INDEX(PP_Grid[#Data],$DD597,25),0)</f>
        <v/>
      </c>
      <c r="AB597">
        <f>IFERROR(INDEX(PP_Grid[#Data],$DD597,26),0)</f>
        <v/>
      </c>
      <c r="AC597">
        <f>IFERROR(INDEX(PP_Grid[#Data],$DD597,27),0)</f>
        <v/>
      </c>
      <c r="AD597">
        <f>IFERROR(INDEX(PP_Grid[#Data],$DD597,28),0)</f>
        <v/>
      </c>
      <c r="AE597">
        <f>IFERROR(INDEX(PP_Grid[#Data],$DD597,29),0)</f>
        <v/>
      </c>
      <c r="AF597">
        <f>IFERROR(INDEX(PP_Grid[#Data],$DD597,30),0)</f>
        <v/>
      </c>
      <c r="AG597">
        <f>IFERROR(INDEX(PP_Grid[#Data],$DD597,31),0)</f>
        <v/>
      </c>
      <c r="AH597">
        <f>IFERROR(INDEX(PP_Grid[#Data],$DD597,32),0)</f>
        <v/>
      </c>
      <c r="AI597">
        <f>IFERROR(INDEX(PP_Grid[#Data],$DD597,33),0)</f>
        <v/>
      </c>
      <c r="AJ597">
        <f>IFERROR(INDEX(PP_Grid[#Data],$DD597,34),0)</f>
        <v/>
      </c>
      <c r="AK597">
        <f>IFERROR(INDEX(PP_Grid[#Data],$DD597,35),0)</f>
        <v/>
      </c>
      <c r="AL597">
        <f>IFERROR(INDEX(PP_Grid[#Data],$DD597,36),0)</f>
        <v/>
      </c>
      <c r="AM597">
        <f>IFERROR(INDEX(PP_Grid[#Data],$DD597,37),0)</f>
        <v/>
      </c>
      <c r="AN597">
        <f>IFERROR(INDEX(PP_Grid[#Data],$DD597,38),0)</f>
        <v/>
      </c>
      <c r="AO597">
        <f>IFERROR(INDEX(PP_Grid[#Data],$DD597,39),0)</f>
        <v/>
      </c>
      <c r="AP597">
        <f>IFERROR(INDEX(PP_Grid[#Data],$DD597,40),0)</f>
        <v/>
      </c>
      <c r="AQ597">
        <f>IFERROR(INDEX(PP_Grid[#Data],$DD597,41),0)</f>
        <v/>
      </c>
      <c r="AR597">
        <f>IFERROR(INDEX(PP_Grid[#Data],$DD597,42),0)</f>
        <v/>
      </c>
      <c r="AS597">
        <f>IFERROR(INDEX(PP_Grid[#Data],$DD597,43),0)</f>
        <v/>
      </c>
      <c r="AT597">
        <f>IFERROR(INDEX(PP_Grid[#Data],$DD597,44),0)</f>
        <v/>
      </c>
      <c r="AU597">
        <f>IFERROR(INDEX(PP_Grid[#Data],$DD597,45),0)</f>
        <v/>
      </c>
      <c r="AV597">
        <f>IFERROR(INDEX(PP_Grid[#Data],$DD597,46),0)</f>
        <v/>
      </c>
      <c r="AW597">
        <f>IFERROR(INDEX(PP_Grid[#Data],$DD597,47),0)</f>
        <v/>
      </c>
      <c r="AX597">
        <f>IFERROR(INDEX(PP_Grid[#Data],$DD597,48),0)</f>
        <v/>
      </c>
      <c r="AY597">
        <f>IFERROR(INDEX(PP_Grid[#Data],$DD597,49),0)</f>
        <v/>
      </c>
      <c r="AZ597">
        <f>IFERROR(INDEX(PP_Grid[#Data],$DD597,50),0)</f>
        <v/>
      </c>
      <c r="BA597">
        <f>IFERROR(INDEX(PP_Grid[#Data],$DD597,51),0)</f>
        <v/>
      </c>
      <c r="BB597">
        <f>IFERROR(INDEX(PP_Grid[#Data],$DD597,52),0)</f>
        <v/>
      </c>
      <c r="BC597">
        <f>IFERROR(INDEX(PP_Grid[#Data],$DD597,53),0)</f>
        <v/>
      </c>
      <c r="BD597">
        <f>IFERROR(INDEX(PP_Grid[#Data],$DD597,54),0)</f>
        <v/>
      </c>
      <c r="BE597">
        <f>IFERROR(INDEX(PP_Grid[#Data],$DD597,55),0)</f>
        <v/>
      </c>
      <c r="BF597">
        <f>IFERROR(INDEX(PP_Grid[#Data],$DD597,56),0)</f>
        <v/>
      </c>
      <c r="BG597">
        <f>IFERROR(INDEX(PP_Grid[#Data],$DD597,57),0)</f>
        <v/>
      </c>
      <c r="BH597">
        <f>IFERROR(INDEX(PP_Grid[#Data],$DD597,58),0)</f>
        <v/>
      </c>
      <c r="BI597">
        <f>IFERROR(INDEX(PP_Grid[#Data],$DD597,59),0)</f>
        <v/>
      </c>
      <c r="BJ597">
        <f>IFERROR(INDEX(PP_Grid[#Data],$DD597,60),0)</f>
        <v/>
      </c>
      <c r="BK597">
        <f>IFERROR(INDEX(PP_Grid[#Data],$DD597,61),0)</f>
        <v/>
      </c>
      <c r="BL597">
        <f>IFERROR(INDEX(PP_Grid[#Data],$DD597,62),0)</f>
        <v/>
      </c>
      <c r="BM597">
        <f>IFERROR(INDEX(PP_Grid[#Data],$DD597,63),0)</f>
        <v/>
      </c>
      <c r="BN597">
        <f>IFERROR(INDEX(PP_Grid[#Data],$DD597,64),0)</f>
        <v/>
      </c>
      <c r="BO597">
        <f>IFERROR(INDEX(PP_Grid[#Data],$DD597,65),0)</f>
        <v/>
      </c>
      <c r="BP597">
        <f>IFERROR(INDEX(PP_Grid[#Data],$DD597,66),0)</f>
        <v/>
      </c>
      <c r="BQ597">
        <f>IFERROR(INDEX(PP_Grid[#Data],$DD597,67),0)</f>
        <v/>
      </c>
      <c r="BR597">
        <f>IFERROR(INDEX(PP_Grid[#Data],$DD597,68),0)</f>
        <v/>
      </c>
      <c r="BS597">
        <f>IFERROR(INDEX(PP_Grid[#Data],$DD597,69),0)</f>
        <v/>
      </c>
      <c r="BT597">
        <f>IFERROR(INDEX(PP_Grid[#Data],$DD597,70),0)</f>
        <v/>
      </c>
      <c r="BU597">
        <f>IFERROR(INDEX(PP_Grid[#Data],$DD597,71),0)</f>
        <v/>
      </c>
      <c r="BV597">
        <f>IFERROR(INDEX(PP_Grid[#Data],$DD597,72),0)</f>
        <v/>
      </c>
      <c r="BW597">
        <f>IFERROR(INDEX(PP_Grid[#Data],$DD597,73),0)</f>
        <v/>
      </c>
      <c r="BX597">
        <f>IFERROR(INDEX(PP_Grid[#Data],$DD597,74),0)</f>
        <v/>
      </c>
      <c r="BY597">
        <f>IFERROR(INDEX(PP_Grid[#Data],$DD597,75),0)</f>
        <v/>
      </c>
      <c r="BZ597">
        <f>IFERROR(INDEX(PP_Grid[#Data],$DD597,76),0)</f>
        <v/>
      </c>
      <c r="CA597">
        <f>IFERROR(INDEX(PP_Grid[#Data],$DD597,77),0)</f>
        <v/>
      </c>
      <c r="CB597">
        <f>IFERROR(INDEX(PP_Grid[#Data],$DD597,78),0)</f>
        <v/>
      </c>
      <c r="CC597">
        <f>IFERROR(INDEX(PP_Grid[#Data],$DD597,79),0)</f>
        <v/>
      </c>
      <c r="CD597">
        <f>IFERROR(INDEX(PP_Grid[#Data],$DD597,80),0)</f>
        <v/>
      </c>
      <c r="CE597">
        <f>IFERROR(INDEX(PP_Grid[#Data],$DD597,81),0)</f>
        <v/>
      </c>
      <c r="CF597">
        <f>IFERROR(INDEX(PP_Grid[#Data],$DD597,82),0)</f>
        <v/>
      </c>
      <c r="CG597">
        <f>IFERROR(INDEX(PP_Grid[#Data],$DD597,83),0)</f>
        <v/>
      </c>
      <c r="CH597">
        <f>IFERROR(INDEX(PP_Grid[#Data],$DD597,84),0)</f>
        <v/>
      </c>
      <c r="CI597">
        <f>IFERROR(INDEX(PP_Grid[#Data],$DD597,85),0)</f>
        <v/>
      </c>
      <c r="CJ597">
        <f>IFERROR(INDEX(PP_Grid[#Data],$DD597,86),0)</f>
        <v/>
      </c>
      <c r="CK597">
        <f>IFERROR(INDEX(PP_Grid[#Data],$DD597,87),0)</f>
        <v/>
      </c>
      <c r="CL597">
        <f>IFERROR(INDEX(PP_Grid[#Data],$DD597,88),0)</f>
        <v/>
      </c>
      <c r="CM597">
        <f>IFERROR(INDEX(PP_Grid[#Data],$DD597,89),0)</f>
        <v/>
      </c>
      <c r="CN597">
        <f>IFERROR(INDEX(PP_Grid[#Data],$DD597,90),0)</f>
        <v/>
      </c>
      <c r="CO597">
        <f>IFERROR(INDEX(PP_Grid[#Data],$DD597,91),0)</f>
        <v/>
      </c>
      <c r="CP597">
        <f>IFERROR(INDEX(PP_Grid[#Data],$DD597,92),0)</f>
        <v/>
      </c>
      <c r="CQ597">
        <f>IFERROR(INDEX(PP_Grid[#Data],$DD597,93),0)</f>
        <v/>
      </c>
      <c r="CR597">
        <f>IFERROR(INDEX(PP_Grid[#Data],$DD597,94),0)</f>
        <v/>
      </c>
      <c r="CS597">
        <f>IFERROR(INDEX(PP_Grid[#Data],$DD597,95),0)</f>
        <v/>
      </c>
      <c r="CT597">
        <f>IFERROR(INDEX(PP_Grid[#Data],$DD597,96),0)</f>
        <v/>
      </c>
      <c r="CU597">
        <f>IFERROR(INDEX(PP_Grid[#Data],$DD597,97),0)</f>
        <v/>
      </c>
      <c r="CV597">
        <f>IFERROR(INDEX(PP_Grid[#Data],$DD597,98),0)</f>
        <v/>
      </c>
      <c r="CW597">
        <f>IFERROR(INDEX(PP_Grid[#Data],$DD597,99),0)</f>
        <v/>
      </c>
      <c r="CX597">
        <f>IFERROR(INDEX(PP_Grid[#Data],$DD597,100),0)</f>
        <v/>
      </c>
      <c r="CY597">
        <f>IFERROR(INDEX(PP_Grid[#Data],$DD597,101),0)</f>
        <v/>
      </c>
      <c r="CZ597">
        <f>IFERROR(INDEX(PP_Grid[#Data],$DD597,102),0)</f>
        <v/>
      </c>
      <c r="DA597">
        <f>IFERROR(INDEX(PP_Grid[#Data],$DD597,103),0)</f>
        <v/>
      </c>
      <c r="DB597">
        <f>IFERROR(INDEX(PP_Grid[#Data],$DD597,104),0)</f>
        <v/>
      </c>
      <c r="DC597">
        <f>IFERROR(INDEX(PP_Grid[#Data],$DD597,105),0)</f>
        <v/>
      </c>
      <c r="DD597" s="7">
        <f>IFERROR(MATCH($B597,PP_Grid[Intermediate],0),99999)</f>
        <v/>
      </c>
    </row>
    <row r="598">
      <c r="B598" t="inlineStr">
        <is>
          <t>使用量(kg)</t>
        </is>
      </c>
      <c r="C598">
        <f>SUMIFS(M_BOM[RM_Qty_Per_Batch],M_BOM[Intermediate],$B597,M_BOM[Part Name],$A580)</f>
        <v/>
      </c>
      <c r="D598">
        <f>$C598*D597</f>
        <v/>
      </c>
      <c r="E598">
        <f>$C598*E597</f>
        <v/>
      </c>
      <c r="F598">
        <f>$C598*F597</f>
        <v/>
      </c>
      <c r="G598">
        <f>$C598*G597</f>
        <v/>
      </c>
      <c r="H598">
        <f>$C598*H597</f>
        <v/>
      </c>
      <c r="I598">
        <f>$C598*I597</f>
        <v/>
      </c>
      <c r="J598">
        <f>$C598*J597</f>
        <v/>
      </c>
      <c r="K598">
        <f>$C598*K597</f>
        <v/>
      </c>
      <c r="L598">
        <f>$C598*L597</f>
        <v/>
      </c>
      <c r="M598">
        <f>$C598*M597</f>
        <v/>
      </c>
      <c r="N598">
        <f>$C598*N597</f>
        <v/>
      </c>
      <c r="O598">
        <f>$C598*O597</f>
        <v/>
      </c>
      <c r="P598">
        <f>$C598*P597</f>
        <v/>
      </c>
      <c r="Q598">
        <f>$C598*Q597</f>
        <v/>
      </c>
      <c r="R598">
        <f>$C598*R597</f>
        <v/>
      </c>
      <c r="S598">
        <f>$C598*S597</f>
        <v/>
      </c>
      <c r="T598">
        <f>$C598*T597</f>
        <v/>
      </c>
      <c r="U598">
        <f>$C598*U597</f>
        <v/>
      </c>
      <c r="V598">
        <f>$C598*V597</f>
        <v/>
      </c>
      <c r="W598">
        <f>$C598*W597</f>
        <v/>
      </c>
      <c r="X598">
        <f>$C598*X597</f>
        <v/>
      </c>
      <c r="Y598">
        <f>$C598*Y597</f>
        <v/>
      </c>
      <c r="Z598">
        <f>$C598*Z597</f>
        <v/>
      </c>
      <c r="AA598">
        <f>$C598*AA597</f>
        <v/>
      </c>
      <c r="AB598">
        <f>$C598*AB597</f>
        <v/>
      </c>
      <c r="AC598">
        <f>$C598*AC597</f>
        <v/>
      </c>
      <c r="AD598">
        <f>$C598*AD597</f>
        <v/>
      </c>
      <c r="AE598">
        <f>$C598*AE597</f>
        <v/>
      </c>
      <c r="AF598">
        <f>$C598*AF597</f>
        <v/>
      </c>
      <c r="AG598">
        <f>$C598*AG597</f>
        <v/>
      </c>
      <c r="AH598">
        <f>$C598*AH597</f>
        <v/>
      </c>
      <c r="AI598">
        <f>$C598*AI597</f>
        <v/>
      </c>
      <c r="AJ598">
        <f>$C598*AJ597</f>
        <v/>
      </c>
      <c r="AK598">
        <f>$C598*AK597</f>
        <v/>
      </c>
      <c r="AL598">
        <f>$C598*AL597</f>
        <v/>
      </c>
      <c r="AM598">
        <f>$C598*AM597</f>
        <v/>
      </c>
      <c r="AN598">
        <f>$C598*AN597</f>
        <v/>
      </c>
      <c r="AO598">
        <f>$C598*AO597</f>
        <v/>
      </c>
      <c r="AP598">
        <f>$C598*AP597</f>
        <v/>
      </c>
      <c r="AQ598">
        <f>$C598*AQ597</f>
        <v/>
      </c>
      <c r="AR598">
        <f>$C598*AR597</f>
        <v/>
      </c>
      <c r="AS598">
        <f>$C598*AS597</f>
        <v/>
      </c>
      <c r="AT598">
        <f>$C598*AT597</f>
        <v/>
      </c>
      <c r="AU598">
        <f>$C598*AU597</f>
        <v/>
      </c>
      <c r="AV598">
        <f>$C598*AV597</f>
        <v/>
      </c>
      <c r="AW598">
        <f>$C598*AW597</f>
        <v/>
      </c>
      <c r="AX598">
        <f>$C598*AX597</f>
        <v/>
      </c>
      <c r="AY598">
        <f>$C598*AY597</f>
        <v/>
      </c>
      <c r="AZ598">
        <f>$C598*AZ597</f>
        <v/>
      </c>
      <c r="BA598">
        <f>$C598*BA597</f>
        <v/>
      </c>
      <c r="BB598">
        <f>$C598*BB597</f>
        <v/>
      </c>
      <c r="BC598">
        <f>$C598*BC597</f>
        <v/>
      </c>
      <c r="BD598">
        <f>$C598*BD597</f>
        <v/>
      </c>
      <c r="BE598">
        <f>$C598*BE597</f>
        <v/>
      </c>
      <c r="BF598">
        <f>$C598*BF597</f>
        <v/>
      </c>
      <c r="BG598">
        <f>$C598*BG597</f>
        <v/>
      </c>
      <c r="BH598">
        <f>$C598*BH597</f>
        <v/>
      </c>
      <c r="BI598">
        <f>$C598*BI597</f>
        <v/>
      </c>
      <c r="BJ598">
        <f>$C598*BJ597</f>
        <v/>
      </c>
      <c r="BK598">
        <f>$C598*BK597</f>
        <v/>
      </c>
      <c r="BL598">
        <f>$C598*BL597</f>
        <v/>
      </c>
      <c r="BM598">
        <f>$C598*BM597</f>
        <v/>
      </c>
      <c r="BN598">
        <f>$C598*BN597</f>
        <v/>
      </c>
      <c r="BO598">
        <f>$C598*BO597</f>
        <v/>
      </c>
      <c r="BP598">
        <f>$C598*BP597</f>
        <v/>
      </c>
      <c r="BQ598">
        <f>$C598*BQ597</f>
        <v/>
      </c>
      <c r="BR598">
        <f>$C598*BR597</f>
        <v/>
      </c>
      <c r="BS598">
        <f>$C598*BS597</f>
        <v/>
      </c>
      <c r="BT598">
        <f>$C598*BT597</f>
        <v/>
      </c>
      <c r="BU598">
        <f>$C598*BU597</f>
        <v/>
      </c>
      <c r="BV598">
        <f>$C598*BV597</f>
        <v/>
      </c>
      <c r="BW598">
        <f>$C598*BW597</f>
        <v/>
      </c>
      <c r="BX598">
        <f>$C598*BX597</f>
        <v/>
      </c>
      <c r="BY598">
        <f>$C598*BY597</f>
        <v/>
      </c>
      <c r="BZ598">
        <f>$C598*BZ597</f>
        <v/>
      </c>
      <c r="CA598">
        <f>$C598*CA597</f>
        <v/>
      </c>
      <c r="CB598">
        <f>$C598*CB597</f>
        <v/>
      </c>
      <c r="CC598">
        <f>$C598*CC597</f>
        <v/>
      </c>
      <c r="CD598">
        <f>$C598*CD597</f>
        <v/>
      </c>
      <c r="CE598">
        <f>$C598*CE597</f>
        <v/>
      </c>
      <c r="CF598">
        <f>$C598*CF597</f>
        <v/>
      </c>
      <c r="CG598">
        <f>$C598*CG597</f>
        <v/>
      </c>
      <c r="CH598">
        <f>$C598*CH597</f>
        <v/>
      </c>
      <c r="CI598">
        <f>$C598*CI597</f>
        <v/>
      </c>
      <c r="CJ598">
        <f>$C598*CJ597</f>
        <v/>
      </c>
      <c r="CK598">
        <f>$C598*CK597</f>
        <v/>
      </c>
      <c r="CL598">
        <f>$C598*CL597</f>
        <v/>
      </c>
      <c r="CM598">
        <f>$C598*CM597</f>
        <v/>
      </c>
      <c r="CN598">
        <f>$C598*CN597</f>
        <v/>
      </c>
      <c r="CO598">
        <f>$C598*CO597</f>
        <v/>
      </c>
      <c r="CP598">
        <f>$C598*CP597</f>
        <v/>
      </c>
      <c r="CQ598">
        <f>$C598*CQ597</f>
        <v/>
      </c>
      <c r="CR598">
        <f>$C598*CR597</f>
        <v/>
      </c>
      <c r="CS598">
        <f>$C598*CS597</f>
        <v/>
      </c>
      <c r="CT598">
        <f>$C598*CT597</f>
        <v/>
      </c>
      <c r="CU598">
        <f>$C598*CU597</f>
        <v/>
      </c>
      <c r="CV598">
        <f>$C598*CV597</f>
        <v/>
      </c>
      <c r="CW598">
        <f>$C598*CW597</f>
        <v/>
      </c>
      <c r="CX598">
        <f>$C598*CX597</f>
        <v/>
      </c>
      <c r="CY598">
        <f>$C598*CY597</f>
        <v/>
      </c>
      <c r="CZ598">
        <f>$C598*CZ597</f>
        <v/>
      </c>
      <c r="DA598">
        <f>$C598*DA597</f>
        <v/>
      </c>
      <c r="DB598">
        <f>$C598*DB597</f>
        <v/>
      </c>
      <c r="DC598">
        <f>$C598*DC597</f>
        <v/>
      </c>
    </row>
    <row r="599">
      <c r="B599" t="inlineStr">
        <is>
          <t>VSP-738</t>
        </is>
      </c>
      <c r="C599" t="inlineStr">
        <is>
          <t>No. of batches</t>
        </is>
      </c>
      <c r="D599">
        <f>IFERROR(INDEX(PP_Grid[#Data],$DD599,2),0)</f>
        <v/>
      </c>
      <c r="E599">
        <f>IFERROR(INDEX(PP_Grid[#Data],$DD599,3),0)</f>
        <v/>
      </c>
      <c r="F599">
        <f>IFERROR(INDEX(PP_Grid[#Data],$DD599,4),0)</f>
        <v/>
      </c>
      <c r="G599">
        <f>IFERROR(INDEX(PP_Grid[#Data],$DD599,5),0)</f>
        <v/>
      </c>
      <c r="H599">
        <f>IFERROR(INDEX(PP_Grid[#Data],$DD599,6),0)</f>
        <v/>
      </c>
      <c r="I599">
        <f>IFERROR(INDEX(PP_Grid[#Data],$DD599,7),0)</f>
        <v/>
      </c>
      <c r="J599">
        <f>IFERROR(INDEX(PP_Grid[#Data],$DD599,8),0)</f>
        <v/>
      </c>
      <c r="K599">
        <f>IFERROR(INDEX(PP_Grid[#Data],$DD599,9),0)</f>
        <v/>
      </c>
      <c r="L599">
        <f>IFERROR(INDEX(PP_Grid[#Data],$DD599,10),0)</f>
        <v/>
      </c>
      <c r="M599">
        <f>IFERROR(INDEX(PP_Grid[#Data],$DD599,11),0)</f>
        <v/>
      </c>
      <c r="N599">
        <f>IFERROR(INDEX(PP_Grid[#Data],$DD599,12),0)</f>
        <v/>
      </c>
      <c r="O599">
        <f>IFERROR(INDEX(PP_Grid[#Data],$DD599,13),0)</f>
        <v/>
      </c>
      <c r="P599">
        <f>IFERROR(INDEX(PP_Grid[#Data],$DD599,14),0)</f>
        <v/>
      </c>
      <c r="Q599">
        <f>IFERROR(INDEX(PP_Grid[#Data],$DD599,15),0)</f>
        <v/>
      </c>
      <c r="R599">
        <f>IFERROR(INDEX(PP_Grid[#Data],$DD599,16),0)</f>
        <v/>
      </c>
      <c r="S599">
        <f>IFERROR(INDEX(PP_Grid[#Data],$DD599,17),0)</f>
        <v/>
      </c>
      <c r="T599">
        <f>IFERROR(INDEX(PP_Grid[#Data],$DD599,18),0)</f>
        <v/>
      </c>
      <c r="U599">
        <f>IFERROR(INDEX(PP_Grid[#Data],$DD599,19),0)</f>
        <v/>
      </c>
      <c r="V599">
        <f>IFERROR(INDEX(PP_Grid[#Data],$DD599,20),0)</f>
        <v/>
      </c>
      <c r="W599">
        <f>IFERROR(INDEX(PP_Grid[#Data],$DD599,21),0)</f>
        <v/>
      </c>
      <c r="X599">
        <f>IFERROR(INDEX(PP_Grid[#Data],$DD599,22),0)</f>
        <v/>
      </c>
      <c r="Y599">
        <f>IFERROR(INDEX(PP_Grid[#Data],$DD599,23),0)</f>
        <v/>
      </c>
      <c r="Z599">
        <f>IFERROR(INDEX(PP_Grid[#Data],$DD599,24),0)</f>
        <v/>
      </c>
      <c r="AA599">
        <f>IFERROR(INDEX(PP_Grid[#Data],$DD599,25),0)</f>
        <v/>
      </c>
      <c r="AB599">
        <f>IFERROR(INDEX(PP_Grid[#Data],$DD599,26),0)</f>
        <v/>
      </c>
      <c r="AC599">
        <f>IFERROR(INDEX(PP_Grid[#Data],$DD599,27),0)</f>
        <v/>
      </c>
      <c r="AD599">
        <f>IFERROR(INDEX(PP_Grid[#Data],$DD599,28),0)</f>
        <v/>
      </c>
      <c r="AE599">
        <f>IFERROR(INDEX(PP_Grid[#Data],$DD599,29),0)</f>
        <v/>
      </c>
      <c r="AF599">
        <f>IFERROR(INDEX(PP_Grid[#Data],$DD599,30),0)</f>
        <v/>
      </c>
      <c r="AG599">
        <f>IFERROR(INDEX(PP_Grid[#Data],$DD599,31),0)</f>
        <v/>
      </c>
      <c r="AH599">
        <f>IFERROR(INDEX(PP_Grid[#Data],$DD599,32),0)</f>
        <v/>
      </c>
      <c r="AI599">
        <f>IFERROR(INDEX(PP_Grid[#Data],$DD599,33),0)</f>
        <v/>
      </c>
      <c r="AJ599">
        <f>IFERROR(INDEX(PP_Grid[#Data],$DD599,34),0)</f>
        <v/>
      </c>
      <c r="AK599">
        <f>IFERROR(INDEX(PP_Grid[#Data],$DD599,35),0)</f>
        <v/>
      </c>
      <c r="AL599">
        <f>IFERROR(INDEX(PP_Grid[#Data],$DD599,36),0)</f>
        <v/>
      </c>
      <c r="AM599">
        <f>IFERROR(INDEX(PP_Grid[#Data],$DD599,37),0)</f>
        <v/>
      </c>
      <c r="AN599">
        <f>IFERROR(INDEX(PP_Grid[#Data],$DD599,38),0)</f>
        <v/>
      </c>
      <c r="AO599">
        <f>IFERROR(INDEX(PP_Grid[#Data],$DD599,39),0)</f>
        <v/>
      </c>
      <c r="AP599">
        <f>IFERROR(INDEX(PP_Grid[#Data],$DD599,40),0)</f>
        <v/>
      </c>
      <c r="AQ599">
        <f>IFERROR(INDEX(PP_Grid[#Data],$DD599,41),0)</f>
        <v/>
      </c>
      <c r="AR599">
        <f>IFERROR(INDEX(PP_Grid[#Data],$DD599,42),0)</f>
        <v/>
      </c>
      <c r="AS599">
        <f>IFERROR(INDEX(PP_Grid[#Data],$DD599,43),0)</f>
        <v/>
      </c>
      <c r="AT599">
        <f>IFERROR(INDEX(PP_Grid[#Data],$DD599,44),0)</f>
        <v/>
      </c>
      <c r="AU599">
        <f>IFERROR(INDEX(PP_Grid[#Data],$DD599,45),0)</f>
        <v/>
      </c>
      <c r="AV599">
        <f>IFERROR(INDEX(PP_Grid[#Data],$DD599,46),0)</f>
        <v/>
      </c>
      <c r="AW599">
        <f>IFERROR(INDEX(PP_Grid[#Data],$DD599,47),0)</f>
        <v/>
      </c>
      <c r="AX599">
        <f>IFERROR(INDEX(PP_Grid[#Data],$DD599,48),0)</f>
        <v/>
      </c>
      <c r="AY599">
        <f>IFERROR(INDEX(PP_Grid[#Data],$DD599,49),0)</f>
        <v/>
      </c>
      <c r="AZ599">
        <f>IFERROR(INDEX(PP_Grid[#Data],$DD599,50),0)</f>
        <v/>
      </c>
      <c r="BA599">
        <f>IFERROR(INDEX(PP_Grid[#Data],$DD599,51),0)</f>
        <v/>
      </c>
      <c r="BB599">
        <f>IFERROR(INDEX(PP_Grid[#Data],$DD599,52),0)</f>
        <v/>
      </c>
      <c r="BC599">
        <f>IFERROR(INDEX(PP_Grid[#Data],$DD599,53),0)</f>
        <v/>
      </c>
      <c r="BD599">
        <f>IFERROR(INDEX(PP_Grid[#Data],$DD599,54),0)</f>
        <v/>
      </c>
      <c r="BE599">
        <f>IFERROR(INDEX(PP_Grid[#Data],$DD599,55),0)</f>
        <v/>
      </c>
      <c r="BF599">
        <f>IFERROR(INDEX(PP_Grid[#Data],$DD599,56),0)</f>
        <v/>
      </c>
      <c r="BG599">
        <f>IFERROR(INDEX(PP_Grid[#Data],$DD599,57),0)</f>
        <v/>
      </c>
      <c r="BH599">
        <f>IFERROR(INDEX(PP_Grid[#Data],$DD599,58),0)</f>
        <v/>
      </c>
      <c r="BI599">
        <f>IFERROR(INDEX(PP_Grid[#Data],$DD599,59),0)</f>
        <v/>
      </c>
      <c r="BJ599">
        <f>IFERROR(INDEX(PP_Grid[#Data],$DD599,60),0)</f>
        <v/>
      </c>
      <c r="BK599">
        <f>IFERROR(INDEX(PP_Grid[#Data],$DD599,61),0)</f>
        <v/>
      </c>
      <c r="BL599">
        <f>IFERROR(INDEX(PP_Grid[#Data],$DD599,62),0)</f>
        <v/>
      </c>
      <c r="BM599">
        <f>IFERROR(INDEX(PP_Grid[#Data],$DD599,63),0)</f>
        <v/>
      </c>
      <c r="BN599">
        <f>IFERROR(INDEX(PP_Grid[#Data],$DD599,64),0)</f>
        <v/>
      </c>
      <c r="BO599">
        <f>IFERROR(INDEX(PP_Grid[#Data],$DD599,65),0)</f>
        <v/>
      </c>
      <c r="BP599">
        <f>IFERROR(INDEX(PP_Grid[#Data],$DD599,66),0)</f>
        <v/>
      </c>
      <c r="BQ599">
        <f>IFERROR(INDEX(PP_Grid[#Data],$DD599,67),0)</f>
        <v/>
      </c>
      <c r="BR599">
        <f>IFERROR(INDEX(PP_Grid[#Data],$DD599,68),0)</f>
        <v/>
      </c>
      <c r="BS599">
        <f>IFERROR(INDEX(PP_Grid[#Data],$DD599,69),0)</f>
        <v/>
      </c>
      <c r="BT599">
        <f>IFERROR(INDEX(PP_Grid[#Data],$DD599,70),0)</f>
        <v/>
      </c>
      <c r="BU599">
        <f>IFERROR(INDEX(PP_Grid[#Data],$DD599,71),0)</f>
        <v/>
      </c>
      <c r="BV599">
        <f>IFERROR(INDEX(PP_Grid[#Data],$DD599,72),0)</f>
        <v/>
      </c>
      <c r="BW599">
        <f>IFERROR(INDEX(PP_Grid[#Data],$DD599,73),0)</f>
        <v/>
      </c>
      <c r="BX599">
        <f>IFERROR(INDEX(PP_Grid[#Data],$DD599,74),0)</f>
        <v/>
      </c>
      <c r="BY599">
        <f>IFERROR(INDEX(PP_Grid[#Data],$DD599,75),0)</f>
        <v/>
      </c>
      <c r="BZ599">
        <f>IFERROR(INDEX(PP_Grid[#Data],$DD599,76),0)</f>
        <v/>
      </c>
      <c r="CA599">
        <f>IFERROR(INDEX(PP_Grid[#Data],$DD599,77),0)</f>
        <v/>
      </c>
      <c r="CB599">
        <f>IFERROR(INDEX(PP_Grid[#Data],$DD599,78),0)</f>
        <v/>
      </c>
      <c r="CC599">
        <f>IFERROR(INDEX(PP_Grid[#Data],$DD599,79),0)</f>
        <v/>
      </c>
      <c r="CD599">
        <f>IFERROR(INDEX(PP_Grid[#Data],$DD599,80),0)</f>
        <v/>
      </c>
      <c r="CE599">
        <f>IFERROR(INDEX(PP_Grid[#Data],$DD599,81),0)</f>
        <v/>
      </c>
      <c r="CF599">
        <f>IFERROR(INDEX(PP_Grid[#Data],$DD599,82),0)</f>
        <v/>
      </c>
      <c r="CG599">
        <f>IFERROR(INDEX(PP_Grid[#Data],$DD599,83),0)</f>
        <v/>
      </c>
      <c r="CH599">
        <f>IFERROR(INDEX(PP_Grid[#Data],$DD599,84),0)</f>
        <v/>
      </c>
      <c r="CI599">
        <f>IFERROR(INDEX(PP_Grid[#Data],$DD599,85),0)</f>
        <v/>
      </c>
      <c r="CJ599">
        <f>IFERROR(INDEX(PP_Grid[#Data],$DD599,86),0)</f>
        <v/>
      </c>
      <c r="CK599">
        <f>IFERROR(INDEX(PP_Grid[#Data],$DD599,87),0)</f>
        <v/>
      </c>
      <c r="CL599">
        <f>IFERROR(INDEX(PP_Grid[#Data],$DD599,88),0)</f>
        <v/>
      </c>
      <c r="CM599">
        <f>IFERROR(INDEX(PP_Grid[#Data],$DD599,89),0)</f>
        <v/>
      </c>
      <c r="CN599">
        <f>IFERROR(INDEX(PP_Grid[#Data],$DD599,90),0)</f>
        <v/>
      </c>
      <c r="CO599">
        <f>IFERROR(INDEX(PP_Grid[#Data],$DD599,91),0)</f>
        <v/>
      </c>
      <c r="CP599">
        <f>IFERROR(INDEX(PP_Grid[#Data],$DD599,92),0)</f>
        <v/>
      </c>
      <c r="CQ599">
        <f>IFERROR(INDEX(PP_Grid[#Data],$DD599,93),0)</f>
        <v/>
      </c>
      <c r="CR599">
        <f>IFERROR(INDEX(PP_Grid[#Data],$DD599,94),0)</f>
        <v/>
      </c>
      <c r="CS599">
        <f>IFERROR(INDEX(PP_Grid[#Data],$DD599,95),0)</f>
        <v/>
      </c>
      <c r="CT599">
        <f>IFERROR(INDEX(PP_Grid[#Data],$DD599,96),0)</f>
        <v/>
      </c>
      <c r="CU599">
        <f>IFERROR(INDEX(PP_Grid[#Data],$DD599,97),0)</f>
        <v/>
      </c>
      <c r="CV599">
        <f>IFERROR(INDEX(PP_Grid[#Data],$DD599,98),0)</f>
        <v/>
      </c>
      <c r="CW599">
        <f>IFERROR(INDEX(PP_Grid[#Data],$DD599,99),0)</f>
        <v/>
      </c>
      <c r="CX599">
        <f>IFERROR(INDEX(PP_Grid[#Data],$DD599,100),0)</f>
        <v/>
      </c>
      <c r="CY599">
        <f>IFERROR(INDEX(PP_Grid[#Data],$DD599,101),0)</f>
        <v/>
      </c>
      <c r="CZ599">
        <f>IFERROR(INDEX(PP_Grid[#Data],$DD599,102),0)</f>
        <v/>
      </c>
      <c r="DA599">
        <f>IFERROR(INDEX(PP_Grid[#Data],$DD599,103),0)</f>
        <v/>
      </c>
      <c r="DB599">
        <f>IFERROR(INDEX(PP_Grid[#Data],$DD599,104),0)</f>
        <v/>
      </c>
      <c r="DC599">
        <f>IFERROR(INDEX(PP_Grid[#Data],$DD599,105),0)</f>
        <v/>
      </c>
      <c r="DD599" s="7">
        <f>IFERROR(MATCH($B599,PP_Grid[Intermediate],0),99999)</f>
        <v/>
      </c>
    </row>
    <row r="600">
      <c r="B600" t="inlineStr">
        <is>
          <t>使用量(kg)</t>
        </is>
      </c>
      <c r="C600">
        <f>SUMIFS(M_BOM[RM_Qty_Per_Batch],M_BOM[Intermediate],$B599,M_BOM[Part Name],$A580)</f>
        <v/>
      </c>
      <c r="D600">
        <f>$C600*D599</f>
        <v/>
      </c>
      <c r="E600">
        <f>$C600*E599</f>
        <v/>
      </c>
      <c r="F600">
        <f>$C600*F599</f>
        <v/>
      </c>
      <c r="G600">
        <f>$C600*G599</f>
        <v/>
      </c>
      <c r="H600">
        <f>$C600*H599</f>
        <v/>
      </c>
      <c r="I600">
        <f>$C600*I599</f>
        <v/>
      </c>
      <c r="J600">
        <f>$C600*J599</f>
        <v/>
      </c>
      <c r="K600">
        <f>$C600*K599</f>
        <v/>
      </c>
      <c r="L600">
        <f>$C600*L599</f>
        <v/>
      </c>
      <c r="M600">
        <f>$C600*M599</f>
        <v/>
      </c>
      <c r="N600">
        <f>$C600*N599</f>
        <v/>
      </c>
      <c r="O600">
        <f>$C600*O599</f>
        <v/>
      </c>
      <c r="P600">
        <f>$C600*P599</f>
        <v/>
      </c>
      <c r="Q600">
        <f>$C600*Q599</f>
        <v/>
      </c>
      <c r="R600">
        <f>$C600*R599</f>
        <v/>
      </c>
      <c r="S600">
        <f>$C600*S599</f>
        <v/>
      </c>
      <c r="T600">
        <f>$C600*T599</f>
        <v/>
      </c>
      <c r="U600">
        <f>$C600*U599</f>
        <v/>
      </c>
      <c r="V600">
        <f>$C600*V599</f>
        <v/>
      </c>
      <c r="W600">
        <f>$C600*W599</f>
        <v/>
      </c>
      <c r="X600">
        <f>$C600*X599</f>
        <v/>
      </c>
      <c r="Y600">
        <f>$C600*Y599</f>
        <v/>
      </c>
      <c r="Z600">
        <f>$C600*Z599</f>
        <v/>
      </c>
      <c r="AA600">
        <f>$C600*AA599</f>
        <v/>
      </c>
      <c r="AB600">
        <f>$C600*AB599</f>
        <v/>
      </c>
      <c r="AC600">
        <f>$C600*AC599</f>
        <v/>
      </c>
      <c r="AD600">
        <f>$C600*AD599</f>
        <v/>
      </c>
      <c r="AE600">
        <f>$C600*AE599</f>
        <v/>
      </c>
      <c r="AF600">
        <f>$C600*AF599</f>
        <v/>
      </c>
      <c r="AG600">
        <f>$C600*AG599</f>
        <v/>
      </c>
      <c r="AH600">
        <f>$C600*AH599</f>
        <v/>
      </c>
      <c r="AI600">
        <f>$C600*AI599</f>
        <v/>
      </c>
      <c r="AJ600">
        <f>$C600*AJ599</f>
        <v/>
      </c>
      <c r="AK600">
        <f>$C600*AK599</f>
        <v/>
      </c>
      <c r="AL600">
        <f>$C600*AL599</f>
        <v/>
      </c>
      <c r="AM600">
        <f>$C600*AM599</f>
        <v/>
      </c>
      <c r="AN600">
        <f>$C600*AN599</f>
        <v/>
      </c>
      <c r="AO600">
        <f>$C600*AO599</f>
        <v/>
      </c>
      <c r="AP600">
        <f>$C600*AP599</f>
        <v/>
      </c>
      <c r="AQ600">
        <f>$C600*AQ599</f>
        <v/>
      </c>
      <c r="AR600">
        <f>$C600*AR599</f>
        <v/>
      </c>
      <c r="AS600">
        <f>$C600*AS599</f>
        <v/>
      </c>
      <c r="AT600">
        <f>$C600*AT599</f>
        <v/>
      </c>
      <c r="AU600">
        <f>$C600*AU599</f>
        <v/>
      </c>
      <c r="AV600">
        <f>$C600*AV599</f>
        <v/>
      </c>
      <c r="AW600">
        <f>$C600*AW599</f>
        <v/>
      </c>
      <c r="AX600">
        <f>$C600*AX599</f>
        <v/>
      </c>
      <c r="AY600">
        <f>$C600*AY599</f>
        <v/>
      </c>
      <c r="AZ600">
        <f>$C600*AZ599</f>
        <v/>
      </c>
      <c r="BA600">
        <f>$C600*BA599</f>
        <v/>
      </c>
      <c r="BB600">
        <f>$C600*BB599</f>
        <v/>
      </c>
      <c r="BC600">
        <f>$C600*BC599</f>
        <v/>
      </c>
      <c r="BD600">
        <f>$C600*BD599</f>
        <v/>
      </c>
      <c r="BE600">
        <f>$C600*BE599</f>
        <v/>
      </c>
      <c r="BF600">
        <f>$C600*BF599</f>
        <v/>
      </c>
      <c r="BG600">
        <f>$C600*BG599</f>
        <v/>
      </c>
      <c r="BH600">
        <f>$C600*BH599</f>
        <v/>
      </c>
      <c r="BI600">
        <f>$C600*BI599</f>
        <v/>
      </c>
      <c r="BJ600">
        <f>$C600*BJ599</f>
        <v/>
      </c>
      <c r="BK600">
        <f>$C600*BK599</f>
        <v/>
      </c>
      <c r="BL600">
        <f>$C600*BL599</f>
        <v/>
      </c>
      <c r="BM600">
        <f>$C600*BM599</f>
        <v/>
      </c>
      <c r="BN600">
        <f>$C600*BN599</f>
        <v/>
      </c>
      <c r="BO600">
        <f>$C600*BO599</f>
        <v/>
      </c>
      <c r="BP600">
        <f>$C600*BP599</f>
        <v/>
      </c>
      <c r="BQ600">
        <f>$C600*BQ599</f>
        <v/>
      </c>
      <c r="BR600">
        <f>$C600*BR599</f>
        <v/>
      </c>
      <c r="BS600">
        <f>$C600*BS599</f>
        <v/>
      </c>
      <c r="BT600">
        <f>$C600*BT599</f>
        <v/>
      </c>
      <c r="BU600">
        <f>$C600*BU599</f>
        <v/>
      </c>
      <c r="BV600">
        <f>$C600*BV599</f>
        <v/>
      </c>
      <c r="BW600">
        <f>$C600*BW599</f>
        <v/>
      </c>
      <c r="BX600">
        <f>$C600*BX599</f>
        <v/>
      </c>
      <c r="BY600">
        <f>$C600*BY599</f>
        <v/>
      </c>
      <c r="BZ600">
        <f>$C600*BZ599</f>
        <v/>
      </c>
      <c r="CA600">
        <f>$C600*CA599</f>
        <v/>
      </c>
      <c r="CB600">
        <f>$C600*CB599</f>
        <v/>
      </c>
      <c r="CC600">
        <f>$C600*CC599</f>
        <v/>
      </c>
      <c r="CD600">
        <f>$C600*CD599</f>
        <v/>
      </c>
      <c r="CE600">
        <f>$C600*CE599</f>
        <v/>
      </c>
      <c r="CF600">
        <f>$C600*CF599</f>
        <v/>
      </c>
      <c r="CG600">
        <f>$C600*CG599</f>
        <v/>
      </c>
      <c r="CH600">
        <f>$C600*CH599</f>
        <v/>
      </c>
      <c r="CI600">
        <f>$C600*CI599</f>
        <v/>
      </c>
      <c r="CJ600">
        <f>$C600*CJ599</f>
        <v/>
      </c>
      <c r="CK600">
        <f>$C600*CK599</f>
        <v/>
      </c>
      <c r="CL600">
        <f>$C600*CL599</f>
        <v/>
      </c>
      <c r="CM600">
        <f>$C600*CM599</f>
        <v/>
      </c>
      <c r="CN600">
        <f>$C600*CN599</f>
        <v/>
      </c>
      <c r="CO600">
        <f>$C600*CO599</f>
        <v/>
      </c>
      <c r="CP600">
        <f>$C600*CP599</f>
        <v/>
      </c>
      <c r="CQ600">
        <f>$C600*CQ599</f>
        <v/>
      </c>
      <c r="CR600">
        <f>$C600*CR599</f>
        <v/>
      </c>
      <c r="CS600">
        <f>$C600*CS599</f>
        <v/>
      </c>
      <c r="CT600">
        <f>$C600*CT599</f>
        <v/>
      </c>
      <c r="CU600">
        <f>$C600*CU599</f>
        <v/>
      </c>
      <c r="CV600">
        <f>$C600*CV599</f>
        <v/>
      </c>
      <c r="CW600">
        <f>$C600*CW599</f>
        <v/>
      </c>
      <c r="CX600">
        <f>$C600*CX599</f>
        <v/>
      </c>
      <c r="CY600">
        <f>$C600*CY599</f>
        <v/>
      </c>
      <c r="CZ600">
        <f>$C600*CZ599</f>
        <v/>
      </c>
      <c r="DA600">
        <f>$C600*DA599</f>
        <v/>
      </c>
      <c r="DB600">
        <f>$C600*DB599</f>
        <v/>
      </c>
      <c r="DC600">
        <f>$C600*DC599</f>
        <v/>
      </c>
    </row>
    <row r="601">
      <c r="B601" t="inlineStr">
        <is>
          <t>VSP-739</t>
        </is>
      </c>
      <c r="C601" t="inlineStr">
        <is>
          <t>No. of batches</t>
        </is>
      </c>
      <c r="D601">
        <f>IFERROR(INDEX(PP_Grid[#Data],$DD601,2),0)</f>
        <v/>
      </c>
      <c r="E601">
        <f>IFERROR(INDEX(PP_Grid[#Data],$DD601,3),0)</f>
        <v/>
      </c>
      <c r="F601">
        <f>IFERROR(INDEX(PP_Grid[#Data],$DD601,4),0)</f>
        <v/>
      </c>
      <c r="G601">
        <f>IFERROR(INDEX(PP_Grid[#Data],$DD601,5),0)</f>
        <v/>
      </c>
      <c r="H601">
        <f>IFERROR(INDEX(PP_Grid[#Data],$DD601,6),0)</f>
        <v/>
      </c>
      <c r="I601">
        <f>IFERROR(INDEX(PP_Grid[#Data],$DD601,7),0)</f>
        <v/>
      </c>
      <c r="J601">
        <f>IFERROR(INDEX(PP_Grid[#Data],$DD601,8),0)</f>
        <v/>
      </c>
      <c r="K601">
        <f>IFERROR(INDEX(PP_Grid[#Data],$DD601,9),0)</f>
        <v/>
      </c>
      <c r="L601">
        <f>IFERROR(INDEX(PP_Grid[#Data],$DD601,10),0)</f>
        <v/>
      </c>
      <c r="M601">
        <f>IFERROR(INDEX(PP_Grid[#Data],$DD601,11),0)</f>
        <v/>
      </c>
      <c r="N601">
        <f>IFERROR(INDEX(PP_Grid[#Data],$DD601,12),0)</f>
        <v/>
      </c>
      <c r="O601">
        <f>IFERROR(INDEX(PP_Grid[#Data],$DD601,13),0)</f>
        <v/>
      </c>
      <c r="P601">
        <f>IFERROR(INDEX(PP_Grid[#Data],$DD601,14),0)</f>
        <v/>
      </c>
      <c r="Q601">
        <f>IFERROR(INDEX(PP_Grid[#Data],$DD601,15),0)</f>
        <v/>
      </c>
      <c r="R601">
        <f>IFERROR(INDEX(PP_Grid[#Data],$DD601,16),0)</f>
        <v/>
      </c>
      <c r="S601">
        <f>IFERROR(INDEX(PP_Grid[#Data],$DD601,17),0)</f>
        <v/>
      </c>
      <c r="T601">
        <f>IFERROR(INDEX(PP_Grid[#Data],$DD601,18),0)</f>
        <v/>
      </c>
      <c r="U601">
        <f>IFERROR(INDEX(PP_Grid[#Data],$DD601,19),0)</f>
        <v/>
      </c>
      <c r="V601">
        <f>IFERROR(INDEX(PP_Grid[#Data],$DD601,20),0)</f>
        <v/>
      </c>
      <c r="W601">
        <f>IFERROR(INDEX(PP_Grid[#Data],$DD601,21),0)</f>
        <v/>
      </c>
      <c r="X601">
        <f>IFERROR(INDEX(PP_Grid[#Data],$DD601,22),0)</f>
        <v/>
      </c>
      <c r="Y601">
        <f>IFERROR(INDEX(PP_Grid[#Data],$DD601,23),0)</f>
        <v/>
      </c>
      <c r="Z601">
        <f>IFERROR(INDEX(PP_Grid[#Data],$DD601,24),0)</f>
        <v/>
      </c>
      <c r="AA601">
        <f>IFERROR(INDEX(PP_Grid[#Data],$DD601,25),0)</f>
        <v/>
      </c>
      <c r="AB601">
        <f>IFERROR(INDEX(PP_Grid[#Data],$DD601,26),0)</f>
        <v/>
      </c>
      <c r="AC601">
        <f>IFERROR(INDEX(PP_Grid[#Data],$DD601,27),0)</f>
        <v/>
      </c>
      <c r="AD601">
        <f>IFERROR(INDEX(PP_Grid[#Data],$DD601,28),0)</f>
        <v/>
      </c>
      <c r="AE601">
        <f>IFERROR(INDEX(PP_Grid[#Data],$DD601,29),0)</f>
        <v/>
      </c>
      <c r="AF601">
        <f>IFERROR(INDEX(PP_Grid[#Data],$DD601,30),0)</f>
        <v/>
      </c>
      <c r="AG601">
        <f>IFERROR(INDEX(PP_Grid[#Data],$DD601,31),0)</f>
        <v/>
      </c>
      <c r="AH601">
        <f>IFERROR(INDEX(PP_Grid[#Data],$DD601,32),0)</f>
        <v/>
      </c>
      <c r="AI601">
        <f>IFERROR(INDEX(PP_Grid[#Data],$DD601,33),0)</f>
        <v/>
      </c>
      <c r="AJ601">
        <f>IFERROR(INDEX(PP_Grid[#Data],$DD601,34),0)</f>
        <v/>
      </c>
      <c r="AK601">
        <f>IFERROR(INDEX(PP_Grid[#Data],$DD601,35),0)</f>
        <v/>
      </c>
      <c r="AL601">
        <f>IFERROR(INDEX(PP_Grid[#Data],$DD601,36),0)</f>
        <v/>
      </c>
      <c r="AM601">
        <f>IFERROR(INDEX(PP_Grid[#Data],$DD601,37),0)</f>
        <v/>
      </c>
      <c r="AN601">
        <f>IFERROR(INDEX(PP_Grid[#Data],$DD601,38),0)</f>
        <v/>
      </c>
      <c r="AO601">
        <f>IFERROR(INDEX(PP_Grid[#Data],$DD601,39),0)</f>
        <v/>
      </c>
      <c r="AP601">
        <f>IFERROR(INDEX(PP_Grid[#Data],$DD601,40),0)</f>
        <v/>
      </c>
      <c r="AQ601">
        <f>IFERROR(INDEX(PP_Grid[#Data],$DD601,41),0)</f>
        <v/>
      </c>
      <c r="AR601">
        <f>IFERROR(INDEX(PP_Grid[#Data],$DD601,42),0)</f>
        <v/>
      </c>
      <c r="AS601">
        <f>IFERROR(INDEX(PP_Grid[#Data],$DD601,43),0)</f>
        <v/>
      </c>
      <c r="AT601">
        <f>IFERROR(INDEX(PP_Grid[#Data],$DD601,44),0)</f>
        <v/>
      </c>
      <c r="AU601">
        <f>IFERROR(INDEX(PP_Grid[#Data],$DD601,45),0)</f>
        <v/>
      </c>
      <c r="AV601">
        <f>IFERROR(INDEX(PP_Grid[#Data],$DD601,46),0)</f>
        <v/>
      </c>
      <c r="AW601">
        <f>IFERROR(INDEX(PP_Grid[#Data],$DD601,47),0)</f>
        <v/>
      </c>
      <c r="AX601">
        <f>IFERROR(INDEX(PP_Grid[#Data],$DD601,48),0)</f>
        <v/>
      </c>
      <c r="AY601">
        <f>IFERROR(INDEX(PP_Grid[#Data],$DD601,49),0)</f>
        <v/>
      </c>
      <c r="AZ601">
        <f>IFERROR(INDEX(PP_Grid[#Data],$DD601,50),0)</f>
        <v/>
      </c>
      <c r="BA601">
        <f>IFERROR(INDEX(PP_Grid[#Data],$DD601,51),0)</f>
        <v/>
      </c>
      <c r="BB601">
        <f>IFERROR(INDEX(PP_Grid[#Data],$DD601,52),0)</f>
        <v/>
      </c>
      <c r="BC601">
        <f>IFERROR(INDEX(PP_Grid[#Data],$DD601,53),0)</f>
        <v/>
      </c>
      <c r="BD601">
        <f>IFERROR(INDEX(PP_Grid[#Data],$DD601,54),0)</f>
        <v/>
      </c>
      <c r="BE601">
        <f>IFERROR(INDEX(PP_Grid[#Data],$DD601,55),0)</f>
        <v/>
      </c>
      <c r="BF601">
        <f>IFERROR(INDEX(PP_Grid[#Data],$DD601,56),0)</f>
        <v/>
      </c>
      <c r="BG601">
        <f>IFERROR(INDEX(PP_Grid[#Data],$DD601,57),0)</f>
        <v/>
      </c>
      <c r="BH601">
        <f>IFERROR(INDEX(PP_Grid[#Data],$DD601,58),0)</f>
        <v/>
      </c>
      <c r="BI601">
        <f>IFERROR(INDEX(PP_Grid[#Data],$DD601,59),0)</f>
        <v/>
      </c>
      <c r="BJ601">
        <f>IFERROR(INDEX(PP_Grid[#Data],$DD601,60),0)</f>
        <v/>
      </c>
      <c r="BK601">
        <f>IFERROR(INDEX(PP_Grid[#Data],$DD601,61),0)</f>
        <v/>
      </c>
      <c r="BL601">
        <f>IFERROR(INDEX(PP_Grid[#Data],$DD601,62),0)</f>
        <v/>
      </c>
      <c r="BM601">
        <f>IFERROR(INDEX(PP_Grid[#Data],$DD601,63),0)</f>
        <v/>
      </c>
      <c r="BN601">
        <f>IFERROR(INDEX(PP_Grid[#Data],$DD601,64),0)</f>
        <v/>
      </c>
      <c r="BO601">
        <f>IFERROR(INDEX(PP_Grid[#Data],$DD601,65),0)</f>
        <v/>
      </c>
      <c r="BP601">
        <f>IFERROR(INDEX(PP_Grid[#Data],$DD601,66),0)</f>
        <v/>
      </c>
      <c r="BQ601">
        <f>IFERROR(INDEX(PP_Grid[#Data],$DD601,67),0)</f>
        <v/>
      </c>
      <c r="BR601">
        <f>IFERROR(INDEX(PP_Grid[#Data],$DD601,68),0)</f>
        <v/>
      </c>
      <c r="BS601">
        <f>IFERROR(INDEX(PP_Grid[#Data],$DD601,69),0)</f>
        <v/>
      </c>
      <c r="BT601">
        <f>IFERROR(INDEX(PP_Grid[#Data],$DD601,70),0)</f>
        <v/>
      </c>
      <c r="BU601">
        <f>IFERROR(INDEX(PP_Grid[#Data],$DD601,71),0)</f>
        <v/>
      </c>
      <c r="BV601">
        <f>IFERROR(INDEX(PP_Grid[#Data],$DD601,72),0)</f>
        <v/>
      </c>
      <c r="BW601">
        <f>IFERROR(INDEX(PP_Grid[#Data],$DD601,73),0)</f>
        <v/>
      </c>
      <c r="BX601">
        <f>IFERROR(INDEX(PP_Grid[#Data],$DD601,74),0)</f>
        <v/>
      </c>
      <c r="BY601">
        <f>IFERROR(INDEX(PP_Grid[#Data],$DD601,75),0)</f>
        <v/>
      </c>
      <c r="BZ601">
        <f>IFERROR(INDEX(PP_Grid[#Data],$DD601,76),0)</f>
        <v/>
      </c>
      <c r="CA601">
        <f>IFERROR(INDEX(PP_Grid[#Data],$DD601,77),0)</f>
        <v/>
      </c>
      <c r="CB601">
        <f>IFERROR(INDEX(PP_Grid[#Data],$DD601,78),0)</f>
        <v/>
      </c>
      <c r="CC601">
        <f>IFERROR(INDEX(PP_Grid[#Data],$DD601,79),0)</f>
        <v/>
      </c>
      <c r="CD601">
        <f>IFERROR(INDEX(PP_Grid[#Data],$DD601,80),0)</f>
        <v/>
      </c>
      <c r="CE601">
        <f>IFERROR(INDEX(PP_Grid[#Data],$DD601,81),0)</f>
        <v/>
      </c>
      <c r="CF601">
        <f>IFERROR(INDEX(PP_Grid[#Data],$DD601,82),0)</f>
        <v/>
      </c>
      <c r="CG601">
        <f>IFERROR(INDEX(PP_Grid[#Data],$DD601,83),0)</f>
        <v/>
      </c>
      <c r="CH601">
        <f>IFERROR(INDEX(PP_Grid[#Data],$DD601,84),0)</f>
        <v/>
      </c>
      <c r="CI601">
        <f>IFERROR(INDEX(PP_Grid[#Data],$DD601,85),0)</f>
        <v/>
      </c>
      <c r="CJ601">
        <f>IFERROR(INDEX(PP_Grid[#Data],$DD601,86),0)</f>
        <v/>
      </c>
      <c r="CK601">
        <f>IFERROR(INDEX(PP_Grid[#Data],$DD601,87),0)</f>
        <v/>
      </c>
      <c r="CL601">
        <f>IFERROR(INDEX(PP_Grid[#Data],$DD601,88),0)</f>
        <v/>
      </c>
      <c r="CM601">
        <f>IFERROR(INDEX(PP_Grid[#Data],$DD601,89),0)</f>
        <v/>
      </c>
      <c r="CN601">
        <f>IFERROR(INDEX(PP_Grid[#Data],$DD601,90),0)</f>
        <v/>
      </c>
      <c r="CO601">
        <f>IFERROR(INDEX(PP_Grid[#Data],$DD601,91),0)</f>
        <v/>
      </c>
      <c r="CP601">
        <f>IFERROR(INDEX(PP_Grid[#Data],$DD601,92),0)</f>
        <v/>
      </c>
      <c r="CQ601">
        <f>IFERROR(INDEX(PP_Grid[#Data],$DD601,93),0)</f>
        <v/>
      </c>
      <c r="CR601">
        <f>IFERROR(INDEX(PP_Grid[#Data],$DD601,94),0)</f>
        <v/>
      </c>
      <c r="CS601">
        <f>IFERROR(INDEX(PP_Grid[#Data],$DD601,95),0)</f>
        <v/>
      </c>
      <c r="CT601">
        <f>IFERROR(INDEX(PP_Grid[#Data],$DD601,96),0)</f>
        <v/>
      </c>
      <c r="CU601">
        <f>IFERROR(INDEX(PP_Grid[#Data],$DD601,97),0)</f>
        <v/>
      </c>
      <c r="CV601">
        <f>IFERROR(INDEX(PP_Grid[#Data],$DD601,98),0)</f>
        <v/>
      </c>
      <c r="CW601">
        <f>IFERROR(INDEX(PP_Grid[#Data],$DD601,99),0)</f>
        <v/>
      </c>
      <c r="CX601">
        <f>IFERROR(INDEX(PP_Grid[#Data],$DD601,100),0)</f>
        <v/>
      </c>
      <c r="CY601">
        <f>IFERROR(INDEX(PP_Grid[#Data],$DD601,101),0)</f>
        <v/>
      </c>
      <c r="CZ601">
        <f>IFERROR(INDEX(PP_Grid[#Data],$DD601,102),0)</f>
        <v/>
      </c>
      <c r="DA601">
        <f>IFERROR(INDEX(PP_Grid[#Data],$DD601,103),0)</f>
        <v/>
      </c>
      <c r="DB601">
        <f>IFERROR(INDEX(PP_Grid[#Data],$DD601,104),0)</f>
        <v/>
      </c>
      <c r="DC601">
        <f>IFERROR(INDEX(PP_Grid[#Data],$DD601,105),0)</f>
        <v/>
      </c>
      <c r="DD601" s="7">
        <f>IFERROR(MATCH($B601,PP_Grid[Intermediate],0),99999)</f>
        <v/>
      </c>
    </row>
    <row r="602">
      <c r="B602" t="inlineStr">
        <is>
          <t>使用量(kg)</t>
        </is>
      </c>
      <c r="C602">
        <f>SUMIFS(M_BOM[RM_Qty_Per_Batch],M_BOM[Intermediate],$B601,M_BOM[Part Name],$A580)</f>
        <v/>
      </c>
      <c r="D602">
        <f>$C602*D601</f>
        <v/>
      </c>
      <c r="E602">
        <f>$C602*E601</f>
        <v/>
      </c>
      <c r="F602">
        <f>$C602*F601</f>
        <v/>
      </c>
      <c r="G602">
        <f>$C602*G601</f>
        <v/>
      </c>
      <c r="H602">
        <f>$C602*H601</f>
        <v/>
      </c>
      <c r="I602">
        <f>$C602*I601</f>
        <v/>
      </c>
      <c r="J602">
        <f>$C602*J601</f>
        <v/>
      </c>
      <c r="K602">
        <f>$C602*K601</f>
        <v/>
      </c>
      <c r="L602">
        <f>$C602*L601</f>
        <v/>
      </c>
      <c r="M602">
        <f>$C602*M601</f>
        <v/>
      </c>
      <c r="N602">
        <f>$C602*N601</f>
        <v/>
      </c>
      <c r="O602">
        <f>$C602*O601</f>
        <v/>
      </c>
      <c r="P602">
        <f>$C602*P601</f>
        <v/>
      </c>
      <c r="Q602">
        <f>$C602*Q601</f>
        <v/>
      </c>
      <c r="R602">
        <f>$C602*R601</f>
        <v/>
      </c>
      <c r="S602">
        <f>$C602*S601</f>
        <v/>
      </c>
      <c r="T602">
        <f>$C602*T601</f>
        <v/>
      </c>
      <c r="U602">
        <f>$C602*U601</f>
        <v/>
      </c>
      <c r="V602">
        <f>$C602*V601</f>
        <v/>
      </c>
      <c r="W602">
        <f>$C602*W601</f>
        <v/>
      </c>
      <c r="X602">
        <f>$C602*X601</f>
        <v/>
      </c>
      <c r="Y602">
        <f>$C602*Y601</f>
        <v/>
      </c>
      <c r="Z602">
        <f>$C602*Z601</f>
        <v/>
      </c>
      <c r="AA602">
        <f>$C602*AA601</f>
        <v/>
      </c>
      <c r="AB602">
        <f>$C602*AB601</f>
        <v/>
      </c>
      <c r="AC602">
        <f>$C602*AC601</f>
        <v/>
      </c>
      <c r="AD602">
        <f>$C602*AD601</f>
        <v/>
      </c>
      <c r="AE602">
        <f>$C602*AE601</f>
        <v/>
      </c>
      <c r="AF602">
        <f>$C602*AF601</f>
        <v/>
      </c>
      <c r="AG602">
        <f>$C602*AG601</f>
        <v/>
      </c>
      <c r="AH602">
        <f>$C602*AH601</f>
        <v/>
      </c>
      <c r="AI602">
        <f>$C602*AI601</f>
        <v/>
      </c>
      <c r="AJ602">
        <f>$C602*AJ601</f>
        <v/>
      </c>
      <c r="AK602">
        <f>$C602*AK601</f>
        <v/>
      </c>
      <c r="AL602">
        <f>$C602*AL601</f>
        <v/>
      </c>
      <c r="AM602">
        <f>$C602*AM601</f>
        <v/>
      </c>
      <c r="AN602">
        <f>$C602*AN601</f>
        <v/>
      </c>
      <c r="AO602">
        <f>$C602*AO601</f>
        <v/>
      </c>
      <c r="AP602">
        <f>$C602*AP601</f>
        <v/>
      </c>
      <c r="AQ602">
        <f>$C602*AQ601</f>
        <v/>
      </c>
      <c r="AR602">
        <f>$C602*AR601</f>
        <v/>
      </c>
      <c r="AS602">
        <f>$C602*AS601</f>
        <v/>
      </c>
      <c r="AT602">
        <f>$C602*AT601</f>
        <v/>
      </c>
      <c r="AU602">
        <f>$C602*AU601</f>
        <v/>
      </c>
      <c r="AV602">
        <f>$C602*AV601</f>
        <v/>
      </c>
      <c r="AW602">
        <f>$C602*AW601</f>
        <v/>
      </c>
      <c r="AX602">
        <f>$C602*AX601</f>
        <v/>
      </c>
      <c r="AY602">
        <f>$C602*AY601</f>
        <v/>
      </c>
      <c r="AZ602">
        <f>$C602*AZ601</f>
        <v/>
      </c>
      <c r="BA602">
        <f>$C602*BA601</f>
        <v/>
      </c>
      <c r="BB602">
        <f>$C602*BB601</f>
        <v/>
      </c>
      <c r="BC602">
        <f>$C602*BC601</f>
        <v/>
      </c>
      <c r="BD602">
        <f>$C602*BD601</f>
        <v/>
      </c>
      <c r="BE602">
        <f>$C602*BE601</f>
        <v/>
      </c>
      <c r="BF602">
        <f>$C602*BF601</f>
        <v/>
      </c>
      <c r="BG602">
        <f>$C602*BG601</f>
        <v/>
      </c>
      <c r="BH602">
        <f>$C602*BH601</f>
        <v/>
      </c>
      <c r="BI602">
        <f>$C602*BI601</f>
        <v/>
      </c>
      <c r="BJ602">
        <f>$C602*BJ601</f>
        <v/>
      </c>
      <c r="BK602">
        <f>$C602*BK601</f>
        <v/>
      </c>
      <c r="BL602">
        <f>$C602*BL601</f>
        <v/>
      </c>
      <c r="BM602">
        <f>$C602*BM601</f>
        <v/>
      </c>
      <c r="BN602">
        <f>$C602*BN601</f>
        <v/>
      </c>
      <c r="BO602">
        <f>$C602*BO601</f>
        <v/>
      </c>
      <c r="BP602">
        <f>$C602*BP601</f>
        <v/>
      </c>
      <c r="BQ602">
        <f>$C602*BQ601</f>
        <v/>
      </c>
      <c r="BR602">
        <f>$C602*BR601</f>
        <v/>
      </c>
      <c r="BS602">
        <f>$C602*BS601</f>
        <v/>
      </c>
      <c r="BT602">
        <f>$C602*BT601</f>
        <v/>
      </c>
      <c r="BU602">
        <f>$C602*BU601</f>
        <v/>
      </c>
      <c r="BV602">
        <f>$C602*BV601</f>
        <v/>
      </c>
      <c r="BW602">
        <f>$C602*BW601</f>
        <v/>
      </c>
      <c r="BX602">
        <f>$C602*BX601</f>
        <v/>
      </c>
      <c r="BY602">
        <f>$C602*BY601</f>
        <v/>
      </c>
      <c r="BZ602">
        <f>$C602*BZ601</f>
        <v/>
      </c>
      <c r="CA602">
        <f>$C602*CA601</f>
        <v/>
      </c>
      <c r="CB602">
        <f>$C602*CB601</f>
        <v/>
      </c>
      <c r="CC602">
        <f>$C602*CC601</f>
        <v/>
      </c>
      <c r="CD602">
        <f>$C602*CD601</f>
        <v/>
      </c>
      <c r="CE602">
        <f>$C602*CE601</f>
        <v/>
      </c>
      <c r="CF602">
        <f>$C602*CF601</f>
        <v/>
      </c>
      <c r="CG602">
        <f>$C602*CG601</f>
        <v/>
      </c>
      <c r="CH602">
        <f>$C602*CH601</f>
        <v/>
      </c>
      <c r="CI602">
        <f>$C602*CI601</f>
        <v/>
      </c>
      <c r="CJ602">
        <f>$C602*CJ601</f>
        <v/>
      </c>
      <c r="CK602">
        <f>$C602*CK601</f>
        <v/>
      </c>
      <c r="CL602">
        <f>$C602*CL601</f>
        <v/>
      </c>
      <c r="CM602">
        <f>$C602*CM601</f>
        <v/>
      </c>
      <c r="CN602">
        <f>$C602*CN601</f>
        <v/>
      </c>
      <c r="CO602">
        <f>$C602*CO601</f>
        <v/>
      </c>
      <c r="CP602">
        <f>$C602*CP601</f>
        <v/>
      </c>
      <c r="CQ602">
        <f>$C602*CQ601</f>
        <v/>
      </c>
      <c r="CR602">
        <f>$C602*CR601</f>
        <v/>
      </c>
      <c r="CS602">
        <f>$C602*CS601</f>
        <v/>
      </c>
      <c r="CT602">
        <f>$C602*CT601</f>
        <v/>
      </c>
      <c r="CU602">
        <f>$C602*CU601</f>
        <v/>
      </c>
      <c r="CV602">
        <f>$C602*CV601</f>
        <v/>
      </c>
      <c r="CW602">
        <f>$C602*CW601</f>
        <v/>
      </c>
      <c r="CX602">
        <f>$C602*CX601</f>
        <v/>
      </c>
      <c r="CY602">
        <f>$C602*CY601</f>
        <v/>
      </c>
      <c r="CZ602">
        <f>$C602*CZ601</f>
        <v/>
      </c>
      <c r="DA602">
        <f>$C602*DA601</f>
        <v/>
      </c>
      <c r="DB602">
        <f>$C602*DB601</f>
        <v/>
      </c>
      <c r="DC602">
        <f>$C602*DC601</f>
        <v/>
      </c>
    </row>
    <row r="603">
      <c r="B603" t="inlineStr">
        <is>
          <t>VSP-820</t>
        </is>
      </c>
      <c r="C603" t="inlineStr">
        <is>
          <t>No. of batches</t>
        </is>
      </c>
      <c r="D603">
        <f>IFERROR(INDEX(PP_Grid[#Data],$DD603,2),0)</f>
        <v/>
      </c>
      <c r="E603">
        <f>IFERROR(INDEX(PP_Grid[#Data],$DD603,3),0)</f>
        <v/>
      </c>
      <c r="F603">
        <f>IFERROR(INDEX(PP_Grid[#Data],$DD603,4),0)</f>
        <v/>
      </c>
      <c r="G603">
        <f>IFERROR(INDEX(PP_Grid[#Data],$DD603,5),0)</f>
        <v/>
      </c>
      <c r="H603">
        <f>IFERROR(INDEX(PP_Grid[#Data],$DD603,6),0)</f>
        <v/>
      </c>
      <c r="I603">
        <f>IFERROR(INDEX(PP_Grid[#Data],$DD603,7),0)</f>
        <v/>
      </c>
      <c r="J603">
        <f>IFERROR(INDEX(PP_Grid[#Data],$DD603,8),0)</f>
        <v/>
      </c>
      <c r="K603">
        <f>IFERROR(INDEX(PP_Grid[#Data],$DD603,9),0)</f>
        <v/>
      </c>
      <c r="L603">
        <f>IFERROR(INDEX(PP_Grid[#Data],$DD603,10),0)</f>
        <v/>
      </c>
      <c r="M603">
        <f>IFERROR(INDEX(PP_Grid[#Data],$DD603,11),0)</f>
        <v/>
      </c>
      <c r="N603">
        <f>IFERROR(INDEX(PP_Grid[#Data],$DD603,12),0)</f>
        <v/>
      </c>
      <c r="O603">
        <f>IFERROR(INDEX(PP_Grid[#Data],$DD603,13),0)</f>
        <v/>
      </c>
      <c r="P603">
        <f>IFERROR(INDEX(PP_Grid[#Data],$DD603,14),0)</f>
        <v/>
      </c>
      <c r="Q603">
        <f>IFERROR(INDEX(PP_Grid[#Data],$DD603,15),0)</f>
        <v/>
      </c>
      <c r="R603">
        <f>IFERROR(INDEX(PP_Grid[#Data],$DD603,16),0)</f>
        <v/>
      </c>
      <c r="S603">
        <f>IFERROR(INDEX(PP_Grid[#Data],$DD603,17),0)</f>
        <v/>
      </c>
      <c r="T603">
        <f>IFERROR(INDEX(PP_Grid[#Data],$DD603,18),0)</f>
        <v/>
      </c>
      <c r="U603">
        <f>IFERROR(INDEX(PP_Grid[#Data],$DD603,19),0)</f>
        <v/>
      </c>
      <c r="V603">
        <f>IFERROR(INDEX(PP_Grid[#Data],$DD603,20),0)</f>
        <v/>
      </c>
      <c r="W603">
        <f>IFERROR(INDEX(PP_Grid[#Data],$DD603,21),0)</f>
        <v/>
      </c>
      <c r="X603">
        <f>IFERROR(INDEX(PP_Grid[#Data],$DD603,22),0)</f>
        <v/>
      </c>
      <c r="Y603">
        <f>IFERROR(INDEX(PP_Grid[#Data],$DD603,23),0)</f>
        <v/>
      </c>
      <c r="Z603">
        <f>IFERROR(INDEX(PP_Grid[#Data],$DD603,24),0)</f>
        <v/>
      </c>
      <c r="AA603">
        <f>IFERROR(INDEX(PP_Grid[#Data],$DD603,25),0)</f>
        <v/>
      </c>
      <c r="AB603">
        <f>IFERROR(INDEX(PP_Grid[#Data],$DD603,26),0)</f>
        <v/>
      </c>
      <c r="AC603">
        <f>IFERROR(INDEX(PP_Grid[#Data],$DD603,27),0)</f>
        <v/>
      </c>
      <c r="AD603">
        <f>IFERROR(INDEX(PP_Grid[#Data],$DD603,28),0)</f>
        <v/>
      </c>
      <c r="AE603">
        <f>IFERROR(INDEX(PP_Grid[#Data],$DD603,29),0)</f>
        <v/>
      </c>
      <c r="AF603">
        <f>IFERROR(INDEX(PP_Grid[#Data],$DD603,30),0)</f>
        <v/>
      </c>
      <c r="AG603">
        <f>IFERROR(INDEX(PP_Grid[#Data],$DD603,31),0)</f>
        <v/>
      </c>
      <c r="AH603">
        <f>IFERROR(INDEX(PP_Grid[#Data],$DD603,32),0)</f>
        <v/>
      </c>
      <c r="AI603">
        <f>IFERROR(INDEX(PP_Grid[#Data],$DD603,33),0)</f>
        <v/>
      </c>
      <c r="AJ603">
        <f>IFERROR(INDEX(PP_Grid[#Data],$DD603,34),0)</f>
        <v/>
      </c>
      <c r="AK603">
        <f>IFERROR(INDEX(PP_Grid[#Data],$DD603,35),0)</f>
        <v/>
      </c>
      <c r="AL603">
        <f>IFERROR(INDEX(PP_Grid[#Data],$DD603,36),0)</f>
        <v/>
      </c>
      <c r="AM603">
        <f>IFERROR(INDEX(PP_Grid[#Data],$DD603,37),0)</f>
        <v/>
      </c>
      <c r="AN603">
        <f>IFERROR(INDEX(PP_Grid[#Data],$DD603,38),0)</f>
        <v/>
      </c>
      <c r="AO603">
        <f>IFERROR(INDEX(PP_Grid[#Data],$DD603,39),0)</f>
        <v/>
      </c>
      <c r="AP603">
        <f>IFERROR(INDEX(PP_Grid[#Data],$DD603,40),0)</f>
        <v/>
      </c>
      <c r="AQ603">
        <f>IFERROR(INDEX(PP_Grid[#Data],$DD603,41),0)</f>
        <v/>
      </c>
      <c r="AR603">
        <f>IFERROR(INDEX(PP_Grid[#Data],$DD603,42),0)</f>
        <v/>
      </c>
      <c r="AS603">
        <f>IFERROR(INDEX(PP_Grid[#Data],$DD603,43),0)</f>
        <v/>
      </c>
      <c r="AT603">
        <f>IFERROR(INDEX(PP_Grid[#Data],$DD603,44),0)</f>
        <v/>
      </c>
      <c r="AU603">
        <f>IFERROR(INDEX(PP_Grid[#Data],$DD603,45),0)</f>
        <v/>
      </c>
      <c r="AV603">
        <f>IFERROR(INDEX(PP_Grid[#Data],$DD603,46),0)</f>
        <v/>
      </c>
      <c r="AW603">
        <f>IFERROR(INDEX(PP_Grid[#Data],$DD603,47),0)</f>
        <v/>
      </c>
      <c r="AX603">
        <f>IFERROR(INDEX(PP_Grid[#Data],$DD603,48),0)</f>
        <v/>
      </c>
      <c r="AY603">
        <f>IFERROR(INDEX(PP_Grid[#Data],$DD603,49),0)</f>
        <v/>
      </c>
      <c r="AZ603">
        <f>IFERROR(INDEX(PP_Grid[#Data],$DD603,50),0)</f>
        <v/>
      </c>
      <c r="BA603">
        <f>IFERROR(INDEX(PP_Grid[#Data],$DD603,51),0)</f>
        <v/>
      </c>
      <c r="BB603">
        <f>IFERROR(INDEX(PP_Grid[#Data],$DD603,52),0)</f>
        <v/>
      </c>
      <c r="BC603">
        <f>IFERROR(INDEX(PP_Grid[#Data],$DD603,53),0)</f>
        <v/>
      </c>
      <c r="BD603">
        <f>IFERROR(INDEX(PP_Grid[#Data],$DD603,54),0)</f>
        <v/>
      </c>
      <c r="BE603">
        <f>IFERROR(INDEX(PP_Grid[#Data],$DD603,55),0)</f>
        <v/>
      </c>
      <c r="BF603">
        <f>IFERROR(INDEX(PP_Grid[#Data],$DD603,56),0)</f>
        <v/>
      </c>
      <c r="BG603">
        <f>IFERROR(INDEX(PP_Grid[#Data],$DD603,57),0)</f>
        <v/>
      </c>
      <c r="BH603">
        <f>IFERROR(INDEX(PP_Grid[#Data],$DD603,58),0)</f>
        <v/>
      </c>
      <c r="BI603">
        <f>IFERROR(INDEX(PP_Grid[#Data],$DD603,59),0)</f>
        <v/>
      </c>
      <c r="BJ603">
        <f>IFERROR(INDEX(PP_Grid[#Data],$DD603,60),0)</f>
        <v/>
      </c>
      <c r="BK603">
        <f>IFERROR(INDEX(PP_Grid[#Data],$DD603,61),0)</f>
        <v/>
      </c>
      <c r="BL603">
        <f>IFERROR(INDEX(PP_Grid[#Data],$DD603,62),0)</f>
        <v/>
      </c>
      <c r="BM603">
        <f>IFERROR(INDEX(PP_Grid[#Data],$DD603,63),0)</f>
        <v/>
      </c>
      <c r="BN603">
        <f>IFERROR(INDEX(PP_Grid[#Data],$DD603,64),0)</f>
        <v/>
      </c>
      <c r="BO603">
        <f>IFERROR(INDEX(PP_Grid[#Data],$DD603,65),0)</f>
        <v/>
      </c>
      <c r="BP603">
        <f>IFERROR(INDEX(PP_Grid[#Data],$DD603,66),0)</f>
        <v/>
      </c>
      <c r="BQ603">
        <f>IFERROR(INDEX(PP_Grid[#Data],$DD603,67),0)</f>
        <v/>
      </c>
      <c r="BR603">
        <f>IFERROR(INDEX(PP_Grid[#Data],$DD603,68),0)</f>
        <v/>
      </c>
      <c r="BS603">
        <f>IFERROR(INDEX(PP_Grid[#Data],$DD603,69),0)</f>
        <v/>
      </c>
      <c r="BT603">
        <f>IFERROR(INDEX(PP_Grid[#Data],$DD603,70),0)</f>
        <v/>
      </c>
      <c r="BU603">
        <f>IFERROR(INDEX(PP_Grid[#Data],$DD603,71),0)</f>
        <v/>
      </c>
      <c r="BV603">
        <f>IFERROR(INDEX(PP_Grid[#Data],$DD603,72),0)</f>
        <v/>
      </c>
      <c r="BW603">
        <f>IFERROR(INDEX(PP_Grid[#Data],$DD603,73),0)</f>
        <v/>
      </c>
      <c r="BX603">
        <f>IFERROR(INDEX(PP_Grid[#Data],$DD603,74),0)</f>
        <v/>
      </c>
      <c r="BY603">
        <f>IFERROR(INDEX(PP_Grid[#Data],$DD603,75),0)</f>
        <v/>
      </c>
      <c r="BZ603">
        <f>IFERROR(INDEX(PP_Grid[#Data],$DD603,76),0)</f>
        <v/>
      </c>
      <c r="CA603">
        <f>IFERROR(INDEX(PP_Grid[#Data],$DD603,77),0)</f>
        <v/>
      </c>
      <c r="CB603">
        <f>IFERROR(INDEX(PP_Grid[#Data],$DD603,78),0)</f>
        <v/>
      </c>
      <c r="CC603">
        <f>IFERROR(INDEX(PP_Grid[#Data],$DD603,79),0)</f>
        <v/>
      </c>
      <c r="CD603">
        <f>IFERROR(INDEX(PP_Grid[#Data],$DD603,80),0)</f>
        <v/>
      </c>
      <c r="CE603">
        <f>IFERROR(INDEX(PP_Grid[#Data],$DD603,81),0)</f>
        <v/>
      </c>
      <c r="CF603">
        <f>IFERROR(INDEX(PP_Grid[#Data],$DD603,82),0)</f>
        <v/>
      </c>
      <c r="CG603">
        <f>IFERROR(INDEX(PP_Grid[#Data],$DD603,83),0)</f>
        <v/>
      </c>
      <c r="CH603">
        <f>IFERROR(INDEX(PP_Grid[#Data],$DD603,84),0)</f>
        <v/>
      </c>
      <c r="CI603">
        <f>IFERROR(INDEX(PP_Grid[#Data],$DD603,85),0)</f>
        <v/>
      </c>
      <c r="CJ603">
        <f>IFERROR(INDEX(PP_Grid[#Data],$DD603,86),0)</f>
        <v/>
      </c>
      <c r="CK603">
        <f>IFERROR(INDEX(PP_Grid[#Data],$DD603,87),0)</f>
        <v/>
      </c>
      <c r="CL603">
        <f>IFERROR(INDEX(PP_Grid[#Data],$DD603,88),0)</f>
        <v/>
      </c>
      <c r="CM603">
        <f>IFERROR(INDEX(PP_Grid[#Data],$DD603,89),0)</f>
        <v/>
      </c>
      <c r="CN603">
        <f>IFERROR(INDEX(PP_Grid[#Data],$DD603,90),0)</f>
        <v/>
      </c>
      <c r="CO603">
        <f>IFERROR(INDEX(PP_Grid[#Data],$DD603,91),0)</f>
        <v/>
      </c>
      <c r="CP603">
        <f>IFERROR(INDEX(PP_Grid[#Data],$DD603,92),0)</f>
        <v/>
      </c>
      <c r="CQ603">
        <f>IFERROR(INDEX(PP_Grid[#Data],$DD603,93),0)</f>
        <v/>
      </c>
      <c r="CR603">
        <f>IFERROR(INDEX(PP_Grid[#Data],$DD603,94),0)</f>
        <v/>
      </c>
      <c r="CS603">
        <f>IFERROR(INDEX(PP_Grid[#Data],$DD603,95),0)</f>
        <v/>
      </c>
      <c r="CT603">
        <f>IFERROR(INDEX(PP_Grid[#Data],$DD603,96),0)</f>
        <v/>
      </c>
      <c r="CU603">
        <f>IFERROR(INDEX(PP_Grid[#Data],$DD603,97),0)</f>
        <v/>
      </c>
      <c r="CV603">
        <f>IFERROR(INDEX(PP_Grid[#Data],$DD603,98),0)</f>
        <v/>
      </c>
      <c r="CW603">
        <f>IFERROR(INDEX(PP_Grid[#Data],$DD603,99),0)</f>
        <v/>
      </c>
      <c r="CX603">
        <f>IFERROR(INDEX(PP_Grid[#Data],$DD603,100),0)</f>
        <v/>
      </c>
      <c r="CY603">
        <f>IFERROR(INDEX(PP_Grid[#Data],$DD603,101),0)</f>
        <v/>
      </c>
      <c r="CZ603">
        <f>IFERROR(INDEX(PP_Grid[#Data],$DD603,102),0)</f>
        <v/>
      </c>
      <c r="DA603">
        <f>IFERROR(INDEX(PP_Grid[#Data],$DD603,103),0)</f>
        <v/>
      </c>
      <c r="DB603">
        <f>IFERROR(INDEX(PP_Grid[#Data],$DD603,104),0)</f>
        <v/>
      </c>
      <c r="DC603">
        <f>IFERROR(INDEX(PP_Grid[#Data],$DD603,105),0)</f>
        <v/>
      </c>
      <c r="DD603" s="7">
        <f>IFERROR(MATCH($B603,PP_Grid[Intermediate],0),99999)</f>
        <v/>
      </c>
    </row>
    <row r="604">
      <c r="B604" t="inlineStr">
        <is>
          <t>使用量(kg)</t>
        </is>
      </c>
      <c r="C604">
        <f>SUMIFS(M_BOM[RM_Qty_Per_Batch],M_BOM[Intermediate],$B603,M_BOM[Part Name],$A580)</f>
        <v/>
      </c>
      <c r="D604">
        <f>$C604*D603</f>
        <v/>
      </c>
      <c r="E604">
        <f>$C604*E603</f>
        <v/>
      </c>
      <c r="F604">
        <f>$C604*F603</f>
        <v/>
      </c>
      <c r="G604">
        <f>$C604*G603</f>
        <v/>
      </c>
      <c r="H604">
        <f>$C604*H603</f>
        <v/>
      </c>
      <c r="I604">
        <f>$C604*I603</f>
        <v/>
      </c>
      <c r="J604">
        <f>$C604*J603</f>
        <v/>
      </c>
      <c r="K604">
        <f>$C604*K603</f>
        <v/>
      </c>
      <c r="L604">
        <f>$C604*L603</f>
        <v/>
      </c>
      <c r="M604">
        <f>$C604*M603</f>
        <v/>
      </c>
      <c r="N604">
        <f>$C604*N603</f>
        <v/>
      </c>
      <c r="O604">
        <f>$C604*O603</f>
        <v/>
      </c>
      <c r="P604">
        <f>$C604*P603</f>
        <v/>
      </c>
      <c r="Q604">
        <f>$C604*Q603</f>
        <v/>
      </c>
      <c r="R604">
        <f>$C604*R603</f>
        <v/>
      </c>
      <c r="S604">
        <f>$C604*S603</f>
        <v/>
      </c>
      <c r="T604">
        <f>$C604*T603</f>
        <v/>
      </c>
      <c r="U604">
        <f>$C604*U603</f>
        <v/>
      </c>
      <c r="V604">
        <f>$C604*V603</f>
        <v/>
      </c>
      <c r="W604">
        <f>$C604*W603</f>
        <v/>
      </c>
      <c r="X604">
        <f>$C604*X603</f>
        <v/>
      </c>
      <c r="Y604">
        <f>$C604*Y603</f>
        <v/>
      </c>
      <c r="Z604">
        <f>$C604*Z603</f>
        <v/>
      </c>
      <c r="AA604">
        <f>$C604*AA603</f>
        <v/>
      </c>
      <c r="AB604">
        <f>$C604*AB603</f>
        <v/>
      </c>
      <c r="AC604">
        <f>$C604*AC603</f>
        <v/>
      </c>
      <c r="AD604">
        <f>$C604*AD603</f>
        <v/>
      </c>
      <c r="AE604">
        <f>$C604*AE603</f>
        <v/>
      </c>
      <c r="AF604">
        <f>$C604*AF603</f>
        <v/>
      </c>
      <c r="AG604">
        <f>$C604*AG603</f>
        <v/>
      </c>
      <c r="AH604">
        <f>$C604*AH603</f>
        <v/>
      </c>
      <c r="AI604">
        <f>$C604*AI603</f>
        <v/>
      </c>
      <c r="AJ604">
        <f>$C604*AJ603</f>
        <v/>
      </c>
      <c r="AK604">
        <f>$C604*AK603</f>
        <v/>
      </c>
      <c r="AL604">
        <f>$C604*AL603</f>
        <v/>
      </c>
      <c r="AM604">
        <f>$C604*AM603</f>
        <v/>
      </c>
      <c r="AN604">
        <f>$C604*AN603</f>
        <v/>
      </c>
      <c r="AO604">
        <f>$C604*AO603</f>
        <v/>
      </c>
      <c r="AP604">
        <f>$C604*AP603</f>
        <v/>
      </c>
      <c r="AQ604">
        <f>$C604*AQ603</f>
        <v/>
      </c>
      <c r="AR604">
        <f>$C604*AR603</f>
        <v/>
      </c>
      <c r="AS604">
        <f>$C604*AS603</f>
        <v/>
      </c>
      <c r="AT604">
        <f>$C604*AT603</f>
        <v/>
      </c>
      <c r="AU604">
        <f>$C604*AU603</f>
        <v/>
      </c>
      <c r="AV604">
        <f>$C604*AV603</f>
        <v/>
      </c>
      <c r="AW604">
        <f>$C604*AW603</f>
        <v/>
      </c>
      <c r="AX604">
        <f>$C604*AX603</f>
        <v/>
      </c>
      <c r="AY604">
        <f>$C604*AY603</f>
        <v/>
      </c>
      <c r="AZ604">
        <f>$C604*AZ603</f>
        <v/>
      </c>
      <c r="BA604">
        <f>$C604*BA603</f>
        <v/>
      </c>
      <c r="BB604">
        <f>$C604*BB603</f>
        <v/>
      </c>
      <c r="BC604">
        <f>$C604*BC603</f>
        <v/>
      </c>
      <c r="BD604">
        <f>$C604*BD603</f>
        <v/>
      </c>
      <c r="BE604">
        <f>$C604*BE603</f>
        <v/>
      </c>
      <c r="BF604">
        <f>$C604*BF603</f>
        <v/>
      </c>
      <c r="BG604">
        <f>$C604*BG603</f>
        <v/>
      </c>
      <c r="BH604">
        <f>$C604*BH603</f>
        <v/>
      </c>
      <c r="BI604">
        <f>$C604*BI603</f>
        <v/>
      </c>
      <c r="BJ604">
        <f>$C604*BJ603</f>
        <v/>
      </c>
      <c r="BK604">
        <f>$C604*BK603</f>
        <v/>
      </c>
      <c r="BL604">
        <f>$C604*BL603</f>
        <v/>
      </c>
      <c r="BM604">
        <f>$C604*BM603</f>
        <v/>
      </c>
      <c r="BN604">
        <f>$C604*BN603</f>
        <v/>
      </c>
      <c r="BO604">
        <f>$C604*BO603</f>
        <v/>
      </c>
      <c r="BP604">
        <f>$C604*BP603</f>
        <v/>
      </c>
      <c r="BQ604">
        <f>$C604*BQ603</f>
        <v/>
      </c>
      <c r="BR604">
        <f>$C604*BR603</f>
        <v/>
      </c>
      <c r="BS604">
        <f>$C604*BS603</f>
        <v/>
      </c>
      <c r="BT604">
        <f>$C604*BT603</f>
        <v/>
      </c>
      <c r="BU604">
        <f>$C604*BU603</f>
        <v/>
      </c>
      <c r="BV604">
        <f>$C604*BV603</f>
        <v/>
      </c>
      <c r="BW604">
        <f>$C604*BW603</f>
        <v/>
      </c>
      <c r="BX604">
        <f>$C604*BX603</f>
        <v/>
      </c>
      <c r="BY604">
        <f>$C604*BY603</f>
        <v/>
      </c>
      <c r="BZ604">
        <f>$C604*BZ603</f>
        <v/>
      </c>
      <c r="CA604">
        <f>$C604*CA603</f>
        <v/>
      </c>
      <c r="CB604">
        <f>$C604*CB603</f>
        <v/>
      </c>
      <c r="CC604">
        <f>$C604*CC603</f>
        <v/>
      </c>
      <c r="CD604">
        <f>$C604*CD603</f>
        <v/>
      </c>
      <c r="CE604">
        <f>$C604*CE603</f>
        <v/>
      </c>
      <c r="CF604">
        <f>$C604*CF603</f>
        <v/>
      </c>
      <c r="CG604">
        <f>$C604*CG603</f>
        <v/>
      </c>
      <c r="CH604">
        <f>$C604*CH603</f>
        <v/>
      </c>
      <c r="CI604">
        <f>$C604*CI603</f>
        <v/>
      </c>
      <c r="CJ604">
        <f>$C604*CJ603</f>
        <v/>
      </c>
      <c r="CK604">
        <f>$C604*CK603</f>
        <v/>
      </c>
      <c r="CL604">
        <f>$C604*CL603</f>
        <v/>
      </c>
      <c r="CM604">
        <f>$C604*CM603</f>
        <v/>
      </c>
      <c r="CN604">
        <f>$C604*CN603</f>
        <v/>
      </c>
      <c r="CO604">
        <f>$C604*CO603</f>
        <v/>
      </c>
      <c r="CP604">
        <f>$C604*CP603</f>
        <v/>
      </c>
      <c r="CQ604">
        <f>$C604*CQ603</f>
        <v/>
      </c>
      <c r="CR604">
        <f>$C604*CR603</f>
        <v/>
      </c>
      <c r="CS604">
        <f>$C604*CS603</f>
        <v/>
      </c>
      <c r="CT604">
        <f>$C604*CT603</f>
        <v/>
      </c>
      <c r="CU604">
        <f>$C604*CU603</f>
        <v/>
      </c>
      <c r="CV604">
        <f>$C604*CV603</f>
        <v/>
      </c>
      <c r="CW604">
        <f>$C604*CW603</f>
        <v/>
      </c>
      <c r="CX604">
        <f>$C604*CX603</f>
        <v/>
      </c>
      <c r="CY604">
        <f>$C604*CY603</f>
        <v/>
      </c>
      <c r="CZ604">
        <f>$C604*CZ603</f>
        <v/>
      </c>
      <c r="DA604">
        <f>$C604*DA603</f>
        <v/>
      </c>
      <c r="DB604">
        <f>$C604*DB603</f>
        <v/>
      </c>
      <c r="DC604">
        <f>$C604*DC603</f>
        <v/>
      </c>
    </row>
    <row r="605">
      <c r="B605" t="inlineStr">
        <is>
          <t>VSP-869</t>
        </is>
      </c>
      <c r="C605" t="inlineStr">
        <is>
          <t>No. of batches</t>
        </is>
      </c>
      <c r="D605">
        <f>IFERROR(INDEX(PP_Grid[#Data],$DD605,2),0)</f>
        <v/>
      </c>
      <c r="E605">
        <f>IFERROR(INDEX(PP_Grid[#Data],$DD605,3),0)</f>
        <v/>
      </c>
      <c r="F605">
        <f>IFERROR(INDEX(PP_Grid[#Data],$DD605,4),0)</f>
        <v/>
      </c>
      <c r="G605">
        <f>IFERROR(INDEX(PP_Grid[#Data],$DD605,5),0)</f>
        <v/>
      </c>
      <c r="H605">
        <f>IFERROR(INDEX(PP_Grid[#Data],$DD605,6),0)</f>
        <v/>
      </c>
      <c r="I605">
        <f>IFERROR(INDEX(PP_Grid[#Data],$DD605,7),0)</f>
        <v/>
      </c>
      <c r="J605">
        <f>IFERROR(INDEX(PP_Grid[#Data],$DD605,8),0)</f>
        <v/>
      </c>
      <c r="K605">
        <f>IFERROR(INDEX(PP_Grid[#Data],$DD605,9),0)</f>
        <v/>
      </c>
      <c r="L605">
        <f>IFERROR(INDEX(PP_Grid[#Data],$DD605,10),0)</f>
        <v/>
      </c>
      <c r="M605">
        <f>IFERROR(INDEX(PP_Grid[#Data],$DD605,11),0)</f>
        <v/>
      </c>
      <c r="N605">
        <f>IFERROR(INDEX(PP_Grid[#Data],$DD605,12),0)</f>
        <v/>
      </c>
      <c r="O605">
        <f>IFERROR(INDEX(PP_Grid[#Data],$DD605,13),0)</f>
        <v/>
      </c>
      <c r="P605">
        <f>IFERROR(INDEX(PP_Grid[#Data],$DD605,14),0)</f>
        <v/>
      </c>
      <c r="Q605">
        <f>IFERROR(INDEX(PP_Grid[#Data],$DD605,15),0)</f>
        <v/>
      </c>
      <c r="R605">
        <f>IFERROR(INDEX(PP_Grid[#Data],$DD605,16),0)</f>
        <v/>
      </c>
      <c r="S605">
        <f>IFERROR(INDEX(PP_Grid[#Data],$DD605,17),0)</f>
        <v/>
      </c>
      <c r="T605">
        <f>IFERROR(INDEX(PP_Grid[#Data],$DD605,18),0)</f>
        <v/>
      </c>
      <c r="U605">
        <f>IFERROR(INDEX(PP_Grid[#Data],$DD605,19),0)</f>
        <v/>
      </c>
      <c r="V605">
        <f>IFERROR(INDEX(PP_Grid[#Data],$DD605,20),0)</f>
        <v/>
      </c>
      <c r="W605">
        <f>IFERROR(INDEX(PP_Grid[#Data],$DD605,21),0)</f>
        <v/>
      </c>
      <c r="X605">
        <f>IFERROR(INDEX(PP_Grid[#Data],$DD605,22),0)</f>
        <v/>
      </c>
      <c r="Y605">
        <f>IFERROR(INDEX(PP_Grid[#Data],$DD605,23),0)</f>
        <v/>
      </c>
      <c r="Z605">
        <f>IFERROR(INDEX(PP_Grid[#Data],$DD605,24),0)</f>
        <v/>
      </c>
      <c r="AA605">
        <f>IFERROR(INDEX(PP_Grid[#Data],$DD605,25),0)</f>
        <v/>
      </c>
      <c r="AB605">
        <f>IFERROR(INDEX(PP_Grid[#Data],$DD605,26),0)</f>
        <v/>
      </c>
      <c r="AC605">
        <f>IFERROR(INDEX(PP_Grid[#Data],$DD605,27),0)</f>
        <v/>
      </c>
      <c r="AD605">
        <f>IFERROR(INDEX(PP_Grid[#Data],$DD605,28),0)</f>
        <v/>
      </c>
      <c r="AE605">
        <f>IFERROR(INDEX(PP_Grid[#Data],$DD605,29),0)</f>
        <v/>
      </c>
      <c r="AF605">
        <f>IFERROR(INDEX(PP_Grid[#Data],$DD605,30),0)</f>
        <v/>
      </c>
      <c r="AG605">
        <f>IFERROR(INDEX(PP_Grid[#Data],$DD605,31),0)</f>
        <v/>
      </c>
      <c r="AH605">
        <f>IFERROR(INDEX(PP_Grid[#Data],$DD605,32),0)</f>
        <v/>
      </c>
      <c r="AI605">
        <f>IFERROR(INDEX(PP_Grid[#Data],$DD605,33),0)</f>
        <v/>
      </c>
      <c r="AJ605">
        <f>IFERROR(INDEX(PP_Grid[#Data],$DD605,34),0)</f>
        <v/>
      </c>
      <c r="AK605">
        <f>IFERROR(INDEX(PP_Grid[#Data],$DD605,35),0)</f>
        <v/>
      </c>
      <c r="AL605">
        <f>IFERROR(INDEX(PP_Grid[#Data],$DD605,36),0)</f>
        <v/>
      </c>
      <c r="AM605">
        <f>IFERROR(INDEX(PP_Grid[#Data],$DD605,37),0)</f>
        <v/>
      </c>
      <c r="AN605">
        <f>IFERROR(INDEX(PP_Grid[#Data],$DD605,38),0)</f>
        <v/>
      </c>
      <c r="AO605">
        <f>IFERROR(INDEX(PP_Grid[#Data],$DD605,39),0)</f>
        <v/>
      </c>
      <c r="AP605">
        <f>IFERROR(INDEX(PP_Grid[#Data],$DD605,40),0)</f>
        <v/>
      </c>
      <c r="AQ605">
        <f>IFERROR(INDEX(PP_Grid[#Data],$DD605,41),0)</f>
        <v/>
      </c>
      <c r="AR605">
        <f>IFERROR(INDEX(PP_Grid[#Data],$DD605,42),0)</f>
        <v/>
      </c>
      <c r="AS605">
        <f>IFERROR(INDEX(PP_Grid[#Data],$DD605,43),0)</f>
        <v/>
      </c>
      <c r="AT605">
        <f>IFERROR(INDEX(PP_Grid[#Data],$DD605,44),0)</f>
        <v/>
      </c>
      <c r="AU605">
        <f>IFERROR(INDEX(PP_Grid[#Data],$DD605,45),0)</f>
        <v/>
      </c>
      <c r="AV605">
        <f>IFERROR(INDEX(PP_Grid[#Data],$DD605,46),0)</f>
        <v/>
      </c>
      <c r="AW605">
        <f>IFERROR(INDEX(PP_Grid[#Data],$DD605,47),0)</f>
        <v/>
      </c>
      <c r="AX605">
        <f>IFERROR(INDEX(PP_Grid[#Data],$DD605,48),0)</f>
        <v/>
      </c>
      <c r="AY605">
        <f>IFERROR(INDEX(PP_Grid[#Data],$DD605,49),0)</f>
        <v/>
      </c>
      <c r="AZ605">
        <f>IFERROR(INDEX(PP_Grid[#Data],$DD605,50),0)</f>
        <v/>
      </c>
      <c r="BA605">
        <f>IFERROR(INDEX(PP_Grid[#Data],$DD605,51),0)</f>
        <v/>
      </c>
      <c r="BB605">
        <f>IFERROR(INDEX(PP_Grid[#Data],$DD605,52),0)</f>
        <v/>
      </c>
      <c r="BC605">
        <f>IFERROR(INDEX(PP_Grid[#Data],$DD605,53),0)</f>
        <v/>
      </c>
      <c r="BD605">
        <f>IFERROR(INDEX(PP_Grid[#Data],$DD605,54),0)</f>
        <v/>
      </c>
      <c r="BE605">
        <f>IFERROR(INDEX(PP_Grid[#Data],$DD605,55),0)</f>
        <v/>
      </c>
      <c r="BF605">
        <f>IFERROR(INDEX(PP_Grid[#Data],$DD605,56),0)</f>
        <v/>
      </c>
      <c r="BG605">
        <f>IFERROR(INDEX(PP_Grid[#Data],$DD605,57),0)</f>
        <v/>
      </c>
      <c r="BH605">
        <f>IFERROR(INDEX(PP_Grid[#Data],$DD605,58),0)</f>
        <v/>
      </c>
      <c r="BI605">
        <f>IFERROR(INDEX(PP_Grid[#Data],$DD605,59),0)</f>
        <v/>
      </c>
      <c r="BJ605">
        <f>IFERROR(INDEX(PP_Grid[#Data],$DD605,60),0)</f>
        <v/>
      </c>
      <c r="BK605">
        <f>IFERROR(INDEX(PP_Grid[#Data],$DD605,61),0)</f>
        <v/>
      </c>
      <c r="BL605">
        <f>IFERROR(INDEX(PP_Grid[#Data],$DD605,62),0)</f>
        <v/>
      </c>
      <c r="BM605">
        <f>IFERROR(INDEX(PP_Grid[#Data],$DD605,63),0)</f>
        <v/>
      </c>
      <c r="BN605">
        <f>IFERROR(INDEX(PP_Grid[#Data],$DD605,64),0)</f>
        <v/>
      </c>
      <c r="BO605">
        <f>IFERROR(INDEX(PP_Grid[#Data],$DD605,65),0)</f>
        <v/>
      </c>
      <c r="BP605">
        <f>IFERROR(INDEX(PP_Grid[#Data],$DD605,66),0)</f>
        <v/>
      </c>
      <c r="BQ605">
        <f>IFERROR(INDEX(PP_Grid[#Data],$DD605,67),0)</f>
        <v/>
      </c>
      <c r="BR605">
        <f>IFERROR(INDEX(PP_Grid[#Data],$DD605,68),0)</f>
        <v/>
      </c>
      <c r="BS605">
        <f>IFERROR(INDEX(PP_Grid[#Data],$DD605,69),0)</f>
        <v/>
      </c>
      <c r="BT605">
        <f>IFERROR(INDEX(PP_Grid[#Data],$DD605,70),0)</f>
        <v/>
      </c>
      <c r="BU605">
        <f>IFERROR(INDEX(PP_Grid[#Data],$DD605,71),0)</f>
        <v/>
      </c>
      <c r="BV605">
        <f>IFERROR(INDEX(PP_Grid[#Data],$DD605,72),0)</f>
        <v/>
      </c>
      <c r="BW605">
        <f>IFERROR(INDEX(PP_Grid[#Data],$DD605,73),0)</f>
        <v/>
      </c>
      <c r="BX605">
        <f>IFERROR(INDEX(PP_Grid[#Data],$DD605,74),0)</f>
        <v/>
      </c>
      <c r="BY605">
        <f>IFERROR(INDEX(PP_Grid[#Data],$DD605,75),0)</f>
        <v/>
      </c>
      <c r="BZ605">
        <f>IFERROR(INDEX(PP_Grid[#Data],$DD605,76),0)</f>
        <v/>
      </c>
      <c r="CA605">
        <f>IFERROR(INDEX(PP_Grid[#Data],$DD605,77),0)</f>
        <v/>
      </c>
      <c r="CB605">
        <f>IFERROR(INDEX(PP_Grid[#Data],$DD605,78),0)</f>
        <v/>
      </c>
      <c r="CC605">
        <f>IFERROR(INDEX(PP_Grid[#Data],$DD605,79),0)</f>
        <v/>
      </c>
      <c r="CD605">
        <f>IFERROR(INDEX(PP_Grid[#Data],$DD605,80),0)</f>
        <v/>
      </c>
      <c r="CE605">
        <f>IFERROR(INDEX(PP_Grid[#Data],$DD605,81),0)</f>
        <v/>
      </c>
      <c r="CF605">
        <f>IFERROR(INDEX(PP_Grid[#Data],$DD605,82),0)</f>
        <v/>
      </c>
      <c r="CG605">
        <f>IFERROR(INDEX(PP_Grid[#Data],$DD605,83),0)</f>
        <v/>
      </c>
      <c r="CH605">
        <f>IFERROR(INDEX(PP_Grid[#Data],$DD605,84),0)</f>
        <v/>
      </c>
      <c r="CI605">
        <f>IFERROR(INDEX(PP_Grid[#Data],$DD605,85),0)</f>
        <v/>
      </c>
      <c r="CJ605">
        <f>IFERROR(INDEX(PP_Grid[#Data],$DD605,86),0)</f>
        <v/>
      </c>
      <c r="CK605">
        <f>IFERROR(INDEX(PP_Grid[#Data],$DD605,87),0)</f>
        <v/>
      </c>
      <c r="CL605">
        <f>IFERROR(INDEX(PP_Grid[#Data],$DD605,88),0)</f>
        <v/>
      </c>
      <c r="CM605">
        <f>IFERROR(INDEX(PP_Grid[#Data],$DD605,89),0)</f>
        <v/>
      </c>
      <c r="CN605">
        <f>IFERROR(INDEX(PP_Grid[#Data],$DD605,90),0)</f>
        <v/>
      </c>
      <c r="CO605">
        <f>IFERROR(INDEX(PP_Grid[#Data],$DD605,91),0)</f>
        <v/>
      </c>
      <c r="CP605">
        <f>IFERROR(INDEX(PP_Grid[#Data],$DD605,92),0)</f>
        <v/>
      </c>
      <c r="CQ605">
        <f>IFERROR(INDEX(PP_Grid[#Data],$DD605,93),0)</f>
        <v/>
      </c>
      <c r="CR605">
        <f>IFERROR(INDEX(PP_Grid[#Data],$DD605,94),0)</f>
        <v/>
      </c>
      <c r="CS605">
        <f>IFERROR(INDEX(PP_Grid[#Data],$DD605,95),0)</f>
        <v/>
      </c>
      <c r="CT605">
        <f>IFERROR(INDEX(PP_Grid[#Data],$DD605,96),0)</f>
        <v/>
      </c>
      <c r="CU605">
        <f>IFERROR(INDEX(PP_Grid[#Data],$DD605,97),0)</f>
        <v/>
      </c>
      <c r="CV605">
        <f>IFERROR(INDEX(PP_Grid[#Data],$DD605,98),0)</f>
        <v/>
      </c>
      <c r="CW605">
        <f>IFERROR(INDEX(PP_Grid[#Data],$DD605,99),0)</f>
        <v/>
      </c>
      <c r="CX605">
        <f>IFERROR(INDEX(PP_Grid[#Data],$DD605,100),0)</f>
        <v/>
      </c>
      <c r="CY605">
        <f>IFERROR(INDEX(PP_Grid[#Data],$DD605,101),0)</f>
        <v/>
      </c>
      <c r="CZ605">
        <f>IFERROR(INDEX(PP_Grid[#Data],$DD605,102),0)</f>
        <v/>
      </c>
      <c r="DA605">
        <f>IFERROR(INDEX(PP_Grid[#Data],$DD605,103),0)</f>
        <v/>
      </c>
      <c r="DB605">
        <f>IFERROR(INDEX(PP_Grid[#Data],$DD605,104),0)</f>
        <v/>
      </c>
      <c r="DC605">
        <f>IFERROR(INDEX(PP_Grid[#Data],$DD605,105),0)</f>
        <v/>
      </c>
      <c r="DD605" s="7">
        <f>IFERROR(MATCH($B605,PP_Grid[Intermediate],0),99999)</f>
        <v/>
      </c>
    </row>
    <row r="606">
      <c r="B606" t="inlineStr">
        <is>
          <t>使用量(kg)</t>
        </is>
      </c>
      <c r="C606">
        <f>SUMIFS(M_BOM[RM_Qty_Per_Batch],M_BOM[Intermediate],$B605,M_BOM[Part Name],$A580)</f>
        <v/>
      </c>
      <c r="D606">
        <f>$C606*D605</f>
        <v/>
      </c>
      <c r="E606">
        <f>$C606*E605</f>
        <v/>
      </c>
      <c r="F606">
        <f>$C606*F605</f>
        <v/>
      </c>
      <c r="G606">
        <f>$C606*G605</f>
        <v/>
      </c>
      <c r="H606">
        <f>$C606*H605</f>
        <v/>
      </c>
      <c r="I606">
        <f>$C606*I605</f>
        <v/>
      </c>
      <c r="J606">
        <f>$C606*J605</f>
        <v/>
      </c>
      <c r="K606">
        <f>$C606*K605</f>
        <v/>
      </c>
      <c r="L606">
        <f>$C606*L605</f>
        <v/>
      </c>
      <c r="M606">
        <f>$C606*M605</f>
        <v/>
      </c>
      <c r="N606">
        <f>$C606*N605</f>
        <v/>
      </c>
      <c r="O606">
        <f>$C606*O605</f>
        <v/>
      </c>
      <c r="P606">
        <f>$C606*P605</f>
        <v/>
      </c>
      <c r="Q606">
        <f>$C606*Q605</f>
        <v/>
      </c>
      <c r="R606">
        <f>$C606*R605</f>
        <v/>
      </c>
      <c r="S606">
        <f>$C606*S605</f>
        <v/>
      </c>
      <c r="T606">
        <f>$C606*T605</f>
        <v/>
      </c>
      <c r="U606">
        <f>$C606*U605</f>
        <v/>
      </c>
      <c r="V606">
        <f>$C606*V605</f>
        <v/>
      </c>
      <c r="W606">
        <f>$C606*W605</f>
        <v/>
      </c>
      <c r="X606">
        <f>$C606*X605</f>
        <v/>
      </c>
      <c r="Y606">
        <f>$C606*Y605</f>
        <v/>
      </c>
      <c r="Z606">
        <f>$C606*Z605</f>
        <v/>
      </c>
      <c r="AA606">
        <f>$C606*AA605</f>
        <v/>
      </c>
      <c r="AB606">
        <f>$C606*AB605</f>
        <v/>
      </c>
      <c r="AC606">
        <f>$C606*AC605</f>
        <v/>
      </c>
      <c r="AD606">
        <f>$C606*AD605</f>
        <v/>
      </c>
      <c r="AE606">
        <f>$C606*AE605</f>
        <v/>
      </c>
      <c r="AF606">
        <f>$C606*AF605</f>
        <v/>
      </c>
      <c r="AG606">
        <f>$C606*AG605</f>
        <v/>
      </c>
      <c r="AH606">
        <f>$C606*AH605</f>
        <v/>
      </c>
      <c r="AI606">
        <f>$C606*AI605</f>
        <v/>
      </c>
      <c r="AJ606">
        <f>$C606*AJ605</f>
        <v/>
      </c>
      <c r="AK606">
        <f>$C606*AK605</f>
        <v/>
      </c>
      <c r="AL606">
        <f>$C606*AL605</f>
        <v/>
      </c>
      <c r="AM606">
        <f>$C606*AM605</f>
        <v/>
      </c>
      <c r="AN606">
        <f>$C606*AN605</f>
        <v/>
      </c>
      <c r="AO606">
        <f>$C606*AO605</f>
        <v/>
      </c>
      <c r="AP606">
        <f>$C606*AP605</f>
        <v/>
      </c>
      <c r="AQ606">
        <f>$C606*AQ605</f>
        <v/>
      </c>
      <c r="AR606">
        <f>$C606*AR605</f>
        <v/>
      </c>
      <c r="AS606">
        <f>$C606*AS605</f>
        <v/>
      </c>
      <c r="AT606">
        <f>$C606*AT605</f>
        <v/>
      </c>
      <c r="AU606">
        <f>$C606*AU605</f>
        <v/>
      </c>
      <c r="AV606">
        <f>$C606*AV605</f>
        <v/>
      </c>
      <c r="AW606">
        <f>$C606*AW605</f>
        <v/>
      </c>
      <c r="AX606">
        <f>$C606*AX605</f>
        <v/>
      </c>
      <c r="AY606">
        <f>$C606*AY605</f>
        <v/>
      </c>
      <c r="AZ606">
        <f>$C606*AZ605</f>
        <v/>
      </c>
      <c r="BA606">
        <f>$C606*BA605</f>
        <v/>
      </c>
      <c r="BB606">
        <f>$C606*BB605</f>
        <v/>
      </c>
      <c r="BC606">
        <f>$C606*BC605</f>
        <v/>
      </c>
      <c r="BD606">
        <f>$C606*BD605</f>
        <v/>
      </c>
      <c r="BE606">
        <f>$C606*BE605</f>
        <v/>
      </c>
      <c r="BF606">
        <f>$C606*BF605</f>
        <v/>
      </c>
      <c r="BG606">
        <f>$C606*BG605</f>
        <v/>
      </c>
      <c r="BH606">
        <f>$C606*BH605</f>
        <v/>
      </c>
      <c r="BI606">
        <f>$C606*BI605</f>
        <v/>
      </c>
      <c r="BJ606">
        <f>$C606*BJ605</f>
        <v/>
      </c>
      <c r="BK606">
        <f>$C606*BK605</f>
        <v/>
      </c>
      <c r="BL606">
        <f>$C606*BL605</f>
        <v/>
      </c>
      <c r="BM606">
        <f>$C606*BM605</f>
        <v/>
      </c>
      <c r="BN606">
        <f>$C606*BN605</f>
        <v/>
      </c>
      <c r="BO606">
        <f>$C606*BO605</f>
        <v/>
      </c>
      <c r="BP606">
        <f>$C606*BP605</f>
        <v/>
      </c>
      <c r="BQ606">
        <f>$C606*BQ605</f>
        <v/>
      </c>
      <c r="BR606">
        <f>$C606*BR605</f>
        <v/>
      </c>
      <c r="BS606">
        <f>$C606*BS605</f>
        <v/>
      </c>
      <c r="BT606">
        <f>$C606*BT605</f>
        <v/>
      </c>
      <c r="BU606">
        <f>$C606*BU605</f>
        <v/>
      </c>
      <c r="BV606">
        <f>$C606*BV605</f>
        <v/>
      </c>
      <c r="BW606">
        <f>$C606*BW605</f>
        <v/>
      </c>
      <c r="BX606">
        <f>$C606*BX605</f>
        <v/>
      </c>
      <c r="BY606">
        <f>$C606*BY605</f>
        <v/>
      </c>
      <c r="BZ606">
        <f>$C606*BZ605</f>
        <v/>
      </c>
      <c r="CA606">
        <f>$C606*CA605</f>
        <v/>
      </c>
      <c r="CB606">
        <f>$C606*CB605</f>
        <v/>
      </c>
      <c r="CC606">
        <f>$C606*CC605</f>
        <v/>
      </c>
      <c r="CD606">
        <f>$C606*CD605</f>
        <v/>
      </c>
      <c r="CE606">
        <f>$C606*CE605</f>
        <v/>
      </c>
      <c r="CF606">
        <f>$C606*CF605</f>
        <v/>
      </c>
      <c r="CG606">
        <f>$C606*CG605</f>
        <v/>
      </c>
      <c r="CH606">
        <f>$C606*CH605</f>
        <v/>
      </c>
      <c r="CI606">
        <f>$C606*CI605</f>
        <v/>
      </c>
      <c r="CJ606">
        <f>$C606*CJ605</f>
        <v/>
      </c>
      <c r="CK606">
        <f>$C606*CK605</f>
        <v/>
      </c>
      <c r="CL606">
        <f>$C606*CL605</f>
        <v/>
      </c>
      <c r="CM606">
        <f>$C606*CM605</f>
        <v/>
      </c>
      <c r="CN606">
        <f>$C606*CN605</f>
        <v/>
      </c>
      <c r="CO606">
        <f>$C606*CO605</f>
        <v/>
      </c>
      <c r="CP606">
        <f>$C606*CP605</f>
        <v/>
      </c>
      <c r="CQ606">
        <f>$C606*CQ605</f>
        <v/>
      </c>
      <c r="CR606">
        <f>$C606*CR605</f>
        <v/>
      </c>
      <c r="CS606">
        <f>$C606*CS605</f>
        <v/>
      </c>
      <c r="CT606">
        <f>$C606*CT605</f>
        <v/>
      </c>
      <c r="CU606">
        <f>$C606*CU605</f>
        <v/>
      </c>
      <c r="CV606">
        <f>$C606*CV605</f>
        <v/>
      </c>
      <c r="CW606">
        <f>$C606*CW605</f>
        <v/>
      </c>
      <c r="CX606">
        <f>$C606*CX605</f>
        <v/>
      </c>
      <c r="CY606">
        <f>$C606*CY605</f>
        <v/>
      </c>
      <c r="CZ606">
        <f>$C606*CZ605</f>
        <v/>
      </c>
      <c r="DA606">
        <f>$C606*DA605</f>
        <v/>
      </c>
      <c r="DB606">
        <f>$C606*DB605</f>
        <v/>
      </c>
      <c r="DC606">
        <f>$C606*DC605</f>
        <v/>
      </c>
    </row>
    <row r="607">
      <c r="B607" t="inlineStr">
        <is>
          <t>VSP-989</t>
        </is>
      </c>
      <c r="C607" t="inlineStr">
        <is>
          <t>No. of batches</t>
        </is>
      </c>
      <c r="D607">
        <f>IFERROR(INDEX(PP_Grid[#Data],$DD607,2),0)</f>
        <v/>
      </c>
      <c r="E607">
        <f>IFERROR(INDEX(PP_Grid[#Data],$DD607,3),0)</f>
        <v/>
      </c>
      <c r="F607">
        <f>IFERROR(INDEX(PP_Grid[#Data],$DD607,4),0)</f>
        <v/>
      </c>
      <c r="G607">
        <f>IFERROR(INDEX(PP_Grid[#Data],$DD607,5),0)</f>
        <v/>
      </c>
      <c r="H607">
        <f>IFERROR(INDEX(PP_Grid[#Data],$DD607,6),0)</f>
        <v/>
      </c>
      <c r="I607">
        <f>IFERROR(INDEX(PP_Grid[#Data],$DD607,7),0)</f>
        <v/>
      </c>
      <c r="J607">
        <f>IFERROR(INDEX(PP_Grid[#Data],$DD607,8),0)</f>
        <v/>
      </c>
      <c r="K607">
        <f>IFERROR(INDEX(PP_Grid[#Data],$DD607,9),0)</f>
        <v/>
      </c>
      <c r="L607">
        <f>IFERROR(INDEX(PP_Grid[#Data],$DD607,10),0)</f>
        <v/>
      </c>
      <c r="M607">
        <f>IFERROR(INDEX(PP_Grid[#Data],$DD607,11),0)</f>
        <v/>
      </c>
      <c r="N607">
        <f>IFERROR(INDEX(PP_Grid[#Data],$DD607,12),0)</f>
        <v/>
      </c>
      <c r="O607">
        <f>IFERROR(INDEX(PP_Grid[#Data],$DD607,13),0)</f>
        <v/>
      </c>
      <c r="P607">
        <f>IFERROR(INDEX(PP_Grid[#Data],$DD607,14),0)</f>
        <v/>
      </c>
      <c r="Q607">
        <f>IFERROR(INDEX(PP_Grid[#Data],$DD607,15),0)</f>
        <v/>
      </c>
      <c r="R607">
        <f>IFERROR(INDEX(PP_Grid[#Data],$DD607,16),0)</f>
        <v/>
      </c>
      <c r="S607">
        <f>IFERROR(INDEX(PP_Grid[#Data],$DD607,17),0)</f>
        <v/>
      </c>
      <c r="T607">
        <f>IFERROR(INDEX(PP_Grid[#Data],$DD607,18),0)</f>
        <v/>
      </c>
      <c r="U607">
        <f>IFERROR(INDEX(PP_Grid[#Data],$DD607,19),0)</f>
        <v/>
      </c>
      <c r="V607">
        <f>IFERROR(INDEX(PP_Grid[#Data],$DD607,20),0)</f>
        <v/>
      </c>
      <c r="W607">
        <f>IFERROR(INDEX(PP_Grid[#Data],$DD607,21),0)</f>
        <v/>
      </c>
      <c r="X607">
        <f>IFERROR(INDEX(PP_Grid[#Data],$DD607,22),0)</f>
        <v/>
      </c>
      <c r="Y607">
        <f>IFERROR(INDEX(PP_Grid[#Data],$DD607,23),0)</f>
        <v/>
      </c>
      <c r="Z607">
        <f>IFERROR(INDEX(PP_Grid[#Data],$DD607,24),0)</f>
        <v/>
      </c>
      <c r="AA607">
        <f>IFERROR(INDEX(PP_Grid[#Data],$DD607,25),0)</f>
        <v/>
      </c>
      <c r="AB607">
        <f>IFERROR(INDEX(PP_Grid[#Data],$DD607,26),0)</f>
        <v/>
      </c>
      <c r="AC607">
        <f>IFERROR(INDEX(PP_Grid[#Data],$DD607,27),0)</f>
        <v/>
      </c>
      <c r="AD607">
        <f>IFERROR(INDEX(PP_Grid[#Data],$DD607,28),0)</f>
        <v/>
      </c>
      <c r="AE607">
        <f>IFERROR(INDEX(PP_Grid[#Data],$DD607,29),0)</f>
        <v/>
      </c>
      <c r="AF607">
        <f>IFERROR(INDEX(PP_Grid[#Data],$DD607,30),0)</f>
        <v/>
      </c>
      <c r="AG607">
        <f>IFERROR(INDEX(PP_Grid[#Data],$DD607,31),0)</f>
        <v/>
      </c>
      <c r="AH607">
        <f>IFERROR(INDEX(PP_Grid[#Data],$DD607,32),0)</f>
        <v/>
      </c>
      <c r="AI607">
        <f>IFERROR(INDEX(PP_Grid[#Data],$DD607,33),0)</f>
        <v/>
      </c>
      <c r="AJ607">
        <f>IFERROR(INDEX(PP_Grid[#Data],$DD607,34),0)</f>
        <v/>
      </c>
      <c r="AK607">
        <f>IFERROR(INDEX(PP_Grid[#Data],$DD607,35),0)</f>
        <v/>
      </c>
      <c r="AL607">
        <f>IFERROR(INDEX(PP_Grid[#Data],$DD607,36),0)</f>
        <v/>
      </c>
      <c r="AM607">
        <f>IFERROR(INDEX(PP_Grid[#Data],$DD607,37),0)</f>
        <v/>
      </c>
      <c r="AN607">
        <f>IFERROR(INDEX(PP_Grid[#Data],$DD607,38),0)</f>
        <v/>
      </c>
      <c r="AO607">
        <f>IFERROR(INDEX(PP_Grid[#Data],$DD607,39),0)</f>
        <v/>
      </c>
      <c r="AP607">
        <f>IFERROR(INDEX(PP_Grid[#Data],$DD607,40),0)</f>
        <v/>
      </c>
      <c r="AQ607">
        <f>IFERROR(INDEX(PP_Grid[#Data],$DD607,41),0)</f>
        <v/>
      </c>
      <c r="AR607">
        <f>IFERROR(INDEX(PP_Grid[#Data],$DD607,42),0)</f>
        <v/>
      </c>
      <c r="AS607">
        <f>IFERROR(INDEX(PP_Grid[#Data],$DD607,43),0)</f>
        <v/>
      </c>
      <c r="AT607">
        <f>IFERROR(INDEX(PP_Grid[#Data],$DD607,44),0)</f>
        <v/>
      </c>
      <c r="AU607">
        <f>IFERROR(INDEX(PP_Grid[#Data],$DD607,45),0)</f>
        <v/>
      </c>
      <c r="AV607">
        <f>IFERROR(INDEX(PP_Grid[#Data],$DD607,46),0)</f>
        <v/>
      </c>
      <c r="AW607">
        <f>IFERROR(INDEX(PP_Grid[#Data],$DD607,47),0)</f>
        <v/>
      </c>
      <c r="AX607">
        <f>IFERROR(INDEX(PP_Grid[#Data],$DD607,48),0)</f>
        <v/>
      </c>
      <c r="AY607">
        <f>IFERROR(INDEX(PP_Grid[#Data],$DD607,49),0)</f>
        <v/>
      </c>
      <c r="AZ607">
        <f>IFERROR(INDEX(PP_Grid[#Data],$DD607,50),0)</f>
        <v/>
      </c>
      <c r="BA607">
        <f>IFERROR(INDEX(PP_Grid[#Data],$DD607,51),0)</f>
        <v/>
      </c>
      <c r="BB607">
        <f>IFERROR(INDEX(PP_Grid[#Data],$DD607,52),0)</f>
        <v/>
      </c>
      <c r="BC607">
        <f>IFERROR(INDEX(PP_Grid[#Data],$DD607,53),0)</f>
        <v/>
      </c>
      <c r="BD607">
        <f>IFERROR(INDEX(PP_Grid[#Data],$DD607,54),0)</f>
        <v/>
      </c>
      <c r="BE607">
        <f>IFERROR(INDEX(PP_Grid[#Data],$DD607,55),0)</f>
        <v/>
      </c>
      <c r="BF607">
        <f>IFERROR(INDEX(PP_Grid[#Data],$DD607,56),0)</f>
        <v/>
      </c>
      <c r="BG607">
        <f>IFERROR(INDEX(PP_Grid[#Data],$DD607,57),0)</f>
        <v/>
      </c>
      <c r="BH607">
        <f>IFERROR(INDEX(PP_Grid[#Data],$DD607,58),0)</f>
        <v/>
      </c>
      <c r="BI607">
        <f>IFERROR(INDEX(PP_Grid[#Data],$DD607,59),0)</f>
        <v/>
      </c>
      <c r="BJ607">
        <f>IFERROR(INDEX(PP_Grid[#Data],$DD607,60),0)</f>
        <v/>
      </c>
      <c r="BK607">
        <f>IFERROR(INDEX(PP_Grid[#Data],$DD607,61),0)</f>
        <v/>
      </c>
      <c r="BL607">
        <f>IFERROR(INDEX(PP_Grid[#Data],$DD607,62),0)</f>
        <v/>
      </c>
      <c r="BM607">
        <f>IFERROR(INDEX(PP_Grid[#Data],$DD607,63),0)</f>
        <v/>
      </c>
      <c r="BN607">
        <f>IFERROR(INDEX(PP_Grid[#Data],$DD607,64),0)</f>
        <v/>
      </c>
      <c r="BO607">
        <f>IFERROR(INDEX(PP_Grid[#Data],$DD607,65),0)</f>
        <v/>
      </c>
      <c r="BP607">
        <f>IFERROR(INDEX(PP_Grid[#Data],$DD607,66),0)</f>
        <v/>
      </c>
      <c r="BQ607">
        <f>IFERROR(INDEX(PP_Grid[#Data],$DD607,67),0)</f>
        <v/>
      </c>
      <c r="BR607">
        <f>IFERROR(INDEX(PP_Grid[#Data],$DD607,68),0)</f>
        <v/>
      </c>
      <c r="BS607">
        <f>IFERROR(INDEX(PP_Grid[#Data],$DD607,69),0)</f>
        <v/>
      </c>
      <c r="BT607">
        <f>IFERROR(INDEX(PP_Grid[#Data],$DD607,70),0)</f>
        <v/>
      </c>
      <c r="BU607">
        <f>IFERROR(INDEX(PP_Grid[#Data],$DD607,71),0)</f>
        <v/>
      </c>
      <c r="BV607">
        <f>IFERROR(INDEX(PP_Grid[#Data],$DD607,72),0)</f>
        <v/>
      </c>
      <c r="BW607">
        <f>IFERROR(INDEX(PP_Grid[#Data],$DD607,73),0)</f>
        <v/>
      </c>
      <c r="BX607">
        <f>IFERROR(INDEX(PP_Grid[#Data],$DD607,74),0)</f>
        <v/>
      </c>
      <c r="BY607">
        <f>IFERROR(INDEX(PP_Grid[#Data],$DD607,75),0)</f>
        <v/>
      </c>
      <c r="BZ607">
        <f>IFERROR(INDEX(PP_Grid[#Data],$DD607,76),0)</f>
        <v/>
      </c>
      <c r="CA607">
        <f>IFERROR(INDEX(PP_Grid[#Data],$DD607,77),0)</f>
        <v/>
      </c>
      <c r="CB607">
        <f>IFERROR(INDEX(PP_Grid[#Data],$DD607,78),0)</f>
        <v/>
      </c>
      <c r="CC607">
        <f>IFERROR(INDEX(PP_Grid[#Data],$DD607,79),0)</f>
        <v/>
      </c>
      <c r="CD607">
        <f>IFERROR(INDEX(PP_Grid[#Data],$DD607,80),0)</f>
        <v/>
      </c>
      <c r="CE607">
        <f>IFERROR(INDEX(PP_Grid[#Data],$DD607,81),0)</f>
        <v/>
      </c>
      <c r="CF607">
        <f>IFERROR(INDEX(PP_Grid[#Data],$DD607,82),0)</f>
        <v/>
      </c>
      <c r="CG607">
        <f>IFERROR(INDEX(PP_Grid[#Data],$DD607,83),0)</f>
        <v/>
      </c>
      <c r="CH607">
        <f>IFERROR(INDEX(PP_Grid[#Data],$DD607,84),0)</f>
        <v/>
      </c>
      <c r="CI607">
        <f>IFERROR(INDEX(PP_Grid[#Data],$DD607,85),0)</f>
        <v/>
      </c>
      <c r="CJ607">
        <f>IFERROR(INDEX(PP_Grid[#Data],$DD607,86),0)</f>
        <v/>
      </c>
      <c r="CK607">
        <f>IFERROR(INDEX(PP_Grid[#Data],$DD607,87),0)</f>
        <v/>
      </c>
      <c r="CL607">
        <f>IFERROR(INDEX(PP_Grid[#Data],$DD607,88),0)</f>
        <v/>
      </c>
      <c r="CM607">
        <f>IFERROR(INDEX(PP_Grid[#Data],$DD607,89),0)</f>
        <v/>
      </c>
      <c r="CN607">
        <f>IFERROR(INDEX(PP_Grid[#Data],$DD607,90),0)</f>
        <v/>
      </c>
      <c r="CO607">
        <f>IFERROR(INDEX(PP_Grid[#Data],$DD607,91),0)</f>
        <v/>
      </c>
      <c r="CP607">
        <f>IFERROR(INDEX(PP_Grid[#Data],$DD607,92),0)</f>
        <v/>
      </c>
      <c r="CQ607">
        <f>IFERROR(INDEX(PP_Grid[#Data],$DD607,93),0)</f>
        <v/>
      </c>
      <c r="CR607">
        <f>IFERROR(INDEX(PP_Grid[#Data],$DD607,94),0)</f>
        <v/>
      </c>
      <c r="CS607">
        <f>IFERROR(INDEX(PP_Grid[#Data],$DD607,95),0)</f>
        <v/>
      </c>
      <c r="CT607">
        <f>IFERROR(INDEX(PP_Grid[#Data],$DD607,96),0)</f>
        <v/>
      </c>
      <c r="CU607">
        <f>IFERROR(INDEX(PP_Grid[#Data],$DD607,97),0)</f>
        <v/>
      </c>
      <c r="CV607">
        <f>IFERROR(INDEX(PP_Grid[#Data],$DD607,98),0)</f>
        <v/>
      </c>
      <c r="CW607">
        <f>IFERROR(INDEX(PP_Grid[#Data],$DD607,99),0)</f>
        <v/>
      </c>
      <c r="CX607">
        <f>IFERROR(INDEX(PP_Grid[#Data],$DD607,100),0)</f>
        <v/>
      </c>
      <c r="CY607">
        <f>IFERROR(INDEX(PP_Grid[#Data],$DD607,101),0)</f>
        <v/>
      </c>
      <c r="CZ607">
        <f>IFERROR(INDEX(PP_Grid[#Data],$DD607,102),0)</f>
        <v/>
      </c>
      <c r="DA607">
        <f>IFERROR(INDEX(PP_Grid[#Data],$DD607,103),0)</f>
        <v/>
      </c>
      <c r="DB607">
        <f>IFERROR(INDEX(PP_Grid[#Data],$DD607,104),0)</f>
        <v/>
      </c>
      <c r="DC607">
        <f>IFERROR(INDEX(PP_Grid[#Data],$DD607,105),0)</f>
        <v/>
      </c>
      <c r="DD607" s="7">
        <f>IFERROR(MATCH($B607,PP_Grid[Intermediate],0),99999)</f>
        <v/>
      </c>
    </row>
    <row r="608">
      <c r="B608" t="inlineStr">
        <is>
          <t>使用量(kg)</t>
        </is>
      </c>
      <c r="C608">
        <f>SUMIFS(M_BOM[RM_Qty_Per_Batch],M_BOM[Intermediate],$B607,M_BOM[Part Name],$A580)</f>
        <v/>
      </c>
      <c r="D608">
        <f>$C608*D607</f>
        <v/>
      </c>
      <c r="E608">
        <f>$C608*E607</f>
        <v/>
      </c>
      <c r="F608">
        <f>$C608*F607</f>
        <v/>
      </c>
      <c r="G608">
        <f>$C608*G607</f>
        <v/>
      </c>
      <c r="H608">
        <f>$C608*H607</f>
        <v/>
      </c>
      <c r="I608">
        <f>$C608*I607</f>
        <v/>
      </c>
      <c r="J608">
        <f>$C608*J607</f>
        <v/>
      </c>
      <c r="K608">
        <f>$C608*K607</f>
        <v/>
      </c>
      <c r="L608">
        <f>$C608*L607</f>
        <v/>
      </c>
      <c r="M608">
        <f>$C608*M607</f>
        <v/>
      </c>
      <c r="N608">
        <f>$C608*N607</f>
        <v/>
      </c>
      <c r="O608">
        <f>$C608*O607</f>
        <v/>
      </c>
      <c r="P608">
        <f>$C608*P607</f>
        <v/>
      </c>
      <c r="Q608">
        <f>$C608*Q607</f>
        <v/>
      </c>
      <c r="R608">
        <f>$C608*R607</f>
        <v/>
      </c>
      <c r="S608">
        <f>$C608*S607</f>
        <v/>
      </c>
      <c r="T608">
        <f>$C608*T607</f>
        <v/>
      </c>
      <c r="U608">
        <f>$C608*U607</f>
        <v/>
      </c>
      <c r="V608">
        <f>$C608*V607</f>
        <v/>
      </c>
      <c r="W608">
        <f>$C608*W607</f>
        <v/>
      </c>
      <c r="X608">
        <f>$C608*X607</f>
        <v/>
      </c>
      <c r="Y608">
        <f>$C608*Y607</f>
        <v/>
      </c>
      <c r="Z608">
        <f>$C608*Z607</f>
        <v/>
      </c>
      <c r="AA608">
        <f>$C608*AA607</f>
        <v/>
      </c>
      <c r="AB608">
        <f>$C608*AB607</f>
        <v/>
      </c>
      <c r="AC608">
        <f>$C608*AC607</f>
        <v/>
      </c>
      <c r="AD608">
        <f>$C608*AD607</f>
        <v/>
      </c>
      <c r="AE608">
        <f>$C608*AE607</f>
        <v/>
      </c>
      <c r="AF608">
        <f>$C608*AF607</f>
        <v/>
      </c>
      <c r="AG608">
        <f>$C608*AG607</f>
        <v/>
      </c>
      <c r="AH608">
        <f>$C608*AH607</f>
        <v/>
      </c>
      <c r="AI608">
        <f>$C608*AI607</f>
        <v/>
      </c>
      <c r="AJ608">
        <f>$C608*AJ607</f>
        <v/>
      </c>
      <c r="AK608">
        <f>$C608*AK607</f>
        <v/>
      </c>
      <c r="AL608">
        <f>$C608*AL607</f>
        <v/>
      </c>
      <c r="AM608">
        <f>$C608*AM607</f>
        <v/>
      </c>
      <c r="AN608">
        <f>$C608*AN607</f>
        <v/>
      </c>
      <c r="AO608">
        <f>$C608*AO607</f>
        <v/>
      </c>
      <c r="AP608">
        <f>$C608*AP607</f>
        <v/>
      </c>
      <c r="AQ608">
        <f>$C608*AQ607</f>
        <v/>
      </c>
      <c r="AR608">
        <f>$C608*AR607</f>
        <v/>
      </c>
      <c r="AS608">
        <f>$C608*AS607</f>
        <v/>
      </c>
      <c r="AT608">
        <f>$C608*AT607</f>
        <v/>
      </c>
      <c r="AU608">
        <f>$C608*AU607</f>
        <v/>
      </c>
      <c r="AV608">
        <f>$C608*AV607</f>
        <v/>
      </c>
      <c r="AW608">
        <f>$C608*AW607</f>
        <v/>
      </c>
      <c r="AX608">
        <f>$C608*AX607</f>
        <v/>
      </c>
      <c r="AY608">
        <f>$C608*AY607</f>
        <v/>
      </c>
      <c r="AZ608">
        <f>$C608*AZ607</f>
        <v/>
      </c>
      <c r="BA608">
        <f>$C608*BA607</f>
        <v/>
      </c>
      <c r="BB608">
        <f>$C608*BB607</f>
        <v/>
      </c>
      <c r="BC608">
        <f>$C608*BC607</f>
        <v/>
      </c>
      <c r="BD608">
        <f>$C608*BD607</f>
        <v/>
      </c>
      <c r="BE608">
        <f>$C608*BE607</f>
        <v/>
      </c>
      <c r="BF608">
        <f>$C608*BF607</f>
        <v/>
      </c>
      <c r="BG608">
        <f>$C608*BG607</f>
        <v/>
      </c>
      <c r="BH608">
        <f>$C608*BH607</f>
        <v/>
      </c>
      <c r="BI608">
        <f>$C608*BI607</f>
        <v/>
      </c>
      <c r="BJ608">
        <f>$C608*BJ607</f>
        <v/>
      </c>
      <c r="BK608">
        <f>$C608*BK607</f>
        <v/>
      </c>
      <c r="BL608">
        <f>$C608*BL607</f>
        <v/>
      </c>
      <c r="BM608">
        <f>$C608*BM607</f>
        <v/>
      </c>
      <c r="BN608">
        <f>$C608*BN607</f>
        <v/>
      </c>
      <c r="BO608">
        <f>$C608*BO607</f>
        <v/>
      </c>
      <c r="BP608">
        <f>$C608*BP607</f>
        <v/>
      </c>
      <c r="BQ608">
        <f>$C608*BQ607</f>
        <v/>
      </c>
      <c r="BR608">
        <f>$C608*BR607</f>
        <v/>
      </c>
      <c r="BS608">
        <f>$C608*BS607</f>
        <v/>
      </c>
      <c r="BT608">
        <f>$C608*BT607</f>
        <v/>
      </c>
      <c r="BU608">
        <f>$C608*BU607</f>
        <v/>
      </c>
      <c r="BV608">
        <f>$C608*BV607</f>
        <v/>
      </c>
      <c r="BW608">
        <f>$C608*BW607</f>
        <v/>
      </c>
      <c r="BX608">
        <f>$C608*BX607</f>
        <v/>
      </c>
      <c r="BY608">
        <f>$C608*BY607</f>
        <v/>
      </c>
      <c r="BZ608">
        <f>$C608*BZ607</f>
        <v/>
      </c>
      <c r="CA608">
        <f>$C608*CA607</f>
        <v/>
      </c>
      <c r="CB608">
        <f>$C608*CB607</f>
        <v/>
      </c>
      <c r="CC608">
        <f>$C608*CC607</f>
        <v/>
      </c>
      <c r="CD608">
        <f>$C608*CD607</f>
        <v/>
      </c>
      <c r="CE608">
        <f>$C608*CE607</f>
        <v/>
      </c>
      <c r="CF608">
        <f>$C608*CF607</f>
        <v/>
      </c>
      <c r="CG608">
        <f>$C608*CG607</f>
        <v/>
      </c>
      <c r="CH608">
        <f>$C608*CH607</f>
        <v/>
      </c>
      <c r="CI608">
        <f>$C608*CI607</f>
        <v/>
      </c>
      <c r="CJ608">
        <f>$C608*CJ607</f>
        <v/>
      </c>
      <c r="CK608">
        <f>$C608*CK607</f>
        <v/>
      </c>
      <c r="CL608">
        <f>$C608*CL607</f>
        <v/>
      </c>
      <c r="CM608">
        <f>$C608*CM607</f>
        <v/>
      </c>
      <c r="CN608">
        <f>$C608*CN607</f>
        <v/>
      </c>
      <c r="CO608">
        <f>$C608*CO607</f>
        <v/>
      </c>
      <c r="CP608">
        <f>$C608*CP607</f>
        <v/>
      </c>
      <c r="CQ608">
        <f>$C608*CQ607</f>
        <v/>
      </c>
      <c r="CR608">
        <f>$C608*CR607</f>
        <v/>
      </c>
      <c r="CS608">
        <f>$C608*CS607</f>
        <v/>
      </c>
      <c r="CT608">
        <f>$C608*CT607</f>
        <v/>
      </c>
      <c r="CU608">
        <f>$C608*CU607</f>
        <v/>
      </c>
      <c r="CV608">
        <f>$C608*CV607</f>
        <v/>
      </c>
      <c r="CW608">
        <f>$C608*CW607</f>
        <v/>
      </c>
      <c r="CX608">
        <f>$C608*CX607</f>
        <v/>
      </c>
      <c r="CY608">
        <f>$C608*CY607</f>
        <v/>
      </c>
      <c r="CZ608">
        <f>$C608*CZ607</f>
        <v/>
      </c>
      <c r="DA608">
        <f>$C608*DA607</f>
        <v/>
      </c>
      <c r="DB608">
        <f>$C608*DB607</f>
        <v/>
      </c>
      <c r="DC608">
        <f>$C608*DC607</f>
        <v/>
      </c>
    </row>
    <row r="609">
      <c r="B609" t="inlineStr">
        <is>
          <t>TPP-190</t>
        </is>
      </c>
      <c r="C609" t="inlineStr">
        <is>
          <t>No. of batches</t>
        </is>
      </c>
      <c r="D609">
        <f>IFERROR(INDEX(PP_Grid[#Data],$DD609,2),0)</f>
        <v/>
      </c>
      <c r="E609">
        <f>IFERROR(INDEX(PP_Grid[#Data],$DD609,3),0)</f>
        <v/>
      </c>
      <c r="F609">
        <f>IFERROR(INDEX(PP_Grid[#Data],$DD609,4),0)</f>
        <v/>
      </c>
      <c r="G609">
        <f>IFERROR(INDEX(PP_Grid[#Data],$DD609,5),0)</f>
        <v/>
      </c>
      <c r="H609">
        <f>IFERROR(INDEX(PP_Grid[#Data],$DD609,6),0)</f>
        <v/>
      </c>
      <c r="I609">
        <f>IFERROR(INDEX(PP_Grid[#Data],$DD609,7),0)</f>
        <v/>
      </c>
      <c r="J609">
        <f>IFERROR(INDEX(PP_Grid[#Data],$DD609,8),0)</f>
        <v/>
      </c>
      <c r="K609">
        <f>IFERROR(INDEX(PP_Grid[#Data],$DD609,9),0)</f>
        <v/>
      </c>
      <c r="L609">
        <f>IFERROR(INDEX(PP_Grid[#Data],$DD609,10),0)</f>
        <v/>
      </c>
      <c r="M609">
        <f>IFERROR(INDEX(PP_Grid[#Data],$DD609,11),0)</f>
        <v/>
      </c>
      <c r="N609">
        <f>IFERROR(INDEX(PP_Grid[#Data],$DD609,12),0)</f>
        <v/>
      </c>
      <c r="O609">
        <f>IFERROR(INDEX(PP_Grid[#Data],$DD609,13),0)</f>
        <v/>
      </c>
      <c r="P609">
        <f>IFERROR(INDEX(PP_Grid[#Data],$DD609,14),0)</f>
        <v/>
      </c>
      <c r="Q609">
        <f>IFERROR(INDEX(PP_Grid[#Data],$DD609,15),0)</f>
        <v/>
      </c>
      <c r="R609">
        <f>IFERROR(INDEX(PP_Grid[#Data],$DD609,16),0)</f>
        <v/>
      </c>
      <c r="S609">
        <f>IFERROR(INDEX(PP_Grid[#Data],$DD609,17),0)</f>
        <v/>
      </c>
      <c r="T609">
        <f>IFERROR(INDEX(PP_Grid[#Data],$DD609,18),0)</f>
        <v/>
      </c>
      <c r="U609">
        <f>IFERROR(INDEX(PP_Grid[#Data],$DD609,19),0)</f>
        <v/>
      </c>
      <c r="V609">
        <f>IFERROR(INDEX(PP_Grid[#Data],$DD609,20),0)</f>
        <v/>
      </c>
      <c r="W609">
        <f>IFERROR(INDEX(PP_Grid[#Data],$DD609,21),0)</f>
        <v/>
      </c>
      <c r="X609">
        <f>IFERROR(INDEX(PP_Grid[#Data],$DD609,22),0)</f>
        <v/>
      </c>
      <c r="Y609">
        <f>IFERROR(INDEX(PP_Grid[#Data],$DD609,23),0)</f>
        <v/>
      </c>
      <c r="Z609">
        <f>IFERROR(INDEX(PP_Grid[#Data],$DD609,24),0)</f>
        <v/>
      </c>
      <c r="AA609">
        <f>IFERROR(INDEX(PP_Grid[#Data],$DD609,25),0)</f>
        <v/>
      </c>
      <c r="AB609">
        <f>IFERROR(INDEX(PP_Grid[#Data],$DD609,26),0)</f>
        <v/>
      </c>
      <c r="AC609">
        <f>IFERROR(INDEX(PP_Grid[#Data],$DD609,27),0)</f>
        <v/>
      </c>
      <c r="AD609">
        <f>IFERROR(INDEX(PP_Grid[#Data],$DD609,28),0)</f>
        <v/>
      </c>
      <c r="AE609">
        <f>IFERROR(INDEX(PP_Grid[#Data],$DD609,29),0)</f>
        <v/>
      </c>
      <c r="AF609">
        <f>IFERROR(INDEX(PP_Grid[#Data],$DD609,30),0)</f>
        <v/>
      </c>
      <c r="AG609">
        <f>IFERROR(INDEX(PP_Grid[#Data],$DD609,31),0)</f>
        <v/>
      </c>
      <c r="AH609">
        <f>IFERROR(INDEX(PP_Grid[#Data],$DD609,32),0)</f>
        <v/>
      </c>
      <c r="AI609">
        <f>IFERROR(INDEX(PP_Grid[#Data],$DD609,33),0)</f>
        <v/>
      </c>
      <c r="AJ609">
        <f>IFERROR(INDEX(PP_Grid[#Data],$DD609,34),0)</f>
        <v/>
      </c>
      <c r="AK609">
        <f>IFERROR(INDEX(PP_Grid[#Data],$DD609,35),0)</f>
        <v/>
      </c>
      <c r="AL609">
        <f>IFERROR(INDEX(PP_Grid[#Data],$DD609,36),0)</f>
        <v/>
      </c>
      <c r="AM609">
        <f>IFERROR(INDEX(PP_Grid[#Data],$DD609,37),0)</f>
        <v/>
      </c>
      <c r="AN609">
        <f>IFERROR(INDEX(PP_Grid[#Data],$DD609,38),0)</f>
        <v/>
      </c>
      <c r="AO609">
        <f>IFERROR(INDEX(PP_Grid[#Data],$DD609,39),0)</f>
        <v/>
      </c>
      <c r="AP609">
        <f>IFERROR(INDEX(PP_Grid[#Data],$DD609,40),0)</f>
        <v/>
      </c>
      <c r="AQ609">
        <f>IFERROR(INDEX(PP_Grid[#Data],$DD609,41),0)</f>
        <v/>
      </c>
      <c r="AR609">
        <f>IFERROR(INDEX(PP_Grid[#Data],$DD609,42),0)</f>
        <v/>
      </c>
      <c r="AS609">
        <f>IFERROR(INDEX(PP_Grid[#Data],$DD609,43),0)</f>
        <v/>
      </c>
      <c r="AT609">
        <f>IFERROR(INDEX(PP_Grid[#Data],$DD609,44),0)</f>
        <v/>
      </c>
      <c r="AU609">
        <f>IFERROR(INDEX(PP_Grid[#Data],$DD609,45),0)</f>
        <v/>
      </c>
      <c r="AV609">
        <f>IFERROR(INDEX(PP_Grid[#Data],$DD609,46),0)</f>
        <v/>
      </c>
      <c r="AW609">
        <f>IFERROR(INDEX(PP_Grid[#Data],$DD609,47),0)</f>
        <v/>
      </c>
      <c r="AX609">
        <f>IFERROR(INDEX(PP_Grid[#Data],$DD609,48),0)</f>
        <v/>
      </c>
      <c r="AY609">
        <f>IFERROR(INDEX(PP_Grid[#Data],$DD609,49),0)</f>
        <v/>
      </c>
      <c r="AZ609">
        <f>IFERROR(INDEX(PP_Grid[#Data],$DD609,50),0)</f>
        <v/>
      </c>
      <c r="BA609">
        <f>IFERROR(INDEX(PP_Grid[#Data],$DD609,51),0)</f>
        <v/>
      </c>
      <c r="BB609">
        <f>IFERROR(INDEX(PP_Grid[#Data],$DD609,52),0)</f>
        <v/>
      </c>
      <c r="BC609">
        <f>IFERROR(INDEX(PP_Grid[#Data],$DD609,53),0)</f>
        <v/>
      </c>
      <c r="BD609">
        <f>IFERROR(INDEX(PP_Grid[#Data],$DD609,54),0)</f>
        <v/>
      </c>
      <c r="BE609">
        <f>IFERROR(INDEX(PP_Grid[#Data],$DD609,55),0)</f>
        <v/>
      </c>
      <c r="BF609">
        <f>IFERROR(INDEX(PP_Grid[#Data],$DD609,56),0)</f>
        <v/>
      </c>
      <c r="BG609">
        <f>IFERROR(INDEX(PP_Grid[#Data],$DD609,57),0)</f>
        <v/>
      </c>
      <c r="BH609">
        <f>IFERROR(INDEX(PP_Grid[#Data],$DD609,58),0)</f>
        <v/>
      </c>
      <c r="BI609">
        <f>IFERROR(INDEX(PP_Grid[#Data],$DD609,59),0)</f>
        <v/>
      </c>
      <c r="BJ609">
        <f>IFERROR(INDEX(PP_Grid[#Data],$DD609,60),0)</f>
        <v/>
      </c>
      <c r="BK609">
        <f>IFERROR(INDEX(PP_Grid[#Data],$DD609,61),0)</f>
        <v/>
      </c>
      <c r="BL609">
        <f>IFERROR(INDEX(PP_Grid[#Data],$DD609,62),0)</f>
        <v/>
      </c>
      <c r="BM609">
        <f>IFERROR(INDEX(PP_Grid[#Data],$DD609,63),0)</f>
        <v/>
      </c>
      <c r="BN609">
        <f>IFERROR(INDEX(PP_Grid[#Data],$DD609,64),0)</f>
        <v/>
      </c>
      <c r="BO609">
        <f>IFERROR(INDEX(PP_Grid[#Data],$DD609,65),0)</f>
        <v/>
      </c>
      <c r="BP609">
        <f>IFERROR(INDEX(PP_Grid[#Data],$DD609,66),0)</f>
        <v/>
      </c>
      <c r="BQ609">
        <f>IFERROR(INDEX(PP_Grid[#Data],$DD609,67),0)</f>
        <v/>
      </c>
      <c r="BR609">
        <f>IFERROR(INDEX(PP_Grid[#Data],$DD609,68),0)</f>
        <v/>
      </c>
      <c r="BS609">
        <f>IFERROR(INDEX(PP_Grid[#Data],$DD609,69),0)</f>
        <v/>
      </c>
      <c r="BT609">
        <f>IFERROR(INDEX(PP_Grid[#Data],$DD609,70),0)</f>
        <v/>
      </c>
      <c r="BU609">
        <f>IFERROR(INDEX(PP_Grid[#Data],$DD609,71),0)</f>
        <v/>
      </c>
      <c r="BV609">
        <f>IFERROR(INDEX(PP_Grid[#Data],$DD609,72),0)</f>
        <v/>
      </c>
      <c r="BW609">
        <f>IFERROR(INDEX(PP_Grid[#Data],$DD609,73),0)</f>
        <v/>
      </c>
      <c r="BX609">
        <f>IFERROR(INDEX(PP_Grid[#Data],$DD609,74),0)</f>
        <v/>
      </c>
      <c r="BY609">
        <f>IFERROR(INDEX(PP_Grid[#Data],$DD609,75),0)</f>
        <v/>
      </c>
      <c r="BZ609">
        <f>IFERROR(INDEX(PP_Grid[#Data],$DD609,76),0)</f>
        <v/>
      </c>
      <c r="CA609">
        <f>IFERROR(INDEX(PP_Grid[#Data],$DD609,77),0)</f>
        <v/>
      </c>
      <c r="CB609">
        <f>IFERROR(INDEX(PP_Grid[#Data],$DD609,78),0)</f>
        <v/>
      </c>
      <c r="CC609">
        <f>IFERROR(INDEX(PP_Grid[#Data],$DD609,79),0)</f>
        <v/>
      </c>
      <c r="CD609">
        <f>IFERROR(INDEX(PP_Grid[#Data],$DD609,80),0)</f>
        <v/>
      </c>
      <c r="CE609">
        <f>IFERROR(INDEX(PP_Grid[#Data],$DD609,81),0)</f>
        <v/>
      </c>
      <c r="CF609">
        <f>IFERROR(INDEX(PP_Grid[#Data],$DD609,82),0)</f>
        <v/>
      </c>
      <c r="CG609">
        <f>IFERROR(INDEX(PP_Grid[#Data],$DD609,83),0)</f>
        <v/>
      </c>
      <c r="CH609">
        <f>IFERROR(INDEX(PP_Grid[#Data],$DD609,84),0)</f>
        <v/>
      </c>
      <c r="CI609">
        <f>IFERROR(INDEX(PP_Grid[#Data],$DD609,85),0)</f>
        <v/>
      </c>
      <c r="CJ609">
        <f>IFERROR(INDEX(PP_Grid[#Data],$DD609,86),0)</f>
        <v/>
      </c>
      <c r="CK609">
        <f>IFERROR(INDEX(PP_Grid[#Data],$DD609,87),0)</f>
        <v/>
      </c>
      <c r="CL609">
        <f>IFERROR(INDEX(PP_Grid[#Data],$DD609,88),0)</f>
        <v/>
      </c>
      <c r="CM609">
        <f>IFERROR(INDEX(PP_Grid[#Data],$DD609,89),0)</f>
        <v/>
      </c>
      <c r="CN609">
        <f>IFERROR(INDEX(PP_Grid[#Data],$DD609,90),0)</f>
        <v/>
      </c>
      <c r="CO609">
        <f>IFERROR(INDEX(PP_Grid[#Data],$DD609,91),0)</f>
        <v/>
      </c>
      <c r="CP609">
        <f>IFERROR(INDEX(PP_Grid[#Data],$DD609,92),0)</f>
        <v/>
      </c>
      <c r="CQ609">
        <f>IFERROR(INDEX(PP_Grid[#Data],$DD609,93),0)</f>
        <v/>
      </c>
      <c r="CR609">
        <f>IFERROR(INDEX(PP_Grid[#Data],$DD609,94),0)</f>
        <v/>
      </c>
      <c r="CS609">
        <f>IFERROR(INDEX(PP_Grid[#Data],$DD609,95),0)</f>
        <v/>
      </c>
      <c r="CT609">
        <f>IFERROR(INDEX(PP_Grid[#Data],$DD609,96),0)</f>
        <v/>
      </c>
      <c r="CU609">
        <f>IFERROR(INDEX(PP_Grid[#Data],$DD609,97),0)</f>
        <v/>
      </c>
      <c r="CV609">
        <f>IFERROR(INDEX(PP_Grid[#Data],$DD609,98),0)</f>
        <v/>
      </c>
      <c r="CW609">
        <f>IFERROR(INDEX(PP_Grid[#Data],$DD609,99),0)</f>
        <v/>
      </c>
      <c r="CX609">
        <f>IFERROR(INDEX(PP_Grid[#Data],$DD609,100),0)</f>
        <v/>
      </c>
      <c r="CY609">
        <f>IFERROR(INDEX(PP_Grid[#Data],$DD609,101),0)</f>
        <v/>
      </c>
      <c r="CZ609">
        <f>IFERROR(INDEX(PP_Grid[#Data],$DD609,102),0)</f>
        <v/>
      </c>
      <c r="DA609">
        <f>IFERROR(INDEX(PP_Grid[#Data],$DD609,103),0)</f>
        <v/>
      </c>
      <c r="DB609">
        <f>IFERROR(INDEX(PP_Grid[#Data],$DD609,104),0)</f>
        <v/>
      </c>
      <c r="DC609">
        <f>IFERROR(INDEX(PP_Grid[#Data],$DD609,105),0)</f>
        <v/>
      </c>
      <c r="DD609" s="7">
        <f>IFERROR(MATCH($B609,PP_Grid[Intermediate],0),99999)</f>
        <v/>
      </c>
    </row>
    <row r="610">
      <c r="B610" t="inlineStr">
        <is>
          <t>使用量(kg)</t>
        </is>
      </c>
      <c r="C610">
        <f>SUMIFS(M_BOM[RM_Qty_Per_Batch],M_BOM[Intermediate],$B609,M_BOM[Part Name],$A580)</f>
        <v/>
      </c>
      <c r="D610">
        <f>$C610*D609</f>
        <v/>
      </c>
      <c r="E610">
        <f>$C610*E609</f>
        <v/>
      </c>
      <c r="F610">
        <f>$C610*F609</f>
        <v/>
      </c>
      <c r="G610">
        <f>$C610*G609</f>
        <v/>
      </c>
      <c r="H610">
        <f>$C610*H609</f>
        <v/>
      </c>
      <c r="I610">
        <f>$C610*I609</f>
        <v/>
      </c>
      <c r="J610">
        <f>$C610*J609</f>
        <v/>
      </c>
      <c r="K610">
        <f>$C610*K609</f>
        <v/>
      </c>
      <c r="L610">
        <f>$C610*L609</f>
        <v/>
      </c>
      <c r="M610">
        <f>$C610*M609</f>
        <v/>
      </c>
      <c r="N610">
        <f>$C610*N609</f>
        <v/>
      </c>
      <c r="O610">
        <f>$C610*O609</f>
        <v/>
      </c>
      <c r="P610">
        <f>$C610*P609</f>
        <v/>
      </c>
      <c r="Q610">
        <f>$C610*Q609</f>
        <v/>
      </c>
      <c r="R610">
        <f>$C610*R609</f>
        <v/>
      </c>
      <c r="S610">
        <f>$C610*S609</f>
        <v/>
      </c>
      <c r="T610">
        <f>$C610*T609</f>
        <v/>
      </c>
      <c r="U610">
        <f>$C610*U609</f>
        <v/>
      </c>
      <c r="V610">
        <f>$C610*V609</f>
        <v/>
      </c>
      <c r="W610">
        <f>$C610*W609</f>
        <v/>
      </c>
      <c r="X610">
        <f>$C610*X609</f>
        <v/>
      </c>
      <c r="Y610">
        <f>$C610*Y609</f>
        <v/>
      </c>
      <c r="Z610">
        <f>$C610*Z609</f>
        <v/>
      </c>
      <c r="AA610">
        <f>$C610*AA609</f>
        <v/>
      </c>
      <c r="AB610">
        <f>$C610*AB609</f>
        <v/>
      </c>
      <c r="AC610">
        <f>$C610*AC609</f>
        <v/>
      </c>
      <c r="AD610">
        <f>$C610*AD609</f>
        <v/>
      </c>
      <c r="AE610">
        <f>$C610*AE609</f>
        <v/>
      </c>
      <c r="AF610">
        <f>$C610*AF609</f>
        <v/>
      </c>
      <c r="AG610">
        <f>$C610*AG609</f>
        <v/>
      </c>
      <c r="AH610">
        <f>$C610*AH609</f>
        <v/>
      </c>
      <c r="AI610">
        <f>$C610*AI609</f>
        <v/>
      </c>
      <c r="AJ610">
        <f>$C610*AJ609</f>
        <v/>
      </c>
      <c r="AK610">
        <f>$C610*AK609</f>
        <v/>
      </c>
      <c r="AL610">
        <f>$C610*AL609</f>
        <v/>
      </c>
      <c r="AM610">
        <f>$C610*AM609</f>
        <v/>
      </c>
      <c r="AN610">
        <f>$C610*AN609</f>
        <v/>
      </c>
      <c r="AO610">
        <f>$C610*AO609</f>
        <v/>
      </c>
      <c r="AP610">
        <f>$C610*AP609</f>
        <v/>
      </c>
      <c r="AQ610">
        <f>$C610*AQ609</f>
        <v/>
      </c>
      <c r="AR610">
        <f>$C610*AR609</f>
        <v/>
      </c>
      <c r="AS610">
        <f>$C610*AS609</f>
        <v/>
      </c>
      <c r="AT610">
        <f>$C610*AT609</f>
        <v/>
      </c>
      <c r="AU610">
        <f>$C610*AU609</f>
        <v/>
      </c>
      <c r="AV610">
        <f>$C610*AV609</f>
        <v/>
      </c>
      <c r="AW610">
        <f>$C610*AW609</f>
        <v/>
      </c>
      <c r="AX610">
        <f>$C610*AX609</f>
        <v/>
      </c>
      <c r="AY610">
        <f>$C610*AY609</f>
        <v/>
      </c>
      <c r="AZ610">
        <f>$C610*AZ609</f>
        <v/>
      </c>
      <c r="BA610">
        <f>$C610*BA609</f>
        <v/>
      </c>
      <c r="BB610">
        <f>$C610*BB609</f>
        <v/>
      </c>
      <c r="BC610">
        <f>$C610*BC609</f>
        <v/>
      </c>
      <c r="BD610">
        <f>$C610*BD609</f>
        <v/>
      </c>
      <c r="BE610">
        <f>$C610*BE609</f>
        <v/>
      </c>
      <c r="BF610">
        <f>$C610*BF609</f>
        <v/>
      </c>
      <c r="BG610">
        <f>$C610*BG609</f>
        <v/>
      </c>
      <c r="BH610">
        <f>$C610*BH609</f>
        <v/>
      </c>
      <c r="BI610">
        <f>$C610*BI609</f>
        <v/>
      </c>
      <c r="BJ610">
        <f>$C610*BJ609</f>
        <v/>
      </c>
      <c r="BK610">
        <f>$C610*BK609</f>
        <v/>
      </c>
      <c r="BL610">
        <f>$C610*BL609</f>
        <v/>
      </c>
      <c r="BM610">
        <f>$C610*BM609</f>
        <v/>
      </c>
      <c r="BN610">
        <f>$C610*BN609</f>
        <v/>
      </c>
      <c r="BO610">
        <f>$C610*BO609</f>
        <v/>
      </c>
      <c r="BP610">
        <f>$C610*BP609</f>
        <v/>
      </c>
      <c r="BQ610">
        <f>$C610*BQ609</f>
        <v/>
      </c>
      <c r="BR610">
        <f>$C610*BR609</f>
        <v/>
      </c>
      <c r="BS610">
        <f>$C610*BS609</f>
        <v/>
      </c>
      <c r="BT610">
        <f>$C610*BT609</f>
        <v/>
      </c>
      <c r="BU610">
        <f>$C610*BU609</f>
        <v/>
      </c>
      <c r="BV610">
        <f>$C610*BV609</f>
        <v/>
      </c>
      <c r="BW610">
        <f>$C610*BW609</f>
        <v/>
      </c>
      <c r="BX610">
        <f>$C610*BX609</f>
        <v/>
      </c>
      <c r="BY610">
        <f>$C610*BY609</f>
        <v/>
      </c>
      <c r="BZ610">
        <f>$C610*BZ609</f>
        <v/>
      </c>
      <c r="CA610">
        <f>$C610*CA609</f>
        <v/>
      </c>
      <c r="CB610">
        <f>$C610*CB609</f>
        <v/>
      </c>
      <c r="CC610">
        <f>$C610*CC609</f>
        <v/>
      </c>
      <c r="CD610">
        <f>$C610*CD609</f>
        <v/>
      </c>
      <c r="CE610">
        <f>$C610*CE609</f>
        <v/>
      </c>
      <c r="CF610">
        <f>$C610*CF609</f>
        <v/>
      </c>
      <c r="CG610">
        <f>$C610*CG609</f>
        <v/>
      </c>
      <c r="CH610">
        <f>$C610*CH609</f>
        <v/>
      </c>
      <c r="CI610">
        <f>$C610*CI609</f>
        <v/>
      </c>
      <c r="CJ610">
        <f>$C610*CJ609</f>
        <v/>
      </c>
      <c r="CK610">
        <f>$C610*CK609</f>
        <v/>
      </c>
      <c r="CL610">
        <f>$C610*CL609</f>
        <v/>
      </c>
      <c r="CM610">
        <f>$C610*CM609</f>
        <v/>
      </c>
      <c r="CN610">
        <f>$C610*CN609</f>
        <v/>
      </c>
      <c r="CO610">
        <f>$C610*CO609</f>
        <v/>
      </c>
      <c r="CP610">
        <f>$C610*CP609</f>
        <v/>
      </c>
      <c r="CQ610">
        <f>$C610*CQ609</f>
        <v/>
      </c>
      <c r="CR610">
        <f>$C610*CR609</f>
        <v/>
      </c>
      <c r="CS610">
        <f>$C610*CS609</f>
        <v/>
      </c>
      <c r="CT610">
        <f>$C610*CT609</f>
        <v/>
      </c>
      <c r="CU610">
        <f>$C610*CU609</f>
        <v/>
      </c>
      <c r="CV610">
        <f>$C610*CV609</f>
        <v/>
      </c>
      <c r="CW610">
        <f>$C610*CW609</f>
        <v/>
      </c>
      <c r="CX610">
        <f>$C610*CX609</f>
        <v/>
      </c>
      <c r="CY610">
        <f>$C610*CY609</f>
        <v/>
      </c>
      <c r="CZ610">
        <f>$C610*CZ609</f>
        <v/>
      </c>
      <c r="DA610">
        <f>$C610*DA609</f>
        <v/>
      </c>
      <c r="DB610">
        <f>$C610*DB609</f>
        <v/>
      </c>
      <c r="DC610">
        <f>$C610*DC609</f>
        <v/>
      </c>
    </row>
    <row r="611">
      <c r="B611" t="inlineStr">
        <is>
          <t>TPP-204</t>
        </is>
      </c>
      <c r="C611" t="inlineStr">
        <is>
          <t>No. of batches</t>
        </is>
      </c>
      <c r="D611">
        <f>IFERROR(INDEX(PP_Grid[#Data],$DD611,2),0)</f>
        <v/>
      </c>
      <c r="E611">
        <f>IFERROR(INDEX(PP_Grid[#Data],$DD611,3),0)</f>
        <v/>
      </c>
      <c r="F611">
        <f>IFERROR(INDEX(PP_Grid[#Data],$DD611,4),0)</f>
        <v/>
      </c>
      <c r="G611">
        <f>IFERROR(INDEX(PP_Grid[#Data],$DD611,5),0)</f>
        <v/>
      </c>
      <c r="H611">
        <f>IFERROR(INDEX(PP_Grid[#Data],$DD611,6),0)</f>
        <v/>
      </c>
      <c r="I611">
        <f>IFERROR(INDEX(PP_Grid[#Data],$DD611,7),0)</f>
        <v/>
      </c>
      <c r="J611">
        <f>IFERROR(INDEX(PP_Grid[#Data],$DD611,8),0)</f>
        <v/>
      </c>
      <c r="K611">
        <f>IFERROR(INDEX(PP_Grid[#Data],$DD611,9),0)</f>
        <v/>
      </c>
      <c r="L611">
        <f>IFERROR(INDEX(PP_Grid[#Data],$DD611,10),0)</f>
        <v/>
      </c>
      <c r="M611">
        <f>IFERROR(INDEX(PP_Grid[#Data],$DD611,11),0)</f>
        <v/>
      </c>
      <c r="N611">
        <f>IFERROR(INDEX(PP_Grid[#Data],$DD611,12),0)</f>
        <v/>
      </c>
      <c r="O611">
        <f>IFERROR(INDEX(PP_Grid[#Data],$DD611,13),0)</f>
        <v/>
      </c>
      <c r="P611">
        <f>IFERROR(INDEX(PP_Grid[#Data],$DD611,14),0)</f>
        <v/>
      </c>
      <c r="Q611">
        <f>IFERROR(INDEX(PP_Grid[#Data],$DD611,15),0)</f>
        <v/>
      </c>
      <c r="R611">
        <f>IFERROR(INDEX(PP_Grid[#Data],$DD611,16),0)</f>
        <v/>
      </c>
      <c r="S611">
        <f>IFERROR(INDEX(PP_Grid[#Data],$DD611,17),0)</f>
        <v/>
      </c>
      <c r="T611">
        <f>IFERROR(INDEX(PP_Grid[#Data],$DD611,18),0)</f>
        <v/>
      </c>
      <c r="U611">
        <f>IFERROR(INDEX(PP_Grid[#Data],$DD611,19),0)</f>
        <v/>
      </c>
      <c r="V611">
        <f>IFERROR(INDEX(PP_Grid[#Data],$DD611,20),0)</f>
        <v/>
      </c>
      <c r="W611">
        <f>IFERROR(INDEX(PP_Grid[#Data],$DD611,21),0)</f>
        <v/>
      </c>
      <c r="X611">
        <f>IFERROR(INDEX(PP_Grid[#Data],$DD611,22),0)</f>
        <v/>
      </c>
      <c r="Y611">
        <f>IFERROR(INDEX(PP_Grid[#Data],$DD611,23),0)</f>
        <v/>
      </c>
      <c r="Z611">
        <f>IFERROR(INDEX(PP_Grid[#Data],$DD611,24),0)</f>
        <v/>
      </c>
      <c r="AA611">
        <f>IFERROR(INDEX(PP_Grid[#Data],$DD611,25),0)</f>
        <v/>
      </c>
      <c r="AB611">
        <f>IFERROR(INDEX(PP_Grid[#Data],$DD611,26),0)</f>
        <v/>
      </c>
      <c r="AC611">
        <f>IFERROR(INDEX(PP_Grid[#Data],$DD611,27),0)</f>
        <v/>
      </c>
      <c r="AD611">
        <f>IFERROR(INDEX(PP_Grid[#Data],$DD611,28),0)</f>
        <v/>
      </c>
      <c r="AE611">
        <f>IFERROR(INDEX(PP_Grid[#Data],$DD611,29),0)</f>
        <v/>
      </c>
      <c r="AF611">
        <f>IFERROR(INDEX(PP_Grid[#Data],$DD611,30),0)</f>
        <v/>
      </c>
      <c r="AG611">
        <f>IFERROR(INDEX(PP_Grid[#Data],$DD611,31),0)</f>
        <v/>
      </c>
      <c r="AH611">
        <f>IFERROR(INDEX(PP_Grid[#Data],$DD611,32),0)</f>
        <v/>
      </c>
      <c r="AI611">
        <f>IFERROR(INDEX(PP_Grid[#Data],$DD611,33),0)</f>
        <v/>
      </c>
      <c r="AJ611">
        <f>IFERROR(INDEX(PP_Grid[#Data],$DD611,34),0)</f>
        <v/>
      </c>
      <c r="AK611">
        <f>IFERROR(INDEX(PP_Grid[#Data],$DD611,35),0)</f>
        <v/>
      </c>
      <c r="AL611">
        <f>IFERROR(INDEX(PP_Grid[#Data],$DD611,36),0)</f>
        <v/>
      </c>
      <c r="AM611">
        <f>IFERROR(INDEX(PP_Grid[#Data],$DD611,37),0)</f>
        <v/>
      </c>
      <c r="AN611">
        <f>IFERROR(INDEX(PP_Grid[#Data],$DD611,38),0)</f>
        <v/>
      </c>
      <c r="AO611">
        <f>IFERROR(INDEX(PP_Grid[#Data],$DD611,39),0)</f>
        <v/>
      </c>
      <c r="AP611">
        <f>IFERROR(INDEX(PP_Grid[#Data],$DD611,40),0)</f>
        <v/>
      </c>
      <c r="AQ611">
        <f>IFERROR(INDEX(PP_Grid[#Data],$DD611,41),0)</f>
        <v/>
      </c>
      <c r="AR611">
        <f>IFERROR(INDEX(PP_Grid[#Data],$DD611,42),0)</f>
        <v/>
      </c>
      <c r="AS611">
        <f>IFERROR(INDEX(PP_Grid[#Data],$DD611,43),0)</f>
        <v/>
      </c>
      <c r="AT611">
        <f>IFERROR(INDEX(PP_Grid[#Data],$DD611,44),0)</f>
        <v/>
      </c>
      <c r="AU611">
        <f>IFERROR(INDEX(PP_Grid[#Data],$DD611,45),0)</f>
        <v/>
      </c>
      <c r="AV611">
        <f>IFERROR(INDEX(PP_Grid[#Data],$DD611,46),0)</f>
        <v/>
      </c>
      <c r="AW611">
        <f>IFERROR(INDEX(PP_Grid[#Data],$DD611,47),0)</f>
        <v/>
      </c>
      <c r="AX611">
        <f>IFERROR(INDEX(PP_Grid[#Data],$DD611,48),0)</f>
        <v/>
      </c>
      <c r="AY611">
        <f>IFERROR(INDEX(PP_Grid[#Data],$DD611,49),0)</f>
        <v/>
      </c>
      <c r="AZ611">
        <f>IFERROR(INDEX(PP_Grid[#Data],$DD611,50),0)</f>
        <v/>
      </c>
      <c r="BA611">
        <f>IFERROR(INDEX(PP_Grid[#Data],$DD611,51),0)</f>
        <v/>
      </c>
      <c r="BB611">
        <f>IFERROR(INDEX(PP_Grid[#Data],$DD611,52),0)</f>
        <v/>
      </c>
      <c r="BC611">
        <f>IFERROR(INDEX(PP_Grid[#Data],$DD611,53),0)</f>
        <v/>
      </c>
      <c r="BD611">
        <f>IFERROR(INDEX(PP_Grid[#Data],$DD611,54),0)</f>
        <v/>
      </c>
      <c r="BE611">
        <f>IFERROR(INDEX(PP_Grid[#Data],$DD611,55),0)</f>
        <v/>
      </c>
      <c r="BF611">
        <f>IFERROR(INDEX(PP_Grid[#Data],$DD611,56),0)</f>
        <v/>
      </c>
      <c r="BG611">
        <f>IFERROR(INDEX(PP_Grid[#Data],$DD611,57),0)</f>
        <v/>
      </c>
      <c r="BH611">
        <f>IFERROR(INDEX(PP_Grid[#Data],$DD611,58),0)</f>
        <v/>
      </c>
      <c r="BI611">
        <f>IFERROR(INDEX(PP_Grid[#Data],$DD611,59),0)</f>
        <v/>
      </c>
      <c r="BJ611">
        <f>IFERROR(INDEX(PP_Grid[#Data],$DD611,60),0)</f>
        <v/>
      </c>
      <c r="BK611">
        <f>IFERROR(INDEX(PP_Grid[#Data],$DD611,61),0)</f>
        <v/>
      </c>
      <c r="BL611">
        <f>IFERROR(INDEX(PP_Grid[#Data],$DD611,62),0)</f>
        <v/>
      </c>
      <c r="BM611">
        <f>IFERROR(INDEX(PP_Grid[#Data],$DD611,63),0)</f>
        <v/>
      </c>
      <c r="BN611">
        <f>IFERROR(INDEX(PP_Grid[#Data],$DD611,64),0)</f>
        <v/>
      </c>
      <c r="BO611">
        <f>IFERROR(INDEX(PP_Grid[#Data],$DD611,65),0)</f>
        <v/>
      </c>
      <c r="BP611">
        <f>IFERROR(INDEX(PP_Grid[#Data],$DD611,66),0)</f>
        <v/>
      </c>
      <c r="BQ611">
        <f>IFERROR(INDEX(PP_Grid[#Data],$DD611,67),0)</f>
        <v/>
      </c>
      <c r="BR611">
        <f>IFERROR(INDEX(PP_Grid[#Data],$DD611,68),0)</f>
        <v/>
      </c>
      <c r="BS611">
        <f>IFERROR(INDEX(PP_Grid[#Data],$DD611,69),0)</f>
        <v/>
      </c>
      <c r="BT611">
        <f>IFERROR(INDEX(PP_Grid[#Data],$DD611,70),0)</f>
        <v/>
      </c>
      <c r="BU611">
        <f>IFERROR(INDEX(PP_Grid[#Data],$DD611,71),0)</f>
        <v/>
      </c>
      <c r="BV611">
        <f>IFERROR(INDEX(PP_Grid[#Data],$DD611,72),0)</f>
        <v/>
      </c>
      <c r="BW611">
        <f>IFERROR(INDEX(PP_Grid[#Data],$DD611,73),0)</f>
        <v/>
      </c>
      <c r="BX611">
        <f>IFERROR(INDEX(PP_Grid[#Data],$DD611,74),0)</f>
        <v/>
      </c>
      <c r="BY611">
        <f>IFERROR(INDEX(PP_Grid[#Data],$DD611,75),0)</f>
        <v/>
      </c>
      <c r="BZ611">
        <f>IFERROR(INDEX(PP_Grid[#Data],$DD611,76),0)</f>
        <v/>
      </c>
      <c r="CA611">
        <f>IFERROR(INDEX(PP_Grid[#Data],$DD611,77),0)</f>
        <v/>
      </c>
      <c r="CB611">
        <f>IFERROR(INDEX(PP_Grid[#Data],$DD611,78),0)</f>
        <v/>
      </c>
      <c r="CC611">
        <f>IFERROR(INDEX(PP_Grid[#Data],$DD611,79),0)</f>
        <v/>
      </c>
      <c r="CD611">
        <f>IFERROR(INDEX(PP_Grid[#Data],$DD611,80),0)</f>
        <v/>
      </c>
      <c r="CE611">
        <f>IFERROR(INDEX(PP_Grid[#Data],$DD611,81),0)</f>
        <v/>
      </c>
      <c r="CF611">
        <f>IFERROR(INDEX(PP_Grid[#Data],$DD611,82),0)</f>
        <v/>
      </c>
      <c r="CG611">
        <f>IFERROR(INDEX(PP_Grid[#Data],$DD611,83),0)</f>
        <v/>
      </c>
      <c r="CH611">
        <f>IFERROR(INDEX(PP_Grid[#Data],$DD611,84),0)</f>
        <v/>
      </c>
      <c r="CI611">
        <f>IFERROR(INDEX(PP_Grid[#Data],$DD611,85),0)</f>
        <v/>
      </c>
      <c r="CJ611">
        <f>IFERROR(INDEX(PP_Grid[#Data],$DD611,86),0)</f>
        <v/>
      </c>
      <c r="CK611">
        <f>IFERROR(INDEX(PP_Grid[#Data],$DD611,87),0)</f>
        <v/>
      </c>
      <c r="CL611">
        <f>IFERROR(INDEX(PP_Grid[#Data],$DD611,88),0)</f>
        <v/>
      </c>
      <c r="CM611">
        <f>IFERROR(INDEX(PP_Grid[#Data],$DD611,89),0)</f>
        <v/>
      </c>
      <c r="CN611">
        <f>IFERROR(INDEX(PP_Grid[#Data],$DD611,90),0)</f>
        <v/>
      </c>
      <c r="CO611">
        <f>IFERROR(INDEX(PP_Grid[#Data],$DD611,91),0)</f>
        <v/>
      </c>
      <c r="CP611">
        <f>IFERROR(INDEX(PP_Grid[#Data],$DD611,92),0)</f>
        <v/>
      </c>
      <c r="CQ611">
        <f>IFERROR(INDEX(PP_Grid[#Data],$DD611,93),0)</f>
        <v/>
      </c>
      <c r="CR611">
        <f>IFERROR(INDEX(PP_Grid[#Data],$DD611,94),0)</f>
        <v/>
      </c>
      <c r="CS611">
        <f>IFERROR(INDEX(PP_Grid[#Data],$DD611,95),0)</f>
        <v/>
      </c>
      <c r="CT611">
        <f>IFERROR(INDEX(PP_Grid[#Data],$DD611,96),0)</f>
        <v/>
      </c>
      <c r="CU611">
        <f>IFERROR(INDEX(PP_Grid[#Data],$DD611,97),0)</f>
        <v/>
      </c>
      <c r="CV611">
        <f>IFERROR(INDEX(PP_Grid[#Data],$DD611,98),0)</f>
        <v/>
      </c>
      <c r="CW611">
        <f>IFERROR(INDEX(PP_Grid[#Data],$DD611,99),0)</f>
        <v/>
      </c>
      <c r="CX611">
        <f>IFERROR(INDEX(PP_Grid[#Data],$DD611,100),0)</f>
        <v/>
      </c>
      <c r="CY611">
        <f>IFERROR(INDEX(PP_Grid[#Data],$DD611,101),0)</f>
        <v/>
      </c>
      <c r="CZ611">
        <f>IFERROR(INDEX(PP_Grid[#Data],$DD611,102),0)</f>
        <v/>
      </c>
      <c r="DA611">
        <f>IFERROR(INDEX(PP_Grid[#Data],$DD611,103),0)</f>
        <v/>
      </c>
      <c r="DB611">
        <f>IFERROR(INDEX(PP_Grid[#Data],$DD611,104),0)</f>
        <v/>
      </c>
      <c r="DC611">
        <f>IFERROR(INDEX(PP_Grid[#Data],$DD611,105),0)</f>
        <v/>
      </c>
      <c r="DD611" s="7">
        <f>IFERROR(MATCH($B611,PP_Grid[Intermediate],0),99999)</f>
        <v/>
      </c>
    </row>
    <row r="612">
      <c r="B612" t="inlineStr">
        <is>
          <t>使用量(kg)</t>
        </is>
      </c>
      <c r="C612">
        <f>SUMIFS(M_BOM[RM_Qty_Per_Batch],M_BOM[Intermediate],$B611,M_BOM[Part Name],$A580)</f>
        <v/>
      </c>
      <c r="D612">
        <f>$C612*D611</f>
        <v/>
      </c>
      <c r="E612">
        <f>$C612*E611</f>
        <v/>
      </c>
      <c r="F612">
        <f>$C612*F611</f>
        <v/>
      </c>
      <c r="G612">
        <f>$C612*G611</f>
        <v/>
      </c>
      <c r="H612">
        <f>$C612*H611</f>
        <v/>
      </c>
      <c r="I612">
        <f>$C612*I611</f>
        <v/>
      </c>
      <c r="J612">
        <f>$C612*J611</f>
        <v/>
      </c>
      <c r="K612">
        <f>$C612*K611</f>
        <v/>
      </c>
      <c r="L612">
        <f>$C612*L611</f>
        <v/>
      </c>
      <c r="M612">
        <f>$C612*M611</f>
        <v/>
      </c>
      <c r="N612">
        <f>$C612*N611</f>
        <v/>
      </c>
      <c r="O612">
        <f>$C612*O611</f>
        <v/>
      </c>
      <c r="P612">
        <f>$C612*P611</f>
        <v/>
      </c>
      <c r="Q612">
        <f>$C612*Q611</f>
        <v/>
      </c>
      <c r="R612">
        <f>$C612*R611</f>
        <v/>
      </c>
      <c r="S612">
        <f>$C612*S611</f>
        <v/>
      </c>
      <c r="T612">
        <f>$C612*T611</f>
        <v/>
      </c>
      <c r="U612">
        <f>$C612*U611</f>
        <v/>
      </c>
      <c r="V612">
        <f>$C612*V611</f>
        <v/>
      </c>
      <c r="W612">
        <f>$C612*W611</f>
        <v/>
      </c>
      <c r="X612">
        <f>$C612*X611</f>
        <v/>
      </c>
      <c r="Y612">
        <f>$C612*Y611</f>
        <v/>
      </c>
      <c r="Z612">
        <f>$C612*Z611</f>
        <v/>
      </c>
      <c r="AA612">
        <f>$C612*AA611</f>
        <v/>
      </c>
      <c r="AB612">
        <f>$C612*AB611</f>
        <v/>
      </c>
      <c r="AC612">
        <f>$C612*AC611</f>
        <v/>
      </c>
      <c r="AD612">
        <f>$C612*AD611</f>
        <v/>
      </c>
      <c r="AE612">
        <f>$C612*AE611</f>
        <v/>
      </c>
      <c r="AF612">
        <f>$C612*AF611</f>
        <v/>
      </c>
      <c r="AG612">
        <f>$C612*AG611</f>
        <v/>
      </c>
      <c r="AH612">
        <f>$C612*AH611</f>
        <v/>
      </c>
      <c r="AI612">
        <f>$C612*AI611</f>
        <v/>
      </c>
      <c r="AJ612">
        <f>$C612*AJ611</f>
        <v/>
      </c>
      <c r="AK612">
        <f>$C612*AK611</f>
        <v/>
      </c>
      <c r="AL612">
        <f>$C612*AL611</f>
        <v/>
      </c>
      <c r="AM612">
        <f>$C612*AM611</f>
        <v/>
      </c>
      <c r="AN612">
        <f>$C612*AN611</f>
        <v/>
      </c>
      <c r="AO612">
        <f>$C612*AO611</f>
        <v/>
      </c>
      <c r="AP612">
        <f>$C612*AP611</f>
        <v/>
      </c>
      <c r="AQ612">
        <f>$C612*AQ611</f>
        <v/>
      </c>
      <c r="AR612">
        <f>$C612*AR611</f>
        <v/>
      </c>
      <c r="AS612">
        <f>$C612*AS611</f>
        <v/>
      </c>
      <c r="AT612">
        <f>$C612*AT611</f>
        <v/>
      </c>
      <c r="AU612">
        <f>$C612*AU611</f>
        <v/>
      </c>
      <c r="AV612">
        <f>$C612*AV611</f>
        <v/>
      </c>
      <c r="AW612">
        <f>$C612*AW611</f>
        <v/>
      </c>
      <c r="AX612">
        <f>$C612*AX611</f>
        <v/>
      </c>
      <c r="AY612">
        <f>$C612*AY611</f>
        <v/>
      </c>
      <c r="AZ612">
        <f>$C612*AZ611</f>
        <v/>
      </c>
      <c r="BA612">
        <f>$C612*BA611</f>
        <v/>
      </c>
      <c r="BB612">
        <f>$C612*BB611</f>
        <v/>
      </c>
      <c r="BC612">
        <f>$C612*BC611</f>
        <v/>
      </c>
      <c r="BD612">
        <f>$C612*BD611</f>
        <v/>
      </c>
      <c r="BE612">
        <f>$C612*BE611</f>
        <v/>
      </c>
      <c r="BF612">
        <f>$C612*BF611</f>
        <v/>
      </c>
      <c r="BG612">
        <f>$C612*BG611</f>
        <v/>
      </c>
      <c r="BH612">
        <f>$C612*BH611</f>
        <v/>
      </c>
      <c r="BI612">
        <f>$C612*BI611</f>
        <v/>
      </c>
      <c r="BJ612">
        <f>$C612*BJ611</f>
        <v/>
      </c>
      <c r="BK612">
        <f>$C612*BK611</f>
        <v/>
      </c>
      <c r="BL612">
        <f>$C612*BL611</f>
        <v/>
      </c>
      <c r="BM612">
        <f>$C612*BM611</f>
        <v/>
      </c>
      <c r="BN612">
        <f>$C612*BN611</f>
        <v/>
      </c>
      <c r="BO612">
        <f>$C612*BO611</f>
        <v/>
      </c>
      <c r="BP612">
        <f>$C612*BP611</f>
        <v/>
      </c>
      <c r="BQ612">
        <f>$C612*BQ611</f>
        <v/>
      </c>
      <c r="BR612">
        <f>$C612*BR611</f>
        <v/>
      </c>
      <c r="BS612">
        <f>$C612*BS611</f>
        <v/>
      </c>
      <c r="BT612">
        <f>$C612*BT611</f>
        <v/>
      </c>
      <c r="BU612">
        <f>$C612*BU611</f>
        <v/>
      </c>
      <c r="BV612">
        <f>$C612*BV611</f>
        <v/>
      </c>
      <c r="BW612">
        <f>$C612*BW611</f>
        <v/>
      </c>
      <c r="BX612">
        <f>$C612*BX611</f>
        <v/>
      </c>
      <c r="BY612">
        <f>$C612*BY611</f>
        <v/>
      </c>
      <c r="BZ612">
        <f>$C612*BZ611</f>
        <v/>
      </c>
      <c r="CA612">
        <f>$C612*CA611</f>
        <v/>
      </c>
      <c r="CB612">
        <f>$C612*CB611</f>
        <v/>
      </c>
      <c r="CC612">
        <f>$C612*CC611</f>
        <v/>
      </c>
      <c r="CD612">
        <f>$C612*CD611</f>
        <v/>
      </c>
      <c r="CE612">
        <f>$C612*CE611</f>
        <v/>
      </c>
      <c r="CF612">
        <f>$C612*CF611</f>
        <v/>
      </c>
      <c r="CG612">
        <f>$C612*CG611</f>
        <v/>
      </c>
      <c r="CH612">
        <f>$C612*CH611</f>
        <v/>
      </c>
      <c r="CI612">
        <f>$C612*CI611</f>
        <v/>
      </c>
      <c r="CJ612">
        <f>$C612*CJ611</f>
        <v/>
      </c>
      <c r="CK612">
        <f>$C612*CK611</f>
        <v/>
      </c>
      <c r="CL612">
        <f>$C612*CL611</f>
        <v/>
      </c>
      <c r="CM612">
        <f>$C612*CM611</f>
        <v/>
      </c>
      <c r="CN612">
        <f>$C612*CN611</f>
        <v/>
      </c>
      <c r="CO612">
        <f>$C612*CO611</f>
        <v/>
      </c>
      <c r="CP612">
        <f>$C612*CP611</f>
        <v/>
      </c>
      <c r="CQ612">
        <f>$C612*CQ611</f>
        <v/>
      </c>
      <c r="CR612">
        <f>$C612*CR611</f>
        <v/>
      </c>
      <c r="CS612">
        <f>$C612*CS611</f>
        <v/>
      </c>
      <c r="CT612">
        <f>$C612*CT611</f>
        <v/>
      </c>
      <c r="CU612">
        <f>$C612*CU611</f>
        <v/>
      </c>
      <c r="CV612">
        <f>$C612*CV611</f>
        <v/>
      </c>
      <c r="CW612">
        <f>$C612*CW611</f>
        <v/>
      </c>
      <c r="CX612">
        <f>$C612*CX611</f>
        <v/>
      </c>
      <c r="CY612">
        <f>$C612*CY611</f>
        <v/>
      </c>
      <c r="CZ612">
        <f>$C612*CZ611</f>
        <v/>
      </c>
      <c r="DA612">
        <f>$C612*DA611</f>
        <v/>
      </c>
      <c r="DB612">
        <f>$C612*DB611</f>
        <v/>
      </c>
      <c r="DC612">
        <f>$C612*DC611</f>
        <v/>
      </c>
    </row>
    <row r="613">
      <c r="B613" t="inlineStr">
        <is>
          <t>TPP-350</t>
        </is>
      </c>
      <c r="C613" t="inlineStr">
        <is>
          <t>No. of batches</t>
        </is>
      </c>
      <c r="D613">
        <f>IFERROR(INDEX(PP_Grid[#Data],$DD613,2),0)</f>
        <v/>
      </c>
      <c r="E613">
        <f>IFERROR(INDEX(PP_Grid[#Data],$DD613,3),0)</f>
        <v/>
      </c>
      <c r="F613">
        <f>IFERROR(INDEX(PP_Grid[#Data],$DD613,4),0)</f>
        <v/>
      </c>
      <c r="G613">
        <f>IFERROR(INDEX(PP_Grid[#Data],$DD613,5),0)</f>
        <v/>
      </c>
      <c r="H613">
        <f>IFERROR(INDEX(PP_Grid[#Data],$DD613,6),0)</f>
        <v/>
      </c>
      <c r="I613">
        <f>IFERROR(INDEX(PP_Grid[#Data],$DD613,7),0)</f>
        <v/>
      </c>
      <c r="J613">
        <f>IFERROR(INDEX(PP_Grid[#Data],$DD613,8),0)</f>
        <v/>
      </c>
      <c r="K613">
        <f>IFERROR(INDEX(PP_Grid[#Data],$DD613,9),0)</f>
        <v/>
      </c>
      <c r="L613">
        <f>IFERROR(INDEX(PP_Grid[#Data],$DD613,10),0)</f>
        <v/>
      </c>
      <c r="M613">
        <f>IFERROR(INDEX(PP_Grid[#Data],$DD613,11),0)</f>
        <v/>
      </c>
      <c r="N613">
        <f>IFERROR(INDEX(PP_Grid[#Data],$DD613,12),0)</f>
        <v/>
      </c>
      <c r="O613">
        <f>IFERROR(INDEX(PP_Grid[#Data],$DD613,13),0)</f>
        <v/>
      </c>
      <c r="P613">
        <f>IFERROR(INDEX(PP_Grid[#Data],$DD613,14),0)</f>
        <v/>
      </c>
      <c r="Q613">
        <f>IFERROR(INDEX(PP_Grid[#Data],$DD613,15),0)</f>
        <v/>
      </c>
      <c r="R613">
        <f>IFERROR(INDEX(PP_Grid[#Data],$DD613,16),0)</f>
        <v/>
      </c>
      <c r="S613">
        <f>IFERROR(INDEX(PP_Grid[#Data],$DD613,17),0)</f>
        <v/>
      </c>
      <c r="T613">
        <f>IFERROR(INDEX(PP_Grid[#Data],$DD613,18),0)</f>
        <v/>
      </c>
      <c r="U613">
        <f>IFERROR(INDEX(PP_Grid[#Data],$DD613,19),0)</f>
        <v/>
      </c>
      <c r="V613">
        <f>IFERROR(INDEX(PP_Grid[#Data],$DD613,20),0)</f>
        <v/>
      </c>
      <c r="W613">
        <f>IFERROR(INDEX(PP_Grid[#Data],$DD613,21),0)</f>
        <v/>
      </c>
      <c r="X613">
        <f>IFERROR(INDEX(PP_Grid[#Data],$DD613,22),0)</f>
        <v/>
      </c>
      <c r="Y613">
        <f>IFERROR(INDEX(PP_Grid[#Data],$DD613,23),0)</f>
        <v/>
      </c>
      <c r="Z613">
        <f>IFERROR(INDEX(PP_Grid[#Data],$DD613,24),0)</f>
        <v/>
      </c>
      <c r="AA613">
        <f>IFERROR(INDEX(PP_Grid[#Data],$DD613,25),0)</f>
        <v/>
      </c>
      <c r="AB613">
        <f>IFERROR(INDEX(PP_Grid[#Data],$DD613,26),0)</f>
        <v/>
      </c>
      <c r="AC613">
        <f>IFERROR(INDEX(PP_Grid[#Data],$DD613,27),0)</f>
        <v/>
      </c>
      <c r="AD613">
        <f>IFERROR(INDEX(PP_Grid[#Data],$DD613,28),0)</f>
        <v/>
      </c>
      <c r="AE613">
        <f>IFERROR(INDEX(PP_Grid[#Data],$DD613,29),0)</f>
        <v/>
      </c>
      <c r="AF613">
        <f>IFERROR(INDEX(PP_Grid[#Data],$DD613,30),0)</f>
        <v/>
      </c>
      <c r="AG613">
        <f>IFERROR(INDEX(PP_Grid[#Data],$DD613,31),0)</f>
        <v/>
      </c>
      <c r="AH613">
        <f>IFERROR(INDEX(PP_Grid[#Data],$DD613,32),0)</f>
        <v/>
      </c>
      <c r="AI613">
        <f>IFERROR(INDEX(PP_Grid[#Data],$DD613,33),0)</f>
        <v/>
      </c>
      <c r="AJ613">
        <f>IFERROR(INDEX(PP_Grid[#Data],$DD613,34),0)</f>
        <v/>
      </c>
      <c r="AK613">
        <f>IFERROR(INDEX(PP_Grid[#Data],$DD613,35),0)</f>
        <v/>
      </c>
      <c r="AL613">
        <f>IFERROR(INDEX(PP_Grid[#Data],$DD613,36),0)</f>
        <v/>
      </c>
      <c r="AM613">
        <f>IFERROR(INDEX(PP_Grid[#Data],$DD613,37),0)</f>
        <v/>
      </c>
      <c r="AN613">
        <f>IFERROR(INDEX(PP_Grid[#Data],$DD613,38),0)</f>
        <v/>
      </c>
      <c r="AO613">
        <f>IFERROR(INDEX(PP_Grid[#Data],$DD613,39),0)</f>
        <v/>
      </c>
      <c r="AP613">
        <f>IFERROR(INDEX(PP_Grid[#Data],$DD613,40),0)</f>
        <v/>
      </c>
      <c r="AQ613">
        <f>IFERROR(INDEX(PP_Grid[#Data],$DD613,41),0)</f>
        <v/>
      </c>
      <c r="AR613">
        <f>IFERROR(INDEX(PP_Grid[#Data],$DD613,42),0)</f>
        <v/>
      </c>
      <c r="AS613">
        <f>IFERROR(INDEX(PP_Grid[#Data],$DD613,43),0)</f>
        <v/>
      </c>
      <c r="AT613">
        <f>IFERROR(INDEX(PP_Grid[#Data],$DD613,44),0)</f>
        <v/>
      </c>
      <c r="AU613">
        <f>IFERROR(INDEX(PP_Grid[#Data],$DD613,45),0)</f>
        <v/>
      </c>
      <c r="AV613">
        <f>IFERROR(INDEX(PP_Grid[#Data],$DD613,46),0)</f>
        <v/>
      </c>
      <c r="AW613">
        <f>IFERROR(INDEX(PP_Grid[#Data],$DD613,47),0)</f>
        <v/>
      </c>
      <c r="AX613">
        <f>IFERROR(INDEX(PP_Grid[#Data],$DD613,48),0)</f>
        <v/>
      </c>
      <c r="AY613">
        <f>IFERROR(INDEX(PP_Grid[#Data],$DD613,49),0)</f>
        <v/>
      </c>
      <c r="AZ613">
        <f>IFERROR(INDEX(PP_Grid[#Data],$DD613,50),0)</f>
        <v/>
      </c>
      <c r="BA613">
        <f>IFERROR(INDEX(PP_Grid[#Data],$DD613,51),0)</f>
        <v/>
      </c>
      <c r="BB613">
        <f>IFERROR(INDEX(PP_Grid[#Data],$DD613,52),0)</f>
        <v/>
      </c>
      <c r="BC613">
        <f>IFERROR(INDEX(PP_Grid[#Data],$DD613,53),0)</f>
        <v/>
      </c>
      <c r="BD613">
        <f>IFERROR(INDEX(PP_Grid[#Data],$DD613,54),0)</f>
        <v/>
      </c>
      <c r="BE613">
        <f>IFERROR(INDEX(PP_Grid[#Data],$DD613,55),0)</f>
        <v/>
      </c>
      <c r="BF613">
        <f>IFERROR(INDEX(PP_Grid[#Data],$DD613,56),0)</f>
        <v/>
      </c>
      <c r="BG613">
        <f>IFERROR(INDEX(PP_Grid[#Data],$DD613,57),0)</f>
        <v/>
      </c>
      <c r="BH613">
        <f>IFERROR(INDEX(PP_Grid[#Data],$DD613,58),0)</f>
        <v/>
      </c>
      <c r="BI613">
        <f>IFERROR(INDEX(PP_Grid[#Data],$DD613,59),0)</f>
        <v/>
      </c>
      <c r="BJ613">
        <f>IFERROR(INDEX(PP_Grid[#Data],$DD613,60),0)</f>
        <v/>
      </c>
      <c r="BK613">
        <f>IFERROR(INDEX(PP_Grid[#Data],$DD613,61),0)</f>
        <v/>
      </c>
      <c r="BL613">
        <f>IFERROR(INDEX(PP_Grid[#Data],$DD613,62),0)</f>
        <v/>
      </c>
      <c r="BM613">
        <f>IFERROR(INDEX(PP_Grid[#Data],$DD613,63),0)</f>
        <v/>
      </c>
      <c r="BN613">
        <f>IFERROR(INDEX(PP_Grid[#Data],$DD613,64),0)</f>
        <v/>
      </c>
      <c r="BO613">
        <f>IFERROR(INDEX(PP_Grid[#Data],$DD613,65),0)</f>
        <v/>
      </c>
      <c r="BP613">
        <f>IFERROR(INDEX(PP_Grid[#Data],$DD613,66),0)</f>
        <v/>
      </c>
      <c r="BQ613">
        <f>IFERROR(INDEX(PP_Grid[#Data],$DD613,67),0)</f>
        <v/>
      </c>
      <c r="BR613">
        <f>IFERROR(INDEX(PP_Grid[#Data],$DD613,68),0)</f>
        <v/>
      </c>
      <c r="BS613">
        <f>IFERROR(INDEX(PP_Grid[#Data],$DD613,69),0)</f>
        <v/>
      </c>
      <c r="BT613">
        <f>IFERROR(INDEX(PP_Grid[#Data],$DD613,70),0)</f>
        <v/>
      </c>
      <c r="BU613">
        <f>IFERROR(INDEX(PP_Grid[#Data],$DD613,71),0)</f>
        <v/>
      </c>
      <c r="BV613">
        <f>IFERROR(INDEX(PP_Grid[#Data],$DD613,72),0)</f>
        <v/>
      </c>
      <c r="BW613">
        <f>IFERROR(INDEX(PP_Grid[#Data],$DD613,73),0)</f>
        <v/>
      </c>
      <c r="BX613">
        <f>IFERROR(INDEX(PP_Grid[#Data],$DD613,74),0)</f>
        <v/>
      </c>
      <c r="BY613">
        <f>IFERROR(INDEX(PP_Grid[#Data],$DD613,75),0)</f>
        <v/>
      </c>
      <c r="BZ613">
        <f>IFERROR(INDEX(PP_Grid[#Data],$DD613,76),0)</f>
        <v/>
      </c>
      <c r="CA613">
        <f>IFERROR(INDEX(PP_Grid[#Data],$DD613,77),0)</f>
        <v/>
      </c>
      <c r="CB613">
        <f>IFERROR(INDEX(PP_Grid[#Data],$DD613,78),0)</f>
        <v/>
      </c>
      <c r="CC613">
        <f>IFERROR(INDEX(PP_Grid[#Data],$DD613,79),0)</f>
        <v/>
      </c>
      <c r="CD613">
        <f>IFERROR(INDEX(PP_Grid[#Data],$DD613,80),0)</f>
        <v/>
      </c>
      <c r="CE613">
        <f>IFERROR(INDEX(PP_Grid[#Data],$DD613,81),0)</f>
        <v/>
      </c>
      <c r="CF613">
        <f>IFERROR(INDEX(PP_Grid[#Data],$DD613,82),0)</f>
        <v/>
      </c>
      <c r="CG613">
        <f>IFERROR(INDEX(PP_Grid[#Data],$DD613,83),0)</f>
        <v/>
      </c>
      <c r="CH613">
        <f>IFERROR(INDEX(PP_Grid[#Data],$DD613,84),0)</f>
        <v/>
      </c>
      <c r="CI613">
        <f>IFERROR(INDEX(PP_Grid[#Data],$DD613,85),0)</f>
        <v/>
      </c>
      <c r="CJ613">
        <f>IFERROR(INDEX(PP_Grid[#Data],$DD613,86),0)</f>
        <v/>
      </c>
      <c r="CK613">
        <f>IFERROR(INDEX(PP_Grid[#Data],$DD613,87),0)</f>
        <v/>
      </c>
      <c r="CL613">
        <f>IFERROR(INDEX(PP_Grid[#Data],$DD613,88),0)</f>
        <v/>
      </c>
      <c r="CM613">
        <f>IFERROR(INDEX(PP_Grid[#Data],$DD613,89),0)</f>
        <v/>
      </c>
      <c r="CN613">
        <f>IFERROR(INDEX(PP_Grid[#Data],$DD613,90),0)</f>
        <v/>
      </c>
      <c r="CO613">
        <f>IFERROR(INDEX(PP_Grid[#Data],$DD613,91),0)</f>
        <v/>
      </c>
      <c r="CP613">
        <f>IFERROR(INDEX(PP_Grid[#Data],$DD613,92),0)</f>
        <v/>
      </c>
      <c r="CQ613">
        <f>IFERROR(INDEX(PP_Grid[#Data],$DD613,93),0)</f>
        <v/>
      </c>
      <c r="CR613">
        <f>IFERROR(INDEX(PP_Grid[#Data],$DD613,94),0)</f>
        <v/>
      </c>
      <c r="CS613">
        <f>IFERROR(INDEX(PP_Grid[#Data],$DD613,95),0)</f>
        <v/>
      </c>
      <c r="CT613">
        <f>IFERROR(INDEX(PP_Grid[#Data],$DD613,96),0)</f>
        <v/>
      </c>
      <c r="CU613">
        <f>IFERROR(INDEX(PP_Grid[#Data],$DD613,97),0)</f>
        <v/>
      </c>
      <c r="CV613">
        <f>IFERROR(INDEX(PP_Grid[#Data],$DD613,98),0)</f>
        <v/>
      </c>
      <c r="CW613">
        <f>IFERROR(INDEX(PP_Grid[#Data],$DD613,99),0)</f>
        <v/>
      </c>
      <c r="CX613">
        <f>IFERROR(INDEX(PP_Grid[#Data],$DD613,100),0)</f>
        <v/>
      </c>
      <c r="CY613">
        <f>IFERROR(INDEX(PP_Grid[#Data],$DD613,101),0)</f>
        <v/>
      </c>
      <c r="CZ613">
        <f>IFERROR(INDEX(PP_Grid[#Data],$DD613,102),0)</f>
        <v/>
      </c>
      <c r="DA613">
        <f>IFERROR(INDEX(PP_Grid[#Data],$DD613,103),0)</f>
        <v/>
      </c>
      <c r="DB613">
        <f>IFERROR(INDEX(PP_Grid[#Data],$DD613,104),0)</f>
        <v/>
      </c>
      <c r="DC613">
        <f>IFERROR(INDEX(PP_Grid[#Data],$DD613,105),0)</f>
        <v/>
      </c>
      <c r="DD613" s="7">
        <f>IFERROR(MATCH($B613,PP_Grid[Intermediate],0),99999)</f>
        <v/>
      </c>
    </row>
    <row r="614">
      <c r="B614" t="inlineStr">
        <is>
          <t>使用量(kg)</t>
        </is>
      </c>
      <c r="C614">
        <f>SUMIFS(M_BOM[RM_Qty_Per_Batch],M_BOM[Intermediate],$B613,M_BOM[Part Name],$A580)</f>
        <v/>
      </c>
      <c r="D614">
        <f>$C614*D613</f>
        <v/>
      </c>
      <c r="E614">
        <f>$C614*E613</f>
        <v/>
      </c>
      <c r="F614">
        <f>$C614*F613</f>
        <v/>
      </c>
      <c r="G614">
        <f>$C614*G613</f>
        <v/>
      </c>
      <c r="H614">
        <f>$C614*H613</f>
        <v/>
      </c>
      <c r="I614">
        <f>$C614*I613</f>
        <v/>
      </c>
      <c r="J614">
        <f>$C614*J613</f>
        <v/>
      </c>
      <c r="K614">
        <f>$C614*K613</f>
        <v/>
      </c>
      <c r="L614">
        <f>$C614*L613</f>
        <v/>
      </c>
      <c r="M614">
        <f>$C614*M613</f>
        <v/>
      </c>
      <c r="N614">
        <f>$C614*N613</f>
        <v/>
      </c>
      <c r="O614">
        <f>$C614*O613</f>
        <v/>
      </c>
      <c r="P614">
        <f>$C614*P613</f>
        <v/>
      </c>
      <c r="Q614">
        <f>$C614*Q613</f>
        <v/>
      </c>
      <c r="R614">
        <f>$C614*R613</f>
        <v/>
      </c>
      <c r="S614">
        <f>$C614*S613</f>
        <v/>
      </c>
      <c r="T614">
        <f>$C614*T613</f>
        <v/>
      </c>
      <c r="U614">
        <f>$C614*U613</f>
        <v/>
      </c>
      <c r="V614">
        <f>$C614*V613</f>
        <v/>
      </c>
      <c r="W614">
        <f>$C614*W613</f>
        <v/>
      </c>
      <c r="X614">
        <f>$C614*X613</f>
        <v/>
      </c>
      <c r="Y614">
        <f>$C614*Y613</f>
        <v/>
      </c>
      <c r="Z614">
        <f>$C614*Z613</f>
        <v/>
      </c>
      <c r="AA614">
        <f>$C614*AA613</f>
        <v/>
      </c>
      <c r="AB614">
        <f>$C614*AB613</f>
        <v/>
      </c>
      <c r="AC614">
        <f>$C614*AC613</f>
        <v/>
      </c>
      <c r="AD614">
        <f>$C614*AD613</f>
        <v/>
      </c>
      <c r="AE614">
        <f>$C614*AE613</f>
        <v/>
      </c>
      <c r="AF614">
        <f>$C614*AF613</f>
        <v/>
      </c>
      <c r="AG614">
        <f>$C614*AG613</f>
        <v/>
      </c>
      <c r="AH614">
        <f>$C614*AH613</f>
        <v/>
      </c>
      <c r="AI614">
        <f>$C614*AI613</f>
        <v/>
      </c>
      <c r="AJ614">
        <f>$C614*AJ613</f>
        <v/>
      </c>
      <c r="AK614">
        <f>$C614*AK613</f>
        <v/>
      </c>
      <c r="AL614">
        <f>$C614*AL613</f>
        <v/>
      </c>
      <c r="AM614">
        <f>$C614*AM613</f>
        <v/>
      </c>
      <c r="AN614">
        <f>$C614*AN613</f>
        <v/>
      </c>
      <c r="AO614">
        <f>$C614*AO613</f>
        <v/>
      </c>
      <c r="AP614">
        <f>$C614*AP613</f>
        <v/>
      </c>
      <c r="AQ614">
        <f>$C614*AQ613</f>
        <v/>
      </c>
      <c r="AR614">
        <f>$C614*AR613</f>
        <v/>
      </c>
      <c r="AS614">
        <f>$C614*AS613</f>
        <v/>
      </c>
      <c r="AT614">
        <f>$C614*AT613</f>
        <v/>
      </c>
      <c r="AU614">
        <f>$C614*AU613</f>
        <v/>
      </c>
      <c r="AV614">
        <f>$C614*AV613</f>
        <v/>
      </c>
      <c r="AW614">
        <f>$C614*AW613</f>
        <v/>
      </c>
      <c r="AX614">
        <f>$C614*AX613</f>
        <v/>
      </c>
      <c r="AY614">
        <f>$C614*AY613</f>
        <v/>
      </c>
      <c r="AZ614">
        <f>$C614*AZ613</f>
        <v/>
      </c>
      <c r="BA614">
        <f>$C614*BA613</f>
        <v/>
      </c>
      <c r="BB614">
        <f>$C614*BB613</f>
        <v/>
      </c>
      <c r="BC614">
        <f>$C614*BC613</f>
        <v/>
      </c>
      <c r="BD614">
        <f>$C614*BD613</f>
        <v/>
      </c>
      <c r="BE614">
        <f>$C614*BE613</f>
        <v/>
      </c>
      <c r="BF614">
        <f>$C614*BF613</f>
        <v/>
      </c>
      <c r="BG614">
        <f>$C614*BG613</f>
        <v/>
      </c>
      <c r="BH614">
        <f>$C614*BH613</f>
        <v/>
      </c>
      <c r="BI614">
        <f>$C614*BI613</f>
        <v/>
      </c>
      <c r="BJ614">
        <f>$C614*BJ613</f>
        <v/>
      </c>
      <c r="BK614">
        <f>$C614*BK613</f>
        <v/>
      </c>
      <c r="BL614">
        <f>$C614*BL613</f>
        <v/>
      </c>
      <c r="BM614">
        <f>$C614*BM613</f>
        <v/>
      </c>
      <c r="BN614">
        <f>$C614*BN613</f>
        <v/>
      </c>
      <c r="BO614">
        <f>$C614*BO613</f>
        <v/>
      </c>
      <c r="BP614">
        <f>$C614*BP613</f>
        <v/>
      </c>
      <c r="BQ614">
        <f>$C614*BQ613</f>
        <v/>
      </c>
      <c r="BR614">
        <f>$C614*BR613</f>
        <v/>
      </c>
      <c r="BS614">
        <f>$C614*BS613</f>
        <v/>
      </c>
      <c r="BT614">
        <f>$C614*BT613</f>
        <v/>
      </c>
      <c r="BU614">
        <f>$C614*BU613</f>
        <v/>
      </c>
      <c r="BV614">
        <f>$C614*BV613</f>
        <v/>
      </c>
      <c r="BW614">
        <f>$C614*BW613</f>
        <v/>
      </c>
      <c r="BX614">
        <f>$C614*BX613</f>
        <v/>
      </c>
      <c r="BY614">
        <f>$C614*BY613</f>
        <v/>
      </c>
      <c r="BZ614">
        <f>$C614*BZ613</f>
        <v/>
      </c>
      <c r="CA614">
        <f>$C614*CA613</f>
        <v/>
      </c>
      <c r="CB614">
        <f>$C614*CB613</f>
        <v/>
      </c>
      <c r="CC614">
        <f>$C614*CC613</f>
        <v/>
      </c>
      <c r="CD614">
        <f>$C614*CD613</f>
        <v/>
      </c>
      <c r="CE614">
        <f>$C614*CE613</f>
        <v/>
      </c>
      <c r="CF614">
        <f>$C614*CF613</f>
        <v/>
      </c>
      <c r="CG614">
        <f>$C614*CG613</f>
        <v/>
      </c>
      <c r="CH614">
        <f>$C614*CH613</f>
        <v/>
      </c>
      <c r="CI614">
        <f>$C614*CI613</f>
        <v/>
      </c>
      <c r="CJ614">
        <f>$C614*CJ613</f>
        <v/>
      </c>
      <c r="CK614">
        <f>$C614*CK613</f>
        <v/>
      </c>
      <c r="CL614">
        <f>$C614*CL613</f>
        <v/>
      </c>
      <c r="CM614">
        <f>$C614*CM613</f>
        <v/>
      </c>
      <c r="CN614">
        <f>$C614*CN613</f>
        <v/>
      </c>
      <c r="CO614">
        <f>$C614*CO613</f>
        <v/>
      </c>
      <c r="CP614">
        <f>$C614*CP613</f>
        <v/>
      </c>
      <c r="CQ614">
        <f>$C614*CQ613</f>
        <v/>
      </c>
      <c r="CR614">
        <f>$C614*CR613</f>
        <v/>
      </c>
      <c r="CS614">
        <f>$C614*CS613</f>
        <v/>
      </c>
      <c r="CT614">
        <f>$C614*CT613</f>
        <v/>
      </c>
      <c r="CU614">
        <f>$C614*CU613</f>
        <v/>
      </c>
      <c r="CV614">
        <f>$C614*CV613</f>
        <v/>
      </c>
      <c r="CW614">
        <f>$C614*CW613</f>
        <v/>
      </c>
      <c r="CX614">
        <f>$C614*CX613</f>
        <v/>
      </c>
      <c r="CY614">
        <f>$C614*CY613</f>
        <v/>
      </c>
      <c r="CZ614">
        <f>$C614*CZ613</f>
        <v/>
      </c>
      <c r="DA614">
        <f>$C614*DA613</f>
        <v/>
      </c>
      <c r="DB614">
        <f>$C614*DB613</f>
        <v/>
      </c>
      <c r="DC614">
        <f>$C614*DC613</f>
        <v/>
      </c>
    </row>
    <row r="615">
      <c r="B615" t="inlineStr">
        <is>
          <t>TPP-356</t>
        </is>
      </c>
      <c r="C615" t="inlineStr">
        <is>
          <t>No. of batches</t>
        </is>
      </c>
      <c r="D615">
        <f>IFERROR(INDEX(PP_Grid[#Data],$DD615,2),0)</f>
        <v/>
      </c>
      <c r="E615">
        <f>IFERROR(INDEX(PP_Grid[#Data],$DD615,3),0)</f>
        <v/>
      </c>
      <c r="F615">
        <f>IFERROR(INDEX(PP_Grid[#Data],$DD615,4),0)</f>
        <v/>
      </c>
      <c r="G615">
        <f>IFERROR(INDEX(PP_Grid[#Data],$DD615,5),0)</f>
        <v/>
      </c>
      <c r="H615">
        <f>IFERROR(INDEX(PP_Grid[#Data],$DD615,6),0)</f>
        <v/>
      </c>
      <c r="I615">
        <f>IFERROR(INDEX(PP_Grid[#Data],$DD615,7),0)</f>
        <v/>
      </c>
      <c r="J615">
        <f>IFERROR(INDEX(PP_Grid[#Data],$DD615,8),0)</f>
        <v/>
      </c>
      <c r="K615">
        <f>IFERROR(INDEX(PP_Grid[#Data],$DD615,9),0)</f>
        <v/>
      </c>
      <c r="L615">
        <f>IFERROR(INDEX(PP_Grid[#Data],$DD615,10),0)</f>
        <v/>
      </c>
      <c r="M615">
        <f>IFERROR(INDEX(PP_Grid[#Data],$DD615,11),0)</f>
        <v/>
      </c>
      <c r="N615">
        <f>IFERROR(INDEX(PP_Grid[#Data],$DD615,12),0)</f>
        <v/>
      </c>
      <c r="O615">
        <f>IFERROR(INDEX(PP_Grid[#Data],$DD615,13),0)</f>
        <v/>
      </c>
      <c r="P615">
        <f>IFERROR(INDEX(PP_Grid[#Data],$DD615,14),0)</f>
        <v/>
      </c>
      <c r="Q615">
        <f>IFERROR(INDEX(PP_Grid[#Data],$DD615,15),0)</f>
        <v/>
      </c>
      <c r="R615">
        <f>IFERROR(INDEX(PP_Grid[#Data],$DD615,16),0)</f>
        <v/>
      </c>
      <c r="S615">
        <f>IFERROR(INDEX(PP_Grid[#Data],$DD615,17),0)</f>
        <v/>
      </c>
      <c r="T615">
        <f>IFERROR(INDEX(PP_Grid[#Data],$DD615,18),0)</f>
        <v/>
      </c>
      <c r="U615">
        <f>IFERROR(INDEX(PP_Grid[#Data],$DD615,19),0)</f>
        <v/>
      </c>
      <c r="V615">
        <f>IFERROR(INDEX(PP_Grid[#Data],$DD615,20),0)</f>
        <v/>
      </c>
      <c r="W615">
        <f>IFERROR(INDEX(PP_Grid[#Data],$DD615,21),0)</f>
        <v/>
      </c>
      <c r="X615">
        <f>IFERROR(INDEX(PP_Grid[#Data],$DD615,22),0)</f>
        <v/>
      </c>
      <c r="Y615">
        <f>IFERROR(INDEX(PP_Grid[#Data],$DD615,23),0)</f>
        <v/>
      </c>
      <c r="Z615">
        <f>IFERROR(INDEX(PP_Grid[#Data],$DD615,24),0)</f>
        <v/>
      </c>
      <c r="AA615">
        <f>IFERROR(INDEX(PP_Grid[#Data],$DD615,25),0)</f>
        <v/>
      </c>
      <c r="AB615">
        <f>IFERROR(INDEX(PP_Grid[#Data],$DD615,26),0)</f>
        <v/>
      </c>
      <c r="AC615">
        <f>IFERROR(INDEX(PP_Grid[#Data],$DD615,27),0)</f>
        <v/>
      </c>
      <c r="AD615">
        <f>IFERROR(INDEX(PP_Grid[#Data],$DD615,28),0)</f>
        <v/>
      </c>
      <c r="AE615">
        <f>IFERROR(INDEX(PP_Grid[#Data],$DD615,29),0)</f>
        <v/>
      </c>
      <c r="AF615">
        <f>IFERROR(INDEX(PP_Grid[#Data],$DD615,30),0)</f>
        <v/>
      </c>
      <c r="AG615">
        <f>IFERROR(INDEX(PP_Grid[#Data],$DD615,31),0)</f>
        <v/>
      </c>
      <c r="AH615">
        <f>IFERROR(INDEX(PP_Grid[#Data],$DD615,32),0)</f>
        <v/>
      </c>
      <c r="AI615">
        <f>IFERROR(INDEX(PP_Grid[#Data],$DD615,33),0)</f>
        <v/>
      </c>
      <c r="AJ615">
        <f>IFERROR(INDEX(PP_Grid[#Data],$DD615,34),0)</f>
        <v/>
      </c>
      <c r="AK615">
        <f>IFERROR(INDEX(PP_Grid[#Data],$DD615,35),0)</f>
        <v/>
      </c>
      <c r="AL615">
        <f>IFERROR(INDEX(PP_Grid[#Data],$DD615,36),0)</f>
        <v/>
      </c>
      <c r="AM615">
        <f>IFERROR(INDEX(PP_Grid[#Data],$DD615,37),0)</f>
        <v/>
      </c>
      <c r="AN615">
        <f>IFERROR(INDEX(PP_Grid[#Data],$DD615,38),0)</f>
        <v/>
      </c>
      <c r="AO615">
        <f>IFERROR(INDEX(PP_Grid[#Data],$DD615,39),0)</f>
        <v/>
      </c>
      <c r="AP615">
        <f>IFERROR(INDEX(PP_Grid[#Data],$DD615,40),0)</f>
        <v/>
      </c>
      <c r="AQ615">
        <f>IFERROR(INDEX(PP_Grid[#Data],$DD615,41),0)</f>
        <v/>
      </c>
      <c r="AR615">
        <f>IFERROR(INDEX(PP_Grid[#Data],$DD615,42),0)</f>
        <v/>
      </c>
      <c r="AS615">
        <f>IFERROR(INDEX(PP_Grid[#Data],$DD615,43),0)</f>
        <v/>
      </c>
      <c r="AT615">
        <f>IFERROR(INDEX(PP_Grid[#Data],$DD615,44),0)</f>
        <v/>
      </c>
      <c r="AU615">
        <f>IFERROR(INDEX(PP_Grid[#Data],$DD615,45),0)</f>
        <v/>
      </c>
      <c r="AV615">
        <f>IFERROR(INDEX(PP_Grid[#Data],$DD615,46),0)</f>
        <v/>
      </c>
      <c r="AW615">
        <f>IFERROR(INDEX(PP_Grid[#Data],$DD615,47),0)</f>
        <v/>
      </c>
      <c r="AX615">
        <f>IFERROR(INDEX(PP_Grid[#Data],$DD615,48),0)</f>
        <v/>
      </c>
      <c r="AY615">
        <f>IFERROR(INDEX(PP_Grid[#Data],$DD615,49),0)</f>
        <v/>
      </c>
      <c r="AZ615">
        <f>IFERROR(INDEX(PP_Grid[#Data],$DD615,50),0)</f>
        <v/>
      </c>
      <c r="BA615">
        <f>IFERROR(INDEX(PP_Grid[#Data],$DD615,51),0)</f>
        <v/>
      </c>
      <c r="BB615">
        <f>IFERROR(INDEX(PP_Grid[#Data],$DD615,52),0)</f>
        <v/>
      </c>
      <c r="BC615">
        <f>IFERROR(INDEX(PP_Grid[#Data],$DD615,53),0)</f>
        <v/>
      </c>
      <c r="BD615">
        <f>IFERROR(INDEX(PP_Grid[#Data],$DD615,54),0)</f>
        <v/>
      </c>
      <c r="BE615">
        <f>IFERROR(INDEX(PP_Grid[#Data],$DD615,55),0)</f>
        <v/>
      </c>
      <c r="BF615">
        <f>IFERROR(INDEX(PP_Grid[#Data],$DD615,56),0)</f>
        <v/>
      </c>
      <c r="BG615">
        <f>IFERROR(INDEX(PP_Grid[#Data],$DD615,57),0)</f>
        <v/>
      </c>
      <c r="BH615">
        <f>IFERROR(INDEX(PP_Grid[#Data],$DD615,58),0)</f>
        <v/>
      </c>
      <c r="BI615">
        <f>IFERROR(INDEX(PP_Grid[#Data],$DD615,59),0)</f>
        <v/>
      </c>
      <c r="BJ615">
        <f>IFERROR(INDEX(PP_Grid[#Data],$DD615,60),0)</f>
        <v/>
      </c>
      <c r="BK615">
        <f>IFERROR(INDEX(PP_Grid[#Data],$DD615,61),0)</f>
        <v/>
      </c>
      <c r="BL615">
        <f>IFERROR(INDEX(PP_Grid[#Data],$DD615,62),0)</f>
        <v/>
      </c>
      <c r="BM615">
        <f>IFERROR(INDEX(PP_Grid[#Data],$DD615,63),0)</f>
        <v/>
      </c>
      <c r="BN615">
        <f>IFERROR(INDEX(PP_Grid[#Data],$DD615,64),0)</f>
        <v/>
      </c>
      <c r="BO615">
        <f>IFERROR(INDEX(PP_Grid[#Data],$DD615,65),0)</f>
        <v/>
      </c>
      <c r="BP615">
        <f>IFERROR(INDEX(PP_Grid[#Data],$DD615,66),0)</f>
        <v/>
      </c>
      <c r="BQ615">
        <f>IFERROR(INDEX(PP_Grid[#Data],$DD615,67),0)</f>
        <v/>
      </c>
      <c r="BR615">
        <f>IFERROR(INDEX(PP_Grid[#Data],$DD615,68),0)</f>
        <v/>
      </c>
      <c r="BS615">
        <f>IFERROR(INDEX(PP_Grid[#Data],$DD615,69),0)</f>
        <v/>
      </c>
      <c r="BT615">
        <f>IFERROR(INDEX(PP_Grid[#Data],$DD615,70),0)</f>
        <v/>
      </c>
      <c r="BU615">
        <f>IFERROR(INDEX(PP_Grid[#Data],$DD615,71),0)</f>
        <v/>
      </c>
      <c r="BV615">
        <f>IFERROR(INDEX(PP_Grid[#Data],$DD615,72),0)</f>
        <v/>
      </c>
      <c r="BW615">
        <f>IFERROR(INDEX(PP_Grid[#Data],$DD615,73),0)</f>
        <v/>
      </c>
      <c r="BX615">
        <f>IFERROR(INDEX(PP_Grid[#Data],$DD615,74),0)</f>
        <v/>
      </c>
      <c r="BY615">
        <f>IFERROR(INDEX(PP_Grid[#Data],$DD615,75),0)</f>
        <v/>
      </c>
      <c r="BZ615">
        <f>IFERROR(INDEX(PP_Grid[#Data],$DD615,76),0)</f>
        <v/>
      </c>
      <c r="CA615">
        <f>IFERROR(INDEX(PP_Grid[#Data],$DD615,77),0)</f>
        <v/>
      </c>
      <c r="CB615">
        <f>IFERROR(INDEX(PP_Grid[#Data],$DD615,78),0)</f>
        <v/>
      </c>
      <c r="CC615">
        <f>IFERROR(INDEX(PP_Grid[#Data],$DD615,79),0)</f>
        <v/>
      </c>
      <c r="CD615">
        <f>IFERROR(INDEX(PP_Grid[#Data],$DD615,80),0)</f>
        <v/>
      </c>
      <c r="CE615">
        <f>IFERROR(INDEX(PP_Grid[#Data],$DD615,81),0)</f>
        <v/>
      </c>
      <c r="CF615">
        <f>IFERROR(INDEX(PP_Grid[#Data],$DD615,82),0)</f>
        <v/>
      </c>
      <c r="CG615">
        <f>IFERROR(INDEX(PP_Grid[#Data],$DD615,83),0)</f>
        <v/>
      </c>
      <c r="CH615">
        <f>IFERROR(INDEX(PP_Grid[#Data],$DD615,84),0)</f>
        <v/>
      </c>
      <c r="CI615">
        <f>IFERROR(INDEX(PP_Grid[#Data],$DD615,85),0)</f>
        <v/>
      </c>
      <c r="CJ615">
        <f>IFERROR(INDEX(PP_Grid[#Data],$DD615,86),0)</f>
        <v/>
      </c>
      <c r="CK615">
        <f>IFERROR(INDEX(PP_Grid[#Data],$DD615,87),0)</f>
        <v/>
      </c>
      <c r="CL615">
        <f>IFERROR(INDEX(PP_Grid[#Data],$DD615,88),0)</f>
        <v/>
      </c>
      <c r="CM615">
        <f>IFERROR(INDEX(PP_Grid[#Data],$DD615,89),0)</f>
        <v/>
      </c>
      <c r="CN615">
        <f>IFERROR(INDEX(PP_Grid[#Data],$DD615,90),0)</f>
        <v/>
      </c>
      <c r="CO615">
        <f>IFERROR(INDEX(PP_Grid[#Data],$DD615,91),0)</f>
        <v/>
      </c>
      <c r="CP615">
        <f>IFERROR(INDEX(PP_Grid[#Data],$DD615,92),0)</f>
        <v/>
      </c>
      <c r="CQ615">
        <f>IFERROR(INDEX(PP_Grid[#Data],$DD615,93),0)</f>
        <v/>
      </c>
      <c r="CR615">
        <f>IFERROR(INDEX(PP_Grid[#Data],$DD615,94),0)</f>
        <v/>
      </c>
      <c r="CS615">
        <f>IFERROR(INDEX(PP_Grid[#Data],$DD615,95),0)</f>
        <v/>
      </c>
      <c r="CT615">
        <f>IFERROR(INDEX(PP_Grid[#Data],$DD615,96),0)</f>
        <v/>
      </c>
      <c r="CU615">
        <f>IFERROR(INDEX(PP_Grid[#Data],$DD615,97),0)</f>
        <v/>
      </c>
      <c r="CV615">
        <f>IFERROR(INDEX(PP_Grid[#Data],$DD615,98),0)</f>
        <v/>
      </c>
      <c r="CW615">
        <f>IFERROR(INDEX(PP_Grid[#Data],$DD615,99),0)</f>
        <v/>
      </c>
      <c r="CX615">
        <f>IFERROR(INDEX(PP_Grid[#Data],$DD615,100),0)</f>
        <v/>
      </c>
      <c r="CY615">
        <f>IFERROR(INDEX(PP_Grid[#Data],$DD615,101),0)</f>
        <v/>
      </c>
      <c r="CZ615">
        <f>IFERROR(INDEX(PP_Grid[#Data],$DD615,102),0)</f>
        <v/>
      </c>
      <c r="DA615">
        <f>IFERROR(INDEX(PP_Grid[#Data],$DD615,103),0)</f>
        <v/>
      </c>
      <c r="DB615">
        <f>IFERROR(INDEX(PP_Grid[#Data],$DD615,104),0)</f>
        <v/>
      </c>
      <c r="DC615">
        <f>IFERROR(INDEX(PP_Grid[#Data],$DD615,105),0)</f>
        <v/>
      </c>
      <c r="DD615" s="7">
        <f>IFERROR(MATCH($B615,PP_Grid[Intermediate],0),99999)</f>
        <v/>
      </c>
    </row>
    <row r="616">
      <c r="B616" t="inlineStr">
        <is>
          <t>使用量(kg)</t>
        </is>
      </c>
      <c r="C616">
        <f>SUMIFS(M_BOM[RM_Qty_Per_Batch],M_BOM[Intermediate],$B615,M_BOM[Part Name],$A580)</f>
        <v/>
      </c>
      <c r="D616">
        <f>$C616*D615</f>
        <v/>
      </c>
      <c r="E616">
        <f>$C616*E615</f>
        <v/>
      </c>
      <c r="F616">
        <f>$C616*F615</f>
        <v/>
      </c>
      <c r="G616">
        <f>$C616*G615</f>
        <v/>
      </c>
      <c r="H616">
        <f>$C616*H615</f>
        <v/>
      </c>
      <c r="I616">
        <f>$C616*I615</f>
        <v/>
      </c>
      <c r="J616">
        <f>$C616*J615</f>
        <v/>
      </c>
      <c r="K616">
        <f>$C616*K615</f>
        <v/>
      </c>
      <c r="L616">
        <f>$C616*L615</f>
        <v/>
      </c>
      <c r="M616">
        <f>$C616*M615</f>
        <v/>
      </c>
      <c r="N616">
        <f>$C616*N615</f>
        <v/>
      </c>
      <c r="O616">
        <f>$C616*O615</f>
        <v/>
      </c>
      <c r="P616">
        <f>$C616*P615</f>
        <v/>
      </c>
      <c r="Q616">
        <f>$C616*Q615</f>
        <v/>
      </c>
      <c r="R616">
        <f>$C616*R615</f>
        <v/>
      </c>
      <c r="S616">
        <f>$C616*S615</f>
        <v/>
      </c>
      <c r="T616">
        <f>$C616*T615</f>
        <v/>
      </c>
      <c r="U616">
        <f>$C616*U615</f>
        <v/>
      </c>
      <c r="V616">
        <f>$C616*V615</f>
        <v/>
      </c>
      <c r="W616">
        <f>$C616*W615</f>
        <v/>
      </c>
      <c r="X616">
        <f>$C616*X615</f>
        <v/>
      </c>
      <c r="Y616">
        <f>$C616*Y615</f>
        <v/>
      </c>
      <c r="Z616">
        <f>$C616*Z615</f>
        <v/>
      </c>
      <c r="AA616">
        <f>$C616*AA615</f>
        <v/>
      </c>
      <c r="AB616">
        <f>$C616*AB615</f>
        <v/>
      </c>
      <c r="AC616">
        <f>$C616*AC615</f>
        <v/>
      </c>
      <c r="AD616">
        <f>$C616*AD615</f>
        <v/>
      </c>
      <c r="AE616">
        <f>$C616*AE615</f>
        <v/>
      </c>
      <c r="AF616">
        <f>$C616*AF615</f>
        <v/>
      </c>
      <c r="AG616">
        <f>$C616*AG615</f>
        <v/>
      </c>
      <c r="AH616">
        <f>$C616*AH615</f>
        <v/>
      </c>
      <c r="AI616">
        <f>$C616*AI615</f>
        <v/>
      </c>
      <c r="AJ616">
        <f>$C616*AJ615</f>
        <v/>
      </c>
      <c r="AK616">
        <f>$C616*AK615</f>
        <v/>
      </c>
      <c r="AL616">
        <f>$C616*AL615</f>
        <v/>
      </c>
      <c r="AM616">
        <f>$C616*AM615</f>
        <v/>
      </c>
      <c r="AN616">
        <f>$C616*AN615</f>
        <v/>
      </c>
      <c r="AO616">
        <f>$C616*AO615</f>
        <v/>
      </c>
      <c r="AP616">
        <f>$C616*AP615</f>
        <v/>
      </c>
      <c r="AQ616">
        <f>$C616*AQ615</f>
        <v/>
      </c>
      <c r="AR616">
        <f>$C616*AR615</f>
        <v/>
      </c>
      <c r="AS616">
        <f>$C616*AS615</f>
        <v/>
      </c>
      <c r="AT616">
        <f>$C616*AT615</f>
        <v/>
      </c>
      <c r="AU616">
        <f>$C616*AU615</f>
        <v/>
      </c>
      <c r="AV616">
        <f>$C616*AV615</f>
        <v/>
      </c>
      <c r="AW616">
        <f>$C616*AW615</f>
        <v/>
      </c>
      <c r="AX616">
        <f>$C616*AX615</f>
        <v/>
      </c>
      <c r="AY616">
        <f>$C616*AY615</f>
        <v/>
      </c>
      <c r="AZ616">
        <f>$C616*AZ615</f>
        <v/>
      </c>
      <c r="BA616">
        <f>$C616*BA615</f>
        <v/>
      </c>
      <c r="BB616">
        <f>$C616*BB615</f>
        <v/>
      </c>
      <c r="BC616">
        <f>$C616*BC615</f>
        <v/>
      </c>
      <c r="BD616">
        <f>$C616*BD615</f>
        <v/>
      </c>
      <c r="BE616">
        <f>$C616*BE615</f>
        <v/>
      </c>
      <c r="BF616">
        <f>$C616*BF615</f>
        <v/>
      </c>
      <c r="BG616">
        <f>$C616*BG615</f>
        <v/>
      </c>
      <c r="BH616">
        <f>$C616*BH615</f>
        <v/>
      </c>
      <c r="BI616">
        <f>$C616*BI615</f>
        <v/>
      </c>
      <c r="BJ616">
        <f>$C616*BJ615</f>
        <v/>
      </c>
      <c r="BK616">
        <f>$C616*BK615</f>
        <v/>
      </c>
      <c r="BL616">
        <f>$C616*BL615</f>
        <v/>
      </c>
      <c r="BM616">
        <f>$C616*BM615</f>
        <v/>
      </c>
      <c r="BN616">
        <f>$C616*BN615</f>
        <v/>
      </c>
      <c r="BO616">
        <f>$C616*BO615</f>
        <v/>
      </c>
      <c r="BP616">
        <f>$C616*BP615</f>
        <v/>
      </c>
      <c r="BQ616">
        <f>$C616*BQ615</f>
        <v/>
      </c>
      <c r="BR616">
        <f>$C616*BR615</f>
        <v/>
      </c>
      <c r="BS616">
        <f>$C616*BS615</f>
        <v/>
      </c>
      <c r="BT616">
        <f>$C616*BT615</f>
        <v/>
      </c>
      <c r="BU616">
        <f>$C616*BU615</f>
        <v/>
      </c>
      <c r="BV616">
        <f>$C616*BV615</f>
        <v/>
      </c>
      <c r="BW616">
        <f>$C616*BW615</f>
        <v/>
      </c>
      <c r="BX616">
        <f>$C616*BX615</f>
        <v/>
      </c>
      <c r="BY616">
        <f>$C616*BY615</f>
        <v/>
      </c>
      <c r="BZ616">
        <f>$C616*BZ615</f>
        <v/>
      </c>
      <c r="CA616">
        <f>$C616*CA615</f>
        <v/>
      </c>
      <c r="CB616">
        <f>$C616*CB615</f>
        <v/>
      </c>
      <c r="CC616">
        <f>$C616*CC615</f>
        <v/>
      </c>
      <c r="CD616">
        <f>$C616*CD615</f>
        <v/>
      </c>
      <c r="CE616">
        <f>$C616*CE615</f>
        <v/>
      </c>
      <c r="CF616">
        <f>$C616*CF615</f>
        <v/>
      </c>
      <c r="CG616">
        <f>$C616*CG615</f>
        <v/>
      </c>
      <c r="CH616">
        <f>$C616*CH615</f>
        <v/>
      </c>
      <c r="CI616">
        <f>$C616*CI615</f>
        <v/>
      </c>
      <c r="CJ616">
        <f>$C616*CJ615</f>
        <v/>
      </c>
      <c r="CK616">
        <f>$C616*CK615</f>
        <v/>
      </c>
      <c r="CL616">
        <f>$C616*CL615</f>
        <v/>
      </c>
      <c r="CM616">
        <f>$C616*CM615</f>
        <v/>
      </c>
      <c r="CN616">
        <f>$C616*CN615</f>
        <v/>
      </c>
      <c r="CO616">
        <f>$C616*CO615</f>
        <v/>
      </c>
      <c r="CP616">
        <f>$C616*CP615</f>
        <v/>
      </c>
      <c r="CQ616">
        <f>$C616*CQ615</f>
        <v/>
      </c>
      <c r="CR616">
        <f>$C616*CR615</f>
        <v/>
      </c>
      <c r="CS616">
        <f>$C616*CS615</f>
        <v/>
      </c>
      <c r="CT616">
        <f>$C616*CT615</f>
        <v/>
      </c>
      <c r="CU616">
        <f>$C616*CU615</f>
        <v/>
      </c>
      <c r="CV616">
        <f>$C616*CV615</f>
        <v/>
      </c>
      <c r="CW616">
        <f>$C616*CW615</f>
        <v/>
      </c>
      <c r="CX616">
        <f>$C616*CX615</f>
        <v/>
      </c>
      <c r="CY616">
        <f>$C616*CY615</f>
        <v/>
      </c>
      <c r="CZ616">
        <f>$C616*CZ615</f>
        <v/>
      </c>
      <c r="DA616">
        <f>$C616*DA615</f>
        <v/>
      </c>
      <c r="DB616">
        <f>$C616*DB615</f>
        <v/>
      </c>
      <c r="DC616">
        <f>$C616*DC615</f>
        <v/>
      </c>
    </row>
    <row r="617">
      <c r="B617" t="inlineStr">
        <is>
          <t>TPP-704</t>
        </is>
      </c>
      <c r="C617" t="inlineStr">
        <is>
          <t>No. of batches</t>
        </is>
      </c>
      <c r="D617">
        <f>IFERROR(INDEX(PP_Grid[#Data],$DD617,2),0)</f>
        <v/>
      </c>
      <c r="E617">
        <f>IFERROR(INDEX(PP_Grid[#Data],$DD617,3),0)</f>
        <v/>
      </c>
      <c r="F617">
        <f>IFERROR(INDEX(PP_Grid[#Data],$DD617,4),0)</f>
        <v/>
      </c>
      <c r="G617">
        <f>IFERROR(INDEX(PP_Grid[#Data],$DD617,5),0)</f>
        <v/>
      </c>
      <c r="H617">
        <f>IFERROR(INDEX(PP_Grid[#Data],$DD617,6),0)</f>
        <v/>
      </c>
      <c r="I617">
        <f>IFERROR(INDEX(PP_Grid[#Data],$DD617,7),0)</f>
        <v/>
      </c>
      <c r="J617">
        <f>IFERROR(INDEX(PP_Grid[#Data],$DD617,8),0)</f>
        <v/>
      </c>
      <c r="K617">
        <f>IFERROR(INDEX(PP_Grid[#Data],$DD617,9),0)</f>
        <v/>
      </c>
      <c r="L617">
        <f>IFERROR(INDEX(PP_Grid[#Data],$DD617,10),0)</f>
        <v/>
      </c>
      <c r="M617">
        <f>IFERROR(INDEX(PP_Grid[#Data],$DD617,11),0)</f>
        <v/>
      </c>
      <c r="N617">
        <f>IFERROR(INDEX(PP_Grid[#Data],$DD617,12),0)</f>
        <v/>
      </c>
      <c r="O617">
        <f>IFERROR(INDEX(PP_Grid[#Data],$DD617,13),0)</f>
        <v/>
      </c>
      <c r="P617">
        <f>IFERROR(INDEX(PP_Grid[#Data],$DD617,14),0)</f>
        <v/>
      </c>
      <c r="Q617">
        <f>IFERROR(INDEX(PP_Grid[#Data],$DD617,15),0)</f>
        <v/>
      </c>
      <c r="R617">
        <f>IFERROR(INDEX(PP_Grid[#Data],$DD617,16),0)</f>
        <v/>
      </c>
      <c r="S617">
        <f>IFERROR(INDEX(PP_Grid[#Data],$DD617,17),0)</f>
        <v/>
      </c>
      <c r="T617">
        <f>IFERROR(INDEX(PP_Grid[#Data],$DD617,18),0)</f>
        <v/>
      </c>
      <c r="U617">
        <f>IFERROR(INDEX(PP_Grid[#Data],$DD617,19),0)</f>
        <v/>
      </c>
      <c r="V617">
        <f>IFERROR(INDEX(PP_Grid[#Data],$DD617,20),0)</f>
        <v/>
      </c>
      <c r="W617">
        <f>IFERROR(INDEX(PP_Grid[#Data],$DD617,21),0)</f>
        <v/>
      </c>
      <c r="X617">
        <f>IFERROR(INDEX(PP_Grid[#Data],$DD617,22),0)</f>
        <v/>
      </c>
      <c r="Y617">
        <f>IFERROR(INDEX(PP_Grid[#Data],$DD617,23),0)</f>
        <v/>
      </c>
      <c r="Z617">
        <f>IFERROR(INDEX(PP_Grid[#Data],$DD617,24),0)</f>
        <v/>
      </c>
      <c r="AA617">
        <f>IFERROR(INDEX(PP_Grid[#Data],$DD617,25),0)</f>
        <v/>
      </c>
      <c r="AB617">
        <f>IFERROR(INDEX(PP_Grid[#Data],$DD617,26),0)</f>
        <v/>
      </c>
      <c r="AC617">
        <f>IFERROR(INDEX(PP_Grid[#Data],$DD617,27),0)</f>
        <v/>
      </c>
      <c r="AD617">
        <f>IFERROR(INDEX(PP_Grid[#Data],$DD617,28),0)</f>
        <v/>
      </c>
      <c r="AE617">
        <f>IFERROR(INDEX(PP_Grid[#Data],$DD617,29),0)</f>
        <v/>
      </c>
      <c r="AF617">
        <f>IFERROR(INDEX(PP_Grid[#Data],$DD617,30),0)</f>
        <v/>
      </c>
      <c r="AG617">
        <f>IFERROR(INDEX(PP_Grid[#Data],$DD617,31),0)</f>
        <v/>
      </c>
      <c r="AH617">
        <f>IFERROR(INDEX(PP_Grid[#Data],$DD617,32),0)</f>
        <v/>
      </c>
      <c r="AI617">
        <f>IFERROR(INDEX(PP_Grid[#Data],$DD617,33),0)</f>
        <v/>
      </c>
      <c r="AJ617">
        <f>IFERROR(INDEX(PP_Grid[#Data],$DD617,34),0)</f>
        <v/>
      </c>
      <c r="AK617">
        <f>IFERROR(INDEX(PP_Grid[#Data],$DD617,35),0)</f>
        <v/>
      </c>
      <c r="AL617">
        <f>IFERROR(INDEX(PP_Grid[#Data],$DD617,36),0)</f>
        <v/>
      </c>
      <c r="AM617">
        <f>IFERROR(INDEX(PP_Grid[#Data],$DD617,37),0)</f>
        <v/>
      </c>
      <c r="AN617">
        <f>IFERROR(INDEX(PP_Grid[#Data],$DD617,38),0)</f>
        <v/>
      </c>
      <c r="AO617">
        <f>IFERROR(INDEX(PP_Grid[#Data],$DD617,39),0)</f>
        <v/>
      </c>
      <c r="AP617">
        <f>IFERROR(INDEX(PP_Grid[#Data],$DD617,40),0)</f>
        <v/>
      </c>
      <c r="AQ617">
        <f>IFERROR(INDEX(PP_Grid[#Data],$DD617,41),0)</f>
        <v/>
      </c>
      <c r="AR617">
        <f>IFERROR(INDEX(PP_Grid[#Data],$DD617,42),0)</f>
        <v/>
      </c>
      <c r="AS617">
        <f>IFERROR(INDEX(PP_Grid[#Data],$DD617,43),0)</f>
        <v/>
      </c>
      <c r="AT617">
        <f>IFERROR(INDEX(PP_Grid[#Data],$DD617,44),0)</f>
        <v/>
      </c>
      <c r="AU617">
        <f>IFERROR(INDEX(PP_Grid[#Data],$DD617,45),0)</f>
        <v/>
      </c>
      <c r="AV617">
        <f>IFERROR(INDEX(PP_Grid[#Data],$DD617,46),0)</f>
        <v/>
      </c>
      <c r="AW617">
        <f>IFERROR(INDEX(PP_Grid[#Data],$DD617,47),0)</f>
        <v/>
      </c>
      <c r="AX617">
        <f>IFERROR(INDEX(PP_Grid[#Data],$DD617,48),0)</f>
        <v/>
      </c>
      <c r="AY617">
        <f>IFERROR(INDEX(PP_Grid[#Data],$DD617,49),0)</f>
        <v/>
      </c>
      <c r="AZ617">
        <f>IFERROR(INDEX(PP_Grid[#Data],$DD617,50),0)</f>
        <v/>
      </c>
      <c r="BA617">
        <f>IFERROR(INDEX(PP_Grid[#Data],$DD617,51),0)</f>
        <v/>
      </c>
      <c r="BB617">
        <f>IFERROR(INDEX(PP_Grid[#Data],$DD617,52),0)</f>
        <v/>
      </c>
      <c r="BC617">
        <f>IFERROR(INDEX(PP_Grid[#Data],$DD617,53),0)</f>
        <v/>
      </c>
      <c r="BD617">
        <f>IFERROR(INDEX(PP_Grid[#Data],$DD617,54),0)</f>
        <v/>
      </c>
      <c r="BE617">
        <f>IFERROR(INDEX(PP_Grid[#Data],$DD617,55),0)</f>
        <v/>
      </c>
      <c r="BF617">
        <f>IFERROR(INDEX(PP_Grid[#Data],$DD617,56),0)</f>
        <v/>
      </c>
      <c r="BG617">
        <f>IFERROR(INDEX(PP_Grid[#Data],$DD617,57),0)</f>
        <v/>
      </c>
      <c r="BH617">
        <f>IFERROR(INDEX(PP_Grid[#Data],$DD617,58),0)</f>
        <v/>
      </c>
      <c r="BI617">
        <f>IFERROR(INDEX(PP_Grid[#Data],$DD617,59),0)</f>
        <v/>
      </c>
      <c r="BJ617">
        <f>IFERROR(INDEX(PP_Grid[#Data],$DD617,60),0)</f>
        <v/>
      </c>
      <c r="BK617">
        <f>IFERROR(INDEX(PP_Grid[#Data],$DD617,61),0)</f>
        <v/>
      </c>
      <c r="BL617">
        <f>IFERROR(INDEX(PP_Grid[#Data],$DD617,62),0)</f>
        <v/>
      </c>
      <c r="BM617">
        <f>IFERROR(INDEX(PP_Grid[#Data],$DD617,63),0)</f>
        <v/>
      </c>
      <c r="BN617">
        <f>IFERROR(INDEX(PP_Grid[#Data],$DD617,64),0)</f>
        <v/>
      </c>
      <c r="BO617">
        <f>IFERROR(INDEX(PP_Grid[#Data],$DD617,65),0)</f>
        <v/>
      </c>
      <c r="BP617">
        <f>IFERROR(INDEX(PP_Grid[#Data],$DD617,66),0)</f>
        <v/>
      </c>
      <c r="BQ617">
        <f>IFERROR(INDEX(PP_Grid[#Data],$DD617,67),0)</f>
        <v/>
      </c>
      <c r="BR617">
        <f>IFERROR(INDEX(PP_Grid[#Data],$DD617,68),0)</f>
        <v/>
      </c>
      <c r="BS617">
        <f>IFERROR(INDEX(PP_Grid[#Data],$DD617,69),0)</f>
        <v/>
      </c>
      <c r="BT617">
        <f>IFERROR(INDEX(PP_Grid[#Data],$DD617,70),0)</f>
        <v/>
      </c>
      <c r="BU617">
        <f>IFERROR(INDEX(PP_Grid[#Data],$DD617,71),0)</f>
        <v/>
      </c>
      <c r="BV617">
        <f>IFERROR(INDEX(PP_Grid[#Data],$DD617,72),0)</f>
        <v/>
      </c>
      <c r="BW617">
        <f>IFERROR(INDEX(PP_Grid[#Data],$DD617,73),0)</f>
        <v/>
      </c>
      <c r="BX617">
        <f>IFERROR(INDEX(PP_Grid[#Data],$DD617,74),0)</f>
        <v/>
      </c>
      <c r="BY617">
        <f>IFERROR(INDEX(PP_Grid[#Data],$DD617,75),0)</f>
        <v/>
      </c>
      <c r="BZ617">
        <f>IFERROR(INDEX(PP_Grid[#Data],$DD617,76),0)</f>
        <v/>
      </c>
      <c r="CA617">
        <f>IFERROR(INDEX(PP_Grid[#Data],$DD617,77),0)</f>
        <v/>
      </c>
      <c r="CB617">
        <f>IFERROR(INDEX(PP_Grid[#Data],$DD617,78),0)</f>
        <v/>
      </c>
      <c r="CC617">
        <f>IFERROR(INDEX(PP_Grid[#Data],$DD617,79),0)</f>
        <v/>
      </c>
      <c r="CD617">
        <f>IFERROR(INDEX(PP_Grid[#Data],$DD617,80),0)</f>
        <v/>
      </c>
      <c r="CE617">
        <f>IFERROR(INDEX(PP_Grid[#Data],$DD617,81),0)</f>
        <v/>
      </c>
      <c r="CF617">
        <f>IFERROR(INDEX(PP_Grid[#Data],$DD617,82),0)</f>
        <v/>
      </c>
      <c r="CG617">
        <f>IFERROR(INDEX(PP_Grid[#Data],$DD617,83),0)</f>
        <v/>
      </c>
      <c r="CH617">
        <f>IFERROR(INDEX(PP_Grid[#Data],$DD617,84),0)</f>
        <v/>
      </c>
      <c r="CI617">
        <f>IFERROR(INDEX(PP_Grid[#Data],$DD617,85),0)</f>
        <v/>
      </c>
      <c r="CJ617">
        <f>IFERROR(INDEX(PP_Grid[#Data],$DD617,86),0)</f>
        <v/>
      </c>
      <c r="CK617">
        <f>IFERROR(INDEX(PP_Grid[#Data],$DD617,87),0)</f>
        <v/>
      </c>
      <c r="CL617">
        <f>IFERROR(INDEX(PP_Grid[#Data],$DD617,88),0)</f>
        <v/>
      </c>
      <c r="CM617">
        <f>IFERROR(INDEX(PP_Grid[#Data],$DD617,89),0)</f>
        <v/>
      </c>
      <c r="CN617">
        <f>IFERROR(INDEX(PP_Grid[#Data],$DD617,90),0)</f>
        <v/>
      </c>
      <c r="CO617">
        <f>IFERROR(INDEX(PP_Grid[#Data],$DD617,91),0)</f>
        <v/>
      </c>
      <c r="CP617">
        <f>IFERROR(INDEX(PP_Grid[#Data],$DD617,92),0)</f>
        <v/>
      </c>
      <c r="CQ617">
        <f>IFERROR(INDEX(PP_Grid[#Data],$DD617,93),0)</f>
        <v/>
      </c>
      <c r="CR617">
        <f>IFERROR(INDEX(PP_Grid[#Data],$DD617,94),0)</f>
        <v/>
      </c>
      <c r="CS617">
        <f>IFERROR(INDEX(PP_Grid[#Data],$DD617,95),0)</f>
        <v/>
      </c>
      <c r="CT617">
        <f>IFERROR(INDEX(PP_Grid[#Data],$DD617,96),0)</f>
        <v/>
      </c>
      <c r="CU617">
        <f>IFERROR(INDEX(PP_Grid[#Data],$DD617,97),0)</f>
        <v/>
      </c>
      <c r="CV617">
        <f>IFERROR(INDEX(PP_Grid[#Data],$DD617,98),0)</f>
        <v/>
      </c>
      <c r="CW617">
        <f>IFERROR(INDEX(PP_Grid[#Data],$DD617,99),0)</f>
        <v/>
      </c>
      <c r="CX617">
        <f>IFERROR(INDEX(PP_Grid[#Data],$DD617,100),0)</f>
        <v/>
      </c>
      <c r="CY617">
        <f>IFERROR(INDEX(PP_Grid[#Data],$DD617,101),0)</f>
        <v/>
      </c>
      <c r="CZ617">
        <f>IFERROR(INDEX(PP_Grid[#Data],$DD617,102),0)</f>
        <v/>
      </c>
      <c r="DA617">
        <f>IFERROR(INDEX(PP_Grid[#Data],$DD617,103),0)</f>
        <v/>
      </c>
      <c r="DB617">
        <f>IFERROR(INDEX(PP_Grid[#Data],$DD617,104),0)</f>
        <v/>
      </c>
      <c r="DC617">
        <f>IFERROR(INDEX(PP_Grid[#Data],$DD617,105),0)</f>
        <v/>
      </c>
      <c r="DD617" s="7">
        <f>IFERROR(MATCH($B617,PP_Grid[Intermediate],0),99999)</f>
        <v/>
      </c>
    </row>
    <row r="618">
      <c r="B618" t="inlineStr">
        <is>
          <t>使用量(kg)</t>
        </is>
      </c>
      <c r="C618">
        <f>SUMIFS(M_BOM[RM_Qty_Per_Batch],M_BOM[Intermediate],$B617,M_BOM[Part Name],$A580)</f>
        <v/>
      </c>
      <c r="D618">
        <f>$C618*D617</f>
        <v/>
      </c>
      <c r="E618">
        <f>$C618*E617</f>
        <v/>
      </c>
      <c r="F618">
        <f>$C618*F617</f>
        <v/>
      </c>
      <c r="G618">
        <f>$C618*G617</f>
        <v/>
      </c>
      <c r="H618">
        <f>$C618*H617</f>
        <v/>
      </c>
      <c r="I618">
        <f>$C618*I617</f>
        <v/>
      </c>
      <c r="J618">
        <f>$C618*J617</f>
        <v/>
      </c>
      <c r="K618">
        <f>$C618*K617</f>
        <v/>
      </c>
      <c r="L618">
        <f>$C618*L617</f>
        <v/>
      </c>
      <c r="M618">
        <f>$C618*M617</f>
        <v/>
      </c>
      <c r="N618">
        <f>$C618*N617</f>
        <v/>
      </c>
      <c r="O618">
        <f>$C618*O617</f>
        <v/>
      </c>
      <c r="P618">
        <f>$C618*P617</f>
        <v/>
      </c>
      <c r="Q618">
        <f>$C618*Q617</f>
        <v/>
      </c>
      <c r="R618">
        <f>$C618*R617</f>
        <v/>
      </c>
      <c r="S618">
        <f>$C618*S617</f>
        <v/>
      </c>
      <c r="T618">
        <f>$C618*T617</f>
        <v/>
      </c>
      <c r="U618">
        <f>$C618*U617</f>
        <v/>
      </c>
      <c r="V618">
        <f>$C618*V617</f>
        <v/>
      </c>
      <c r="W618">
        <f>$C618*W617</f>
        <v/>
      </c>
      <c r="X618">
        <f>$C618*X617</f>
        <v/>
      </c>
      <c r="Y618">
        <f>$C618*Y617</f>
        <v/>
      </c>
      <c r="Z618">
        <f>$C618*Z617</f>
        <v/>
      </c>
      <c r="AA618">
        <f>$C618*AA617</f>
        <v/>
      </c>
      <c r="AB618">
        <f>$C618*AB617</f>
        <v/>
      </c>
      <c r="AC618">
        <f>$C618*AC617</f>
        <v/>
      </c>
      <c r="AD618">
        <f>$C618*AD617</f>
        <v/>
      </c>
      <c r="AE618">
        <f>$C618*AE617</f>
        <v/>
      </c>
      <c r="AF618">
        <f>$C618*AF617</f>
        <v/>
      </c>
      <c r="AG618">
        <f>$C618*AG617</f>
        <v/>
      </c>
      <c r="AH618">
        <f>$C618*AH617</f>
        <v/>
      </c>
      <c r="AI618">
        <f>$C618*AI617</f>
        <v/>
      </c>
      <c r="AJ618">
        <f>$C618*AJ617</f>
        <v/>
      </c>
      <c r="AK618">
        <f>$C618*AK617</f>
        <v/>
      </c>
      <c r="AL618">
        <f>$C618*AL617</f>
        <v/>
      </c>
      <c r="AM618">
        <f>$C618*AM617</f>
        <v/>
      </c>
      <c r="AN618">
        <f>$C618*AN617</f>
        <v/>
      </c>
      <c r="AO618">
        <f>$C618*AO617</f>
        <v/>
      </c>
      <c r="AP618">
        <f>$C618*AP617</f>
        <v/>
      </c>
      <c r="AQ618">
        <f>$C618*AQ617</f>
        <v/>
      </c>
      <c r="AR618">
        <f>$C618*AR617</f>
        <v/>
      </c>
      <c r="AS618">
        <f>$C618*AS617</f>
        <v/>
      </c>
      <c r="AT618">
        <f>$C618*AT617</f>
        <v/>
      </c>
      <c r="AU618">
        <f>$C618*AU617</f>
        <v/>
      </c>
      <c r="AV618">
        <f>$C618*AV617</f>
        <v/>
      </c>
      <c r="AW618">
        <f>$C618*AW617</f>
        <v/>
      </c>
      <c r="AX618">
        <f>$C618*AX617</f>
        <v/>
      </c>
      <c r="AY618">
        <f>$C618*AY617</f>
        <v/>
      </c>
      <c r="AZ618">
        <f>$C618*AZ617</f>
        <v/>
      </c>
      <c r="BA618">
        <f>$C618*BA617</f>
        <v/>
      </c>
      <c r="BB618">
        <f>$C618*BB617</f>
        <v/>
      </c>
      <c r="BC618">
        <f>$C618*BC617</f>
        <v/>
      </c>
      <c r="BD618">
        <f>$C618*BD617</f>
        <v/>
      </c>
      <c r="BE618">
        <f>$C618*BE617</f>
        <v/>
      </c>
      <c r="BF618">
        <f>$C618*BF617</f>
        <v/>
      </c>
      <c r="BG618">
        <f>$C618*BG617</f>
        <v/>
      </c>
      <c r="BH618">
        <f>$C618*BH617</f>
        <v/>
      </c>
      <c r="BI618">
        <f>$C618*BI617</f>
        <v/>
      </c>
      <c r="BJ618">
        <f>$C618*BJ617</f>
        <v/>
      </c>
      <c r="BK618">
        <f>$C618*BK617</f>
        <v/>
      </c>
      <c r="BL618">
        <f>$C618*BL617</f>
        <v/>
      </c>
      <c r="BM618">
        <f>$C618*BM617</f>
        <v/>
      </c>
      <c r="BN618">
        <f>$C618*BN617</f>
        <v/>
      </c>
      <c r="BO618">
        <f>$C618*BO617</f>
        <v/>
      </c>
      <c r="BP618">
        <f>$C618*BP617</f>
        <v/>
      </c>
      <c r="BQ618">
        <f>$C618*BQ617</f>
        <v/>
      </c>
      <c r="BR618">
        <f>$C618*BR617</f>
        <v/>
      </c>
      <c r="BS618">
        <f>$C618*BS617</f>
        <v/>
      </c>
      <c r="BT618">
        <f>$C618*BT617</f>
        <v/>
      </c>
      <c r="BU618">
        <f>$C618*BU617</f>
        <v/>
      </c>
      <c r="BV618">
        <f>$C618*BV617</f>
        <v/>
      </c>
      <c r="BW618">
        <f>$C618*BW617</f>
        <v/>
      </c>
      <c r="BX618">
        <f>$C618*BX617</f>
        <v/>
      </c>
      <c r="BY618">
        <f>$C618*BY617</f>
        <v/>
      </c>
      <c r="BZ618">
        <f>$C618*BZ617</f>
        <v/>
      </c>
      <c r="CA618">
        <f>$C618*CA617</f>
        <v/>
      </c>
      <c r="CB618">
        <f>$C618*CB617</f>
        <v/>
      </c>
      <c r="CC618">
        <f>$C618*CC617</f>
        <v/>
      </c>
      <c r="CD618">
        <f>$C618*CD617</f>
        <v/>
      </c>
      <c r="CE618">
        <f>$C618*CE617</f>
        <v/>
      </c>
      <c r="CF618">
        <f>$C618*CF617</f>
        <v/>
      </c>
      <c r="CG618">
        <f>$C618*CG617</f>
        <v/>
      </c>
      <c r="CH618">
        <f>$C618*CH617</f>
        <v/>
      </c>
      <c r="CI618">
        <f>$C618*CI617</f>
        <v/>
      </c>
      <c r="CJ618">
        <f>$C618*CJ617</f>
        <v/>
      </c>
      <c r="CK618">
        <f>$C618*CK617</f>
        <v/>
      </c>
      <c r="CL618">
        <f>$C618*CL617</f>
        <v/>
      </c>
      <c r="CM618">
        <f>$C618*CM617</f>
        <v/>
      </c>
      <c r="CN618">
        <f>$C618*CN617</f>
        <v/>
      </c>
      <c r="CO618">
        <f>$C618*CO617</f>
        <v/>
      </c>
      <c r="CP618">
        <f>$C618*CP617</f>
        <v/>
      </c>
      <c r="CQ618">
        <f>$C618*CQ617</f>
        <v/>
      </c>
      <c r="CR618">
        <f>$C618*CR617</f>
        <v/>
      </c>
      <c r="CS618">
        <f>$C618*CS617</f>
        <v/>
      </c>
      <c r="CT618">
        <f>$C618*CT617</f>
        <v/>
      </c>
      <c r="CU618">
        <f>$C618*CU617</f>
        <v/>
      </c>
      <c r="CV618">
        <f>$C618*CV617</f>
        <v/>
      </c>
      <c r="CW618">
        <f>$C618*CW617</f>
        <v/>
      </c>
      <c r="CX618">
        <f>$C618*CX617</f>
        <v/>
      </c>
      <c r="CY618">
        <f>$C618*CY617</f>
        <v/>
      </c>
      <c r="CZ618">
        <f>$C618*CZ617</f>
        <v/>
      </c>
      <c r="DA618">
        <f>$C618*DA617</f>
        <v/>
      </c>
      <c r="DB618">
        <f>$C618*DB617</f>
        <v/>
      </c>
      <c r="DC618">
        <f>$C618*DC617</f>
        <v/>
      </c>
    </row>
    <row r="619">
      <c r="B619" t="inlineStr">
        <is>
          <t>TPP-650</t>
        </is>
      </c>
      <c r="C619" t="inlineStr">
        <is>
          <t>No. of batches</t>
        </is>
      </c>
      <c r="D619">
        <f>IFERROR(INDEX(PP_Grid[#Data],$DD619,2),0)</f>
        <v/>
      </c>
      <c r="E619">
        <f>IFERROR(INDEX(PP_Grid[#Data],$DD619,3),0)</f>
        <v/>
      </c>
      <c r="F619">
        <f>IFERROR(INDEX(PP_Grid[#Data],$DD619,4),0)</f>
        <v/>
      </c>
      <c r="G619">
        <f>IFERROR(INDEX(PP_Grid[#Data],$DD619,5),0)</f>
        <v/>
      </c>
      <c r="H619">
        <f>IFERROR(INDEX(PP_Grid[#Data],$DD619,6),0)</f>
        <v/>
      </c>
      <c r="I619">
        <f>IFERROR(INDEX(PP_Grid[#Data],$DD619,7),0)</f>
        <v/>
      </c>
      <c r="J619">
        <f>IFERROR(INDEX(PP_Grid[#Data],$DD619,8),0)</f>
        <v/>
      </c>
      <c r="K619">
        <f>IFERROR(INDEX(PP_Grid[#Data],$DD619,9),0)</f>
        <v/>
      </c>
      <c r="L619">
        <f>IFERROR(INDEX(PP_Grid[#Data],$DD619,10),0)</f>
        <v/>
      </c>
      <c r="M619">
        <f>IFERROR(INDEX(PP_Grid[#Data],$DD619,11),0)</f>
        <v/>
      </c>
      <c r="N619">
        <f>IFERROR(INDEX(PP_Grid[#Data],$DD619,12),0)</f>
        <v/>
      </c>
      <c r="O619">
        <f>IFERROR(INDEX(PP_Grid[#Data],$DD619,13),0)</f>
        <v/>
      </c>
      <c r="P619">
        <f>IFERROR(INDEX(PP_Grid[#Data],$DD619,14),0)</f>
        <v/>
      </c>
      <c r="Q619">
        <f>IFERROR(INDEX(PP_Grid[#Data],$DD619,15),0)</f>
        <v/>
      </c>
      <c r="R619">
        <f>IFERROR(INDEX(PP_Grid[#Data],$DD619,16),0)</f>
        <v/>
      </c>
      <c r="S619">
        <f>IFERROR(INDEX(PP_Grid[#Data],$DD619,17),0)</f>
        <v/>
      </c>
      <c r="T619">
        <f>IFERROR(INDEX(PP_Grid[#Data],$DD619,18),0)</f>
        <v/>
      </c>
      <c r="U619">
        <f>IFERROR(INDEX(PP_Grid[#Data],$DD619,19),0)</f>
        <v/>
      </c>
      <c r="V619">
        <f>IFERROR(INDEX(PP_Grid[#Data],$DD619,20),0)</f>
        <v/>
      </c>
      <c r="W619">
        <f>IFERROR(INDEX(PP_Grid[#Data],$DD619,21),0)</f>
        <v/>
      </c>
      <c r="X619">
        <f>IFERROR(INDEX(PP_Grid[#Data],$DD619,22),0)</f>
        <v/>
      </c>
      <c r="Y619">
        <f>IFERROR(INDEX(PP_Grid[#Data],$DD619,23),0)</f>
        <v/>
      </c>
      <c r="Z619">
        <f>IFERROR(INDEX(PP_Grid[#Data],$DD619,24),0)</f>
        <v/>
      </c>
      <c r="AA619">
        <f>IFERROR(INDEX(PP_Grid[#Data],$DD619,25),0)</f>
        <v/>
      </c>
      <c r="AB619">
        <f>IFERROR(INDEX(PP_Grid[#Data],$DD619,26),0)</f>
        <v/>
      </c>
      <c r="AC619">
        <f>IFERROR(INDEX(PP_Grid[#Data],$DD619,27),0)</f>
        <v/>
      </c>
      <c r="AD619">
        <f>IFERROR(INDEX(PP_Grid[#Data],$DD619,28),0)</f>
        <v/>
      </c>
      <c r="AE619">
        <f>IFERROR(INDEX(PP_Grid[#Data],$DD619,29),0)</f>
        <v/>
      </c>
      <c r="AF619">
        <f>IFERROR(INDEX(PP_Grid[#Data],$DD619,30),0)</f>
        <v/>
      </c>
      <c r="AG619">
        <f>IFERROR(INDEX(PP_Grid[#Data],$DD619,31),0)</f>
        <v/>
      </c>
      <c r="AH619">
        <f>IFERROR(INDEX(PP_Grid[#Data],$DD619,32),0)</f>
        <v/>
      </c>
      <c r="AI619">
        <f>IFERROR(INDEX(PP_Grid[#Data],$DD619,33),0)</f>
        <v/>
      </c>
      <c r="AJ619">
        <f>IFERROR(INDEX(PP_Grid[#Data],$DD619,34),0)</f>
        <v/>
      </c>
      <c r="AK619">
        <f>IFERROR(INDEX(PP_Grid[#Data],$DD619,35),0)</f>
        <v/>
      </c>
      <c r="AL619">
        <f>IFERROR(INDEX(PP_Grid[#Data],$DD619,36),0)</f>
        <v/>
      </c>
      <c r="AM619">
        <f>IFERROR(INDEX(PP_Grid[#Data],$DD619,37),0)</f>
        <v/>
      </c>
      <c r="AN619">
        <f>IFERROR(INDEX(PP_Grid[#Data],$DD619,38),0)</f>
        <v/>
      </c>
      <c r="AO619">
        <f>IFERROR(INDEX(PP_Grid[#Data],$DD619,39),0)</f>
        <v/>
      </c>
      <c r="AP619">
        <f>IFERROR(INDEX(PP_Grid[#Data],$DD619,40),0)</f>
        <v/>
      </c>
      <c r="AQ619">
        <f>IFERROR(INDEX(PP_Grid[#Data],$DD619,41),0)</f>
        <v/>
      </c>
      <c r="AR619">
        <f>IFERROR(INDEX(PP_Grid[#Data],$DD619,42),0)</f>
        <v/>
      </c>
      <c r="AS619">
        <f>IFERROR(INDEX(PP_Grid[#Data],$DD619,43),0)</f>
        <v/>
      </c>
      <c r="AT619">
        <f>IFERROR(INDEX(PP_Grid[#Data],$DD619,44),0)</f>
        <v/>
      </c>
      <c r="AU619">
        <f>IFERROR(INDEX(PP_Grid[#Data],$DD619,45),0)</f>
        <v/>
      </c>
      <c r="AV619">
        <f>IFERROR(INDEX(PP_Grid[#Data],$DD619,46),0)</f>
        <v/>
      </c>
      <c r="AW619">
        <f>IFERROR(INDEX(PP_Grid[#Data],$DD619,47),0)</f>
        <v/>
      </c>
      <c r="AX619">
        <f>IFERROR(INDEX(PP_Grid[#Data],$DD619,48),0)</f>
        <v/>
      </c>
      <c r="AY619">
        <f>IFERROR(INDEX(PP_Grid[#Data],$DD619,49),0)</f>
        <v/>
      </c>
      <c r="AZ619">
        <f>IFERROR(INDEX(PP_Grid[#Data],$DD619,50),0)</f>
        <v/>
      </c>
      <c r="BA619">
        <f>IFERROR(INDEX(PP_Grid[#Data],$DD619,51),0)</f>
        <v/>
      </c>
      <c r="BB619">
        <f>IFERROR(INDEX(PP_Grid[#Data],$DD619,52),0)</f>
        <v/>
      </c>
      <c r="BC619">
        <f>IFERROR(INDEX(PP_Grid[#Data],$DD619,53),0)</f>
        <v/>
      </c>
      <c r="BD619">
        <f>IFERROR(INDEX(PP_Grid[#Data],$DD619,54),0)</f>
        <v/>
      </c>
      <c r="BE619">
        <f>IFERROR(INDEX(PP_Grid[#Data],$DD619,55),0)</f>
        <v/>
      </c>
      <c r="BF619">
        <f>IFERROR(INDEX(PP_Grid[#Data],$DD619,56),0)</f>
        <v/>
      </c>
      <c r="BG619">
        <f>IFERROR(INDEX(PP_Grid[#Data],$DD619,57),0)</f>
        <v/>
      </c>
      <c r="BH619">
        <f>IFERROR(INDEX(PP_Grid[#Data],$DD619,58),0)</f>
        <v/>
      </c>
      <c r="BI619">
        <f>IFERROR(INDEX(PP_Grid[#Data],$DD619,59),0)</f>
        <v/>
      </c>
      <c r="BJ619">
        <f>IFERROR(INDEX(PP_Grid[#Data],$DD619,60),0)</f>
        <v/>
      </c>
      <c r="BK619">
        <f>IFERROR(INDEX(PP_Grid[#Data],$DD619,61),0)</f>
        <v/>
      </c>
      <c r="BL619">
        <f>IFERROR(INDEX(PP_Grid[#Data],$DD619,62),0)</f>
        <v/>
      </c>
      <c r="BM619">
        <f>IFERROR(INDEX(PP_Grid[#Data],$DD619,63),0)</f>
        <v/>
      </c>
      <c r="BN619">
        <f>IFERROR(INDEX(PP_Grid[#Data],$DD619,64),0)</f>
        <v/>
      </c>
      <c r="BO619">
        <f>IFERROR(INDEX(PP_Grid[#Data],$DD619,65),0)</f>
        <v/>
      </c>
      <c r="BP619">
        <f>IFERROR(INDEX(PP_Grid[#Data],$DD619,66),0)</f>
        <v/>
      </c>
      <c r="BQ619">
        <f>IFERROR(INDEX(PP_Grid[#Data],$DD619,67),0)</f>
        <v/>
      </c>
      <c r="BR619">
        <f>IFERROR(INDEX(PP_Grid[#Data],$DD619,68),0)</f>
        <v/>
      </c>
      <c r="BS619">
        <f>IFERROR(INDEX(PP_Grid[#Data],$DD619,69),0)</f>
        <v/>
      </c>
      <c r="BT619">
        <f>IFERROR(INDEX(PP_Grid[#Data],$DD619,70),0)</f>
        <v/>
      </c>
      <c r="BU619">
        <f>IFERROR(INDEX(PP_Grid[#Data],$DD619,71),0)</f>
        <v/>
      </c>
      <c r="BV619">
        <f>IFERROR(INDEX(PP_Grid[#Data],$DD619,72),0)</f>
        <v/>
      </c>
      <c r="BW619">
        <f>IFERROR(INDEX(PP_Grid[#Data],$DD619,73),0)</f>
        <v/>
      </c>
      <c r="BX619">
        <f>IFERROR(INDEX(PP_Grid[#Data],$DD619,74),0)</f>
        <v/>
      </c>
      <c r="BY619">
        <f>IFERROR(INDEX(PP_Grid[#Data],$DD619,75),0)</f>
        <v/>
      </c>
      <c r="BZ619">
        <f>IFERROR(INDEX(PP_Grid[#Data],$DD619,76),0)</f>
        <v/>
      </c>
      <c r="CA619">
        <f>IFERROR(INDEX(PP_Grid[#Data],$DD619,77),0)</f>
        <v/>
      </c>
      <c r="CB619">
        <f>IFERROR(INDEX(PP_Grid[#Data],$DD619,78),0)</f>
        <v/>
      </c>
      <c r="CC619">
        <f>IFERROR(INDEX(PP_Grid[#Data],$DD619,79),0)</f>
        <v/>
      </c>
      <c r="CD619">
        <f>IFERROR(INDEX(PP_Grid[#Data],$DD619,80),0)</f>
        <v/>
      </c>
      <c r="CE619">
        <f>IFERROR(INDEX(PP_Grid[#Data],$DD619,81),0)</f>
        <v/>
      </c>
      <c r="CF619">
        <f>IFERROR(INDEX(PP_Grid[#Data],$DD619,82),0)</f>
        <v/>
      </c>
      <c r="CG619">
        <f>IFERROR(INDEX(PP_Grid[#Data],$DD619,83),0)</f>
        <v/>
      </c>
      <c r="CH619">
        <f>IFERROR(INDEX(PP_Grid[#Data],$DD619,84),0)</f>
        <v/>
      </c>
      <c r="CI619">
        <f>IFERROR(INDEX(PP_Grid[#Data],$DD619,85),0)</f>
        <v/>
      </c>
      <c r="CJ619">
        <f>IFERROR(INDEX(PP_Grid[#Data],$DD619,86),0)</f>
        <v/>
      </c>
      <c r="CK619">
        <f>IFERROR(INDEX(PP_Grid[#Data],$DD619,87),0)</f>
        <v/>
      </c>
      <c r="CL619">
        <f>IFERROR(INDEX(PP_Grid[#Data],$DD619,88),0)</f>
        <v/>
      </c>
      <c r="CM619">
        <f>IFERROR(INDEX(PP_Grid[#Data],$DD619,89),0)</f>
        <v/>
      </c>
      <c r="CN619">
        <f>IFERROR(INDEX(PP_Grid[#Data],$DD619,90),0)</f>
        <v/>
      </c>
      <c r="CO619">
        <f>IFERROR(INDEX(PP_Grid[#Data],$DD619,91),0)</f>
        <v/>
      </c>
      <c r="CP619">
        <f>IFERROR(INDEX(PP_Grid[#Data],$DD619,92),0)</f>
        <v/>
      </c>
      <c r="CQ619">
        <f>IFERROR(INDEX(PP_Grid[#Data],$DD619,93),0)</f>
        <v/>
      </c>
      <c r="CR619">
        <f>IFERROR(INDEX(PP_Grid[#Data],$DD619,94),0)</f>
        <v/>
      </c>
      <c r="CS619">
        <f>IFERROR(INDEX(PP_Grid[#Data],$DD619,95),0)</f>
        <v/>
      </c>
      <c r="CT619">
        <f>IFERROR(INDEX(PP_Grid[#Data],$DD619,96),0)</f>
        <v/>
      </c>
      <c r="CU619">
        <f>IFERROR(INDEX(PP_Grid[#Data],$DD619,97),0)</f>
        <v/>
      </c>
      <c r="CV619">
        <f>IFERROR(INDEX(PP_Grid[#Data],$DD619,98),0)</f>
        <v/>
      </c>
      <c r="CW619">
        <f>IFERROR(INDEX(PP_Grid[#Data],$DD619,99),0)</f>
        <v/>
      </c>
      <c r="CX619">
        <f>IFERROR(INDEX(PP_Grid[#Data],$DD619,100),0)</f>
        <v/>
      </c>
      <c r="CY619">
        <f>IFERROR(INDEX(PP_Grid[#Data],$DD619,101),0)</f>
        <v/>
      </c>
      <c r="CZ619">
        <f>IFERROR(INDEX(PP_Grid[#Data],$DD619,102),0)</f>
        <v/>
      </c>
      <c r="DA619">
        <f>IFERROR(INDEX(PP_Grid[#Data],$DD619,103),0)</f>
        <v/>
      </c>
      <c r="DB619">
        <f>IFERROR(INDEX(PP_Grid[#Data],$DD619,104),0)</f>
        <v/>
      </c>
      <c r="DC619">
        <f>IFERROR(INDEX(PP_Grid[#Data],$DD619,105),0)</f>
        <v/>
      </c>
      <c r="DD619" s="7">
        <f>IFERROR(MATCH($B619,PP_Grid[Intermediate],0),99999)</f>
        <v/>
      </c>
    </row>
    <row r="620">
      <c r="B620" t="inlineStr">
        <is>
          <t>使用量(kg)</t>
        </is>
      </c>
      <c r="C620">
        <f>SUMIFS(M_BOM[RM_Qty_Per_Batch],M_BOM[Intermediate],$B619,M_BOM[Part Name],$A580)</f>
        <v/>
      </c>
      <c r="D620">
        <f>$C620*D619</f>
        <v/>
      </c>
      <c r="E620">
        <f>$C620*E619</f>
        <v/>
      </c>
      <c r="F620">
        <f>$C620*F619</f>
        <v/>
      </c>
      <c r="G620">
        <f>$C620*G619</f>
        <v/>
      </c>
      <c r="H620">
        <f>$C620*H619</f>
        <v/>
      </c>
      <c r="I620">
        <f>$C620*I619</f>
        <v/>
      </c>
      <c r="J620">
        <f>$C620*J619</f>
        <v/>
      </c>
      <c r="K620">
        <f>$C620*K619</f>
        <v/>
      </c>
      <c r="L620">
        <f>$C620*L619</f>
        <v/>
      </c>
      <c r="M620">
        <f>$C620*M619</f>
        <v/>
      </c>
      <c r="N620">
        <f>$C620*N619</f>
        <v/>
      </c>
      <c r="O620">
        <f>$C620*O619</f>
        <v/>
      </c>
      <c r="P620">
        <f>$C620*P619</f>
        <v/>
      </c>
      <c r="Q620">
        <f>$C620*Q619</f>
        <v/>
      </c>
      <c r="R620">
        <f>$C620*R619</f>
        <v/>
      </c>
      <c r="S620">
        <f>$C620*S619</f>
        <v/>
      </c>
      <c r="T620">
        <f>$C620*T619</f>
        <v/>
      </c>
      <c r="U620">
        <f>$C620*U619</f>
        <v/>
      </c>
      <c r="V620">
        <f>$C620*V619</f>
        <v/>
      </c>
      <c r="W620">
        <f>$C620*W619</f>
        <v/>
      </c>
      <c r="X620">
        <f>$C620*X619</f>
        <v/>
      </c>
      <c r="Y620">
        <f>$C620*Y619</f>
        <v/>
      </c>
      <c r="Z620">
        <f>$C620*Z619</f>
        <v/>
      </c>
      <c r="AA620">
        <f>$C620*AA619</f>
        <v/>
      </c>
      <c r="AB620">
        <f>$C620*AB619</f>
        <v/>
      </c>
      <c r="AC620">
        <f>$C620*AC619</f>
        <v/>
      </c>
      <c r="AD620">
        <f>$C620*AD619</f>
        <v/>
      </c>
      <c r="AE620">
        <f>$C620*AE619</f>
        <v/>
      </c>
      <c r="AF620">
        <f>$C620*AF619</f>
        <v/>
      </c>
      <c r="AG620">
        <f>$C620*AG619</f>
        <v/>
      </c>
      <c r="AH620">
        <f>$C620*AH619</f>
        <v/>
      </c>
      <c r="AI620">
        <f>$C620*AI619</f>
        <v/>
      </c>
      <c r="AJ620">
        <f>$C620*AJ619</f>
        <v/>
      </c>
      <c r="AK620">
        <f>$C620*AK619</f>
        <v/>
      </c>
      <c r="AL620">
        <f>$C620*AL619</f>
        <v/>
      </c>
      <c r="AM620">
        <f>$C620*AM619</f>
        <v/>
      </c>
      <c r="AN620">
        <f>$C620*AN619</f>
        <v/>
      </c>
      <c r="AO620">
        <f>$C620*AO619</f>
        <v/>
      </c>
      <c r="AP620">
        <f>$C620*AP619</f>
        <v/>
      </c>
      <c r="AQ620">
        <f>$C620*AQ619</f>
        <v/>
      </c>
      <c r="AR620">
        <f>$C620*AR619</f>
        <v/>
      </c>
      <c r="AS620">
        <f>$C620*AS619</f>
        <v/>
      </c>
      <c r="AT620">
        <f>$C620*AT619</f>
        <v/>
      </c>
      <c r="AU620">
        <f>$C620*AU619</f>
        <v/>
      </c>
      <c r="AV620">
        <f>$C620*AV619</f>
        <v/>
      </c>
      <c r="AW620">
        <f>$C620*AW619</f>
        <v/>
      </c>
      <c r="AX620">
        <f>$C620*AX619</f>
        <v/>
      </c>
      <c r="AY620">
        <f>$C620*AY619</f>
        <v/>
      </c>
      <c r="AZ620">
        <f>$C620*AZ619</f>
        <v/>
      </c>
      <c r="BA620">
        <f>$C620*BA619</f>
        <v/>
      </c>
      <c r="BB620">
        <f>$C620*BB619</f>
        <v/>
      </c>
      <c r="BC620">
        <f>$C620*BC619</f>
        <v/>
      </c>
      <c r="BD620">
        <f>$C620*BD619</f>
        <v/>
      </c>
      <c r="BE620">
        <f>$C620*BE619</f>
        <v/>
      </c>
      <c r="BF620">
        <f>$C620*BF619</f>
        <v/>
      </c>
      <c r="BG620">
        <f>$C620*BG619</f>
        <v/>
      </c>
      <c r="BH620">
        <f>$C620*BH619</f>
        <v/>
      </c>
      <c r="BI620">
        <f>$C620*BI619</f>
        <v/>
      </c>
      <c r="BJ620">
        <f>$C620*BJ619</f>
        <v/>
      </c>
      <c r="BK620">
        <f>$C620*BK619</f>
        <v/>
      </c>
      <c r="BL620">
        <f>$C620*BL619</f>
        <v/>
      </c>
      <c r="BM620">
        <f>$C620*BM619</f>
        <v/>
      </c>
      <c r="BN620">
        <f>$C620*BN619</f>
        <v/>
      </c>
      <c r="BO620">
        <f>$C620*BO619</f>
        <v/>
      </c>
      <c r="BP620">
        <f>$C620*BP619</f>
        <v/>
      </c>
      <c r="BQ620">
        <f>$C620*BQ619</f>
        <v/>
      </c>
      <c r="BR620">
        <f>$C620*BR619</f>
        <v/>
      </c>
      <c r="BS620">
        <f>$C620*BS619</f>
        <v/>
      </c>
      <c r="BT620">
        <f>$C620*BT619</f>
        <v/>
      </c>
      <c r="BU620">
        <f>$C620*BU619</f>
        <v/>
      </c>
      <c r="BV620">
        <f>$C620*BV619</f>
        <v/>
      </c>
      <c r="BW620">
        <f>$C620*BW619</f>
        <v/>
      </c>
      <c r="BX620">
        <f>$C620*BX619</f>
        <v/>
      </c>
      <c r="BY620">
        <f>$C620*BY619</f>
        <v/>
      </c>
      <c r="BZ620">
        <f>$C620*BZ619</f>
        <v/>
      </c>
      <c r="CA620">
        <f>$C620*CA619</f>
        <v/>
      </c>
      <c r="CB620">
        <f>$C620*CB619</f>
        <v/>
      </c>
      <c r="CC620">
        <f>$C620*CC619</f>
        <v/>
      </c>
      <c r="CD620">
        <f>$C620*CD619</f>
        <v/>
      </c>
      <c r="CE620">
        <f>$C620*CE619</f>
        <v/>
      </c>
      <c r="CF620">
        <f>$C620*CF619</f>
        <v/>
      </c>
      <c r="CG620">
        <f>$C620*CG619</f>
        <v/>
      </c>
      <c r="CH620">
        <f>$C620*CH619</f>
        <v/>
      </c>
      <c r="CI620">
        <f>$C620*CI619</f>
        <v/>
      </c>
      <c r="CJ620">
        <f>$C620*CJ619</f>
        <v/>
      </c>
      <c r="CK620">
        <f>$C620*CK619</f>
        <v/>
      </c>
      <c r="CL620">
        <f>$C620*CL619</f>
        <v/>
      </c>
      <c r="CM620">
        <f>$C620*CM619</f>
        <v/>
      </c>
      <c r="CN620">
        <f>$C620*CN619</f>
        <v/>
      </c>
      <c r="CO620">
        <f>$C620*CO619</f>
        <v/>
      </c>
      <c r="CP620">
        <f>$C620*CP619</f>
        <v/>
      </c>
      <c r="CQ620">
        <f>$C620*CQ619</f>
        <v/>
      </c>
      <c r="CR620">
        <f>$C620*CR619</f>
        <v/>
      </c>
      <c r="CS620">
        <f>$C620*CS619</f>
        <v/>
      </c>
      <c r="CT620">
        <f>$C620*CT619</f>
        <v/>
      </c>
      <c r="CU620">
        <f>$C620*CU619</f>
        <v/>
      </c>
      <c r="CV620">
        <f>$C620*CV619</f>
        <v/>
      </c>
      <c r="CW620">
        <f>$C620*CW619</f>
        <v/>
      </c>
      <c r="CX620">
        <f>$C620*CX619</f>
        <v/>
      </c>
      <c r="CY620">
        <f>$C620*CY619</f>
        <v/>
      </c>
      <c r="CZ620">
        <f>$C620*CZ619</f>
        <v/>
      </c>
      <c r="DA620">
        <f>$C620*DA619</f>
        <v/>
      </c>
      <c r="DB620">
        <f>$C620*DB619</f>
        <v/>
      </c>
      <c r="DC620">
        <f>$C620*DC619</f>
        <v/>
      </c>
    </row>
    <row r="621">
      <c r="B621" t="inlineStr">
        <is>
          <t>TPP-527</t>
        </is>
      </c>
      <c r="C621" t="inlineStr">
        <is>
          <t>No. of batches</t>
        </is>
      </c>
      <c r="D621">
        <f>IFERROR(INDEX(PP_Grid[#Data],$DD621,2),0)</f>
        <v/>
      </c>
      <c r="E621">
        <f>IFERROR(INDEX(PP_Grid[#Data],$DD621,3),0)</f>
        <v/>
      </c>
      <c r="F621">
        <f>IFERROR(INDEX(PP_Grid[#Data],$DD621,4),0)</f>
        <v/>
      </c>
      <c r="G621">
        <f>IFERROR(INDEX(PP_Grid[#Data],$DD621,5),0)</f>
        <v/>
      </c>
      <c r="H621">
        <f>IFERROR(INDEX(PP_Grid[#Data],$DD621,6),0)</f>
        <v/>
      </c>
      <c r="I621">
        <f>IFERROR(INDEX(PP_Grid[#Data],$DD621,7),0)</f>
        <v/>
      </c>
      <c r="J621">
        <f>IFERROR(INDEX(PP_Grid[#Data],$DD621,8),0)</f>
        <v/>
      </c>
      <c r="K621">
        <f>IFERROR(INDEX(PP_Grid[#Data],$DD621,9),0)</f>
        <v/>
      </c>
      <c r="L621">
        <f>IFERROR(INDEX(PP_Grid[#Data],$DD621,10),0)</f>
        <v/>
      </c>
      <c r="M621">
        <f>IFERROR(INDEX(PP_Grid[#Data],$DD621,11),0)</f>
        <v/>
      </c>
      <c r="N621">
        <f>IFERROR(INDEX(PP_Grid[#Data],$DD621,12),0)</f>
        <v/>
      </c>
      <c r="O621">
        <f>IFERROR(INDEX(PP_Grid[#Data],$DD621,13),0)</f>
        <v/>
      </c>
      <c r="P621">
        <f>IFERROR(INDEX(PP_Grid[#Data],$DD621,14),0)</f>
        <v/>
      </c>
      <c r="Q621">
        <f>IFERROR(INDEX(PP_Grid[#Data],$DD621,15),0)</f>
        <v/>
      </c>
      <c r="R621">
        <f>IFERROR(INDEX(PP_Grid[#Data],$DD621,16),0)</f>
        <v/>
      </c>
      <c r="S621">
        <f>IFERROR(INDEX(PP_Grid[#Data],$DD621,17),0)</f>
        <v/>
      </c>
      <c r="T621">
        <f>IFERROR(INDEX(PP_Grid[#Data],$DD621,18),0)</f>
        <v/>
      </c>
      <c r="U621">
        <f>IFERROR(INDEX(PP_Grid[#Data],$DD621,19),0)</f>
        <v/>
      </c>
      <c r="V621">
        <f>IFERROR(INDEX(PP_Grid[#Data],$DD621,20),0)</f>
        <v/>
      </c>
      <c r="W621">
        <f>IFERROR(INDEX(PP_Grid[#Data],$DD621,21),0)</f>
        <v/>
      </c>
      <c r="X621">
        <f>IFERROR(INDEX(PP_Grid[#Data],$DD621,22),0)</f>
        <v/>
      </c>
      <c r="Y621">
        <f>IFERROR(INDEX(PP_Grid[#Data],$DD621,23),0)</f>
        <v/>
      </c>
      <c r="Z621">
        <f>IFERROR(INDEX(PP_Grid[#Data],$DD621,24),0)</f>
        <v/>
      </c>
      <c r="AA621">
        <f>IFERROR(INDEX(PP_Grid[#Data],$DD621,25),0)</f>
        <v/>
      </c>
      <c r="AB621">
        <f>IFERROR(INDEX(PP_Grid[#Data],$DD621,26),0)</f>
        <v/>
      </c>
      <c r="AC621">
        <f>IFERROR(INDEX(PP_Grid[#Data],$DD621,27),0)</f>
        <v/>
      </c>
      <c r="AD621">
        <f>IFERROR(INDEX(PP_Grid[#Data],$DD621,28),0)</f>
        <v/>
      </c>
      <c r="AE621">
        <f>IFERROR(INDEX(PP_Grid[#Data],$DD621,29),0)</f>
        <v/>
      </c>
      <c r="AF621">
        <f>IFERROR(INDEX(PP_Grid[#Data],$DD621,30),0)</f>
        <v/>
      </c>
      <c r="AG621">
        <f>IFERROR(INDEX(PP_Grid[#Data],$DD621,31),0)</f>
        <v/>
      </c>
      <c r="AH621">
        <f>IFERROR(INDEX(PP_Grid[#Data],$DD621,32),0)</f>
        <v/>
      </c>
      <c r="AI621">
        <f>IFERROR(INDEX(PP_Grid[#Data],$DD621,33),0)</f>
        <v/>
      </c>
      <c r="AJ621">
        <f>IFERROR(INDEX(PP_Grid[#Data],$DD621,34),0)</f>
        <v/>
      </c>
      <c r="AK621">
        <f>IFERROR(INDEX(PP_Grid[#Data],$DD621,35),0)</f>
        <v/>
      </c>
      <c r="AL621">
        <f>IFERROR(INDEX(PP_Grid[#Data],$DD621,36),0)</f>
        <v/>
      </c>
      <c r="AM621">
        <f>IFERROR(INDEX(PP_Grid[#Data],$DD621,37),0)</f>
        <v/>
      </c>
      <c r="AN621">
        <f>IFERROR(INDEX(PP_Grid[#Data],$DD621,38),0)</f>
        <v/>
      </c>
      <c r="AO621">
        <f>IFERROR(INDEX(PP_Grid[#Data],$DD621,39),0)</f>
        <v/>
      </c>
      <c r="AP621">
        <f>IFERROR(INDEX(PP_Grid[#Data],$DD621,40),0)</f>
        <v/>
      </c>
      <c r="AQ621">
        <f>IFERROR(INDEX(PP_Grid[#Data],$DD621,41),0)</f>
        <v/>
      </c>
      <c r="AR621">
        <f>IFERROR(INDEX(PP_Grid[#Data],$DD621,42),0)</f>
        <v/>
      </c>
      <c r="AS621">
        <f>IFERROR(INDEX(PP_Grid[#Data],$DD621,43),0)</f>
        <v/>
      </c>
      <c r="AT621">
        <f>IFERROR(INDEX(PP_Grid[#Data],$DD621,44),0)</f>
        <v/>
      </c>
      <c r="AU621">
        <f>IFERROR(INDEX(PP_Grid[#Data],$DD621,45),0)</f>
        <v/>
      </c>
      <c r="AV621">
        <f>IFERROR(INDEX(PP_Grid[#Data],$DD621,46),0)</f>
        <v/>
      </c>
      <c r="AW621">
        <f>IFERROR(INDEX(PP_Grid[#Data],$DD621,47),0)</f>
        <v/>
      </c>
      <c r="AX621">
        <f>IFERROR(INDEX(PP_Grid[#Data],$DD621,48),0)</f>
        <v/>
      </c>
      <c r="AY621">
        <f>IFERROR(INDEX(PP_Grid[#Data],$DD621,49),0)</f>
        <v/>
      </c>
      <c r="AZ621">
        <f>IFERROR(INDEX(PP_Grid[#Data],$DD621,50),0)</f>
        <v/>
      </c>
      <c r="BA621">
        <f>IFERROR(INDEX(PP_Grid[#Data],$DD621,51),0)</f>
        <v/>
      </c>
      <c r="BB621">
        <f>IFERROR(INDEX(PP_Grid[#Data],$DD621,52),0)</f>
        <v/>
      </c>
      <c r="BC621">
        <f>IFERROR(INDEX(PP_Grid[#Data],$DD621,53),0)</f>
        <v/>
      </c>
      <c r="BD621">
        <f>IFERROR(INDEX(PP_Grid[#Data],$DD621,54),0)</f>
        <v/>
      </c>
      <c r="BE621">
        <f>IFERROR(INDEX(PP_Grid[#Data],$DD621,55),0)</f>
        <v/>
      </c>
      <c r="BF621">
        <f>IFERROR(INDEX(PP_Grid[#Data],$DD621,56),0)</f>
        <v/>
      </c>
      <c r="BG621">
        <f>IFERROR(INDEX(PP_Grid[#Data],$DD621,57),0)</f>
        <v/>
      </c>
      <c r="BH621">
        <f>IFERROR(INDEX(PP_Grid[#Data],$DD621,58),0)</f>
        <v/>
      </c>
      <c r="BI621">
        <f>IFERROR(INDEX(PP_Grid[#Data],$DD621,59),0)</f>
        <v/>
      </c>
      <c r="BJ621">
        <f>IFERROR(INDEX(PP_Grid[#Data],$DD621,60),0)</f>
        <v/>
      </c>
      <c r="BK621">
        <f>IFERROR(INDEX(PP_Grid[#Data],$DD621,61),0)</f>
        <v/>
      </c>
      <c r="BL621">
        <f>IFERROR(INDEX(PP_Grid[#Data],$DD621,62),0)</f>
        <v/>
      </c>
      <c r="BM621">
        <f>IFERROR(INDEX(PP_Grid[#Data],$DD621,63),0)</f>
        <v/>
      </c>
      <c r="BN621">
        <f>IFERROR(INDEX(PP_Grid[#Data],$DD621,64),0)</f>
        <v/>
      </c>
      <c r="BO621">
        <f>IFERROR(INDEX(PP_Grid[#Data],$DD621,65),0)</f>
        <v/>
      </c>
      <c r="BP621">
        <f>IFERROR(INDEX(PP_Grid[#Data],$DD621,66),0)</f>
        <v/>
      </c>
      <c r="BQ621">
        <f>IFERROR(INDEX(PP_Grid[#Data],$DD621,67),0)</f>
        <v/>
      </c>
      <c r="BR621">
        <f>IFERROR(INDEX(PP_Grid[#Data],$DD621,68),0)</f>
        <v/>
      </c>
      <c r="BS621">
        <f>IFERROR(INDEX(PP_Grid[#Data],$DD621,69),0)</f>
        <v/>
      </c>
      <c r="BT621">
        <f>IFERROR(INDEX(PP_Grid[#Data],$DD621,70),0)</f>
        <v/>
      </c>
      <c r="BU621">
        <f>IFERROR(INDEX(PP_Grid[#Data],$DD621,71),0)</f>
        <v/>
      </c>
      <c r="BV621">
        <f>IFERROR(INDEX(PP_Grid[#Data],$DD621,72),0)</f>
        <v/>
      </c>
      <c r="BW621">
        <f>IFERROR(INDEX(PP_Grid[#Data],$DD621,73),0)</f>
        <v/>
      </c>
      <c r="BX621">
        <f>IFERROR(INDEX(PP_Grid[#Data],$DD621,74),0)</f>
        <v/>
      </c>
      <c r="BY621">
        <f>IFERROR(INDEX(PP_Grid[#Data],$DD621,75),0)</f>
        <v/>
      </c>
      <c r="BZ621">
        <f>IFERROR(INDEX(PP_Grid[#Data],$DD621,76),0)</f>
        <v/>
      </c>
      <c r="CA621">
        <f>IFERROR(INDEX(PP_Grid[#Data],$DD621,77),0)</f>
        <v/>
      </c>
      <c r="CB621">
        <f>IFERROR(INDEX(PP_Grid[#Data],$DD621,78),0)</f>
        <v/>
      </c>
      <c r="CC621">
        <f>IFERROR(INDEX(PP_Grid[#Data],$DD621,79),0)</f>
        <v/>
      </c>
      <c r="CD621">
        <f>IFERROR(INDEX(PP_Grid[#Data],$DD621,80),0)</f>
        <v/>
      </c>
      <c r="CE621">
        <f>IFERROR(INDEX(PP_Grid[#Data],$DD621,81),0)</f>
        <v/>
      </c>
      <c r="CF621">
        <f>IFERROR(INDEX(PP_Grid[#Data],$DD621,82),0)</f>
        <v/>
      </c>
      <c r="CG621">
        <f>IFERROR(INDEX(PP_Grid[#Data],$DD621,83),0)</f>
        <v/>
      </c>
      <c r="CH621">
        <f>IFERROR(INDEX(PP_Grid[#Data],$DD621,84),0)</f>
        <v/>
      </c>
      <c r="CI621">
        <f>IFERROR(INDEX(PP_Grid[#Data],$DD621,85),0)</f>
        <v/>
      </c>
      <c r="CJ621">
        <f>IFERROR(INDEX(PP_Grid[#Data],$DD621,86),0)</f>
        <v/>
      </c>
      <c r="CK621">
        <f>IFERROR(INDEX(PP_Grid[#Data],$DD621,87),0)</f>
        <v/>
      </c>
      <c r="CL621">
        <f>IFERROR(INDEX(PP_Grid[#Data],$DD621,88),0)</f>
        <v/>
      </c>
      <c r="CM621">
        <f>IFERROR(INDEX(PP_Grid[#Data],$DD621,89),0)</f>
        <v/>
      </c>
      <c r="CN621">
        <f>IFERROR(INDEX(PP_Grid[#Data],$DD621,90),0)</f>
        <v/>
      </c>
      <c r="CO621">
        <f>IFERROR(INDEX(PP_Grid[#Data],$DD621,91),0)</f>
        <v/>
      </c>
      <c r="CP621">
        <f>IFERROR(INDEX(PP_Grid[#Data],$DD621,92),0)</f>
        <v/>
      </c>
      <c r="CQ621">
        <f>IFERROR(INDEX(PP_Grid[#Data],$DD621,93),0)</f>
        <v/>
      </c>
      <c r="CR621">
        <f>IFERROR(INDEX(PP_Grid[#Data],$DD621,94),0)</f>
        <v/>
      </c>
      <c r="CS621">
        <f>IFERROR(INDEX(PP_Grid[#Data],$DD621,95),0)</f>
        <v/>
      </c>
      <c r="CT621">
        <f>IFERROR(INDEX(PP_Grid[#Data],$DD621,96),0)</f>
        <v/>
      </c>
      <c r="CU621">
        <f>IFERROR(INDEX(PP_Grid[#Data],$DD621,97),0)</f>
        <v/>
      </c>
      <c r="CV621">
        <f>IFERROR(INDEX(PP_Grid[#Data],$DD621,98),0)</f>
        <v/>
      </c>
      <c r="CW621">
        <f>IFERROR(INDEX(PP_Grid[#Data],$DD621,99),0)</f>
        <v/>
      </c>
      <c r="CX621">
        <f>IFERROR(INDEX(PP_Grid[#Data],$DD621,100),0)</f>
        <v/>
      </c>
      <c r="CY621">
        <f>IFERROR(INDEX(PP_Grid[#Data],$DD621,101),0)</f>
        <v/>
      </c>
      <c r="CZ621">
        <f>IFERROR(INDEX(PP_Grid[#Data],$DD621,102),0)</f>
        <v/>
      </c>
      <c r="DA621">
        <f>IFERROR(INDEX(PP_Grid[#Data],$DD621,103),0)</f>
        <v/>
      </c>
      <c r="DB621">
        <f>IFERROR(INDEX(PP_Grid[#Data],$DD621,104),0)</f>
        <v/>
      </c>
      <c r="DC621">
        <f>IFERROR(INDEX(PP_Grid[#Data],$DD621,105),0)</f>
        <v/>
      </c>
      <c r="DD621" s="7">
        <f>IFERROR(MATCH($B621,PP_Grid[Intermediate],0),99999)</f>
        <v/>
      </c>
    </row>
    <row r="622">
      <c r="B622" t="inlineStr">
        <is>
          <t>使用量(kg)</t>
        </is>
      </c>
      <c r="C622">
        <f>SUMIFS(M_BOM[RM_Qty_Per_Batch],M_BOM[Intermediate],$B621,M_BOM[Part Name],$A580)</f>
        <v/>
      </c>
      <c r="D622">
        <f>$C622*D621</f>
        <v/>
      </c>
      <c r="E622">
        <f>$C622*E621</f>
        <v/>
      </c>
      <c r="F622">
        <f>$C622*F621</f>
        <v/>
      </c>
      <c r="G622">
        <f>$C622*G621</f>
        <v/>
      </c>
      <c r="H622">
        <f>$C622*H621</f>
        <v/>
      </c>
      <c r="I622">
        <f>$C622*I621</f>
        <v/>
      </c>
      <c r="J622">
        <f>$C622*J621</f>
        <v/>
      </c>
      <c r="K622">
        <f>$C622*K621</f>
        <v/>
      </c>
      <c r="L622">
        <f>$C622*L621</f>
        <v/>
      </c>
      <c r="M622">
        <f>$C622*M621</f>
        <v/>
      </c>
      <c r="N622">
        <f>$C622*N621</f>
        <v/>
      </c>
      <c r="O622">
        <f>$C622*O621</f>
        <v/>
      </c>
      <c r="P622">
        <f>$C622*P621</f>
        <v/>
      </c>
      <c r="Q622">
        <f>$C622*Q621</f>
        <v/>
      </c>
      <c r="R622">
        <f>$C622*R621</f>
        <v/>
      </c>
      <c r="S622">
        <f>$C622*S621</f>
        <v/>
      </c>
      <c r="T622">
        <f>$C622*T621</f>
        <v/>
      </c>
      <c r="U622">
        <f>$C622*U621</f>
        <v/>
      </c>
      <c r="V622">
        <f>$C622*V621</f>
        <v/>
      </c>
      <c r="W622">
        <f>$C622*W621</f>
        <v/>
      </c>
      <c r="X622">
        <f>$C622*X621</f>
        <v/>
      </c>
      <c r="Y622">
        <f>$C622*Y621</f>
        <v/>
      </c>
      <c r="Z622">
        <f>$C622*Z621</f>
        <v/>
      </c>
      <c r="AA622">
        <f>$C622*AA621</f>
        <v/>
      </c>
      <c r="AB622">
        <f>$C622*AB621</f>
        <v/>
      </c>
      <c r="AC622">
        <f>$C622*AC621</f>
        <v/>
      </c>
      <c r="AD622">
        <f>$C622*AD621</f>
        <v/>
      </c>
      <c r="AE622">
        <f>$C622*AE621</f>
        <v/>
      </c>
      <c r="AF622">
        <f>$C622*AF621</f>
        <v/>
      </c>
      <c r="AG622">
        <f>$C622*AG621</f>
        <v/>
      </c>
      <c r="AH622">
        <f>$C622*AH621</f>
        <v/>
      </c>
      <c r="AI622">
        <f>$C622*AI621</f>
        <v/>
      </c>
      <c r="AJ622">
        <f>$C622*AJ621</f>
        <v/>
      </c>
      <c r="AK622">
        <f>$C622*AK621</f>
        <v/>
      </c>
      <c r="AL622">
        <f>$C622*AL621</f>
        <v/>
      </c>
      <c r="AM622">
        <f>$C622*AM621</f>
        <v/>
      </c>
      <c r="AN622">
        <f>$C622*AN621</f>
        <v/>
      </c>
      <c r="AO622">
        <f>$C622*AO621</f>
        <v/>
      </c>
      <c r="AP622">
        <f>$C622*AP621</f>
        <v/>
      </c>
      <c r="AQ622">
        <f>$C622*AQ621</f>
        <v/>
      </c>
      <c r="AR622">
        <f>$C622*AR621</f>
        <v/>
      </c>
      <c r="AS622">
        <f>$C622*AS621</f>
        <v/>
      </c>
      <c r="AT622">
        <f>$C622*AT621</f>
        <v/>
      </c>
      <c r="AU622">
        <f>$C622*AU621</f>
        <v/>
      </c>
      <c r="AV622">
        <f>$C622*AV621</f>
        <v/>
      </c>
      <c r="AW622">
        <f>$C622*AW621</f>
        <v/>
      </c>
      <c r="AX622">
        <f>$C622*AX621</f>
        <v/>
      </c>
      <c r="AY622">
        <f>$C622*AY621</f>
        <v/>
      </c>
      <c r="AZ622">
        <f>$C622*AZ621</f>
        <v/>
      </c>
      <c r="BA622">
        <f>$C622*BA621</f>
        <v/>
      </c>
      <c r="BB622">
        <f>$C622*BB621</f>
        <v/>
      </c>
      <c r="BC622">
        <f>$C622*BC621</f>
        <v/>
      </c>
      <c r="BD622">
        <f>$C622*BD621</f>
        <v/>
      </c>
      <c r="BE622">
        <f>$C622*BE621</f>
        <v/>
      </c>
      <c r="BF622">
        <f>$C622*BF621</f>
        <v/>
      </c>
      <c r="BG622">
        <f>$C622*BG621</f>
        <v/>
      </c>
      <c r="BH622">
        <f>$C622*BH621</f>
        <v/>
      </c>
      <c r="BI622">
        <f>$C622*BI621</f>
        <v/>
      </c>
      <c r="BJ622">
        <f>$C622*BJ621</f>
        <v/>
      </c>
      <c r="BK622">
        <f>$C622*BK621</f>
        <v/>
      </c>
      <c r="BL622">
        <f>$C622*BL621</f>
        <v/>
      </c>
      <c r="BM622">
        <f>$C622*BM621</f>
        <v/>
      </c>
      <c r="BN622">
        <f>$C622*BN621</f>
        <v/>
      </c>
      <c r="BO622">
        <f>$C622*BO621</f>
        <v/>
      </c>
      <c r="BP622">
        <f>$C622*BP621</f>
        <v/>
      </c>
      <c r="BQ622">
        <f>$C622*BQ621</f>
        <v/>
      </c>
      <c r="BR622">
        <f>$C622*BR621</f>
        <v/>
      </c>
      <c r="BS622">
        <f>$C622*BS621</f>
        <v/>
      </c>
      <c r="BT622">
        <f>$C622*BT621</f>
        <v/>
      </c>
      <c r="BU622">
        <f>$C622*BU621</f>
        <v/>
      </c>
      <c r="BV622">
        <f>$C622*BV621</f>
        <v/>
      </c>
      <c r="BW622">
        <f>$C622*BW621</f>
        <v/>
      </c>
      <c r="BX622">
        <f>$C622*BX621</f>
        <v/>
      </c>
      <c r="BY622">
        <f>$C622*BY621</f>
        <v/>
      </c>
      <c r="BZ622">
        <f>$C622*BZ621</f>
        <v/>
      </c>
      <c r="CA622">
        <f>$C622*CA621</f>
        <v/>
      </c>
      <c r="CB622">
        <f>$C622*CB621</f>
        <v/>
      </c>
      <c r="CC622">
        <f>$C622*CC621</f>
        <v/>
      </c>
      <c r="CD622">
        <f>$C622*CD621</f>
        <v/>
      </c>
      <c r="CE622">
        <f>$C622*CE621</f>
        <v/>
      </c>
      <c r="CF622">
        <f>$C622*CF621</f>
        <v/>
      </c>
      <c r="CG622">
        <f>$C622*CG621</f>
        <v/>
      </c>
      <c r="CH622">
        <f>$C622*CH621</f>
        <v/>
      </c>
      <c r="CI622">
        <f>$C622*CI621</f>
        <v/>
      </c>
      <c r="CJ622">
        <f>$C622*CJ621</f>
        <v/>
      </c>
      <c r="CK622">
        <f>$C622*CK621</f>
        <v/>
      </c>
      <c r="CL622">
        <f>$C622*CL621</f>
        <v/>
      </c>
      <c r="CM622">
        <f>$C622*CM621</f>
        <v/>
      </c>
      <c r="CN622">
        <f>$C622*CN621</f>
        <v/>
      </c>
      <c r="CO622">
        <f>$C622*CO621</f>
        <v/>
      </c>
      <c r="CP622">
        <f>$C622*CP621</f>
        <v/>
      </c>
      <c r="CQ622">
        <f>$C622*CQ621</f>
        <v/>
      </c>
      <c r="CR622">
        <f>$C622*CR621</f>
        <v/>
      </c>
      <c r="CS622">
        <f>$C622*CS621</f>
        <v/>
      </c>
      <c r="CT622">
        <f>$C622*CT621</f>
        <v/>
      </c>
      <c r="CU622">
        <f>$C622*CU621</f>
        <v/>
      </c>
      <c r="CV622">
        <f>$C622*CV621</f>
        <v/>
      </c>
      <c r="CW622">
        <f>$C622*CW621</f>
        <v/>
      </c>
      <c r="CX622">
        <f>$C622*CX621</f>
        <v/>
      </c>
      <c r="CY622">
        <f>$C622*CY621</f>
        <v/>
      </c>
      <c r="CZ622">
        <f>$C622*CZ621</f>
        <v/>
      </c>
      <c r="DA622">
        <f>$C622*DA621</f>
        <v/>
      </c>
      <c r="DB622">
        <f>$C622*DB621</f>
        <v/>
      </c>
      <c r="DC622">
        <f>$C622*DC621</f>
        <v/>
      </c>
    </row>
    <row r="623">
      <c r="B623" t="inlineStr">
        <is>
          <t>TPP-537</t>
        </is>
      </c>
      <c r="C623" t="inlineStr">
        <is>
          <t>No. of batches</t>
        </is>
      </c>
      <c r="D623">
        <f>IFERROR(INDEX(PP_Grid[#Data],$DD623,2),0)</f>
        <v/>
      </c>
      <c r="E623">
        <f>IFERROR(INDEX(PP_Grid[#Data],$DD623,3),0)</f>
        <v/>
      </c>
      <c r="F623">
        <f>IFERROR(INDEX(PP_Grid[#Data],$DD623,4),0)</f>
        <v/>
      </c>
      <c r="G623">
        <f>IFERROR(INDEX(PP_Grid[#Data],$DD623,5),0)</f>
        <v/>
      </c>
      <c r="H623">
        <f>IFERROR(INDEX(PP_Grid[#Data],$DD623,6),0)</f>
        <v/>
      </c>
      <c r="I623">
        <f>IFERROR(INDEX(PP_Grid[#Data],$DD623,7),0)</f>
        <v/>
      </c>
      <c r="J623">
        <f>IFERROR(INDEX(PP_Grid[#Data],$DD623,8),0)</f>
        <v/>
      </c>
      <c r="K623">
        <f>IFERROR(INDEX(PP_Grid[#Data],$DD623,9),0)</f>
        <v/>
      </c>
      <c r="L623">
        <f>IFERROR(INDEX(PP_Grid[#Data],$DD623,10),0)</f>
        <v/>
      </c>
      <c r="M623">
        <f>IFERROR(INDEX(PP_Grid[#Data],$DD623,11),0)</f>
        <v/>
      </c>
      <c r="N623">
        <f>IFERROR(INDEX(PP_Grid[#Data],$DD623,12),0)</f>
        <v/>
      </c>
      <c r="O623">
        <f>IFERROR(INDEX(PP_Grid[#Data],$DD623,13),0)</f>
        <v/>
      </c>
      <c r="P623">
        <f>IFERROR(INDEX(PP_Grid[#Data],$DD623,14),0)</f>
        <v/>
      </c>
      <c r="Q623">
        <f>IFERROR(INDEX(PP_Grid[#Data],$DD623,15),0)</f>
        <v/>
      </c>
      <c r="R623">
        <f>IFERROR(INDEX(PP_Grid[#Data],$DD623,16),0)</f>
        <v/>
      </c>
      <c r="S623">
        <f>IFERROR(INDEX(PP_Grid[#Data],$DD623,17),0)</f>
        <v/>
      </c>
      <c r="T623">
        <f>IFERROR(INDEX(PP_Grid[#Data],$DD623,18),0)</f>
        <v/>
      </c>
      <c r="U623">
        <f>IFERROR(INDEX(PP_Grid[#Data],$DD623,19),0)</f>
        <v/>
      </c>
      <c r="V623">
        <f>IFERROR(INDEX(PP_Grid[#Data],$DD623,20),0)</f>
        <v/>
      </c>
      <c r="W623">
        <f>IFERROR(INDEX(PP_Grid[#Data],$DD623,21),0)</f>
        <v/>
      </c>
      <c r="X623">
        <f>IFERROR(INDEX(PP_Grid[#Data],$DD623,22),0)</f>
        <v/>
      </c>
      <c r="Y623">
        <f>IFERROR(INDEX(PP_Grid[#Data],$DD623,23),0)</f>
        <v/>
      </c>
      <c r="Z623">
        <f>IFERROR(INDEX(PP_Grid[#Data],$DD623,24),0)</f>
        <v/>
      </c>
      <c r="AA623">
        <f>IFERROR(INDEX(PP_Grid[#Data],$DD623,25),0)</f>
        <v/>
      </c>
      <c r="AB623">
        <f>IFERROR(INDEX(PP_Grid[#Data],$DD623,26),0)</f>
        <v/>
      </c>
      <c r="AC623">
        <f>IFERROR(INDEX(PP_Grid[#Data],$DD623,27),0)</f>
        <v/>
      </c>
      <c r="AD623">
        <f>IFERROR(INDEX(PP_Grid[#Data],$DD623,28),0)</f>
        <v/>
      </c>
      <c r="AE623">
        <f>IFERROR(INDEX(PP_Grid[#Data],$DD623,29),0)</f>
        <v/>
      </c>
      <c r="AF623">
        <f>IFERROR(INDEX(PP_Grid[#Data],$DD623,30),0)</f>
        <v/>
      </c>
      <c r="AG623">
        <f>IFERROR(INDEX(PP_Grid[#Data],$DD623,31),0)</f>
        <v/>
      </c>
      <c r="AH623">
        <f>IFERROR(INDEX(PP_Grid[#Data],$DD623,32),0)</f>
        <v/>
      </c>
      <c r="AI623">
        <f>IFERROR(INDEX(PP_Grid[#Data],$DD623,33),0)</f>
        <v/>
      </c>
      <c r="AJ623">
        <f>IFERROR(INDEX(PP_Grid[#Data],$DD623,34),0)</f>
        <v/>
      </c>
      <c r="AK623">
        <f>IFERROR(INDEX(PP_Grid[#Data],$DD623,35),0)</f>
        <v/>
      </c>
      <c r="AL623">
        <f>IFERROR(INDEX(PP_Grid[#Data],$DD623,36),0)</f>
        <v/>
      </c>
      <c r="AM623">
        <f>IFERROR(INDEX(PP_Grid[#Data],$DD623,37),0)</f>
        <v/>
      </c>
      <c r="AN623">
        <f>IFERROR(INDEX(PP_Grid[#Data],$DD623,38),0)</f>
        <v/>
      </c>
      <c r="AO623">
        <f>IFERROR(INDEX(PP_Grid[#Data],$DD623,39),0)</f>
        <v/>
      </c>
      <c r="AP623">
        <f>IFERROR(INDEX(PP_Grid[#Data],$DD623,40),0)</f>
        <v/>
      </c>
      <c r="AQ623">
        <f>IFERROR(INDEX(PP_Grid[#Data],$DD623,41),0)</f>
        <v/>
      </c>
      <c r="AR623">
        <f>IFERROR(INDEX(PP_Grid[#Data],$DD623,42),0)</f>
        <v/>
      </c>
      <c r="AS623">
        <f>IFERROR(INDEX(PP_Grid[#Data],$DD623,43),0)</f>
        <v/>
      </c>
      <c r="AT623">
        <f>IFERROR(INDEX(PP_Grid[#Data],$DD623,44),0)</f>
        <v/>
      </c>
      <c r="AU623">
        <f>IFERROR(INDEX(PP_Grid[#Data],$DD623,45),0)</f>
        <v/>
      </c>
      <c r="AV623">
        <f>IFERROR(INDEX(PP_Grid[#Data],$DD623,46),0)</f>
        <v/>
      </c>
      <c r="AW623">
        <f>IFERROR(INDEX(PP_Grid[#Data],$DD623,47),0)</f>
        <v/>
      </c>
      <c r="AX623">
        <f>IFERROR(INDEX(PP_Grid[#Data],$DD623,48),0)</f>
        <v/>
      </c>
      <c r="AY623">
        <f>IFERROR(INDEX(PP_Grid[#Data],$DD623,49),0)</f>
        <v/>
      </c>
      <c r="AZ623">
        <f>IFERROR(INDEX(PP_Grid[#Data],$DD623,50),0)</f>
        <v/>
      </c>
      <c r="BA623">
        <f>IFERROR(INDEX(PP_Grid[#Data],$DD623,51),0)</f>
        <v/>
      </c>
      <c r="BB623">
        <f>IFERROR(INDEX(PP_Grid[#Data],$DD623,52),0)</f>
        <v/>
      </c>
      <c r="BC623">
        <f>IFERROR(INDEX(PP_Grid[#Data],$DD623,53),0)</f>
        <v/>
      </c>
      <c r="BD623">
        <f>IFERROR(INDEX(PP_Grid[#Data],$DD623,54),0)</f>
        <v/>
      </c>
      <c r="BE623">
        <f>IFERROR(INDEX(PP_Grid[#Data],$DD623,55),0)</f>
        <v/>
      </c>
      <c r="BF623">
        <f>IFERROR(INDEX(PP_Grid[#Data],$DD623,56),0)</f>
        <v/>
      </c>
      <c r="BG623">
        <f>IFERROR(INDEX(PP_Grid[#Data],$DD623,57),0)</f>
        <v/>
      </c>
      <c r="BH623">
        <f>IFERROR(INDEX(PP_Grid[#Data],$DD623,58),0)</f>
        <v/>
      </c>
      <c r="BI623">
        <f>IFERROR(INDEX(PP_Grid[#Data],$DD623,59),0)</f>
        <v/>
      </c>
      <c r="BJ623">
        <f>IFERROR(INDEX(PP_Grid[#Data],$DD623,60),0)</f>
        <v/>
      </c>
      <c r="BK623">
        <f>IFERROR(INDEX(PP_Grid[#Data],$DD623,61),0)</f>
        <v/>
      </c>
      <c r="BL623">
        <f>IFERROR(INDEX(PP_Grid[#Data],$DD623,62),0)</f>
        <v/>
      </c>
      <c r="BM623">
        <f>IFERROR(INDEX(PP_Grid[#Data],$DD623,63),0)</f>
        <v/>
      </c>
      <c r="BN623">
        <f>IFERROR(INDEX(PP_Grid[#Data],$DD623,64),0)</f>
        <v/>
      </c>
      <c r="BO623">
        <f>IFERROR(INDEX(PP_Grid[#Data],$DD623,65),0)</f>
        <v/>
      </c>
      <c r="BP623">
        <f>IFERROR(INDEX(PP_Grid[#Data],$DD623,66),0)</f>
        <v/>
      </c>
      <c r="BQ623">
        <f>IFERROR(INDEX(PP_Grid[#Data],$DD623,67),0)</f>
        <v/>
      </c>
      <c r="BR623">
        <f>IFERROR(INDEX(PP_Grid[#Data],$DD623,68),0)</f>
        <v/>
      </c>
      <c r="BS623">
        <f>IFERROR(INDEX(PP_Grid[#Data],$DD623,69),0)</f>
        <v/>
      </c>
      <c r="BT623">
        <f>IFERROR(INDEX(PP_Grid[#Data],$DD623,70),0)</f>
        <v/>
      </c>
      <c r="BU623">
        <f>IFERROR(INDEX(PP_Grid[#Data],$DD623,71),0)</f>
        <v/>
      </c>
      <c r="BV623">
        <f>IFERROR(INDEX(PP_Grid[#Data],$DD623,72),0)</f>
        <v/>
      </c>
      <c r="BW623">
        <f>IFERROR(INDEX(PP_Grid[#Data],$DD623,73),0)</f>
        <v/>
      </c>
      <c r="BX623">
        <f>IFERROR(INDEX(PP_Grid[#Data],$DD623,74),0)</f>
        <v/>
      </c>
      <c r="BY623">
        <f>IFERROR(INDEX(PP_Grid[#Data],$DD623,75),0)</f>
        <v/>
      </c>
      <c r="BZ623">
        <f>IFERROR(INDEX(PP_Grid[#Data],$DD623,76),0)</f>
        <v/>
      </c>
      <c r="CA623">
        <f>IFERROR(INDEX(PP_Grid[#Data],$DD623,77),0)</f>
        <v/>
      </c>
      <c r="CB623">
        <f>IFERROR(INDEX(PP_Grid[#Data],$DD623,78),0)</f>
        <v/>
      </c>
      <c r="CC623">
        <f>IFERROR(INDEX(PP_Grid[#Data],$DD623,79),0)</f>
        <v/>
      </c>
      <c r="CD623">
        <f>IFERROR(INDEX(PP_Grid[#Data],$DD623,80),0)</f>
        <v/>
      </c>
      <c r="CE623">
        <f>IFERROR(INDEX(PP_Grid[#Data],$DD623,81),0)</f>
        <v/>
      </c>
      <c r="CF623">
        <f>IFERROR(INDEX(PP_Grid[#Data],$DD623,82),0)</f>
        <v/>
      </c>
      <c r="CG623">
        <f>IFERROR(INDEX(PP_Grid[#Data],$DD623,83),0)</f>
        <v/>
      </c>
      <c r="CH623">
        <f>IFERROR(INDEX(PP_Grid[#Data],$DD623,84),0)</f>
        <v/>
      </c>
      <c r="CI623">
        <f>IFERROR(INDEX(PP_Grid[#Data],$DD623,85),0)</f>
        <v/>
      </c>
      <c r="CJ623">
        <f>IFERROR(INDEX(PP_Grid[#Data],$DD623,86),0)</f>
        <v/>
      </c>
      <c r="CK623">
        <f>IFERROR(INDEX(PP_Grid[#Data],$DD623,87),0)</f>
        <v/>
      </c>
      <c r="CL623">
        <f>IFERROR(INDEX(PP_Grid[#Data],$DD623,88),0)</f>
        <v/>
      </c>
      <c r="CM623">
        <f>IFERROR(INDEX(PP_Grid[#Data],$DD623,89),0)</f>
        <v/>
      </c>
      <c r="CN623">
        <f>IFERROR(INDEX(PP_Grid[#Data],$DD623,90),0)</f>
        <v/>
      </c>
      <c r="CO623">
        <f>IFERROR(INDEX(PP_Grid[#Data],$DD623,91),0)</f>
        <v/>
      </c>
      <c r="CP623">
        <f>IFERROR(INDEX(PP_Grid[#Data],$DD623,92),0)</f>
        <v/>
      </c>
      <c r="CQ623">
        <f>IFERROR(INDEX(PP_Grid[#Data],$DD623,93),0)</f>
        <v/>
      </c>
      <c r="CR623">
        <f>IFERROR(INDEX(PP_Grid[#Data],$DD623,94),0)</f>
        <v/>
      </c>
      <c r="CS623">
        <f>IFERROR(INDEX(PP_Grid[#Data],$DD623,95),0)</f>
        <v/>
      </c>
      <c r="CT623">
        <f>IFERROR(INDEX(PP_Grid[#Data],$DD623,96),0)</f>
        <v/>
      </c>
      <c r="CU623">
        <f>IFERROR(INDEX(PP_Grid[#Data],$DD623,97),0)</f>
        <v/>
      </c>
      <c r="CV623">
        <f>IFERROR(INDEX(PP_Grid[#Data],$DD623,98),0)</f>
        <v/>
      </c>
      <c r="CW623">
        <f>IFERROR(INDEX(PP_Grid[#Data],$DD623,99),0)</f>
        <v/>
      </c>
      <c r="CX623">
        <f>IFERROR(INDEX(PP_Grid[#Data],$DD623,100),0)</f>
        <v/>
      </c>
      <c r="CY623">
        <f>IFERROR(INDEX(PP_Grid[#Data],$DD623,101),0)</f>
        <v/>
      </c>
      <c r="CZ623">
        <f>IFERROR(INDEX(PP_Grid[#Data],$DD623,102),0)</f>
        <v/>
      </c>
      <c r="DA623">
        <f>IFERROR(INDEX(PP_Grid[#Data],$DD623,103),0)</f>
        <v/>
      </c>
      <c r="DB623">
        <f>IFERROR(INDEX(PP_Grid[#Data],$DD623,104),0)</f>
        <v/>
      </c>
      <c r="DC623">
        <f>IFERROR(INDEX(PP_Grid[#Data],$DD623,105),0)</f>
        <v/>
      </c>
      <c r="DD623" s="7">
        <f>IFERROR(MATCH($B623,PP_Grid[Intermediate],0),99999)</f>
        <v/>
      </c>
    </row>
    <row r="624">
      <c r="B624" t="inlineStr">
        <is>
          <t>使用量(kg)</t>
        </is>
      </c>
      <c r="C624">
        <f>SUMIFS(M_BOM[RM_Qty_Per_Batch],M_BOM[Intermediate],$B623,M_BOM[Part Name],$A580)</f>
        <v/>
      </c>
      <c r="D624">
        <f>$C624*D623</f>
        <v/>
      </c>
      <c r="E624">
        <f>$C624*E623</f>
        <v/>
      </c>
      <c r="F624">
        <f>$C624*F623</f>
        <v/>
      </c>
      <c r="G624">
        <f>$C624*G623</f>
        <v/>
      </c>
      <c r="H624">
        <f>$C624*H623</f>
        <v/>
      </c>
      <c r="I624">
        <f>$C624*I623</f>
        <v/>
      </c>
      <c r="J624">
        <f>$C624*J623</f>
        <v/>
      </c>
      <c r="K624">
        <f>$C624*K623</f>
        <v/>
      </c>
      <c r="L624">
        <f>$C624*L623</f>
        <v/>
      </c>
      <c r="M624">
        <f>$C624*M623</f>
        <v/>
      </c>
      <c r="N624">
        <f>$C624*N623</f>
        <v/>
      </c>
      <c r="O624">
        <f>$C624*O623</f>
        <v/>
      </c>
      <c r="P624">
        <f>$C624*P623</f>
        <v/>
      </c>
      <c r="Q624">
        <f>$C624*Q623</f>
        <v/>
      </c>
      <c r="R624">
        <f>$C624*R623</f>
        <v/>
      </c>
      <c r="S624">
        <f>$C624*S623</f>
        <v/>
      </c>
      <c r="T624">
        <f>$C624*T623</f>
        <v/>
      </c>
      <c r="U624">
        <f>$C624*U623</f>
        <v/>
      </c>
      <c r="V624">
        <f>$C624*V623</f>
        <v/>
      </c>
      <c r="W624">
        <f>$C624*W623</f>
        <v/>
      </c>
      <c r="X624">
        <f>$C624*X623</f>
        <v/>
      </c>
      <c r="Y624">
        <f>$C624*Y623</f>
        <v/>
      </c>
      <c r="Z624">
        <f>$C624*Z623</f>
        <v/>
      </c>
      <c r="AA624">
        <f>$C624*AA623</f>
        <v/>
      </c>
      <c r="AB624">
        <f>$C624*AB623</f>
        <v/>
      </c>
      <c r="AC624">
        <f>$C624*AC623</f>
        <v/>
      </c>
      <c r="AD624">
        <f>$C624*AD623</f>
        <v/>
      </c>
      <c r="AE624">
        <f>$C624*AE623</f>
        <v/>
      </c>
      <c r="AF624">
        <f>$C624*AF623</f>
        <v/>
      </c>
      <c r="AG624">
        <f>$C624*AG623</f>
        <v/>
      </c>
      <c r="AH624">
        <f>$C624*AH623</f>
        <v/>
      </c>
      <c r="AI624">
        <f>$C624*AI623</f>
        <v/>
      </c>
      <c r="AJ624">
        <f>$C624*AJ623</f>
        <v/>
      </c>
      <c r="AK624">
        <f>$C624*AK623</f>
        <v/>
      </c>
      <c r="AL624">
        <f>$C624*AL623</f>
        <v/>
      </c>
      <c r="AM624">
        <f>$C624*AM623</f>
        <v/>
      </c>
      <c r="AN624">
        <f>$C624*AN623</f>
        <v/>
      </c>
      <c r="AO624">
        <f>$C624*AO623</f>
        <v/>
      </c>
      <c r="AP624">
        <f>$C624*AP623</f>
        <v/>
      </c>
      <c r="AQ624">
        <f>$C624*AQ623</f>
        <v/>
      </c>
      <c r="AR624">
        <f>$C624*AR623</f>
        <v/>
      </c>
      <c r="AS624">
        <f>$C624*AS623</f>
        <v/>
      </c>
      <c r="AT624">
        <f>$C624*AT623</f>
        <v/>
      </c>
      <c r="AU624">
        <f>$C624*AU623</f>
        <v/>
      </c>
      <c r="AV624">
        <f>$C624*AV623</f>
        <v/>
      </c>
      <c r="AW624">
        <f>$C624*AW623</f>
        <v/>
      </c>
      <c r="AX624">
        <f>$C624*AX623</f>
        <v/>
      </c>
      <c r="AY624">
        <f>$C624*AY623</f>
        <v/>
      </c>
      <c r="AZ624">
        <f>$C624*AZ623</f>
        <v/>
      </c>
      <c r="BA624">
        <f>$C624*BA623</f>
        <v/>
      </c>
      <c r="BB624">
        <f>$C624*BB623</f>
        <v/>
      </c>
      <c r="BC624">
        <f>$C624*BC623</f>
        <v/>
      </c>
      <c r="BD624">
        <f>$C624*BD623</f>
        <v/>
      </c>
      <c r="BE624">
        <f>$C624*BE623</f>
        <v/>
      </c>
      <c r="BF624">
        <f>$C624*BF623</f>
        <v/>
      </c>
      <c r="BG624">
        <f>$C624*BG623</f>
        <v/>
      </c>
      <c r="BH624">
        <f>$C624*BH623</f>
        <v/>
      </c>
      <c r="BI624">
        <f>$C624*BI623</f>
        <v/>
      </c>
      <c r="BJ624">
        <f>$C624*BJ623</f>
        <v/>
      </c>
      <c r="BK624">
        <f>$C624*BK623</f>
        <v/>
      </c>
      <c r="BL624">
        <f>$C624*BL623</f>
        <v/>
      </c>
      <c r="BM624">
        <f>$C624*BM623</f>
        <v/>
      </c>
      <c r="BN624">
        <f>$C624*BN623</f>
        <v/>
      </c>
      <c r="BO624">
        <f>$C624*BO623</f>
        <v/>
      </c>
      <c r="BP624">
        <f>$C624*BP623</f>
        <v/>
      </c>
      <c r="BQ624">
        <f>$C624*BQ623</f>
        <v/>
      </c>
      <c r="BR624">
        <f>$C624*BR623</f>
        <v/>
      </c>
      <c r="BS624">
        <f>$C624*BS623</f>
        <v/>
      </c>
      <c r="BT624">
        <f>$C624*BT623</f>
        <v/>
      </c>
      <c r="BU624">
        <f>$C624*BU623</f>
        <v/>
      </c>
      <c r="BV624">
        <f>$C624*BV623</f>
        <v/>
      </c>
      <c r="BW624">
        <f>$C624*BW623</f>
        <v/>
      </c>
      <c r="BX624">
        <f>$C624*BX623</f>
        <v/>
      </c>
      <c r="BY624">
        <f>$C624*BY623</f>
        <v/>
      </c>
      <c r="BZ624">
        <f>$C624*BZ623</f>
        <v/>
      </c>
      <c r="CA624">
        <f>$C624*CA623</f>
        <v/>
      </c>
      <c r="CB624">
        <f>$C624*CB623</f>
        <v/>
      </c>
      <c r="CC624">
        <f>$C624*CC623</f>
        <v/>
      </c>
      <c r="CD624">
        <f>$C624*CD623</f>
        <v/>
      </c>
      <c r="CE624">
        <f>$C624*CE623</f>
        <v/>
      </c>
      <c r="CF624">
        <f>$C624*CF623</f>
        <v/>
      </c>
      <c r="CG624">
        <f>$C624*CG623</f>
        <v/>
      </c>
      <c r="CH624">
        <f>$C624*CH623</f>
        <v/>
      </c>
      <c r="CI624">
        <f>$C624*CI623</f>
        <v/>
      </c>
      <c r="CJ624">
        <f>$C624*CJ623</f>
        <v/>
      </c>
      <c r="CK624">
        <f>$C624*CK623</f>
        <v/>
      </c>
      <c r="CL624">
        <f>$C624*CL623</f>
        <v/>
      </c>
      <c r="CM624">
        <f>$C624*CM623</f>
        <v/>
      </c>
      <c r="CN624">
        <f>$C624*CN623</f>
        <v/>
      </c>
      <c r="CO624">
        <f>$C624*CO623</f>
        <v/>
      </c>
      <c r="CP624">
        <f>$C624*CP623</f>
        <v/>
      </c>
      <c r="CQ624">
        <f>$C624*CQ623</f>
        <v/>
      </c>
      <c r="CR624">
        <f>$C624*CR623</f>
        <v/>
      </c>
      <c r="CS624">
        <f>$C624*CS623</f>
        <v/>
      </c>
      <c r="CT624">
        <f>$C624*CT623</f>
        <v/>
      </c>
      <c r="CU624">
        <f>$C624*CU623</f>
        <v/>
      </c>
      <c r="CV624">
        <f>$C624*CV623</f>
        <v/>
      </c>
      <c r="CW624">
        <f>$C624*CW623</f>
        <v/>
      </c>
      <c r="CX624">
        <f>$C624*CX623</f>
        <v/>
      </c>
      <c r="CY624">
        <f>$C624*CY623</f>
        <v/>
      </c>
      <c r="CZ624">
        <f>$C624*CZ623</f>
        <v/>
      </c>
      <c r="DA624">
        <f>$C624*DA623</f>
        <v/>
      </c>
      <c r="DB624">
        <f>$C624*DB623</f>
        <v/>
      </c>
      <c r="DC624">
        <f>$C624*DC623</f>
        <v/>
      </c>
    </row>
    <row r="625">
      <c r="B625" t="inlineStr">
        <is>
          <t>TPP-609</t>
        </is>
      </c>
      <c r="C625" t="inlineStr">
        <is>
          <t>No. of batches</t>
        </is>
      </c>
      <c r="D625">
        <f>IFERROR(INDEX(PP_Grid[#Data],$DD625,2),0)</f>
        <v/>
      </c>
      <c r="E625">
        <f>IFERROR(INDEX(PP_Grid[#Data],$DD625,3),0)</f>
        <v/>
      </c>
      <c r="F625">
        <f>IFERROR(INDEX(PP_Grid[#Data],$DD625,4),0)</f>
        <v/>
      </c>
      <c r="G625">
        <f>IFERROR(INDEX(PP_Grid[#Data],$DD625,5),0)</f>
        <v/>
      </c>
      <c r="H625">
        <f>IFERROR(INDEX(PP_Grid[#Data],$DD625,6),0)</f>
        <v/>
      </c>
      <c r="I625">
        <f>IFERROR(INDEX(PP_Grid[#Data],$DD625,7),0)</f>
        <v/>
      </c>
      <c r="J625">
        <f>IFERROR(INDEX(PP_Grid[#Data],$DD625,8),0)</f>
        <v/>
      </c>
      <c r="K625">
        <f>IFERROR(INDEX(PP_Grid[#Data],$DD625,9),0)</f>
        <v/>
      </c>
      <c r="L625">
        <f>IFERROR(INDEX(PP_Grid[#Data],$DD625,10),0)</f>
        <v/>
      </c>
      <c r="M625">
        <f>IFERROR(INDEX(PP_Grid[#Data],$DD625,11),0)</f>
        <v/>
      </c>
      <c r="N625">
        <f>IFERROR(INDEX(PP_Grid[#Data],$DD625,12),0)</f>
        <v/>
      </c>
      <c r="O625">
        <f>IFERROR(INDEX(PP_Grid[#Data],$DD625,13),0)</f>
        <v/>
      </c>
      <c r="P625">
        <f>IFERROR(INDEX(PP_Grid[#Data],$DD625,14),0)</f>
        <v/>
      </c>
      <c r="Q625">
        <f>IFERROR(INDEX(PP_Grid[#Data],$DD625,15),0)</f>
        <v/>
      </c>
      <c r="R625">
        <f>IFERROR(INDEX(PP_Grid[#Data],$DD625,16),0)</f>
        <v/>
      </c>
      <c r="S625">
        <f>IFERROR(INDEX(PP_Grid[#Data],$DD625,17),0)</f>
        <v/>
      </c>
      <c r="T625">
        <f>IFERROR(INDEX(PP_Grid[#Data],$DD625,18),0)</f>
        <v/>
      </c>
      <c r="U625">
        <f>IFERROR(INDEX(PP_Grid[#Data],$DD625,19),0)</f>
        <v/>
      </c>
      <c r="V625">
        <f>IFERROR(INDEX(PP_Grid[#Data],$DD625,20),0)</f>
        <v/>
      </c>
      <c r="W625">
        <f>IFERROR(INDEX(PP_Grid[#Data],$DD625,21),0)</f>
        <v/>
      </c>
      <c r="X625">
        <f>IFERROR(INDEX(PP_Grid[#Data],$DD625,22),0)</f>
        <v/>
      </c>
      <c r="Y625">
        <f>IFERROR(INDEX(PP_Grid[#Data],$DD625,23),0)</f>
        <v/>
      </c>
      <c r="Z625">
        <f>IFERROR(INDEX(PP_Grid[#Data],$DD625,24),0)</f>
        <v/>
      </c>
      <c r="AA625">
        <f>IFERROR(INDEX(PP_Grid[#Data],$DD625,25),0)</f>
        <v/>
      </c>
      <c r="AB625">
        <f>IFERROR(INDEX(PP_Grid[#Data],$DD625,26),0)</f>
        <v/>
      </c>
      <c r="AC625">
        <f>IFERROR(INDEX(PP_Grid[#Data],$DD625,27),0)</f>
        <v/>
      </c>
      <c r="AD625">
        <f>IFERROR(INDEX(PP_Grid[#Data],$DD625,28),0)</f>
        <v/>
      </c>
      <c r="AE625">
        <f>IFERROR(INDEX(PP_Grid[#Data],$DD625,29),0)</f>
        <v/>
      </c>
      <c r="AF625">
        <f>IFERROR(INDEX(PP_Grid[#Data],$DD625,30),0)</f>
        <v/>
      </c>
      <c r="AG625">
        <f>IFERROR(INDEX(PP_Grid[#Data],$DD625,31),0)</f>
        <v/>
      </c>
      <c r="AH625">
        <f>IFERROR(INDEX(PP_Grid[#Data],$DD625,32),0)</f>
        <v/>
      </c>
      <c r="AI625">
        <f>IFERROR(INDEX(PP_Grid[#Data],$DD625,33),0)</f>
        <v/>
      </c>
      <c r="AJ625">
        <f>IFERROR(INDEX(PP_Grid[#Data],$DD625,34),0)</f>
        <v/>
      </c>
      <c r="AK625">
        <f>IFERROR(INDEX(PP_Grid[#Data],$DD625,35),0)</f>
        <v/>
      </c>
      <c r="AL625">
        <f>IFERROR(INDEX(PP_Grid[#Data],$DD625,36),0)</f>
        <v/>
      </c>
      <c r="AM625">
        <f>IFERROR(INDEX(PP_Grid[#Data],$DD625,37),0)</f>
        <v/>
      </c>
      <c r="AN625">
        <f>IFERROR(INDEX(PP_Grid[#Data],$DD625,38),0)</f>
        <v/>
      </c>
      <c r="AO625">
        <f>IFERROR(INDEX(PP_Grid[#Data],$DD625,39),0)</f>
        <v/>
      </c>
      <c r="AP625">
        <f>IFERROR(INDEX(PP_Grid[#Data],$DD625,40),0)</f>
        <v/>
      </c>
      <c r="AQ625">
        <f>IFERROR(INDEX(PP_Grid[#Data],$DD625,41),0)</f>
        <v/>
      </c>
      <c r="AR625">
        <f>IFERROR(INDEX(PP_Grid[#Data],$DD625,42),0)</f>
        <v/>
      </c>
      <c r="AS625">
        <f>IFERROR(INDEX(PP_Grid[#Data],$DD625,43),0)</f>
        <v/>
      </c>
      <c r="AT625">
        <f>IFERROR(INDEX(PP_Grid[#Data],$DD625,44),0)</f>
        <v/>
      </c>
      <c r="AU625">
        <f>IFERROR(INDEX(PP_Grid[#Data],$DD625,45),0)</f>
        <v/>
      </c>
      <c r="AV625">
        <f>IFERROR(INDEX(PP_Grid[#Data],$DD625,46),0)</f>
        <v/>
      </c>
      <c r="AW625">
        <f>IFERROR(INDEX(PP_Grid[#Data],$DD625,47),0)</f>
        <v/>
      </c>
      <c r="AX625">
        <f>IFERROR(INDEX(PP_Grid[#Data],$DD625,48),0)</f>
        <v/>
      </c>
      <c r="AY625">
        <f>IFERROR(INDEX(PP_Grid[#Data],$DD625,49),0)</f>
        <v/>
      </c>
      <c r="AZ625">
        <f>IFERROR(INDEX(PP_Grid[#Data],$DD625,50),0)</f>
        <v/>
      </c>
      <c r="BA625">
        <f>IFERROR(INDEX(PP_Grid[#Data],$DD625,51),0)</f>
        <v/>
      </c>
      <c r="BB625">
        <f>IFERROR(INDEX(PP_Grid[#Data],$DD625,52),0)</f>
        <v/>
      </c>
      <c r="BC625">
        <f>IFERROR(INDEX(PP_Grid[#Data],$DD625,53),0)</f>
        <v/>
      </c>
      <c r="BD625">
        <f>IFERROR(INDEX(PP_Grid[#Data],$DD625,54),0)</f>
        <v/>
      </c>
      <c r="BE625">
        <f>IFERROR(INDEX(PP_Grid[#Data],$DD625,55),0)</f>
        <v/>
      </c>
      <c r="BF625">
        <f>IFERROR(INDEX(PP_Grid[#Data],$DD625,56),0)</f>
        <v/>
      </c>
      <c r="BG625">
        <f>IFERROR(INDEX(PP_Grid[#Data],$DD625,57),0)</f>
        <v/>
      </c>
      <c r="BH625">
        <f>IFERROR(INDEX(PP_Grid[#Data],$DD625,58),0)</f>
        <v/>
      </c>
      <c r="BI625">
        <f>IFERROR(INDEX(PP_Grid[#Data],$DD625,59),0)</f>
        <v/>
      </c>
      <c r="BJ625">
        <f>IFERROR(INDEX(PP_Grid[#Data],$DD625,60),0)</f>
        <v/>
      </c>
      <c r="BK625">
        <f>IFERROR(INDEX(PP_Grid[#Data],$DD625,61),0)</f>
        <v/>
      </c>
      <c r="BL625">
        <f>IFERROR(INDEX(PP_Grid[#Data],$DD625,62),0)</f>
        <v/>
      </c>
      <c r="BM625">
        <f>IFERROR(INDEX(PP_Grid[#Data],$DD625,63),0)</f>
        <v/>
      </c>
      <c r="BN625">
        <f>IFERROR(INDEX(PP_Grid[#Data],$DD625,64),0)</f>
        <v/>
      </c>
      <c r="BO625">
        <f>IFERROR(INDEX(PP_Grid[#Data],$DD625,65),0)</f>
        <v/>
      </c>
      <c r="BP625">
        <f>IFERROR(INDEX(PP_Grid[#Data],$DD625,66),0)</f>
        <v/>
      </c>
      <c r="BQ625">
        <f>IFERROR(INDEX(PP_Grid[#Data],$DD625,67),0)</f>
        <v/>
      </c>
      <c r="BR625">
        <f>IFERROR(INDEX(PP_Grid[#Data],$DD625,68),0)</f>
        <v/>
      </c>
      <c r="BS625">
        <f>IFERROR(INDEX(PP_Grid[#Data],$DD625,69),0)</f>
        <v/>
      </c>
      <c r="BT625">
        <f>IFERROR(INDEX(PP_Grid[#Data],$DD625,70),0)</f>
        <v/>
      </c>
      <c r="BU625">
        <f>IFERROR(INDEX(PP_Grid[#Data],$DD625,71),0)</f>
        <v/>
      </c>
      <c r="BV625">
        <f>IFERROR(INDEX(PP_Grid[#Data],$DD625,72),0)</f>
        <v/>
      </c>
      <c r="BW625">
        <f>IFERROR(INDEX(PP_Grid[#Data],$DD625,73),0)</f>
        <v/>
      </c>
      <c r="BX625">
        <f>IFERROR(INDEX(PP_Grid[#Data],$DD625,74),0)</f>
        <v/>
      </c>
      <c r="BY625">
        <f>IFERROR(INDEX(PP_Grid[#Data],$DD625,75),0)</f>
        <v/>
      </c>
      <c r="BZ625">
        <f>IFERROR(INDEX(PP_Grid[#Data],$DD625,76),0)</f>
        <v/>
      </c>
      <c r="CA625">
        <f>IFERROR(INDEX(PP_Grid[#Data],$DD625,77),0)</f>
        <v/>
      </c>
      <c r="CB625">
        <f>IFERROR(INDEX(PP_Grid[#Data],$DD625,78),0)</f>
        <v/>
      </c>
      <c r="CC625">
        <f>IFERROR(INDEX(PP_Grid[#Data],$DD625,79),0)</f>
        <v/>
      </c>
      <c r="CD625">
        <f>IFERROR(INDEX(PP_Grid[#Data],$DD625,80),0)</f>
        <v/>
      </c>
      <c r="CE625">
        <f>IFERROR(INDEX(PP_Grid[#Data],$DD625,81),0)</f>
        <v/>
      </c>
      <c r="CF625">
        <f>IFERROR(INDEX(PP_Grid[#Data],$DD625,82),0)</f>
        <v/>
      </c>
      <c r="CG625">
        <f>IFERROR(INDEX(PP_Grid[#Data],$DD625,83),0)</f>
        <v/>
      </c>
      <c r="CH625">
        <f>IFERROR(INDEX(PP_Grid[#Data],$DD625,84),0)</f>
        <v/>
      </c>
      <c r="CI625">
        <f>IFERROR(INDEX(PP_Grid[#Data],$DD625,85),0)</f>
        <v/>
      </c>
      <c r="CJ625">
        <f>IFERROR(INDEX(PP_Grid[#Data],$DD625,86),0)</f>
        <v/>
      </c>
      <c r="CK625">
        <f>IFERROR(INDEX(PP_Grid[#Data],$DD625,87),0)</f>
        <v/>
      </c>
      <c r="CL625">
        <f>IFERROR(INDEX(PP_Grid[#Data],$DD625,88),0)</f>
        <v/>
      </c>
      <c r="CM625">
        <f>IFERROR(INDEX(PP_Grid[#Data],$DD625,89),0)</f>
        <v/>
      </c>
      <c r="CN625">
        <f>IFERROR(INDEX(PP_Grid[#Data],$DD625,90),0)</f>
        <v/>
      </c>
      <c r="CO625">
        <f>IFERROR(INDEX(PP_Grid[#Data],$DD625,91),0)</f>
        <v/>
      </c>
      <c r="CP625">
        <f>IFERROR(INDEX(PP_Grid[#Data],$DD625,92),0)</f>
        <v/>
      </c>
      <c r="CQ625">
        <f>IFERROR(INDEX(PP_Grid[#Data],$DD625,93),0)</f>
        <v/>
      </c>
      <c r="CR625">
        <f>IFERROR(INDEX(PP_Grid[#Data],$DD625,94),0)</f>
        <v/>
      </c>
      <c r="CS625">
        <f>IFERROR(INDEX(PP_Grid[#Data],$DD625,95),0)</f>
        <v/>
      </c>
      <c r="CT625">
        <f>IFERROR(INDEX(PP_Grid[#Data],$DD625,96),0)</f>
        <v/>
      </c>
      <c r="CU625">
        <f>IFERROR(INDEX(PP_Grid[#Data],$DD625,97),0)</f>
        <v/>
      </c>
      <c r="CV625">
        <f>IFERROR(INDEX(PP_Grid[#Data],$DD625,98),0)</f>
        <v/>
      </c>
      <c r="CW625">
        <f>IFERROR(INDEX(PP_Grid[#Data],$DD625,99),0)</f>
        <v/>
      </c>
      <c r="CX625">
        <f>IFERROR(INDEX(PP_Grid[#Data],$DD625,100),0)</f>
        <v/>
      </c>
      <c r="CY625">
        <f>IFERROR(INDEX(PP_Grid[#Data],$DD625,101),0)</f>
        <v/>
      </c>
      <c r="CZ625">
        <f>IFERROR(INDEX(PP_Grid[#Data],$DD625,102),0)</f>
        <v/>
      </c>
      <c r="DA625">
        <f>IFERROR(INDEX(PP_Grid[#Data],$DD625,103),0)</f>
        <v/>
      </c>
      <c r="DB625">
        <f>IFERROR(INDEX(PP_Grid[#Data],$DD625,104),0)</f>
        <v/>
      </c>
      <c r="DC625">
        <f>IFERROR(INDEX(PP_Grid[#Data],$DD625,105),0)</f>
        <v/>
      </c>
      <c r="DD625" s="7">
        <f>IFERROR(MATCH($B625,PP_Grid[Intermediate],0),99999)</f>
        <v/>
      </c>
    </row>
    <row r="626">
      <c r="B626" t="inlineStr">
        <is>
          <t>使用量(kg)</t>
        </is>
      </c>
      <c r="C626">
        <f>SUMIFS(M_BOM[RM_Qty_Per_Batch],M_BOM[Intermediate],$B625,M_BOM[Part Name],$A580)</f>
        <v/>
      </c>
      <c r="D626">
        <f>$C626*D625</f>
        <v/>
      </c>
      <c r="E626">
        <f>$C626*E625</f>
        <v/>
      </c>
      <c r="F626">
        <f>$C626*F625</f>
        <v/>
      </c>
      <c r="G626">
        <f>$C626*G625</f>
        <v/>
      </c>
      <c r="H626">
        <f>$C626*H625</f>
        <v/>
      </c>
      <c r="I626">
        <f>$C626*I625</f>
        <v/>
      </c>
      <c r="J626">
        <f>$C626*J625</f>
        <v/>
      </c>
      <c r="K626">
        <f>$C626*K625</f>
        <v/>
      </c>
      <c r="L626">
        <f>$C626*L625</f>
        <v/>
      </c>
      <c r="M626">
        <f>$C626*M625</f>
        <v/>
      </c>
      <c r="N626">
        <f>$C626*N625</f>
        <v/>
      </c>
      <c r="O626">
        <f>$C626*O625</f>
        <v/>
      </c>
      <c r="P626">
        <f>$C626*P625</f>
        <v/>
      </c>
      <c r="Q626">
        <f>$C626*Q625</f>
        <v/>
      </c>
      <c r="R626">
        <f>$C626*R625</f>
        <v/>
      </c>
      <c r="S626">
        <f>$C626*S625</f>
        <v/>
      </c>
      <c r="T626">
        <f>$C626*T625</f>
        <v/>
      </c>
      <c r="U626">
        <f>$C626*U625</f>
        <v/>
      </c>
      <c r="V626">
        <f>$C626*V625</f>
        <v/>
      </c>
      <c r="W626">
        <f>$C626*W625</f>
        <v/>
      </c>
      <c r="X626">
        <f>$C626*X625</f>
        <v/>
      </c>
      <c r="Y626">
        <f>$C626*Y625</f>
        <v/>
      </c>
      <c r="Z626">
        <f>$C626*Z625</f>
        <v/>
      </c>
      <c r="AA626">
        <f>$C626*AA625</f>
        <v/>
      </c>
      <c r="AB626">
        <f>$C626*AB625</f>
        <v/>
      </c>
      <c r="AC626">
        <f>$C626*AC625</f>
        <v/>
      </c>
      <c r="AD626">
        <f>$C626*AD625</f>
        <v/>
      </c>
      <c r="AE626">
        <f>$C626*AE625</f>
        <v/>
      </c>
      <c r="AF626">
        <f>$C626*AF625</f>
        <v/>
      </c>
      <c r="AG626">
        <f>$C626*AG625</f>
        <v/>
      </c>
      <c r="AH626">
        <f>$C626*AH625</f>
        <v/>
      </c>
      <c r="AI626">
        <f>$C626*AI625</f>
        <v/>
      </c>
      <c r="AJ626">
        <f>$C626*AJ625</f>
        <v/>
      </c>
      <c r="AK626">
        <f>$C626*AK625</f>
        <v/>
      </c>
      <c r="AL626">
        <f>$C626*AL625</f>
        <v/>
      </c>
      <c r="AM626">
        <f>$C626*AM625</f>
        <v/>
      </c>
      <c r="AN626">
        <f>$C626*AN625</f>
        <v/>
      </c>
      <c r="AO626">
        <f>$C626*AO625</f>
        <v/>
      </c>
      <c r="AP626">
        <f>$C626*AP625</f>
        <v/>
      </c>
      <c r="AQ626">
        <f>$C626*AQ625</f>
        <v/>
      </c>
      <c r="AR626">
        <f>$C626*AR625</f>
        <v/>
      </c>
      <c r="AS626">
        <f>$C626*AS625</f>
        <v/>
      </c>
      <c r="AT626">
        <f>$C626*AT625</f>
        <v/>
      </c>
      <c r="AU626">
        <f>$C626*AU625</f>
        <v/>
      </c>
      <c r="AV626">
        <f>$C626*AV625</f>
        <v/>
      </c>
      <c r="AW626">
        <f>$C626*AW625</f>
        <v/>
      </c>
      <c r="AX626">
        <f>$C626*AX625</f>
        <v/>
      </c>
      <c r="AY626">
        <f>$C626*AY625</f>
        <v/>
      </c>
      <c r="AZ626">
        <f>$C626*AZ625</f>
        <v/>
      </c>
      <c r="BA626">
        <f>$C626*BA625</f>
        <v/>
      </c>
      <c r="BB626">
        <f>$C626*BB625</f>
        <v/>
      </c>
      <c r="BC626">
        <f>$C626*BC625</f>
        <v/>
      </c>
      <c r="BD626">
        <f>$C626*BD625</f>
        <v/>
      </c>
      <c r="BE626">
        <f>$C626*BE625</f>
        <v/>
      </c>
      <c r="BF626">
        <f>$C626*BF625</f>
        <v/>
      </c>
      <c r="BG626">
        <f>$C626*BG625</f>
        <v/>
      </c>
      <c r="BH626">
        <f>$C626*BH625</f>
        <v/>
      </c>
      <c r="BI626">
        <f>$C626*BI625</f>
        <v/>
      </c>
      <c r="BJ626">
        <f>$C626*BJ625</f>
        <v/>
      </c>
      <c r="BK626">
        <f>$C626*BK625</f>
        <v/>
      </c>
      <c r="BL626">
        <f>$C626*BL625</f>
        <v/>
      </c>
      <c r="BM626">
        <f>$C626*BM625</f>
        <v/>
      </c>
      <c r="BN626">
        <f>$C626*BN625</f>
        <v/>
      </c>
      <c r="BO626">
        <f>$C626*BO625</f>
        <v/>
      </c>
      <c r="BP626">
        <f>$C626*BP625</f>
        <v/>
      </c>
      <c r="BQ626">
        <f>$C626*BQ625</f>
        <v/>
      </c>
      <c r="BR626">
        <f>$C626*BR625</f>
        <v/>
      </c>
      <c r="BS626">
        <f>$C626*BS625</f>
        <v/>
      </c>
      <c r="BT626">
        <f>$C626*BT625</f>
        <v/>
      </c>
      <c r="BU626">
        <f>$C626*BU625</f>
        <v/>
      </c>
      <c r="BV626">
        <f>$C626*BV625</f>
        <v/>
      </c>
      <c r="BW626">
        <f>$C626*BW625</f>
        <v/>
      </c>
      <c r="BX626">
        <f>$C626*BX625</f>
        <v/>
      </c>
      <c r="BY626">
        <f>$C626*BY625</f>
        <v/>
      </c>
      <c r="BZ626">
        <f>$C626*BZ625</f>
        <v/>
      </c>
      <c r="CA626">
        <f>$C626*CA625</f>
        <v/>
      </c>
      <c r="CB626">
        <f>$C626*CB625</f>
        <v/>
      </c>
      <c r="CC626">
        <f>$C626*CC625</f>
        <v/>
      </c>
      <c r="CD626">
        <f>$C626*CD625</f>
        <v/>
      </c>
      <c r="CE626">
        <f>$C626*CE625</f>
        <v/>
      </c>
      <c r="CF626">
        <f>$C626*CF625</f>
        <v/>
      </c>
      <c r="CG626">
        <f>$C626*CG625</f>
        <v/>
      </c>
      <c r="CH626">
        <f>$C626*CH625</f>
        <v/>
      </c>
      <c r="CI626">
        <f>$C626*CI625</f>
        <v/>
      </c>
      <c r="CJ626">
        <f>$C626*CJ625</f>
        <v/>
      </c>
      <c r="CK626">
        <f>$C626*CK625</f>
        <v/>
      </c>
      <c r="CL626">
        <f>$C626*CL625</f>
        <v/>
      </c>
      <c r="CM626">
        <f>$C626*CM625</f>
        <v/>
      </c>
      <c r="CN626">
        <f>$C626*CN625</f>
        <v/>
      </c>
      <c r="CO626">
        <f>$C626*CO625</f>
        <v/>
      </c>
      <c r="CP626">
        <f>$C626*CP625</f>
        <v/>
      </c>
      <c r="CQ626">
        <f>$C626*CQ625</f>
        <v/>
      </c>
      <c r="CR626">
        <f>$C626*CR625</f>
        <v/>
      </c>
      <c r="CS626">
        <f>$C626*CS625</f>
        <v/>
      </c>
      <c r="CT626">
        <f>$C626*CT625</f>
        <v/>
      </c>
      <c r="CU626">
        <f>$C626*CU625</f>
        <v/>
      </c>
      <c r="CV626">
        <f>$C626*CV625</f>
        <v/>
      </c>
      <c r="CW626">
        <f>$C626*CW625</f>
        <v/>
      </c>
      <c r="CX626">
        <f>$C626*CX625</f>
        <v/>
      </c>
      <c r="CY626">
        <f>$C626*CY625</f>
        <v/>
      </c>
      <c r="CZ626">
        <f>$C626*CZ625</f>
        <v/>
      </c>
      <c r="DA626">
        <f>$C626*DA625</f>
        <v/>
      </c>
      <c r="DB626">
        <f>$C626*DB625</f>
        <v/>
      </c>
      <c r="DC626">
        <f>$C626*DC625</f>
        <v/>
      </c>
    </row>
    <row r="627">
      <c r="B627" t="inlineStr">
        <is>
          <t>TPP-911</t>
        </is>
      </c>
      <c r="C627" t="inlineStr">
        <is>
          <t>No. of batches</t>
        </is>
      </c>
      <c r="D627">
        <f>IFERROR(INDEX(PP_Grid[#Data],$DD627,2),0)</f>
        <v/>
      </c>
      <c r="E627">
        <f>IFERROR(INDEX(PP_Grid[#Data],$DD627,3),0)</f>
        <v/>
      </c>
      <c r="F627">
        <f>IFERROR(INDEX(PP_Grid[#Data],$DD627,4),0)</f>
        <v/>
      </c>
      <c r="G627">
        <f>IFERROR(INDEX(PP_Grid[#Data],$DD627,5),0)</f>
        <v/>
      </c>
      <c r="H627">
        <f>IFERROR(INDEX(PP_Grid[#Data],$DD627,6),0)</f>
        <v/>
      </c>
      <c r="I627">
        <f>IFERROR(INDEX(PP_Grid[#Data],$DD627,7),0)</f>
        <v/>
      </c>
      <c r="J627">
        <f>IFERROR(INDEX(PP_Grid[#Data],$DD627,8),0)</f>
        <v/>
      </c>
      <c r="K627">
        <f>IFERROR(INDEX(PP_Grid[#Data],$DD627,9),0)</f>
        <v/>
      </c>
      <c r="L627">
        <f>IFERROR(INDEX(PP_Grid[#Data],$DD627,10),0)</f>
        <v/>
      </c>
      <c r="M627">
        <f>IFERROR(INDEX(PP_Grid[#Data],$DD627,11),0)</f>
        <v/>
      </c>
      <c r="N627">
        <f>IFERROR(INDEX(PP_Grid[#Data],$DD627,12),0)</f>
        <v/>
      </c>
      <c r="O627">
        <f>IFERROR(INDEX(PP_Grid[#Data],$DD627,13),0)</f>
        <v/>
      </c>
      <c r="P627">
        <f>IFERROR(INDEX(PP_Grid[#Data],$DD627,14),0)</f>
        <v/>
      </c>
      <c r="Q627">
        <f>IFERROR(INDEX(PP_Grid[#Data],$DD627,15),0)</f>
        <v/>
      </c>
      <c r="R627">
        <f>IFERROR(INDEX(PP_Grid[#Data],$DD627,16),0)</f>
        <v/>
      </c>
      <c r="S627">
        <f>IFERROR(INDEX(PP_Grid[#Data],$DD627,17),0)</f>
        <v/>
      </c>
      <c r="T627">
        <f>IFERROR(INDEX(PP_Grid[#Data],$DD627,18),0)</f>
        <v/>
      </c>
      <c r="U627">
        <f>IFERROR(INDEX(PP_Grid[#Data],$DD627,19),0)</f>
        <v/>
      </c>
      <c r="V627">
        <f>IFERROR(INDEX(PP_Grid[#Data],$DD627,20),0)</f>
        <v/>
      </c>
      <c r="W627">
        <f>IFERROR(INDEX(PP_Grid[#Data],$DD627,21),0)</f>
        <v/>
      </c>
      <c r="X627">
        <f>IFERROR(INDEX(PP_Grid[#Data],$DD627,22),0)</f>
        <v/>
      </c>
      <c r="Y627">
        <f>IFERROR(INDEX(PP_Grid[#Data],$DD627,23),0)</f>
        <v/>
      </c>
      <c r="Z627">
        <f>IFERROR(INDEX(PP_Grid[#Data],$DD627,24),0)</f>
        <v/>
      </c>
      <c r="AA627">
        <f>IFERROR(INDEX(PP_Grid[#Data],$DD627,25),0)</f>
        <v/>
      </c>
      <c r="AB627">
        <f>IFERROR(INDEX(PP_Grid[#Data],$DD627,26),0)</f>
        <v/>
      </c>
      <c r="AC627">
        <f>IFERROR(INDEX(PP_Grid[#Data],$DD627,27),0)</f>
        <v/>
      </c>
      <c r="AD627">
        <f>IFERROR(INDEX(PP_Grid[#Data],$DD627,28),0)</f>
        <v/>
      </c>
      <c r="AE627">
        <f>IFERROR(INDEX(PP_Grid[#Data],$DD627,29),0)</f>
        <v/>
      </c>
      <c r="AF627">
        <f>IFERROR(INDEX(PP_Grid[#Data],$DD627,30),0)</f>
        <v/>
      </c>
      <c r="AG627">
        <f>IFERROR(INDEX(PP_Grid[#Data],$DD627,31),0)</f>
        <v/>
      </c>
      <c r="AH627">
        <f>IFERROR(INDEX(PP_Grid[#Data],$DD627,32),0)</f>
        <v/>
      </c>
      <c r="AI627">
        <f>IFERROR(INDEX(PP_Grid[#Data],$DD627,33),0)</f>
        <v/>
      </c>
      <c r="AJ627">
        <f>IFERROR(INDEX(PP_Grid[#Data],$DD627,34),0)</f>
        <v/>
      </c>
      <c r="AK627">
        <f>IFERROR(INDEX(PP_Grid[#Data],$DD627,35),0)</f>
        <v/>
      </c>
      <c r="AL627">
        <f>IFERROR(INDEX(PP_Grid[#Data],$DD627,36),0)</f>
        <v/>
      </c>
      <c r="AM627">
        <f>IFERROR(INDEX(PP_Grid[#Data],$DD627,37),0)</f>
        <v/>
      </c>
      <c r="AN627">
        <f>IFERROR(INDEX(PP_Grid[#Data],$DD627,38),0)</f>
        <v/>
      </c>
      <c r="AO627">
        <f>IFERROR(INDEX(PP_Grid[#Data],$DD627,39),0)</f>
        <v/>
      </c>
      <c r="AP627">
        <f>IFERROR(INDEX(PP_Grid[#Data],$DD627,40),0)</f>
        <v/>
      </c>
      <c r="AQ627">
        <f>IFERROR(INDEX(PP_Grid[#Data],$DD627,41),0)</f>
        <v/>
      </c>
      <c r="AR627">
        <f>IFERROR(INDEX(PP_Grid[#Data],$DD627,42),0)</f>
        <v/>
      </c>
      <c r="AS627">
        <f>IFERROR(INDEX(PP_Grid[#Data],$DD627,43),0)</f>
        <v/>
      </c>
      <c r="AT627">
        <f>IFERROR(INDEX(PP_Grid[#Data],$DD627,44),0)</f>
        <v/>
      </c>
      <c r="AU627">
        <f>IFERROR(INDEX(PP_Grid[#Data],$DD627,45),0)</f>
        <v/>
      </c>
      <c r="AV627">
        <f>IFERROR(INDEX(PP_Grid[#Data],$DD627,46),0)</f>
        <v/>
      </c>
      <c r="AW627">
        <f>IFERROR(INDEX(PP_Grid[#Data],$DD627,47),0)</f>
        <v/>
      </c>
      <c r="AX627">
        <f>IFERROR(INDEX(PP_Grid[#Data],$DD627,48),0)</f>
        <v/>
      </c>
      <c r="AY627">
        <f>IFERROR(INDEX(PP_Grid[#Data],$DD627,49),0)</f>
        <v/>
      </c>
      <c r="AZ627">
        <f>IFERROR(INDEX(PP_Grid[#Data],$DD627,50),0)</f>
        <v/>
      </c>
      <c r="BA627">
        <f>IFERROR(INDEX(PP_Grid[#Data],$DD627,51),0)</f>
        <v/>
      </c>
      <c r="BB627">
        <f>IFERROR(INDEX(PP_Grid[#Data],$DD627,52),0)</f>
        <v/>
      </c>
      <c r="BC627">
        <f>IFERROR(INDEX(PP_Grid[#Data],$DD627,53),0)</f>
        <v/>
      </c>
      <c r="BD627">
        <f>IFERROR(INDEX(PP_Grid[#Data],$DD627,54),0)</f>
        <v/>
      </c>
      <c r="BE627">
        <f>IFERROR(INDEX(PP_Grid[#Data],$DD627,55),0)</f>
        <v/>
      </c>
      <c r="BF627">
        <f>IFERROR(INDEX(PP_Grid[#Data],$DD627,56),0)</f>
        <v/>
      </c>
      <c r="BG627">
        <f>IFERROR(INDEX(PP_Grid[#Data],$DD627,57),0)</f>
        <v/>
      </c>
      <c r="BH627">
        <f>IFERROR(INDEX(PP_Grid[#Data],$DD627,58),0)</f>
        <v/>
      </c>
      <c r="BI627">
        <f>IFERROR(INDEX(PP_Grid[#Data],$DD627,59),0)</f>
        <v/>
      </c>
      <c r="BJ627">
        <f>IFERROR(INDEX(PP_Grid[#Data],$DD627,60),0)</f>
        <v/>
      </c>
      <c r="BK627">
        <f>IFERROR(INDEX(PP_Grid[#Data],$DD627,61),0)</f>
        <v/>
      </c>
      <c r="BL627">
        <f>IFERROR(INDEX(PP_Grid[#Data],$DD627,62),0)</f>
        <v/>
      </c>
      <c r="BM627">
        <f>IFERROR(INDEX(PP_Grid[#Data],$DD627,63),0)</f>
        <v/>
      </c>
      <c r="BN627">
        <f>IFERROR(INDEX(PP_Grid[#Data],$DD627,64),0)</f>
        <v/>
      </c>
      <c r="BO627">
        <f>IFERROR(INDEX(PP_Grid[#Data],$DD627,65),0)</f>
        <v/>
      </c>
      <c r="BP627">
        <f>IFERROR(INDEX(PP_Grid[#Data],$DD627,66),0)</f>
        <v/>
      </c>
      <c r="BQ627">
        <f>IFERROR(INDEX(PP_Grid[#Data],$DD627,67),0)</f>
        <v/>
      </c>
      <c r="BR627">
        <f>IFERROR(INDEX(PP_Grid[#Data],$DD627,68),0)</f>
        <v/>
      </c>
      <c r="BS627">
        <f>IFERROR(INDEX(PP_Grid[#Data],$DD627,69),0)</f>
        <v/>
      </c>
      <c r="BT627">
        <f>IFERROR(INDEX(PP_Grid[#Data],$DD627,70),0)</f>
        <v/>
      </c>
      <c r="BU627">
        <f>IFERROR(INDEX(PP_Grid[#Data],$DD627,71),0)</f>
        <v/>
      </c>
      <c r="BV627">
        <f>IFERROR(INDEX(PP_Grid[#Data],$DD627,72),0)</f>
        <v/>
      </c>
      <c r="BW627">
        <f>IFERROR(INDEX(PP_Grid[#Data],$DD627,73),0)</f>
        <v/>
      </c>
      <c r="BX627">
        <f>IFERROR(INDEX(PP_Grid[#Data],$DD627,74),0)</f>
        <v/>
      </c>
      <c r="BY627">
        <f>IFERROR(INDEX(PP_Grid[#Data],$DD627,75),0)</f>
        <v/>
      </c>
      <c r="BZ627">
        <f>IFERROR(INDEX(PP_Grid[#Data],$DD627,76),0)</f>
        <v/>
      </c>
      <c r="CA627">
        <f>IFERROR(INDEX(PP_Grid[#Data],$DD627,77),0)</f>
        <v/>
      </c>
      <c r="CB627">
        <f>IFERROR(INDEX(PP_Grid[#Data],$DD627,78),0)</f>
        <v/>
      </c>
      <c r="CC627">
        <f>IFERROR(INDEX(PP_Grid[#Data],$DD627,79),0)</f>
        <v/>
      </c>
      <c r="CD627">
        <f>IFERROR(INDEX(PP_Grid[#Data],$DD627,80),0)</f>
        <v/>
      </c>
      <c r="CE627">
        <f>IFERROR(INDEX(PP_Grid[#Data],$DD627,81),0)</f>
        <v/>
      </c>
      <c r="CF627">
        <f>IFERROR(INDEX(PP_Grid[#Data],$DD627,82),0)</f>
        <v/>
      </c>
      <c r="CG627">
        <f>IFERROR(INDEX(PP_Grid[#Data],$DD627,83),0)</f>
        <v/>
      </c>
      <c r="CH627">
        <f>IFERROR(INDEX(PP_Grid[#Data],$DD627,84),0)</f>
        <v/>
      </c>
      <c r="CI627">
        <f>IFERROR(INDEX(PP_Grid[#Data],$DD627,85),0)</f>
        <v/>
      </c>
      <c r="CJ627">
        <f>IFERROR(INDEX(PP_Grid[#Data],$DD627,86),0)</f>
        <v/>
      </c>
      <c r="CK627">
        <f>IFERROR(INDEX(PP_Grid[#Data],$DD627,87),0)</f>
        <v/>
      </c>
      <c r="CL627">
        <f>IFERROR(INDEX(PP_Grid[#Data],$DD627,88),0)</f>
        <v/>
      </c>
      <c r="CM627">
        <f>IFERROR(INDEX(PP_Grid[#Data],$DD627,89),0)</f>
        <v/>
      </c>
      <c r="CN627">
        <f>IFERROR(INDEX(PP_Grid[#Data],$DD627,90),0)</f>
        <v/>
      </c>
      <c r="CO627">
        <f>IFERROR(INDEX(PP_Grid[#Data],$DD627,91),0)</f>
        <v/>
      </c>
      <c r="CP627">
        <f>IFERROR(INDEX(PP_Grid[#Data],$DD627,92),0)</f>
        <v/>
      </c>
      <c r="CQ627">
        <f>IFERROR(INDEX(PP_Grid[#Data],$DD627,93),0)</f>
        <v/>
      </c>
      <c r="CR627">
        <f>IFERROR(INDEX(PP_Grid[#Data],$DD627,94),0)</f>
        <v/>
      </c>
      <c r="CS627">
        <f>IFERROR(INDEX(PP_Grid[#Data],$DD627,95),0)</f>
        <v/>
      </c>
      <c r="CT627">
        <f>IFERROR(INDEX(PP_Grid[#Data],$DD627,96),0)</f>
        <v/>
      </c>
      <c r="CU627">
        <f>IFERROR(INDEX(PP_Grid[#Data],$DD627,97),0)</f>
        <v/>
      </c>
      <c r="CV627">
        <f>IFERROR(INDEX(PP_Grid[#Data],$DD627,98),0)</f>
        <v/>
      </c>
      <c r="CW627">
        <f>IFERROR(INDEX(PP_Grid[#Data],$DD627,99),0)</f>
        <v/>
      </c>
      <c r="CX627">
        <f>IFERROR(INDEX(PP_Grid[#Data],$DD627,100),0)</f>
        <v/>
      </c>
      <c r="CY627">
        <f>IFERROR(INDEX(PP_Grid[#Data],$DD627,101),0)</f>
        <v/>
      </c>
      <c r="CZ627">
        <f>IFERROR(INDEX(PP_Grid[#Data],$DD627,102),0)</f>
        <v/>
      </c>
      <c r="DA627">
        <f>IFERROR(INDEX(PP_Grid[#Data],$DD627,103),0)</f>
        <v/>
      </c>
      <c r="DB627">
        <f>IFERROR(INDEX(PP_Grid[#Data],$DD627,104),0)</f>
        <v/>
      </c>
      <c r="DC627">
        <f>IFERROR(INDEX(PP_Grid[#Data],$DD627,105),0)</f>
        <v/>
      </c>
      <c r="DD627" s="7">
        <f>IFERROR(MATCH($B627,PP_Grid[Intermediate],0),99999)</f>
        <v/>
      </c>
    </row>
    <row r="628">
      <c r="B628" t="inlineStr">
        <is>
          <t>使用量(kg)</t>
        </is>
      </c>
      <c r="C628">
        <f>SUMIFS(M_BOM[RM_Qty_Per_Batch],M_BOM[Intermediate],$B627,M_BOM[Part Name],$A580)</f>
        <v/>
      </c>
      <c r="D628">
        <f>$C628*D627</f>
        <v/>
      </c>
      <c r="E628">
        <f>$C628*E627</f>
        <v/>
      </c>
      <c r="F628">
        <f>$C628*F627</f>
        <v/>
      </c>
      <c r="G628">
        <f>$C628*G627</f>
        <v/>
      </c>
      <c r="H628">
        <f>$C628*H627</f>
        <v/>
      </c>
      <c r="I628">
        <f>$C628*I627</f>
        <v/>
      </c>
      <c r="J628">
        <f>$C628*J627</f>
        <v/>
      </c>
      <c r="K628">
        <f>$C628*K627</f>
        <v/>
      </c>
      <c r="L628">
        <f>$C628*L627</f>
        <v/>
      </c>
      <c r="M628">
        <f>$C628*M627</f>
        <v/>
      </c>
      <c r="N628">
        <f>$C628*N627</f>
        <v/>
      </c>
      <c r="O628">
        <f>$C628*O627</f>
        <v/>
      </c>
      <c r="P628">
        <f>$C628*P627</f>
        <v/>
      </c>
      <c r="Q628">
        <f>$C628*Q627</f>
        <v/>
      </c>
      <c r="R628">
        <f>$C628*R627</f>
        <v/>
      </c>
      <c r="S628">
        <f>$C628*S627</f>
        <v/>
      </c>
      <c r="T628">
        <f>$C628*T627</f>
        <v/>
      </c>
      <c r="U628">
        <f>$C628*U627</f>
        <v/>
      </c>
      <c r="V628">
        <f>$C628*V627</f>
        <v/>
      </c>
      <c r="W628">
        <f>$C628*W627</f>
        <v/>
      </c>
      <c r="X628">
        <f>$C628*X627</f>
        <v/>
      </c>
      <c r="Y628">
        <f>$C628*Y627</f>
        <v/>
      </c>
      <c r="Z628">
        <f>$C628*Z627</f>
        <v/>
      </c>
      <c r="AA628">
        <f>$C628*AA627</f>
        <v/>
      </c>
      <c r="AB628">
        <f>$C628*AB627</f>
        <v/>
      </c>
      <c r="AC628">
        <f>$C628*AC627</f>
        <v/>
      </c>
      <c r="AD628">
        <f>$C628*AD627</f>
        <v/>
      </c>
      <c r="AE628">
        <f>$C628*AE627</f>
        <v/>
      </c>
      <c r="AF628">
        <f>$C628*AF627</f>
        <v/>
      </c>
      <c r="AG628">
        <f>$C628*AG627</f>
        <v/>
      </c>
      <c r="AH628">
        <f>$C628*AH627</f>
        <v/>
      </c>
      <c r="AI628">
        <f>$C628*AI627</f>
        <v/>
      </c>
      <c r="AJ628">
        <f>$C628*AJ627</f>
        <v/>
      </c>
      <c r="AK628">
        <f>$C628*AK627</f>
        <v/>
      </c>
      <c r="AL628">
        <f>$C628*AL627</f>
        <v/>
      </c>
      <c r="AM628">
        <f>$C628*AM627</f>
        <v/>
      </c>
      <c r="AN628">
        <f>$C628*AN627</f>
        <v/>
      </c>
      <c r="AO628">
        <f>$C628*AO627</f>
        <v/>
      </c>
      <c r="AP628">
        <f>$C628*AP627</f>
        <v/>
      </c>
      <c r="AQ628">
        <f>$C628*AQ627</f>
        <v/>
      </c>
      <c r="AR628">
        <f>$C628*AR627</f>
        <v/>
      </c>
      <c r="AS628">
        <f>$C628*AS627</f>
        <v/>
      </c>
      <c r="AT628">
        <f>$C628*AT627</f>
        <v/>
      </c>
      <c r="AU628">
        <f>$C628*AU627</f>
        <v/>
      </c>
      <c r="AV628">
        <f>$C628*AV627</f>
        <v/>
      </c>
      <c r="AW628">
        <f>$C628*AW627</f>
        <v/>
      </c>
      <c r="AX628">
        <f>$C628*AX627</f>
        <v/>
      </c>
      <c r="AY628">
        <f>$C628*AY627</f>
        <v/>
      </c>
      <c r="AZ628">
        <f>$C628*AZ627</f>
        <v/>
      </c>
      <c r="BA628">
        <f>$C628*BA627</f>
        <v/>
      </c>
      <c r="BB628">
        <f>$C628*BB627</f>
        <v/>
      </c>
      <c r="BC628">
        <f>$C628*BC627</f>
        <v/>
      </c>
      <c r="BD628">
        <f>$C628*BD627</f>
        <v/>
      </c>
      <c r="BE628">
        <f>$C628*BE627</f>
        <v/>
      </c>
      <c r="BF628">
        <f>$C628*BF627</f>
        <v/>
      </c>
      <c r="BG628">
        <f>$C628*BG627</f>
        <v/>
      </c>
      <c r="BH628">
        <f>$C628*BH627</f>
        <v/>
      </c>
      <c r="BI628">
        <f>$C628*BI627</f>
        <v/>
      </c>
      <c r="BJ628">
        <f>$C628*BJ627</f>
        <v/>
      </c>
      <c r="BK628">
        <f>$C628*BK627</f>
        <v/>
      </c>
      <c r="BL628">
        <f>$C628*BL627</f>
        <v/>
      </c>
      <c r="BM628">
        <f>$C628*BM627</f>
        <v/>
      </c>
      <c r="BN628">
        <f>$C628*BN627</f>
        <v/>
      </c>
      <c r="BO628">
        <f>$C628*BO627</f>
        <v/>
      </c>
      <c r="BP628">
        <f>$C628*BP627</f>
        <v/>
      </c>
      <c r="BQ628">
        <f>$C628*BQ627</f>
        <v/>
      </c>
      <c r="BR628">
        <f>$C628*BR627</f>
        <v/>
      </c>
      <c r="BS628">
        <f>$C628*BS627</f>
        <v/>
      </c>
      <c r="BT628">
        <f>$C628*BT627</f>
        <v/>
      </c>
      <c r="BU628">
        <f>$C628*BU627</f>
        <v/>
      </c>
      <c r="BV628">
        <f>$C628*BV627</f>
        <v/>
      </c>
      <c r="BW628">
        <f>$C628*BW627</f>
        <v/>
      </c>
      <c r="BX628">
        <f>$C628*BX627</f>
        <v/>
      </c>
      <c r="BY628">
        <f>$C628*BY627</f>
        <v/>
      </c>
      <c r="BZ628">
        <f>$C628*BZ627</f>
        <v/>
      </c>
      <c r="CA628">
        <f>$C628*CA627</f>
        <v/>
      </c>
      <c r="CB628">
        <f>$C628*CB627</f>
        <v/>
      </c>
      <c r="CC628">
        <f>$C628*CC627</f>
        <v/>
      </c>
      <c r="CD628">
        <f>$C628*CD627</f>
        <v/>
      </c>
      <c r="CE628">
        <f>$C628*CE627</f>
        <v/>
      </c>
      <c r="CF628">
        <f>$C628*CF627</f>
        <v/>
      </c>
      <c r="CG628">
        <f>$C628*CG627</f>
        <v/>
      </c>
      <c r="CH628">
        <f>$C628*CH627</f>
        <v/>
      </c>
      <c r="CI628">
        <f>$C628*CI627</f>
        <v/>
      </c>
      <c r="CJ628">
        <f>$C628*CJ627</f>
        <v/>
      </c>
      <c r="CK628">
        <f>$C628*CK627</f>
        <v/>
      </c>
      <c r="CL628">
        <f>$C628*CL627</f>
        <v/>
      </c>
      <c r="CM628">
        <f>$C628*CM627</f>
        <v/>
      </c>
      <c r="CN628">
        <f>$C628*CN627</f>
        <v/>
      </c>
      <c r="CO628">
        <f>$C628*CO627</f>
        <v/>
      </c>
      <c r="CP628">
        <f>$C628*CP627</f>
        <v/>
      </c>
      <c r="CQ628">
        <f>$C628*CQ627</f>
        <v/>
      </c>
      <c r="CR628">
        <f>$C628*CR627</f>
        <v/>
      </c>
      <c r="CS628">
        <f>$C628*CS627</f>
        <v/>
      </c>
      <c r="CT628">
        <f>$C628*CT627</f>
        <v/>
      </c>
      <c r="CU628">
        <f>$C628*CU627</f>
        <v/>
      </c>
      <c r="CV628">
        <f>$C628*CV627</f>
        <v/>
      </c>
      <c r="CW628">
        <f>$C628*CW627</f>
        <v/>
      </c>
      <c r="CX628">
        <f>$C628*CX627</f>
        <v/>
      </c>
      <c r="CY628">
        <f>$C628*CY627</f>
        <v/>
      </c>
      <c r="CZ628">
        <f>$C628*CZ627</f>
        <v/>
      </c>
      <c r="DA628">
        <f>$C628*DA627</f>
        <v/>
      </c>
      <c r="DB628">
        <f>$C628*DB627</f>
        <v/>
      </c>
      <c r="DC628">
        <f>$C628*DC627</f>
        <v/>
      </c>
    </row>
    <row r="629">
      <c r="B629" t="inlineStr">
        <is>
          <t>TPP-970</t>
        </is>
      </c>
      <c r="C629" t="inlineStr">
        <is>
          <t>No. of batches</t>
        </is>
      </c>
      <c r="D629">
        <f>IFERROR(INDEX(PP_Grid[#Data],$DD629,2),0)</f>
        <v/>
      </c>
      <c r="E629">
        <f>IFERROR(INDEX(PP_Grid[#Data],$DD629,3),0)</f>
        <v/>
      </c>
      <c r="F629">
        <f>IFERROR(INDEX(PP_Grid[#Data],$DD629,4),0)</f>
        <v/>
      </c>
      <c r="G629">
        <f>IFERROR(INDEX(PP_Grid[#Data],$DD629,5),0)</f>
        <v/>
      </c>
      <c r="H629">
        <f>IFERROR(INDEX(PP_Grid[#Data],$DD629,6),0)</f>
        <v/>
      </c>
      <c r="I629">
        <f>IFERROR(INDEX(PP_Grid[#Data],$DD629,7),0)</f>
        <v/>
      </c>
      <c r="J629">
        <f>IFERROR(INDEX(PP_Grid[#Data],$DD629,8),0)</f>
        <v/>
      </c>
      <c r="K629">
        <f>IFERROR(INDEX(PP_Grid[#Data],$DD629,9),0)</f>
        <v/>
      </c>
      <c r="L629">
        <f>IFERROR(INDEX(PP_Grid[#Data],$DD629,10),0)</f>
        <v/>
      </c>
      <c r="M629">
        <f>IFERROR(INDEX(PP_Grid[#Data],$DD629,11),0)</f>
        <v/>
      </c>
      <c r="N629">
        <f>IFERROR(INDEX(PP_Grid[#Data],$DD629,12),0)</f>
        <v/>
      </c>
      <c r="O629">
        <f>IFERROR(INDEX(PP_Grid[#Data],$DD629,13),0)</f>
        <v/>
      </c>
      <c r="P629">
        <f>IFERROR(INDEX(PP_Grid[#Data],$DD629,14),0)</f>
        <v/>
      </c>
      <c r="Q629">
        <f>IFERROR(INDEX(PP_Grid[#Data],$DD629,15),0)</f>
        <v/>
      </c>
      <c r="R629">
        <f>IFERROR(INDEX(PP_Grid[#Data],$DD629,16),0)</f>
        <v/>
      </c>
      <c r="S629">
        <f>IFERROR(INDEX(PP_Grid[#Data],$DD629,17),0)</f>
        <v/>
      </c>
      <c r="T629">
        <f>IFERROR(INDEX(PP_Grid[#Data],$DD629,18),0)</f>
        <v/>
      </c>
      <c r="U629">
        <f>IFERROR(INDEX(PP_Grid[#Data],$DD629,19),0)</f>
        <v/>
      </c>
      <c r="V629">
        <f>IFERROR(INDEX(PP_Grid[#Data],$DD629,20),0)</f>
        <v/>
      </c>
      <c r="W629">
        <f>IFERROR(INDEX(PP_Grid[#Data],$DD629,21),0)</f>
        <v/>
      </c>
      <c r="X629">
        <f>IFERROR(INDEX(PP_Grid[#Data],$DD629,22),0)</f>
        <v/>
      </c>
      <c r="Y629">
        <f>IFERROR(INDEX(PP_Grid[#Data],$DD629,23),0)</f>
        <v/>
      </c>
      <c r="Z629">
        <f>IFERROR(INDEX(PP_Grid[#Data],$DD629,24),0)</f>
        <v/>
      </c>
      <c r="AA629">
        <f>IFERROR(INDEX(PP_Grid[#Data],$DD629,25),0)</f>
        <v/>
      </c>
      <c r="AB629">
        <f>IFERROR(INDEX(PP_Grid[#Data],$DD629,26),0)</f>
        <v/>
      </c>
      <c r="AC629">
        <f>IFERROR(INDEX(PP_Grid[#Data],$DD629,27),0)</f>
        <v/>
      </c>
      <c r="AD629">
        <f>IFERROR(INDEX(PP_Grid[#Data],$DD629,28),0)</f>
        <v/>
      </c>
      <c r="AE629">
        <f>IFERROR(INDEX(PP_Grid[#Data],$DD629,29),0)</f>
        <v/>
      </c>
      <c r="AF629">
        <f>IFERROR(INDEX(PP_Grid[#Data],$DD629,30),0)</f>
        <v/>
      </c>
      <c r="AG629">
        <f>IFERROR(INDEX(PP_Grid[#Data],$DD629,31),0)</f>
        <v/>
      </c>
      <c r="AH629">
        <f>IFERROR(INDEX(PP_Grid[#Data],$DD629,32),0)</f>
        <v/>
      </c>
      <c r="AI629">
        <f>IFERROR(INDEX(PP_Grid[#Data],$DD629,33),0)</f>
        <v/>
      </c>
      <c r="AJ629">
        <f>IFERROR(INDEX(PP_Grid[#Data],$DD629,34),0)</f>
        <v/>
      </c>
      <c r="AK629">
        <f>IFERROR(INDEX(PP_Grid[#Data],$DD629,35),0)</f>
        <v/>
      </c>
      <c r="AL629">
        <f>IFERROR(INDEX(PP_Grid[#Data],$DD629,36),0)</f>
        <v/>
      </c>
      <c r="AM629">
        <f>IFERROR(INDEX(PP_Grid[#Data],$DD629,37),0)</f>
        <v/>
      </c>
      <c r="AN629">
        <f>IFERROR(INDEX(PP_Grid[#Data],$DD629,38),0)</f>
        <v/>
      </c>
      <c r="AO629">
        <f>IFERROR(INDEX(PP_Grid[#Data],$DD629,39),0)</f>
        <v/>
      </c>
      <c r="AP629">
        <f>IFERROR(INDEX(PP_Grid[#Data],$DD629,40),0)</f>
        <v/>
      </c>
      <c r="AQ629">
        <f>IFERROR(INDEX(PP_Grid[#Data],$DD629,41),0)</f>
        <v/>
      </c>
      <c r="AR629">
        <f>IFERROR(INDEX(PP_Grid[#Data],$DD629,42),0)</f>
        <v/>
      </c>
      <c r="AS629">
        <f>IFERROR(INDEX(PP_Grid[#Data],$DD629,43),0)</f>
        <v/>
      </c>
      <c r="AT629">
        <f>IFERROR(INDEX(PP_Grid[#Data],$DD629,44),0)</f>
        <v/>
      </c>
      <c r="AU629">
        <f>IFERROR(INDEX(PP_Grid[#Data],$DD629,45),0)</f>
        <v/>
      </c>
      <c r="AV629">
        <f>IFERROR(INDEX(PP_Grid[#Data],$DD629,46),0)</f>
        <v/>
      </c>
      <c r="AW629">
        <f>IFERROR(INDEX(PP_Grid[#Data],$DD629,47),0)</f>
        <v/>
      </c>
      <c r="AX629">
        <f>IFERROR(INDEX(PP_Grid[#Data],$DD629,48),0)</f>
        <v/>
      </c>
      <c r="AY629">
        <f>IFERROR(INDEX(PP_Grid[#Data],$DD629,49),0)</f>
        <v/>
      </c>
      <c r="AZ629">
        <f>IFERROR(INDEX(PP_Grid[#Data],$DD629,50),0)</f>
        <v/>
      </c>
      <c r="BA629">
        <f>IFERROR(INDEX(PP_Grid[#Data],$DD629,51),0)</f>
        <v/>
      </c>
      <c r="BB629">
        <f>IFERROR(INDEX(PP_Grid[#Data],$DD629,52),0)</f>
        <v/>
      </c>
      <c r="BC629">
        <f>IFERROR(INDEX(PP_Grid[#Data],$DD629,53),0)</f>
        <v/>
      </c>
      <c r="BD629">
        <f>IFERROR(INDEX(PP_Grid[#Data],$DD629,54),0)</f>
        <v/>
      </c>
      <c r="BE629">
        <f>IFERROR(INDEX(PP_Grid[#Data],$DD629,55),0)</f>
        <v/>
      </c>
      <c r="BF629">
        <f>IFERROR(INDEX(PP_Grid[#Data],$DD629,56),0)</f>
        <v/>
      </c>
      <c r="BG629">
        <f>IFERROR(INDEX(PP_Grid[#Data],$DD629,57),0)</f>
        <v/>
      </c>
      <c r="BH629">
        <f>IFERROR(INDEX(PP_Grid[#Data],$DD629,58),0)</f>
        <v/>
      </c>
      <c r="BI629">
        <f>IFERROR(INDEX(PP_Grid[#Data],$DD629,59),0)</f>
        <v/>
      </c>
      <c r="BJ629">
        <f>IFERROR(INDEX(PP_Grid[#Data],$DD629,60),0)</f>
        <v/>
      </c>
      <c r="BK629">
        <f>IFERROR(INDEX(PP_Grid[#Data],$DD629,61),0)</f>
        <v/>
      </c>
      <c r="BL629">
        <f>IFERROR(INDEX(PP_Grid[#Data],$DD629,62),0)</f>
        <v/>
      </c>
      <c r="BM629">
        <f>IFERROR(INDEX(PP_Grid[#Data],$DD629,63),0)</f>
        <v/>
      </c>
      <c r="BN629">
        <f>IFERROR(INDEX(PP_Grid[#Data],$DD629,64),0)</f>
        <v/>
      </c>
      <c r="BO629">
        <f>IFERROR(INDEX(PP_Grid[#Data],$DD629,65),0)</f>
        <v/>
      </c>
      <c r="BP629">
        <f>IFERROR(INDEX(PP_Grid[#Data],$DD629,66),0)</f>
        <v/>
      </c>
      <c r="BQ629">
        <f>IFERROR(INDEX(PP_Grid[#Data],$DD629,67),0)</f>
        <v/>
      </c>
      <c r="BR629">
        <f>IFERROR(INDEX(PP_Grid[#Data],$DD629,68),0)</f>
        <v/>
      </c>
      <c r="BS629">
        <f>IFERROR(INDEX(PP_Grid[#Data],$DD629,69),0)</f>
        <v/>
      </c>
      <c r="BT629">
        <f>IFERROR(INDEX(PP_Grid[#Data],$DD629,70),0)</f>
        <v/>
      </c>
      <c r="BU629">
        <f>IFERROR(INDEX(PP_Grid[#Data],$DD629,71),0)</f>
        <v/>
      </c>
      <c r="BV629">
        <f>IFERROR(INDEX(PP_Grid[#Data],$DD629,72),0)</f>
        <v/>
      </c>
      <c r="BW629">
        <f>IFERROR(INDEX(PP_Grid[#Data],$DD629,73),0)</f>
        <v/>
      </c>
      <c r="BX629">
        <f>IFERROR(INDEX(PP_Grid[#Data],$DD629,74),0)</f>
        <v/>
      </c>
      <c r="BY629">
        <f>IFERROR(INDEX(PP_Grid[#Data],$DD629,75),0)</f>
        <v/>
      </c>
      <c r="BZ629">
        <f>IFERROR(INDEX(PP_Grid[#Data],$DD629,76),0)</f>
        <v/>
      </c>
      <c r="CA629">
        <f>IFERROR(INDEX(PP_Grid[#Data],$DD629,77),0)</f>
        <v/>
      </c>
      <c r="CB629">
        <f>IFERROR(INDEX(PP_Grid[#Data],$DD629,78),0)</f>
        <v/>
      </c>
      <c r="CC629">
        <f>IFERROR(INDEX(PP_Grid[#Data],$DD629,79),0)</f>
        <v/>
      </c>
      <c r="CD629">
        <f>IFERROR(INDEX(PP_Grid[#Data],$DD629,80),0)</f>
        <v/>
      </c>
      <c r="CE629">
        <f>IFERROR(INDEX(PP_Grid[#Data],$DD629,81),0)</f>
        <v/>
      </c>
      <c r="CF629">
        <f>IFERROR(INDEX(PP_Grid[#Data],$DD629,82),0)</f>
        <v/>
      </c>
      <c r="CG629">
        <f>IFERROR(INDEX(PP_Grid[#Data],$DD629,83),0)</f>
        <v/>
      </c>
      <c r="CH629">
        <f>IFERROR(INDEX(PP_Grid[#Data],$DD629,84),0)</f>
        <v/>
      </c>
      <c r="CI629">
        <f>IFERROR(INDEX(PP_Grid[#Data],$DD629,85),0)</f>
        <v/>
      </c>
      <c r="CJ629">
        <f>IFERROR(INDEX(PP_Grid[#Data],$DD629,86),0)</f>
        <v/>
      </c>
      <c r="CK629">
        <f>IFERROR(INDEX(PP_Grid[#Data],$DD629,87),0)</f>
        <v/>
      </c>
      <c r="CL629">
        <f>IFERROR(INDEX(PP_Grid[#Data],$DD629,88),0)</f>
        <v/>
      </c>
      <c r="CM629">
        <f>IFERROR(INDEX(PP_Grid[#Data],$DD629,89),0)</f>
        <v/>
      </c>
      <c r="CN629">
        <f>IFERROR(INDEX(PP_Grid[#Data],$DD629,90),0)</f>
        <v/>
      </c>
      <c r="CO629">
        <f>IFERROR(INDEX(PP_Grid[#Data],$DD629,91),0)</f>
        <v/>
      </c>
      <c r="CP629">
        <f>IFERROR(INDEX(PP_Grid[#Data],$DD629,92),0)</f>
        <v/>
      </c>
      <c r="CQ629">
        <f>IFERROR(INDEX(PP_Grid[#Data],$DD629,93),0)</f>
        <v/>
      </c>
      <c r="CR629">
        <f>IFERROR(INDEX(PP_Grid[#Data],$DD629,94),0)</f>
        <v/>
      </c>
      <c r="CS629">
        <f>IFERROR(INDEX(PP_Grid[#Data],$DD629,95),0)</f>
        <v/>
      </c>
      <c r="CT629">
        <f>IFERROR(INDEX(PP_Grid[#Data],$DD629,96),0)</f>
        <v/>
      </c>
      <c r="CU629">
        <f>IFERROR(INDEX(PP_Grid[#Data],$DD629,97),0)</f>
        <v/>
      </c>
      <c r="CV629">
        <f>IFERROR(INDEX(PP_Grid[#Data],$DD629,98),0)</f>
        <v/>
      </c>
      <c r="CW629">
        <f>IFERROR(INDEX(PP_Grid[#Data],$DD629,99),0)</f>
        <v/>
      </c>
      <c r="CX629">
        <f>IFERROR(INDEX(PP_Grid[#Data],$DD629,100),0)</f>
        <v/>
      </c>
      <c r="CY629">
        <f>IFERROR(INDEX(PP_Grid[#Data],$DD629,101),0)</f>
        <v/>
      </c>
      <c r="CZ629">
        <f>IFERROR(INDEX(PP_Grid[#Data],$DD629,102),0)</f>
        <v/>
      </c>
      <c r="DA629">
        <f>IFERROR(INDEX(PP_Grid[#Data],$DD629,103),0)</f>
        <v/>
      </c>
      <c r="DB629">
        <f>IFERROR(INDEX(PP_Grid[#Data],$DD629,104),0)</f>
        <v/>
      </c>
      <c r="DC629">
        <f>IFERROR(INDEX(PP_Grid[#Data],$DD629,105),0)</f>
        <v/>
      </c>
      <c r="DD629" s="7">
        <f>IFERROR(MATCH($B629,PP_Grid[Intermediate],0),99999)</f>
        <v/>
      </c>
    </row>
    <row r="630">
      <c r="B630" t="inlineStr">
        <is>
          <t>使用量(kg)</t>
        </is>
      </c>
      <c r="C630">
        <f>SUMIFS(M_BOM[RM_Qty_Per_Batch],M_BOM[Intermediate],$B629,M_BOM[Part Name],$A580)</f>
        <v/>
      </c>
      <c r="D630">
        <f>$C630*D629</f>
        <v/>
      </c>
      <c r="E630">
        <f>$C630*E629</f>
        <v/>
      </c>
      <c r="F630">
        <f>$C630*F629</f>
        <v/>
      </c>
      <c r="G630">
        <f>$C630*G629</f>
        <v/>
      </c>
      <c r="H630">
        <f>$C630*H629</f>
        <v/>
      </c>
      <c r="I630">
        <f>$C630*I629</f>
        <v/>
      </c>
      <c r="J630">
        <f>$C630*J629</f>
        <v/>
      </c>
      <c r="K630">
        <f>$C630*K629</f>
        <v/>
      </c>
      <c r="L630">
        <f>$C630*L629</f>
        <v/>
      </c>
      <c r="M630">
        <f>$C630*M629</f>
        <v/>
      </c>
      <c r="N630">
        <f>$C630*N629</f>
        <v/>
      </c>
      <c r="O630">
        <f>$C630*O629</f>
        <v/>
      </c>
      <c r="P630">
        <f>$C630*P629</f>
        <v/>
      </c>
      <c r="Q630">
        <f>$C630*Q629</f>
        <v/>
      </c>
      <c r="R630">
        <f>$C630*R629</f>
        <v/>
      </c>
      <c r="S630">
        <f>$C630*S629</f>
        <v/>
      </c>
      <c r="T630">
        <f>$C630*T629</f>
        <v/>
      </c>
      <c r="U630">
        <f>$C630*U629</f>
        <v/>
      </c>
      <c r="V630">
        <f>$C630*V629</f>
        <v/>
      </c>
      <c r="W630">
        <f>$C630*W629</f>
        <v/>
      </c>
      <c r="X630">
        <f>$C630*X629</f>
        <v/>
      </c>
      <c r="Y630">
        <f>$C630*Y629</f>
        <v/>
      </c>
      <c r="Z630">
        <f>$C630*Z629</f>
        <v/>
      </c>
      <c r="AA630">
        <f>$C630*AA629</f>
        <v/>
      </c>
      <c r="AB630">
        <f>$C630*AB629</f>
        <v/>
      </c>
      <c r="AC630">
        <f>$C630*AC629</f>
        <v/>
      </c>
      <c r="AD630">
        <f>$C630*AD629</f>
        <v/>
      </c>
      <c r="AE630">
        <f>$C630*AE629</f>
        <v/>
      </c>
      <c r="AF630">
        <f>$C630*AF629</f>
        <v/>
      </c>
      <c r="AG630">
        <f>$C630*AG629</f>
        <v/>
      </c>
      <c r="AH630">
        <f>$C630*AH629</f>
        <v/>
      </c>
      <c r="AI630">
        <f>$C630*AI629</f>
        <v/>
      </c>
      <c r="AJ630">
        <f>$C630*AJ629</f>
        <v/>
      </c>
      <c r="AK630">
        <f>$C630*AK629</f>
        <v/>
      </c>
      <c r="AL630">
        <f>$C630*AL629</f>
        <v/>
      </c>
      <c r="AM630">
        <f>$C630*AM629</f>
        <v/>
      </c>
      <c r="AN630">
        <f>$C630*AN629</f>
        <v/>
      </c>
      <c r="AO630">
        <f>$C630*AO629</f>
        <v/>
      </c>
      <c r="AP630">
        <f>$C630*AP629</f>
        <v/>
      </c>
      <c r="AQ630">
        <f>$C630*AQ629</f>
        <v/>
      </c>
      <c r="AR630">
        <f>$C630*AR629</f>
        <v/>
      </c>
      <c r="AS630">
        <f>$C630*AS629</f>
        <v/>
      </c>
      <c r="AT630">
        <f>$C630*AT629</f>
        <v/>
      </c>
      <c r="AU630">
        <f>$C630*AU629</f>
        <v/>
      </c>
      <c r="AV630">
        <f>$C630*AV629</f>
        <v/>
      </c>
      <c r="AW630">
        <f>$C630*AW629</f>
        <v/>
      </c>
      <c r="AX630">
        <f>$C630*AX629</f>
        <v/>
      </c>
      <c r="AY630">
        <f>$C630*AY629</f>
        <v/>
      </c>
      <c r="AZ630">
        <f>$C630*AZ629</f>
        <v/>
      </c>
      <c r="BA630">
        <f>$C630*BA629</f>
        <v/>
      </c>
      <c r="BB630">
        <f>$C630*BB629</f>
        <v/>
      </c>
      <c r="BC630">
        <f>$C630*BC629</f>
        <v/>
      </c>
      <c r="BD630">
        <f>$C630*BD629</f>
        <v/>
      </c>
      <c r="BE630">
        <f>$C630*BE629</f>
        <v/>
      </c>
      <c r="BF630">
        <f>$C630*BF629</f>
        <v/>
      </c>
      <c r="BG630">
        <f>$C630*BG629</f>
        <v/>
      </c>
      <c r="BH630">
        <f>$C630*BH629</f>
        <v/>
      </c>
      <c r="BI630">
        <f>$C630*BI629</f>
        <v/>
      </c>
      <c r="BJ630">
        <f>$C630*BJ629</f>
        <v/>
      </c>
      <c r="BK630">
        <f>$C630*BK629</f>
        <v/>
      </c>
      <c r="BL630">
        <f>$C630*BL629</f>
        <v/>
      </c>
      <c r="BM630">
        <f>$C630*BM629</f>
        <v/>
      </c>
      <c r="BN630">
        <f>$C630*BN629</f>
        <v/>
      </c>
      <c r="BO630">
        <f>$C630*BO629</f>
        <v/>
      </c>
      <c r="BP630">
        <f>$C630*BP629</f>
        <v/>
      </c>
      <c r="BQ630">
        <f>$C630*BQ629</f>
        <v/>
      </c>
      <c r="BR630">
        <f>$C630*BR629</f>
        <v/>
      </c>
      <c r="BS630">
        <f>$C630*BS629</f>
        <v/>
      </c>
      <c r="BT630">
        <f>$C630*BT629</f>
        <v/>
      </c>
      <c r="BU630">
        <f>$C630*BU629</f>
        <v/>
      </c>
      <c r="BV630">
        <f>$C630*BV629</f>
        <v/>
      </c>
      <c r="BW630">
        <f>$C630*BW629</f>
        <v/>
      </c>
      <c r="BX630">
        <f>$C630*BX629</f>
        <v/>
      </c>
      <c r="BY630">
        <f>$C630*BY629</f>
        <v/>
      </c>
      <c r="BZ630">
        <f>$C630*BZ629</f>
        <v/>
      </c>
      <c r="CA630">
        <f>$C630*CA629</f>
        <v/>
      </c>
      <c r="CB630">
        <f>$C630*CB629</f>
        <v/>
      </c>
      <c r="CC630">
        <f>$C630*CC629</f>
        <v/>
      </c>
      <c r="CD630">
        <f>$C630*CD629</f>
        <v/>
      </c>
      <c r="CE630">
        <f>$C630*CE629</f>
        <v/>
      </c>
      <c r="CF630">
        <f>$C630*CF629</f>
        <v/>
      </c>
      <c r="CG630">
        <f>$C630*CG629</f>
        <v/>
      </c>
      <c r="CH630">
        <f>$C630*CH629</f>
        <v/>
      </c>
      <c r="CI630">
        <f>$C630*CI629</f>
        <v/>
      </c>
      <c r="CJ630">
        <f>$C630*CJ629</f>
        <v/>
      </c>
      <c r="CK630">
        <f>$C630*CK629</f>
        <v/>
      </c>
      <c r="CL630">
        <f>$C630*CL629</f>
        <v/>
      </c>
      <c r="CM630">
        <f>$C630*CM629</f>
        <v/>
      </c>
      <c r="CN630">
        <f>$C630*CN629</f>
        <v/>
      </c>
      <c r="CO630">
        <f>$C630*CO629</f>
        <v/>
      </c>
      <c r="CP630">
        <f>$C630*CP629</f>
        <v/>
      </c>
      <c r="CQ630">
        <f>$C630*CQ629</f>
        <v/>
      </c>
      <c r="CR630">
        <f>$C630*CR629</f>
        <v/>
      </c>
      <c r="CS630">
        <f>$C630*CS629</f>
        <v/>
      </c>
      <c r="CT630">
        <f>$C630*CT629</f>
        <v/>
      </c>
      <c r="CU630">
        <f>$C630*CU629</f>
        <v/>
      </c>
      <c r="CV630">
        <f>$C630*CV629</f>
        <v/>
      </c>
      <c r="CW630">
        <f>$C630*CW629</f>
        <v/>
      </c>
      <c r="CX630">
        <f>$C630*CX629</f>
        <v/>
      </c>
      <c r="CY630">
        <f>$C630*CY629</f>
        <v/>
      </c>
      <c r="CZ630">
        <f>$C630*CZ629</f>
        <v/>
      </c>
      <c r="DA630">
        <f>$C630*DA629</f>
        <v/>
      </c>
      <c r="DB630">
        <f>$C630*DB629</f>
        <v/>
      </c>
      <c r="DC630">
        <f>$C630*DC629</f>
        <v/>
      </c>
    </row>
    <row r="631">
      <c r="B631" t="inlineStr">
        <is>
          <t>TPP-912</t>
        </is>
      </c>
      <c r="C631" t="inlineStr">
        <is>
          <t>No. of batches</t>
        </is>
      </c>
      <c r="D631">
        <f>IFERROR(INDEX(PP_Grid[#Data],$DD631,2),0)</f>
        <v/>
      </c>
      <c r="E631">
        <f>IFERROR(INDEX(PP_Grid[#Data],$DD631,3),0)</f>
        <v/>
      </c>
      <c r="F631">
        <f>IFERROR(INDEX(PP_Grid[#Data],$DD631,4),0)</f>
        <v/>
      </c>
      <c r="G631">
        <f>IFERROR(INDEX(PP_Grid[#Data],$DD631,5),0)</f>
        <v/>
      </c>
      <c r="H631">
        <f>IFERROR(INDEX(PP_Grid[#Data],$DD631,6),0)</f>
        <v/>
      </c>
      <c r="I631">
        <f>IFERROR(INDEX(PP_Grid[#Data],$DD631,7),0)</f>
        <v/>
      </c>
      <c r="J631">
        <f>IFERROR(INDEX(PP_Grid[#Data],$DD631,8),0)</f>
        <v/>
      </c>
      <c r="K631">
        <f>IFERROR(INDEX(PP_Grid[#Data],$DD631,9),0)</f>
        <v/>
      </c>
      <c r="L631">
        <f>IFERROR(INDEX(PP_Grid[#Data],$DD631,10),0)</f>
        <v/>
      </c>
      <c r="M631">
        <f>IFERROR(INDEX(PP_Grid[#Data],$DD631,11),0)</f>
        <v/>
      </c>
      <c r="N631">
        <f>IFERROR(INDEX(PP_Grid[#Data],$DD631,12),0)</f>
        <v/>
      </c>
      <c r="O631">
        <f>IFERROR(INDEX(PP_Grid[#Data],$DD631,13),0)</f>
        <v/>
      </c>
      <c r="P631">
        <f>IFERROR(INDEX(PP_Grid[#Data],$DD631,14),0)</f>
        <v/>
      </c>
      <c r="Q631">
        <f>IFERROR(INDEX(PP_Grid[#Data],$DD631,15),0)</f>
        <v/>
      </c>
      <c r="R631">
        <f>IFERROR(INDEX(PP_Grid[#Data],$DD631,16),0)</f>
        <v/>
      </c>
      <c r="S631">
        <f>IFERROR(INDEX(PP_Grid[#Data],$DD631,17),0)</f>
        <v/>
      </c>
      <c r="T631">
        <f>IFERROR(INDEX(PP_Grid[#Data],$DD631,18),0)</f>
        <v/>
      </c>
      <c r="U631">
        <f>IFERROR(INDEX(PP_Grid[#Data],$DD631,19),0)</f>
        <v/>
      </c>
      <c r="V631">
        <f>IFERROR(INDEX(PP_Grid[#Data],$DD631,20),0)</f>
        <v/>
      </c>
      <c r="W631">
        <f>IFERROR(INDEX(PP_Grid[#Data],$DD631,21),0)</f>
        <v/>
      </c>
      <c r="X631">
        <f>IFERROR(INDEX(PP_Grid[#Data],$DD631,22),0)</f>
        <v/>
      </c>
      <c r="Y631">
        <f>IFERROR(INDEX(PP_Grid[#Data],$DD631,23),0)</f>
        <v/>
      </c>
      <c r="Z631">
        <f>IFERROR(INDEX(PP_Grid[#Data],$DD631,24),0)</f>
        <v/>
      </c>
      <c r="AA631">
        <f>IFERROR(INDEX(PP_Grid[#Data],$DD631,25),0)</f>
        <v/>
      </c>
      <c r="AB631">
        <f>IFERROR(INDEX(PP_Grid[#Data],$DD631,26),0)</f>
        <v/>
      </c>
      <c r="AC631">
        <f>IFERROR(INDEX(PP_Grid[#Data],$DD631,27),0)</f>
        <v/>
      </c>
      <c r="AD631">
        <f>IFERROR(INDEX(PP_Grid[#Data],$DD631,28),0)</f>
        <v/>
      </c>
      <c r="AE631">
        <f>IFERROR(INDEX(PP_Grid[#Data],$DD631,29),0)</f>
        <v/>
      </c>
      <c r="AF631">
        <f>IFERROR(INDEX(PP_Grid[#Data],$DD631,30),0)</f>
        <v/>
      </c>
      <c r="AG631">
        <f>IFERROR(INDEX(PP_Grid[#Data],$DD631,31),0)</f>
        <v/>
      </c>
      <c r="AH631">
        <f>IFERROR(INDEX(PP_Grid[#Data],$DD631,32),0)</f>
        <v/>
      </c>
      <c r="AI631">
        <f>IFERROR(INDEX(PP_Grid[#Data],$DD631,33),0)</f>
        <v/>
      </c>
      <c r="AJ631">
        <f>IFERROR(INDEX(PP_Grid[#Data],$DD631,34),0)</f>
        <v/>
      </c>
      <c r="AK631">
        <f>IFERROR(INDEX(PP_Grid[#Data],$DD631,35),0)</f>
        <v/>
      </c>
      <c r="AL631">
        <f>IFERROR(INDEX(PP_Grid[#Data],$DD631,36),0)</f>
        <v/>
      </c>
      <c r="AM631">
        <f>IFERROR(INDEX(PP_Grid[#Data],$DD631,37),0)</f>
        <v/>
      </c>
      <c r="AN631">
        <f>IFERROR(INDEX(PP_Grid[#Data],$DD631,38),0)</f>
        <v/>
      </c>
      <c r="AO631">
        <f>IFERROR(INDEX(PP_Grid[#Data],$DD631,39),0)</f>
        <v/>
      </c>
      <c r="AP631">
        <f>IFERROR(INDEX(PP_Grid[#Data],$DD631,40),0)</f>
        <v/>
      </c>
      <c r="AQ631">
        <f>IFERROR(INDEX(PP_Grid[#Data],$DD631,41),0)</f>
        <v/>
      </c>
      <c r="AR631">
        <f>IFERROR(INDEX(PP_Grid[#Data],$DD631,42),0)</f>
        <v/>
      </c>
      <c r="AS631">
        <f>IFERROR(INDEX(PP_Grid[#Data],$DD631,43),0)</f>
        <v/>
      </c>
      <c r="AT631">
        <f>IFERROR(INDEX(PP_Grid[#Data],$DD631,44),0)</f>
        <v/>
      </c>
      <c r="AU631">
        <f>IFERROR(INDEX(PP_Grid[#Data],$DD631,45),0)</f>
        <v/>
      </c>
      <c r="AV631">
        <f>IFERROR(INDEX(PP_Grid[#Data],$DD631,46),0)</f>
        <v/>
      </c>
      <c r="AW631">
        <f>IFERROR(INDEX(PP_Grid[#Data],$DD631,47),0)</f>
        <v/>
      </c>
      <c r="AX631">
        <f>IFERROR(INDEX(PP_Grid[#Data],$DD631,48),0)</f>
        <v/>
      </c>
      <c r="AY631">
        <f>IFERROR(INDEX(PP_Grid[#Data],$DD631,49),0)</f>
        <v/>
      </c>
      <c r="AZ631">
        <f>IFERROR(INDEX(PP_Grid[#Data],$DD631,50),0)</f>
        <v/>
      </c>
      <c r="BA631">
        <f>IFERROR(INDEX(PP_Grid[#Data],$DD631,51),0)</f>
        <v/>
      </c>
      <c r="BB631">
        <f>IFERROR(INDEX(PP_Grid[#Data],$DD631,52),0)</f>
        <v/>
      </c>
      <c r="BC631">
        <f>IFERROR(INDEX(PP_Grid[#Data],$DD631,53),0)</f>
        <v/>
      </c>
      <c r="BD631">
        <f>IFERROR(INDEX(PP_Grid[#Data],$DD631,54),0)</f>
        <v/>
      </c>
      <c r="BE631">
        <f>IFERROR(INDEX(PP_Grid[#Data],$DD631,55),0)</f>
        <v/>
      </c>
      <c r="BF631">
        <f>IFERROR(INDEX(PP_Grid[#Data],$DD631,56),0)</f>
        <v/>
      </c>
      <c r="BG631">
        <f>IFERROR(INDEX(PP_Grid[#Data],$DD631,57),0)</f>
        <v/>
      </c>
      <c r="BH631">
        <f>IFERROR(INDEX(PP_Grid[#Data],$DD631,58),0)</f>
        <v/>
      </c>
      <c r="BI631">
        <f>IFERROR(INDEX(PP_Grid[#Data],$DD631,59),0)</f>
        <v/>
      </c>
      <c r="BJ631">
        <f>IFERROR(INDEX(PP_Grid[#Data],$DD631,60),0)</f>
        <v/>
      </c>
      <c r="BK631">
        <f>IFERROR(INDEX(PP_Grid[#Data],$DD631,61),0)</f>
        <v/>
      </c>
      <c r="BL631">
        <f>IFERROR(INDEX(PP_Grid[#Data],$DD631,62),0)</f>
        <v/>
      </c>
      <c r="BM631">
        <f>IFERROR(INDEX(PP_Grid[#Data],$DD631,63),0)</f>
        <v/>
      </c>
      <c r="BN631">
        <f>IFERROR(INDEX(PP_Grid[#Data],$DD631,64),0)</f>
        <v/>
      </c>
      <c r="BO631">
        <f>IFERROR(INDEX(PP_Grid[#Data],$DD631,65),0)</f>
        <v/>
      </c>
      <c r="BP631">
        <f>IFERROR(INDEX(PP_Grid[#Data],$DD631,66),0)</f>
        <v/>
      </c>
      <c r="BQ631">
        <f>IFERROR(INDEX(PP_Grid[#Data],$DD631,67),0)</f>
        <v/>
      </c>
      <c r="BR631">
        <f>IFERROR(INDEX(PP_Grid[#Data],$DD631,68),0)</f>
        <v/>
      </c>
      <c r="BS631">
        <f>IFERROR(INDEX(PP_Grid[#Data],$DD631,69),0)</f>
        <v/>
      </c>
      <c r="BT631">
        <f>IFERROR(INDEX(PP_Grid[#Data],$DD631,70),0)</f>
        <v/>
      </c>
      <c r="BU631">
        <f>IFERROR(INDEX(PP_Grid[#Data],$DD631,71),0)</f>
        <v/>
      </c>
      <c r="BV631">
        <f>IFERROR(INDEX(PP_Grid[#Data],$DD631,72),0)</f>
        <v/>
      </c>
      <c r="BW631">
        <f>IFERROR(INDEX(PP_Grid[#Data],$DD631,73),0)</f>
        <v/>
      </c>
      <c r="BX631">
        <f>IFERROR(INDEX(PP_Grid[#Data],$DD631,74),0)</f>
        <v/>
      </c>
      <c r="BY631">
        <f>IFERROR(INDEX(PP_Grid[#Data],$DD631,75),0)</f>
        <v/>
      </c>
      <c r="BZ631">
        <f>IFERROR(INDEX(PP_Grid[#Data],$DD631,76),0)</f>
        <v/>
      </c>
      <c r="CA631">
        <f>IFERROR(INDEX(PP_Grid[#Data],$DD631,77),0)</f>
        <v/>
      </c>
      <c r="CB631">
        <f>IFERROR(INDEX(PP_Grid[#Data],$DD631,78),0)</f>
        <v/>
      </c>
      <c r="CC631">
        <f>IFERROR(INDEX(PP_Grid[#Data],$DD631,79),0)</f>
        <v/>
      </c>
      <c r="CD631">
        <f>IFERROR(INDEX(PP_Grid[#Data],$DD631,80),0)</f>
        <v/>
      </c>
      <c r="CE631">
        <f>IFERROR(INDEX(PP_Grid[#Data],$DD631,81),0)</f>
        <v/>
      </c>
      <c r="CF631">
        <f>IFERROR(INDEX(PP_Grid[#Data],$DD631,82),0)</f>
        <v/>
      </c>
      <c r="CG631">
        <f>IFERROR(INDEX(PP_Grid[#Data],$DD631,83),0)</f>
        <v/>
      </c>
      <c r="CH631">
        <f>IFERROR(INDEX(PP_Grid[#Data],$DD631,84),0)</f>
        <v/>
      </c>
      <c r="CI631">
        <f>IFERROR(INDEX(PP_Grid[#Data],$DD631,85),0)</f>
        <v/>
      </c>
      <c r="CJ631">
        <f>IFERROR(INDEX(PP_Grid[#Data],$DD631,86),0)</f>
        <v/>
      </c>
      <c r="CK631">
        <f>IFERROR(INDEX(PP_Grid[#Data],$DD631,87),0)</f>
        <v/>
      </c>
      <c r="CL631">
        <f>IFERROR(INDEX(PP_Grid[#Data],$DD631,88),0)</f>
        <v/>
      </c>
      <c r="CM631">
        <f>IFERROR(INDEX(PP_Grid[#Data],$DD631,89),0)</f>
        <v/>
      </c>
      <c r="CN631">
        <f>IFERROR(INDEX(PP_Grid[#Data],$DD631,90),0)</f>
        <v/>
      </c>
      <c r="CO631">
        <f>IFERROR(INDEX(PP_Grid[#Data],$DD631,91),0)</f>
        <v/>
      </c>
      <c r="CP631">
        <f>IFERROR(INDEX(PP_Grid[#Data],$DD631,92),0)</f>
        <v/>
      </c>
      <c r="CQ631">
        <f>IFERROR(INDEX(PP_Grid[#Data],$DD631,93),0)</f>
        <v/>
      </c>
      <c r="CR631">
        <f>IFERROR(INDEX(PP_Grid[#Data],$DD631,94),0)</f>
        <v/>
      </c>
      <c r="CS631">
        <f>IFERROR(INDEX(PP_Grid[#Data],$DD631,95),0)</f>
        <v/>
      </c>
      <c r="CT631">
        <f>IFERROR(INDEX(PP_Grid[#Data],$DD631,96),0)</f>
        <v/>
      </c>
      <c r="CU631">
        <f>IFERROR(INDEX(PP_Grid[#Data],$DD631,97),0)</f>
        <v/>
      </c>
      <c r="CV631">
        <f>IFERROR(INDEX(PP_Grid[#Data],$DD631,98),0)</f>
        <v/>
      </c>
      <c r="CW631">
        <f>IFERROR(INDEX(PP_Grid[#Data],$DD631,99),0)</f>
        <v/>
      </c>
      <c r="CX631">
        <f>IFERROR(INDEX(PP_Grid[#Data],$DD631,100),0)</f>
        <v/>
      </c>
      <c r="CY631">
        <f>IFERROR(INDEX(PP_Grid[#Data],$DD631,101),0)</f>
        <v/>
      </c>
      <c r="CZ631">
        <f>IFERROR(INDEX(PP_Grid[#Data],$DD631,102),0)</f>
        <v/>
      </c>
      <c r="DA631">
        <f>IFERROR(INDEX(PP_Grid[#Data],$DD631,103),0)</f>
        <v/>
      </c>
      <c r="DB631">
        <f>IFERROR(INDEX(PP_Grid[#Data],$DD631,104),0)</f>
        <v/>
      </c>
      <c r="DC631">
        <f>IFERROR(INDEX(PP_Grid[#Data],$DD631,105),0)</f>
        <v/>
      </c>
      <c r="DD631" s="7">
        <f>IFERROR(MATCH($B631,PP_Grid[Intermediate],0),99999)</f>
        <v/>
      </c>
    </row>
    <row r="632">
      <c r="B632" t="inlineStr">
        <is>
          <t>使用量(kg)</t>
        </is>
      </c>
      <c r="C632">
        <f>SUMIFS(M_BOM[RM_Qty_Per_Batch],M_BOM[Intermediate],$B631,M_BOM[Part Name],$A580)</f>
        <v/>
      </c>
      <c r="D632">
        <f>$C632*D631</f>
        <v/>
      </c>
      <c r="E632">
        <f>$C632*E631</f>
        <v/>
      </c>
      <c r="F632">
        <f>$C632*F631</f>
        <v/>
      </c>
      <c r="G632">
        <f>$C632*G631</f>
        <v/>
      </c>
      <c r="H632">
        <f>$C632*H631</f>
        <v/>
      </c>
      <c r="I632">
        <f>$C632*I631</f>
        <v/>
      </c>
      <c r="J632">
        <f>$C632*J631</f>
        <v/>
      </c>
      <c r="K632">
        <f>$C632*K631</f>
        <v/>
      </c>
      <c r="L632">
        <f>$C632*L631</f>
        <v/>
      </c>
      <c r="M632">
        <f>$C632*M631</f>
        <v/>
      </c>
      <c r="N632">
        <f>$C632*N631</f>
        <v/>
      </c>
      <c r="O632">
        <f>$C632*O631</f>
        <v/>
      </c>
      <c r="P632">
        <f>$C632*P631</f>
        <v/>
      </c>
      <c r="Q632">
        <f>$C632*Q631</f>
        <v/>
      </c>
      <c r="R632">
        <f>$C632*R631</f>
        <v/>
      </c>
      <c r="S632">
        <f>$C632*S631</f>
        <v/>
      </c>
      <c r="T632">
        <f>$C632*T631</f>
        <v/>
      </c>
      <c r="U632">
        <f>$C632*U631</f>
        <v/>
      </c>
      <c r="V632">
        <f>$C632*V631</f>
        <v/>
      </c>
      <c r="W632">
        <f>$C632*W631</f>
        <v/>
      </c>
      <c r="X632">
        <f>$C632*X631</f>
        <v/>
      </c>
      <c r="Y632">
        <f>$C632*Y631</f>
        <v/>
      </c>
      <c r="Z632">
        <f>$C632*Z631</f>
        <v/>
      </c>
      <c r="AA632">
        <f>$C632*AA631</f>
        <v/>
      </c>
      <c r="AB632">
        <f>$C632*AB631</f>
        <v/>
      </c>
      <c r="AC632">
        <f>$C632*AC631</f>
        <v/>
      </c>
      <c r="AD632">
        <f>$C632*AD631</f>
        <v/>
      </c>
      <c r="AE632">
        <f>$C632*AE631</f>
        <v/>
      </c>
      <c r="AF632">
        <f>$C632*AF631</f>
        <v/>
      </c>
      <c r="AG632">
        <f>$C632*AG631</f>
        <v/>
      </c>
      <c r="AH632">
        <f>$C632*AH631</f>
        <v/>
      </c>
      <c r="AI632">
        <f>$C632*AI631</f>
        <v/>
      </c>
      <c r="AJ632">
        <f>$C632*AJ631</f>
        <v/>
      </c>
      <c r="AK632">
        <f>$C632*AK631</f>
        <v/>
      </c>
      <c r="AL632">
        <f>$C632*AL631</f>
        <v/>
      </c>
      <c r="AM632">
        <f>$C632*AM631</f>
        <v/>
      </c>
      <c r="AN632">
        <f>$C632*AN631</f>
        <v/>
      </c>
      <c r="AO632">
        <f>$C632*AO631</f>
        <v/>
      </c>
      <c r="AP632">
        <f>$C632*AP631</f>
        <v/>
      </c>
      <c r="AQ632">
        <f>$C632*AQ631</f>
        <v/>
      </c>
      <c r="AR632">
        <f>$C632*AR631</f>
        <v/>
      </c>
      <c r="AS632">
        <f>$C632*AS631</f>
        <v/>
      </c>
      <c r="AT632">
        <f>$C632*AT631</f>
        <v/>
      </c>
      <c r="AU632">
        <f>$C632*AU631</f>
        <v/>
      </c>
      <c r="AV632">
        <f>$C632*AV631</f>
        <v/>
      </c>
      <c r="AW632">
        <f>$C632*AW631</f>
        <v/>
      </c>
      <c r="AX632">
        <f>$C632*AX631</f>
        <v/>
      </c>
      <c r="AY632">
        <f>$C632*AY631</f>
        <v/>
      </c>
      <c r="AZ632">
        <f>$C632*AZ631</f>
        <v/>
      </c>
      <c r="BA632">
        <f>$C632*BA631</f>
        <v/>
      </c>
      <c r="BB632">
        <f>$C632*BB631</f>
        <v/>
      </c>
      <c r="BC632">
        <f>$C632*BC631</f>
        <v/>
      </c>
      <c r="BD632">
        <f>$C632*BD631</f>
        <v/>
      </c>
      <c r="BE632">
        <f>$C632*BE631</f>
        <v/>
      </c>
      <c r="BF632">
        <f>$C632*BF631</f>
        <v/>
      </c>
      <c r="BG632">
        <f>$C632*BG631</f>
        <v/>
      </c>
      <c r="BH632">
        <f>$C632*BH631</f>
        <v/>
      </c>
      <c r="BI632">
        <f>$C632*BI631</f>
        <v/>
      </c>
      <c r="BJ632">
        <f>$C632*BJ631</f>
        <v/>
      </c>
      <c r="BK632">
        <f>$C632*BK631</f>
        <v/>
      </c>
      <c r="BL632">
        <f>$C632*BL631</f>
        <v/>
      </c>
      <c r="BM632">
        <f>$C632*BM631</f>
        <v/>
      </c>
      <c r="BN632">
        <f>$C632*BN631</f>
        <v/>
      </c>
      <c r="BO632">
        <f>$C632*BO631</f>
        <v/>
      </c>
      <c r="BP632">
        <f>$C632*BP631</f>
        <v/>
      </c>
      <c r="BQ632">
        <f>$C632*BQ631</f>
        <v/>
      </c>
      <c r="BR632">
        <f>$C632*BR631</f>
        <v/>
      </c>
      <c r="BS632">
        <f>$C632*BS631</f>
        <v/>
      </c>
      <c r="BT632">
        <f>$C632*BT631</f>
        <v/>
      </c>
      <c r="BU632">
        <f>$C632*BU631</f>
        <v/>
      </c>
      <c r="BV632">
        <f>$C632*BV631</f>
        <v/>
      </c>
      <c r="BW632">
        <f>$C632*BW631</f>
        <v/>
      </c>
      <c r="BX632">
        <f>$C632*BX631</f>
        <v/>
      </c>
      <c r="BY632">
        <f>$C632*BY631</f>
        <v/>
      </c>
      <c r="BZ632">
        <f>$C632*BZ631</f>
        <v/>
      </c>
      <c r="CA632">
        <f>$C632*CA631</f>
        <v/>
      </c>
      <c r="CB632">
        <f>$C632*CB631</f>
        <v/>
      </c>
      <c r="CC632">
        <f>$C632*CC631</f>
        <v/>
      </c>
      <c r="CD632">
        <f>$C632*CD631</f>
        <v/>
      </c>
      <c r="CE632">
        <f>$C632*CE631</f>
        <v/>
      </c>
      <c r="CF632">
        <f>$C632*CF631</f>
        <v/>
      </c>
      <c r="CG632">
        <f>$C632*CG631</f>
        <v/>
      </c>
      <c r="CH632">
        <f>$C632*CH631</f>
        <v/>
      </c>
      <c r="CI632">
        <f>$C632*CI631</f>
        <v/>
      </c>
      <c r="CJ632">
        <f>$C632*CJ631</f>
        <v/>
      </c>
      <c r="CK632">
        <f>$C632*CK631</f>
        <v/>
      </c>
      <c r="CL632">
        <f>$C632*CL631</f>
        <v/>
      </c>
      <c r="CM632">
        <f>$C632*CM631</f>
        <v/>
      </c>
      <c r="CN632">
        <f>$C632*CN631</f>
        <v/>
      </c>
      <c r="CO632">
        <f>$C632*CO631</f>
        <v/>
      </c>
      <c r="CP632">
        <f>$C632*CP631</f>
        <v/>
      </c>
      <c r="CQ632">
        <f>$C632*CQ631</f>
        <v/>
      </c>
      <c r="CR632">
        <f>$C632*CR631</f>
        <v/>
      </c>
      <c r="CS632">
        <f>$C632*CS631</f>
        <v/>
      </c>
      <c r="CT632">
        <f>$C632*CT631</f>
        <v/>
      </c>
      <c r="CU632">
        <f>$C632*CU631</f>
        <v/>
      </c>
      <c r="CV632">
        <f>$C632*CV631</f>
        <v/>
      </c>
      <c r="CW632">
        <f>$C632*CW631</f>
        <v/>
      </c>
      <c r="CX632">
        <f>$C632*CX631</f>
        <v/>
      </c>
      <c r="CY632">
        <f>$C632*CY631</f>
        <v/>
      </c>
      <c r="CZ632">
        <f>$C632*CZ631</f>
        <v/>
      </c>
      <c r="DA632">
        <f>$C632*DA631</f>
        <v/>
      </c>
      <c r="DB632">
        <f>$C632*DB631</f>
        <v/>
      </c>
      <c r="DC632">
        <f>$C632*DC631</f>
        <v/>
      </c>
    </row>
    <row r="633">
      <c r="B633" t="inlineStr">
        <is>
          <t>No of times used</t>
        </is>
      </c>
      <c r="C633" t="inlineStr">
        <is>
          <t>No. of batches</t>
        </is>
      </c>
      <c r="D633">
        <f>IFERROR(INDEX(PP_Grid[#Data],$DD633,2),0)</f>
        <v/>
      </c>
      <c r="E633">
        <f>IFERROR(INDEX(PP_Grid[#Data],$DD633,3),0)</f>
        <v/>
      </c>
      <c r="F633">
        <f>IFERROR(INDEX(PP_Grid[#Data],$DD633,4),0)</f>
        <v/>
      </c>
      <c r="G633">
        <f>IFERROR(INDEX(PP_Grid[#Data],$DD633,5),0)</f>
        <v/>
      </c>
      <c r="H633">
        <f>IFERROR(INDEX(PP_Grid[#Data],$DD633,6),0)</f>
        <v/>
      </c>
      <c r="I633">
        <f>IFERROR(INDEX(PP_Grid[#Data],$DD633,7),0)</f>
        <v/>
      </c>
      <c r="J633">
        <f>IFERROR(INDEX(PP_Grid[#Data],$DD633,8),0)</f>
        <v/>
      </c>
      <c r="K633">
        <f>IFERROR(INDEX(PP_Grid[#Data],$DD633,9),0)</f>
        <v/>
      </c>
      <c r="L633">
        <f>IFERROR(INDEX(PP_Grid[#Data],$DD633,10),0)</f>
        <v/>
      </c>
      <c r="M633">
        <f>IFERROR(INDEX(PP_Grid[#Data],$DD633,11),0)</f>
        <v/>
      </c>
      <c r="N633">
        <f>IFERROR(INDEX(PP_Grid[#Data],$DD633,12),0)</f>
        <v/>
      </c>
      <c r="O633">
        <f>IFERROR(INDEX(PP_Grid[#Data],$DD633,13),0)</f>
        <v/>
      </c>
      <c r="P633">
        <f>IFERROR(INDEX(PP_Grid[#Data],$DD633,14),0)</f>
        <v/>
      </c>
      <c r="Q633">
        <f>IFERROR(INDEX(PP_Grid[#Data],$DD633,15),0)</f>
        <v/>
      </c>
      <c r="R633">
        <f>IFERROR(INDEX(PP_Grid[#Data],$DD633,16),0)</f>
        <v/>
      </c>
      <c r="S633">
        <f>IFERROR(INDEX(PP_Grid[#Data],$DD633,17),0)</f>
        <v/>
      </c>
      <c r="T633">
        <f>IFERROR(INDEX(PP_Grid[#Data],$DD633,18),0)</f>
        <v/>
      </c>
      <c r="U633">
        <f>IFERROR(INDEX(PP_Grid[#Data],$DD633,19),0)</f>
        <v/>
      </c>
      <c r="V633">
        <f>IFERROR(INDEX(PP_Grid[#Data],$DD633,20),0)</f>
        <v/>
      </c>
      <c r="W633">
        <f>IFERROR(INDEX(PP_Grid[#Data],$DD633,21),0)</f>
        <v/>
      </c>
      <c r="X633">
        <f>IFERROR(INDEX(PP_Grid[#Data],$DD633,22),0)</f>
        <v/>
      </c>
      <c r="Y633">
        <f>IFERROR(INDEX(PP_Grid[#Data],$DD633,23),0)</f>
        <v/>
      </c>
      <c r="Z633">
        <f>IFERROR(INDEX(PP_Grid[#Data],$DD633,24),0)</f>
        <v/>
      </c>
      <c r="AA633">
        <f>IFERROR(INDEX(PP_Grid[#Data],$DD633,25),0)</f>
        <v/>
      </c>
      <c r="AB633">
        <f>IFERROR(INDEX(PP_Grid[#Data],$DD633,26),0)</f>
        <v/>
      </c>
      <c r="AC633">
        <f>IFERROR(INDEX(PP_Grid[#Data],$DD633,27),0)</f>
        <v/>
      </c>
      <c r="AD633">
        <f>IFERROR(INDEX(PP_Grid[#Data],$DD633,28),0)</f>
        <v/>
      </c>
      <c r="AE633">
        <f>IFERROR(INDEX(PP_Grid[#Data],$DD633,29),0)</f>
        <v/>
      </c>
      <c r="AF633">
        <f>IFERROR(INDEX(PP_Grid[#Data],$DD633,30),0)</f>
        <v/>
      </c>
      <c r="AG633">
        <f>IFERROR(INDEX(PP_Grid[#Data],$DD633,31),0)</f>
        <v/>
      </c>
      <c r="AH633">
        <f>IFERROR(INDEX(PP_Grid[#Data],$DD633,32),0)</f>
        <v/>
      </c>
      <c r="AI633">
        <f>IFERROR(INDEX(PP_Grid[#Data],$DD633,33),0)</f>
        <v/>
      </c>
      <c r="AJ633">
        <f>IFERROR(INDEX(PP_Grid[#Data],$DD633,34),0)</f>
        <v/>
      </c>
      <c r="AK633">
        <f>IFERROR(INDEX(PP_Grid[#Data],$DD633,35),0)</f>
        <v/>
      </c>
      <c r="AL633">
        <f>IFERROR(INDEX(PP_Grid[#Data],$DD633,36),0)</f>
        <v/>
      </c>
      <c r="AM633">
        <f>IFERROR(INDEX(PP_Grid[#Data],$DD633,37),0)</f>
        <v/>
      </c>
      <c r="AN633">
        <f>IFERROR(INDEX(PP_Grid[#Data],$DD633,38),0)</f>
        <v/>
      </c>
      <c r="AO633">
        <f>IFERROR(INDEX(PP_Grid[#Data],$DD633,39),0)</f>
        <v/>
      </c>
      <c r="AP633">
        <f>IFERROR(INDEX(PP_Grid[#Data],$DD633,40),0)</f>
        <v/>
      </c>
      <c r="AQ633">
        <f>IFERROR(INDEX(PP_Grid[#Data],$DD633,41),0)</f>
        <v/>
      </c>
      <c r="AR633">
        <f>IFERROR(INDEX(PP_Grid[#Data],$DD633,42),0)</f>
        <v/>
      </c>
      <c r="AS633">
        <f>IFERROR(INDEX(PP_Grid[#Data],$DD633,43),0)</f>
        <v/>
      </c>
      <c r="AT633">
        <f>IFERROR(INDEX(PP_Grid[#Data],$DD633,44),0)</f>
        <v/>
      </c>
      <c r="AU633">
        <f>IFERROR(INDEX(PP_Grid[#Data],$DD633,45),0)</f>
        <v/>
      </c>
      <c r="AV633">
        <f>IFERROR(INDEX(PP_Grid[#Data],$DD633,46),0)</f>
        <v/>
      </c>
      <c r="AW633">
        <f>IFERROR(INDEX(PP_Grid[#Data],$DD633,47),0)</f>
        <v/>
      </c>
      <c r="AX633">
        <f>IFERROR(INDEX(PP_Grid[#Data],$DD633,48),0)</f>
        <v/>
      </c>
      <c r="AY633">
        <f>IFERROR(INDEX(PP_Grid[#Data],$DD633,49),0)</f>
        <v/>
      </c>
      <c r="AZ633">
        <f>IFERROR(INDEX(PP_Grid[#Data],$DD633,50),0)</f>
        <v/>
      </c>
      <c r="BA633">
        <f>IFERROR(INDEX(PP_Grid[#Data],$DD633,51),0)</f>
        <v/>
      </c>
      <c r="BB633">
        <f>IFERROR(INDEX(PP_Grid[#Data],$DD633,52),0)</f>
        <v/>
      </c>
      <c r="BC633">
        <f>IFERROR(INDEX(PP_Grid[#Data],$DD633,53),0)</f>
        <v/>
      </c>
      <c r="BD633">
        <f>IFERROR(INDEX(PP_Grid[#Data],$DD633,54),0)</f>
        <v/>
      </c>
      <c r="BE633">
        <f>IFERROR(INDEX(PP_Grid[#Data],$DD633,55),0)</f>
        <v/>
      </c>
      <c r="BF633">
        <f>IFERROR(INDEX(PP_Grid[#Data],$DD633,56),0)</f>
        <v/>
      </c>
      <c r="BG633">
        <f>IFERROR(INDEX(PP_Grid[#Data],$DD633,57),0)</f>
        <v/>
      </c>
      <c r="BH633">
        <f>IFERROR(INDEX(PP_Grid[#Data],$DD633,58),0)</f>
        <v/>
      </c>
      <c r="BI633">
        <f>IFERROR(INDEX(PP_Grid[#Data],$DD633,59),0)</f>
        <v/>
      </c>
      <c r="BJ633">
        <f>IFERROR(INDEX(PP_Grid[#Data],$DD633,60),0)</f>
        <v/>
      </c>
      <c r="BK633">
        <f>IFERROR(INDEX(PP_Grid[#Data],$DD633,61),0)</f>
        <v/>
      </c>
      <c r="BL633">
        <f>IFERROR(INDEX(PP_Grid[#Data],$DD633,62),0)</f>
        <v/>
      </c>
      <c r="BM633">
        <f>IFERROR(INDEX(PP_Grid[#Data],$DD633,63),0)</f>
        <v/>
      </c>
      <c r="BN633">
        <f>IFERROR(INDEX(PP_Grid[#Data],$DD633,64),0)</f>
        <v/>
      </c>
      <c r="BO633">
        <f>IFERROR(INDEX(PP_Grid[#Data],$DD633,65),0)</f>
        <v/>
      </c>
      <c r="BP633">
        <f>IFERROR(INDEX(PP_Grid[#Data],$DD633,66),0)</f>
        <v/>
      </c>
      <c r="BQ633">
        <f>IFERROR(INDEX(PP_Grid[#Data],$DD633,67),0)</f>
        <v/>
      </c>
      <c r="BR633">
        <f>IFERROR(INDEX(PP_Grid[#Data],$DD633,68),0)</f>
        <v/>
      </c>
      <c r="BS633">
        <f>IFERROR(INDEX(PP_Grid[#Data],$DD633,69),0)</f>
        <v/>
      </c>
      <c r="BT633">
        <f>IFERROR(INDEX(PP_Grid[#Data],$DD633,70),0)</f>
        <v/>
      </c>
      <c r="BU633">
        <f>IFERROR(INDEX(PP_Grid[#Data],$DD633,71),0)</f>
        <v/>
      </c>
      <c r="BV633">
        <f>IFERROR(INDEX(PP_Grid[#Data],$DD633,72),0)</f>
        <v/>
      </c>
      <c r="BW633">
        <f>IFERROR(INDEX(PP_Grid[#Data],$DD633,73),0)</f>
        <v/>
      </c>
      <c r="BX633">
        <f>IFERROR(INDEX(PP_Grid[#Data],$DD633,74),0)</f>
        <v/>
      </c>
      <c r="BY633">
        <f>IFERROR(INDEX(PP_Grid[#Data],$DD633,75),0)</f>
        <v/>
      </c>
      <c r="BZ633">
        <f>IFERROR(INDEX(PP_Grid[#Data],$DD633,76),0)</f>
        <v/>
      </c>
      <c r="CA633">
        <f>IFERROR(INDEX(PP_Grid[#Data],$DD633,77),0)</f>
        <v/>
      </c>
      <c r="CB633">
        <f>IFERROR(INDEX(PP_Grid[#Data],$DD633,78),0)</f>
        <v/>
      </c>
      <c r="CC633">
        <f>IFERROR(INDEX(PP_Grid[#Data],$DD633,79),0)</f>
        <v/>
      </c>
      <c r="CD633">
        <f>IFERROR(INDEX(PP_Grid[#Data],$DD633,80),0)</f>
        <v/>
      </c>
      <c r="CE633">
        <f>IFERROR(INDEX(PP_Grid[#Data],$DD633,81),0)</f>
        <v/>
      </c>
      <c r="CF633">
        <f>IFERROR(INDEX(PP_Grid[#Data],$DD633,82),0)</f>
        <v/>
      </c>
      <c r="CG633">
        <f>IFERROR(INDEX(PP_Grid[#Data],$DD633,83),0)</f>
        <v/>
      </c>
      <c r="CH633">
        <f>IFERROR(INDEX(PP_Grid[#Data],$DD633,84),0)</f>
        <v/>
      </c>
      <c r="CI633">
        <f>IFERROR(INDEX(PP_Grid[#Data],$DD633,85),0)</f>
        <v/>
      </c>
      <c r="CJ633">
        <f>IFERROR(INDEX(PP_Grid[#Data],$DD633,86),0)</f>
        <v/>
      </c>
      <c r="CK633">
        <f>IFERROR(INDEX(PP_Grid[#Data],$DD633,87),0)</f>
        <v/>
      </c>
      <c r="CL633">
        <f>IFERROR(INDEX(PP_Grid[#Data],$DD633,88),0)</f>
        <v/>
      </c>
      <c r="CM633">
        <f>IFERROR(INDEX(PP_Grid[#Data],$DD633,89),0)</f>
        <v/>
      </c>
      <c r="CN633">
        <f>IFERROR(INDEX(PP_Grid[#Data],$DD633,90),0)</f>
        <v/>
      </c>
      <c r="CO633">
        <f>IFERROR(INDEX(PP_Grid[#Data],$DD633,91),0)</f>
        <v/>
      </c>
      <c r="CP633">
        <f>IFERROR(INDEX(PP_Grid[#Data],$DD633,92),0)</f>
        <v/>
      </c>
      <c r="CQ633">
        <f>IFERROR(INDEX(PP_Grid[#Data],$DD633,93),0)</f>
        <v/>
      </c>
      <c r="CR633">
        <f>IFERROR(INDEX(PP_Grid[#Data],$DD633,94),0)</f>
        <v/>
      </c>
      <c r="CS633">
        <f>IFERROR(INDEX(PP_Grid[#Data],$DD633,95),0)</f>
        <v/>
      </c>
      <c r="CT633">
        <f>IFERROR(INDEX(PP_Grid[#Data],$DD633,96),0)</f>
        <v/>
      </c>
      <c r="CU633">
        <f>IFERROR(INDEX(PP_Grid[#Data],$DD633,97),0)</f>
        <v/>
      </c>
      <c r="CV633">
        <f>IFERROR(INDEX(PP_Grid[#Data],$DD633,98),0)</f>
        <v/>
      </c>
      <c r="CW633">
        <f>IFERROR(INDEX(PP_Grid[#Data],$DD633,99),0)</f>
        <v/>
      </c>
      <c r="CX633">
        <f>IFERROR(INDEX(PP_Grid[#Data],$DD633,100),0)</f>
        <v/>
      </c>
      <c r="CY633">
        <f>IFERROR(INDEX(PP_Grid[#Data],$DD633,101),0)</f>
        <v/>
      </c>
      <c r="CZ633">
        <f>IFERROR(INDEX(PP_Grid[#Data],$DD633,102),0)</f>
        <v/>
      </c>
      <c r="DA633">
        <f>IFERROR(INDEX(PP_Grid[#Data],$DD633,103),0)</f>
        <v/>
      </c>
      <c r="DB633">
        <f>IFERROR(INDEX(PP_Grid[#Data],$DD633,104),0)</f>
        <v/>
      </c>
      <c r="DC633">
        <f>IFERROR(INDEX(PP_Grid[#Data],$DD633,105),0)</f>
        <v/>
      </c>
      <c r="DD633" s="7">
        <f>IFERROR(MATCH($B633,PP_Grid[Intermediate],0),99999)</f>
        <v/>
      </c>
    </row>
    <row r="634">
      <c r="B634" t="inlineStr">
        <is>
          <t>使用量(kg)</t>
        </is>
      </c>
      <c r="C634">
        <f>SUMIFS(M_BOM[RM_Qty_Per_Batch],M_BOM[Intermediate],$B633,M_BOM[Part Name],$A580)</f>
        <v/>
      </c>
      <c r="D634">
        <f>$C634*D633</f>
        <v/>
      </c>
      <c r="E634">
        <f>$C634*E633</f>
        <v/>
      </c>
      <c r="F634">
        <f>$C634*F633</f>
        <v/>
      </c>
      <c r="G634">
        <f>$C634*G633</f>
        <v/>
      </c>
      <c r="H634">
        <f>$C634*H633</f>
        <v/>
      </c>
      <c r="I634">
        <f>$C634*I633</f>
        <v/>
      </c>
      <c r="J634">
        <f>$C634*J633</f>
        <v/>
      </c>
      <c r="K634">
        <f>$C634*K633</f>
        <v/>
      </c>
      <c r="L634">
        <f>$C634*L633</f>
        <v/>
      </c>
      <c r="M634">
        <f>$C634*M633</f>
        <v/>
      </c>
      <c r="N634">
        <f>$C634*N633</f>
        <v/>
      </c>
      <c r="O634">
        <f>$C634*O633</f>
        <v/>
      </c>
      <c r="P634">
        <f>$C634*P633</f>
        <v/>
      </c>
      <c r="Q634">
        <f>$C634*Q633</f>
        <v/>
      </c>
      <c r="R634">
        <f>$C634*R633</f>
        <v/>
      </c>
      <c r="S634">
        <f>$C634*S633</f>
        <v/>
      </c>
      <c r="T634">
        <f>$C634*T633</f>
        <v/>
      </c>
      <c r="U634">
        <f>$C634*U633</f>
        <v/>
      </c>
      <c r="V634">
        <f>$C634*V633</f>
        <v/>
      </c>
      <c r="W634">
        <f>$C634*W633</f>
        <v/>
      </c>
      <c r="X634">
        <f>$C634*X633</f>
        <v/>
      </c>
      <c r="Y634">
        <f>$C634*Y633</f>
        <v/>
      </c>
      <c r="Z634">
        <f>$C634*Z633</f>
        <v/>
      </c>
      <c r="AA634">
        <f>$C634*AA633</f>
        <v/>
      </c>
      <c r="AB634">
        <f>$C634*AB633</f>
        <v/>
      </c>
      <c r="AC634">
        <f>$C634*AC633</f>
        <v/>
      </c>
      <c r="AD634">
        <f>$C634*AD633</f>
        <v/>
      </c>
      <c r="AE634">
        <f>$C634*AE633</f>
        <v/>
      </c>
      <c r="AF634">
        <f>$C634*AF633</f>
        <v/>
      </c>
      <c r="AG634">
        <f>$C634*AG633</f>
        <v/>
      </c>
      <c r="AH634">
        <f>$C634*AH633</f>
        <v/>
      </c>
      <c r="AI634">
        <f>$C634*AI633</f>
        <v/>
      </c>
      <c r="AJ634">
        <f>$C634*AJ633</f>
        <v/>
      </c>
      <c r="AK634">
        <f>$C634*AK633</f>
        <v/>
      </c>
      <c r="AL634">
        <f>$C634*AL633</f>
        <v/>
      </c>
      <c r="AM634">
        <f>$C634*AM633</f>
        <v/>
      </c>
      <c r="AN634">
        <f>$C634*AN633</f>
        <v/>
      </c>
      <c r="AO634">
        <f>$C634*AO633</f>
        <v/>
      </c>
      <c r="AP634">
        <f>$C634*AP633</f>
        <v/>
      </c>
      <c r="AQ634">
        <f>$C634*AQ633</f>
        <v/>
      </c>
      <c r="AR634">
        <f>$C634*AR633</f>
        <v/>
      </c>
      <c r="AS634">
        <f>$C634*AS633</f>
        <v/>
      </c>
      <c r="AT634">
        <f>$C634*AT633</f>
        <v/>
      </c>
      <c r="AU634">
        <f>$C634*AU633</f>
        <v/>
      </c>
      <c r="AV634">
        <f>$C634*AV633</f>
        <v/>
      </c>
      <c r="AW634">
        <f>$C634*AW633</f>
        <v/>
      </c>
      <c r="AX634">
        <f>$C634*AX633</f>
        <v/>
      </c>
      <c r="AY634">
        <f>$C634*AY633</f>
        <v/>
      </c>
      <c r="AZ634">
        <f>$C634*AZ633</f>
        <v/>
      </c>
      <c r="BA634">
        <f>$C634*BA633</f>
        <v/>
      </c>
      <c r="BB634">
        <f>$C634*BB633</f>
        <v/>
      </c>
      <c r="BC634">
        <f>$C634*BC633</f>
        <v/>
      </c>
      <c r="BD634">
        <f>$C634*BD633</f>
        <v/>
      </c>
      <c r="BE634">
        <f>$C634*BE633</f>
        <v/>
      </c>
      <c r="BF634">
        <f>$C634*BF633</f>
        <v/>
      </c>
      <c r="BG634">
        <f>$C634*BG633</f>
        <v/>
      </c>
      <c r="BH634">
        <f>$C634*BH633</f>
        <v/>
      </c>
      <c r="BI634">
        <f>$C634*BI633</f>
        <v/>
      </c>
      <c r="BJ634">
        <f>$C634*BJ633</f>
        <v/>
      </c>
      <c r="BK634">
        <f>$C634*BK633</f>
        <v/>
      </c>
      <c r="BL634">
        <f>$C634*BL633</f>
        <v/>
      </c>
      <c r="BM634">
        <f>$C634*BM633</f>
        <v/>
      </c>
      <c r="BN634">
        <f>$C634*BN633</f>
        <v/>
      </c>
      <c r="BO634">
        <f>$C634*BO633</f>
        <v/>
      </c>
      <c r="BP634">
        <f>$C634*BP633</f>
        <v/>
      </c>
      <c r="BQ634">
        <f>$C634*BQ633</f>
        <v/>
      </c>
      <c r="BR634">
        <f>$C634*BR633</f>
        <v/>
      </c>
      <c r="BS634">
        <f>$C634*BS633</f>
        <v/>
      </c>
      <c r="BT634">
        <f>$C634*BT633</f>
        <v/>
      </c>
      <c r="BU634">
        <f>$C634*BU633</f>
        <v/>
      </c>
      <c r="BV634">
        <f>$C634*BV633</f>
        <v/>
      </c>
      <c r="BW634">
        <f>$C634*BW633</f>
        <v/>
      </c>
      <c r="BX634">
        <f>$C634*BX633</f>
        <v/>
      </c>
      <c r="BY634">
        <f>$C634*BY633</f>
        <v/>
      </c>
      <c r="BZ634">
        <f>$C634*BZ633</f>
        <v/>
      </c>
      <c r="CA634">
        <f>$C634*CA633</f>
        <v/>
      </c>
      <c r="CB634">
        <f>$C634*CB633</f>
        <v/>
      </c>
      <c r="CC634">
        <f>$C634*CC633</f>
        <v/>
      </c>
      <c r="CD634">
        <f>$C634*CD633</f>
        <v/>
      </c>
      <c r="CE634">
        <f>$C634*CE633</f>
        <v/>
      </c>
      <c r="CF634">
        <f>$C634*CF633</f>
        <v/>
      </c>
      <c r="CG634">
        <f>$C634*CG633</f>
        <v/>
      </c>
      <c r="CH634">
        <f>$C634*CH633</f>
        <v/>
      </c>
      <c r="CI634">
        <f>$C634*CI633</f>
        <v/>
      </c>
      <c r="CJ634">
        <f>$C634*CJ633</f>
        <v/>
      </c>
      <c r="CK634">
        <f>$C634*CK633</f>
        <v/>
      </c>
      <c r="CL634">
        <f>$C634*CL633</f>
        <v/>
      </c>
      <c r="CM634">
        <f>$C634*CM633</f>
        <v/>
      </c>
      <c r="CN634">
        <f>$C634*CN633</f>
        <v/>
      </c>
      <c r="CO634">
        <f>$C634*CO633</f>
        <v/>
      </c>
      <c r="CP634">
        <f>$C634*CP633</f>
        <v/>
      </c>
      <c r="CQ634">
        <f>$C634*CQ633</f>
        <v/>
      </c>
      <c r="CR634">
        <f>$C634*CR633</f>
        <v/>
      </c>
      <c r="CS634">
        <f>$C634*CS633</f>
        <v/>
      </c>
      <c r="CT634">
        <f>$C634*CT633</f>
        <v/>
      </c>
      <c r="CU634">
        <f>$C634*CU633</f>
        <v/>
      </c>
      <c r="CV634">
        <f>$C634*CV633</f>
        <v/>
      </c>
      <c r="CW634">
        <f>$C634*CW633</f>
        <v/>
      </c>
      <c r="CX634">
        <f>$C634*CX633</f>
        <v/>
      </c>
      <c r="CY634">
        <f>$C634*CY633</f>
        <v/>
      </c>
      <c r="CZ634">
        <f>$C634*CZ633</f>
        <v/>
      </c>
      <c r="DA634">
        <f>$C634*DA633</f>
        <v/>
      </c>
      <c r="DB634">
        <f>$C634*DB633</f>
        <v/>
      </c>
      <c r="DC634">
        <f>$C634*DC633</f>
        <v/>
      </c>
    </row>
    <row r="635">
      <c r="B635" t="inlineStr">
        <is>
          <t>F2090</t>
        </is>
      </c>
      <c r="C635" t="inlineStr">
        <is>
          <t>No. of batches</t>
        </is>
      </c>
      <c r="D635">
        <f>IFERROR(INDEX(PP_Grid[#Data],$DD635,2),0)</f>
        <v/>
      </c>
      <c r="E635">
        <f>IFERROR(INDEX(PP_Grid[#Data],$DD635,3),0)</f>
        <v/>
      </c>
      <c r="F635">
        <f>IFERROR(INDEX(PP_Grid[#Data],$DD635,4),0)</f>
        <v/>
      </c>
      <c r="G635">
        <f>IFERROR(INDEX(PP_Grid[#Data],$DD635,5),0)</f>
        <v/>
      </c>
      <c r="H635">
        <f>IFERROR(INDEX(PP_Grid[#Data],$DD635,6),0)</f>
        <v/>
      </c>
      <c r="I635">
        <f>IFERROR(INDEX(PP_Grid[#Data],$DD635,7),0)</f>
        <v/>
      </c>
      <c r="J635">
        <f>IFERROR(INDEX(PP_Grid[#Data],$DD635,8),0)</f>
        <v/>
      </c>
      <c r="K635">
        <f>IFERROR(INDEX(PP_Grid[#Data],$DD635,9),0)</f>
        <v/>
      </c>
      <c r="L635">
        <f>IFERROR(INDEX(PP_Grid[#Data],$DD635,10),0)</f>
        <v/>
      </c>
      <c r="M635">
        <f>IFERROR(INDEX(PP_Grid[#Data],$DD635,11),0)</f>
        <v/>
      </c>
      <c r="N635">
        <f>IFERROR(INDEX(PP_Grid[#Data],$DD635,12),0)</f>
        <v/>
      </c>
      <c r="O635">
        <f>IFERROR(INDEX(PP_Grid[#Data],$DD635,13),0)</f>
        <v/>
      </c>
      <c r="P635">
        <f>IFERROR(INDEX(PP_Grid[#Data],$DD635,14),0)</f>
        <v/>
      </c>
      <c r="Q635">
        <f>IFERROR(INDEX(PP_Grid[#Data],$DD635,15),0)</f>
        <v/>
      </c>
      <c r="R635">
        <f>IFERROR(INDEX(PP_Grid[#Data],$DD635,16),0)</f>
        <v/>
      </c>
      <c r="S635">
        <f>IFERROR(INDEX(PP_Grid[#Data],$DD635,17),0)</f>
        <v/>
      </c>
      <c r="T635">
        <f>IFERROR(INDEX(PP_Grid[#Data],$DD635,18),0)</f>
        <v/>
      </c>
      <c r="U635">
        <f>IFERROR(INDEX(PP_Grid[#Data],$DD635,19),0)</f>
        <v/>
      </c>
      <c r="V635">
        <f>IFERROR(INDEX(PP_Grid[#Data],$DD635,20),0)</f>
        <v/>
      </c>
      <c r="W635">
        <f>IFERROR(INDEX(PP_Grid[#Data],$DD635,21),0)</f>
        <v/>
      </c>
      <c r="X635">
        <f>IFERROR(INDEX(PP_Grid[#Data],$DD635,22),0)</f>
        <v/>
      </c>
      <c r="Y635">
        <f>IFERROR(INDEX(PP_Grid[#Data],$DD635,23),0)</f>
        <v/>
      </c>
      <c r="Z635">
        <f>IFERROR(INDEX(PP_Grid[#Data],$DD635,24),0)</f>
        <v/>
      </c>
      <c r="AA635">
        <f>IFERROR(INDEX(PP_Grid[#Data],$DD635,25),0)</f>
        <v/>
      </c>
      <c r="AB635">
        <f>IFERROR(INDEX(PP_Grid[#Data],$DD635,26),0)</f>
        <v/>
      </c>
      <c r="AC635">
        <f>IFERROR(INDEX(PP_Grid[#Data],$DD635,27),0)</f>
        <v/>
      </c>
      <c r="AD635">
        <f>IFERROR(INDEX(PP_Grid[#Data],$DD635,28),0)</f>
        <v/>
      </c>
      <c r="AE635">
        <f>IFERROR(INDEX(PP_Grid[#Data],$DD635,29),0)</f>
        <v/>
      </c>
      <c r="AF635">
        <f>IFERROR(INDEX(PP_Grid[#Data],$DD635,30),0)</f>
        <v/>
      </c>
      <c r="AG635">
        <f>IFERROR(INDEX(PP_Grid[#Data],$DD635,31),0)</f>
        <v/>
      </c>
      <c r="AH635">
        <f>IFERROR(INDEX(PP_Grid[#Data],$DD635,32),0)</f>
        <v/>
      </c>
      <c r="AI635">
        <f>IFERROR(INDEX(PP_Grid[#Data],$DD635,33),0)</f>
        <v/>
      </c>
      <c r="AJ635">
        <f>IFERROR(INDEX(PP_Grid[#Data],$DD635,34),0)</f>
        <v/>
      </c>
      <c r="AK635">
        <f>IFERROR(INDEX(PP_Grid[#Data],$DD635,35),0)</f>
        <v/>
      </c>
      <c r="AL635">
        <f>IFERROR(INDEX(PP_Grid[#Data],$DD635,36),0)</f>
        <v/>
      </c>
      <c r="AM635">
        <f>IFERROR(INDEX(PP_Grid[#Data],$DD635,37),0)</f>
        <v/>
      </c>
      <c r="AN635">
        <f>IFERROR(INDEX(PP_Grid[#Data],$DD635,38),0)</f>
        <v/>
      </c>
      <c r="AO635">
        <f>IFERROR(INDEX(PP_Grid[#Data],$DD635,39),0)</f>
        <v/>
      </c>
      <c r="AP635">
        <f>IFERROR(INDEX(PP_Grid[#Data],$DD635,40),0)</f>
        <v/>
      </c>
      <c r="AQ635">
        <f>IFERROR(INDEX(PP_Grid[#Data],$DD635,41),0)</f>
        <v/>
      </c>
      <c r="AR635">
        <f>IFERROR(INDEX(PP_Grid[#Data],$DD635,42),0)</f>
        <v/>
      </c>
      <c r="AS635">
        <f>IFERROR(INDEX(PP_Grid[#Data],$DD635,43),0)</f>
        <v/>
      </c>
      <c r="AT635">
        <f>IFERROR(INDEX(PP_Grid[#Data],$DD635,44),0)</f>
        <v/>
      </c>
      <c r="AU635">
        <f>IFERROR(INDEX(PP_Grid[#Data],$DD635,45),0)</f>
        <v/>
      </c>
      <c r="AV635">
        <f>IFERROR(INDEX(PP_Grid[#Data],$DD635,46),0)</f>
        <v/>
      </c>
      <c r="AW635">
        <f>IFERROR(INDEX(PP_Grid[#Data],$DD635,47),0)</f>
        <v/>
      </c>
      <c r="AX635">
        <f>IFERROR(INDEX(PP_Grid[#Data],$DD635,48),0)</f>
        <v/>
      </c>
      <c r="AY635">
        <f>IFERROR(INDEX(PP_Grid[#Data],$DD635,49),0)</f>
        <v/>
      </c>
      <c r="AZ635">
        <f>IFERROR(INDEX(PP_Grid[#Data],$DD635,50),0)</f>
        <v/>
      </c>
      <c r="BA635">
        <f>IFERROR(INDEX(PP_Grid[#Data],$DD635,51),0)</f>
        <v/>
      </c>
      <c r="BB635">
        <f>IFERROR(INDEX(PP_Grid[#Data],$DD635,52),0)</f>
        <v/>
      </c>
      <c r="BC635">
        <f>IFERROR(INDEX(PP_Grid[#Data],$DD635,53),0)</f>
        <v/>
      </c>
      <c r="BD635">
        <f>IFERROR(INDEX(PP_Grid[#Data],$DD635,54),0)</f>
        <v/>
      </c>
      <c r="BE635">
        <f>IFERROR(INDEX(PP_Grid[#Data],$DD635,55),0)</f>
        <v/>
      </c>
      <c r="BF635">
        <f>IFERROR(INDEX(PP_Grid[#Data],$DD635,56),0)</f>
        <v/>
      </c>
      <c r="BG635">
        <f>IFERROR(INDEX(PP_Grid[#Data],$DD635,57),0)</f>
        <v/>
      </c>
      <c r="BH635">
        <f>IFERROR(INDEX(PP_Grid[#Data],$DD635,58),0)</f>
        <v/>
      </c>
      <c r="BI635">
        <f>IFERROR(INDEX(PP_Grid[#Data],$DD635,59),0)</f>
        <v/>
      </c>
      <c r="BJ635">
        <f>IFERROR(INDEX(PP_Grid[#Data],$DD635,60),0)</f>
        <v/>
      </c>
      <c r="BK635">
        <f>IFERROR(INDEX(PP_Grid[#Data],$DD635,61),0)</f>
        <v/>
      </c>
      <c r="BL635">
        <f>IFERROR(INDEX(PP_Grid[#Data],$DD635,62),0)</f>
        <v/>
      </c>
      <c r="BM635">
        <f>IFERROR(INDEX(PP_Grid[#Data],$DD635,63),0)</f>
        <v/>
      </c>
      <c r="BN635">
        <f>IFERROR(INDEX(PP_Grid[#Data],$DD635,64),0)</f>
        <v/>
      </c>
      <c r="BO635">
        <f>IFERROR(INDEX(PP_Grid[#Data],$DD635,65),0)</f>
        <v/>
      </c>
      <c r="BP635">
        <f>IFERROR(INDEX(PP_Grid[#Data],$DD635,66),0)</f>
        <v/>
      </c>
      <c r="BQ635">
        <f>IFERROR(INDEX(PP_Grid[#Data],$DD635,67),0)</f>
        <v/>
      </c>
      <c r="BR635">
        <f>IFERROR(INDEX(PP_Grid[#Data],$DD635,68),0)</f>
        <v/>
      </c>
      <c r="BS635">
        <f>IFERROR(INDEX(PP_Grid[#Data],$DD635,69),0)</f>
        <v/>
      </c>
      <c r="BT635">
        <f>IFERROR(INDEX(PP_Grid[#Data],$DD635,70),0)</f>
        <v/>
      </c>
      <c r="BU635">
        <f>IFERROR(INDEX(PP_Grid[#Data],$DD635,71),0)</f>
        <v/>
      </c>
      <c r="BV635">
        <f>IFERROR(INDEX(PP_Grid[#Data],$DD635,72),0)</f>
        <v/>
      </c>
      <c r="BW635">
        <f>IFERROR(INDEX(PP_Grid[#Data],$DD635,73),0)</f>
        <v/>
      </c>
      <c r="BX635">
        <f>IFERROR(INDEX(PP_Grid[#Data],$DD635,74),0)</f>
        <v/>
      </c>
      <c r="BY635">
        <f>IFERROR(INDEX(PP_Grid[#Data],$DD635,75),0)</f>
        <v/>
      </c>
      <c r="BZ635">
        <f>IFERROR(INDEX(PP_Grid[#Data],$DD635,76),0)</f>
        <v/>
      </c>
      <c r="CA635">
        <f>IFERROR(INDEX(PP_Grid[#Data],$DD635,77),0)</f>
        <v/>
      </c>
      <c r="CB635">
        <f>IFERROR(INDEX(PP_Grid[#Data],$DD635,78),0)</f>
        <v/>
      </c>
      <c r="CC635">
        <f>IFERROR(INDEX(PP_Grid[#Data],$DD635,79),0)</f>
        <v/>
      </c>
      <c r="CD635">
        <f>IFERROR(INDEX(PP_Grid[#Data],$DD635,80),0)</f>
        <v/>
      </c>
      <c r="CE635">
        <f>IFERROR(INDEX(PP_Grid[#Data],$DD635,81),0)</f>
        <v/>
      </c>
      <c r="CF635">
        <f>IFERROR(INDEX(PP_Grid[#Data],$DD635,82),0)</f>
        <v/>
      </c>
      <c r="CG635">
        <f>IFERROR(INDEX(PP_Grid[#Data],$DD635,83),0)</f>
        <v/>
      </c>
      <c r="CH635">
        <f>IFERROR(INDEX(PP_Grid[#Data],$DD635,84),0)</f>
        <v/>
      </c>
      <c r="CI635">
        <f>IFERROR(INDEX(PP_Grid[#Data],$DD635,85),0)</f>
        <v/>
      </c>
      <c r="CJ635">
        <f>IFERROR(INDEX(PP_Grid[#Data],$DD635,86),0)</f>
        <v/>
      </c>
      <c r="CK635">
        <f>IFERROR(INDEX(PP_Grid[#Data],$DD635,87),0)</f>
        <v/>
      </c>
      <c r="CL635">
        <f>IFERROR(INDEX(PP_Grid[#Data],$DD635,88),0)</f>
        <v/>
      </c>
      <c r="CM635">
        <f>IFERROR(INDEX(PP_Grid[#Data],$DD635,89),0)</f>
        <v/>
      </c>
      <c r="CN635">
        <f>IFERROR(INDEX(PP_Grid[#Data],$DD635,90),0)</f>
        <v/>
      </c>
      <c r="CO635">
        <f>IFERROR(INDEX(PP_Grid[#Data],$DD635,91),0)</f>
        <v/>
      </c>
      <c r="CP635">
        <f>IFERROR(INDEX(PP_Grid[#Data],$DD635,92),0)</f>
        <v/>
      </c>
      <c r="CQ635">
        <f>IFERROR(INDEX(PP_Grid[#Data],$DD635,93),0)</f>
        <v/>
      </c>
      <c r="CR635">
        <f>IFERROR(INDEX(PP_Grid[#Data],$DD635,94),0)</f>
        <v/>
      </c>
      <c r="CS635">
        <f>IFERROR(INDEX(PP_Grid[#Data],$DD635,95),0)</f>
        <v/>
      </c>
      <c r="CT635">
        <f>IFERROR(INDEX(PP_Grid[#Data],$DD635,96),0)</f>
        <v/>
      </c>
      <c r="CU635">
        <f>IFERROR(INDEX(PP_Grid[#Data],$DD635,97),0)</f>
        <v/>
      </c>
      <c r="CV635">
        <f>IFERROR(INDEX(PP_Grid[#Data],$DD635,98),0)</f>
        <v/>
      </c>
      <c r="CW635">
        <f>IFERROR(INDEX(PP_Grid[#Data],$DD635,99),0)</f>
        <v/>
      </c>
      <c r="CX635">
        <f>IFERROR(INDEX(PP_Grid[#Data],$DD635,100),0)</f>
        <v/>
      </c>
      <c r="CY635">
        <f>IFERROR(INDEX(PP_Grid[#Data],$DD635,101),0)</f>
        <v/>
      </c>
      <c r="CZ635">
        <f>IFERROR(INDEX(PP_Grid[#Data],$DD635,102),0)</f>
        <v/>
      </c>
      <c r="DA635">
        <f>IFERROR(INDEX(PP_Grid[#Data],$DD635,103),0)</f>
        <v/>
      </c>
      <c r="DB635">
        <f>IFERROR(INDEX(PP_Grid[#Data],$DD635,104),0)</f>
        <v/>
      </c>
      <c r="DC635">
        <f>IFERROR(INDEX(PP_Grid[#Data],$DD635,105),0)</f>
        <v/>
      </c>
      <c r="DD635" s="7">
        <f>IFERROR(MATCH($B635,PP_Grid[Intermediate],0),99999)</f>
        <v/>
      </c>
    </row>
    <row r="636">
      <c r="B636" t="inlineStr">
        <is>
          <t>使用量(kg)</t>
        </is>
      </c>
      <c r="C636">
        <f>SUMIFS(M_BOM[RM_Qty_Per_Batch],M_BOM[Intermediate],$B635,M_BOM[Part Name],$A580)</f>
        <v/>
      </c>
      <c r="D636">
        <f>$C636*D635</f>
        <v/>
      </c>
      <c r="E636">
        <f>$C636*E635</f>
        <v/>
      </c>
      <c r="F636">
        <f>$C636*F635</f>
        <v/>
      </c>
      <c r="G636">
        <f>$C636*G635</f>
        <v/>
      </c>
      <c r="H636">
        <f>$C636*H635</f>
        <v/>
      </c>
      <c r="I636">
        <f>$C636*I635</f>
        <v/>
      </c>
      <c r="J636">
        <f>$C636*J635</f>
        <v/>
      </c>
      <c r="K636">
        <f>$C636*K635</f>
        <v/>
      </c>
      <c r="L636">
        <f>$C636*L635</f>
        <v/>
      </c>
      <c r="M636">
        <f>$C636*M635</f>
        <v/>
      </c>
      <c r="N636">
        <f>$C636*N635</f>
        <v/>
      </c>
      <c r="O636">
        <f>$C636*O635</f>
        <v/>
      </c>
      <c r="P636">
        <f>$C636*P635</f>
        <v/>
      </c>
      <c r="Q636">
        <f>$C636*Q635</f>
        <v/>
      </c>
      <c r="R636">
        <f>$C636*R635</f>
        <v/>
      </c>
      <c r="S636">
        <f>$C636*S635</f>
        <v/>
      </c>
      <c r="T636">
        <f>$C636*T635</f>
        <v/>
      </c>
      <c r="U636">
        <f>$C636*U635</f>
        <v/>
      </c>
      <c r="V636">
        <f>$C636*V635</f>
        <v/>
      </c>
      <c r="W636">
        <f>$C636*W635</f>
        <v/>
      </c>
      <c r="X636">
        <f>$C636*X635</f>
        <v/>
      </c>
      <c r="Y636">
        <f>$C636*Y635</f>
        <v/>
      </c>
      <c r="Z636">
        <f>$C636*Z635</f>
        <v/>
      </c>
      <c r="AA636">
        <f>$C636*AA635</f>
        <v/>
      </c>
      <c r="AB636">
        <f>$C636*AB635</f>
        <v/>
      </c>
      <c r="AC636">
        <f>$C636*AC635</f>
        <v/>
      </c>
      <c r="AD636">
        <f>$C636*AD635</f>
        <v/>
      </c>
      <c r="AE636">
        <f>$C636*AE635</f>
        <v/>
      </c>
      <c r="AF636">
        <f>$C636*AF635</f>
        <v/>
      </c>
      <c r="AG636">
        <f>$C636*AG635</f>
        <v/>
      </c>
      <c r="AH636">
        <f>$C636*AH635</f>
        <v/>
      </c>
      <c r="AI636">
        <f>$C636*AI635</f>
        <v/>
      </c>
      <c r="AJ636">
        <f>$C636*AJ635</f>
        <v/>
      </c>
      <c r="AK636">
        <f>$C636*AK635</f>
        <v/>
      </c>
      <c r="AL636">
        <f>$C636*AL635</f>
        <v/>
      </c>
      <c r="AM636">
        <f>$C636*AM635</f>
        <v/>
      </c>
      <c r="AN636">
        <f>$C636*AN635</f>
        <v/>
      </c>
      <c r="AO636">
        <f>$C636*AO635</f>
        <v/>
      </c>
      <c r="AP636">
        <f>$C636*AP635</f>
        <v/>
      </c>
      <c r="AQ636">
        <f>$C636*AQ635</f>
        <v/>
      </c>
      <c r="AR636">
        <f>$C636*AR635</f>
        <v/>
      </c>
      <c r="AS636">
        <f>$C636*AS635</f>
        <v/>
      </c>
      <c r="AT636">
        <f>$C636*AT635</f>
        <v/>
      </c>
      <c r="AU636">
        <f>$C636*AU635</f>
        <v/>
      </c>
      <c r="AV636">
        <f>$C636*AV635</f>
        <v/>
      </c>
      <c r="AW636">
        <f>$C636*AW635</f>
        <v/>
      </c>
      <c r="AX636">
        <f>$C636*AX635</f>
        <v/>
      </c>
      <c r="AY636">
        <f>$C636*AY635</f>
        <v/>
      </c>
      <c r="AZ636">
        <f>$C636*AZ635</f>
        <v/>
      </c>
      <c r="BA636">
        <f>$C636*BA635</f>
        <v/>
      </c>
      <c r="BB636">
        <f>$C636*BB635</f>
        <v/>
      </c>
      <c r="BC636">
        <f>$C636*BC635</f>
        <v/>
      </c>
      <c r="BD636">
        <f>$C636*BD635</f>
        <v/>
      </c>
      <c r="BE636">
        <f>$C636*BE635</f>
        <v/>
      </c>
      <c r="BF636">
        <f>$C636*BF635</f>
        <v/>
      </c>
      <c r="BG636">
        <f>$C636*BG635</f>
        <v/>
      </c>
      <c r="BH636">
        <f>$C636*BH635</f>
        <v/>
      </c>
      <c r="BI636">
        <f>$C636*BI635</f>
        <v/>
      </c>
      <c r="BJ636">
        <f>$C636*BJ635</f>
        <v/>
      </c>
      <c r="BK636">
        <f>$C636*BK635</f>
        <v/>
      </c>
      <c r="BL636">
        <f>$C636*BL635</f>
        <v/>
      </c>
      <c r="BM636">
        <f>$C636*BM635</f>
        <v/>
      </c>
      <c r="BN636">
        <f>$C636*BN635</f>
        <v/>
      </c>
      <c r="BO636">
        <f>$C636*BO635</f>
        <v/>
      </c>
      <c r="BP636">
        <f>$C636*BP635</f>
        <v/>
      </c>
      <c r="BQ636">
        <f>$C636*BQ635</f>
        <v/>
      </c>
      <c r="BR636">
        <f>$C636*BR635</f>
        <v/>
      </c>
      <c r="BS636">
        <f>$C636*BS635</f>
        <v/>
      </c>
      <c r="BT636">
        <f>$C636*BT635</f>
        <v/>
      </c>
      <c r="BU636">
        <f>$C636*BU635</f>
        <v/>
      </c>
      <c r="BV636">
        <f>$C636*BV635</f>
        <v/>
      </c>
      <c r="BW636">
        <f>$C636*BW635</f>
        <v/>
      </c>
      <c r="BX636">
        <f>$C636*BX635</f>
        <v/>
      </c>
      <c r="BY636">
        <f>$C636*BY635</f>
        <v/>
      </c>
      <c r="BZ636">
        <f>$C636*BZ635</f>
        <v/>
      </c>
      <c r="CA636">
        <f>$C636*CA635</f>
        <v/>
      </c>
      <c r="CB636">
        <f>$C636*CB635</f>
        <v/>
      </c>
      <c r="CC636">
        <f>$C636*CC635</f>
        <v/>
      </c>
      <c r="CD636">
        <f>$C636*CD635</f>
        <v/>
      </c>
      <c r="CE636">
        <f>$C636*CE635</f>
        <v/>
      </c>
      <c r="CF636">
        <f>$C636*CF635</f>
        <v/>
      </c>
      <c r="CG636">
        <f>$C636*CG635</f>
        <v/>
      </c>
      <c r="CH636">
        <f>$C636*CH635</f>
        <v/>
      </c>
      <c r="CI636">
        <f>$C636*CI635</f>
        <v/>
      </c>
      <c r="CJ636">
        <f>$C636*CJ635</f>
        <v/>
      </c>
      <c r="CK636">
        <f>$C636*CK635</f>
        <v/>
      </c>
      <c r="CL636">
        <f>$C636*CL635</f>
        <v/>
      </c>
      <c r="CM636">
        <f>$C636*CM635</f>
        <v/>
      </c>
      <c r="CN636">
        <f>$C636*CN635</f>
        <v/>
      </c>
      <c r="CO636">
        <f>$C636*CO635</f>
        <v/>
      </c>
      <c r="CP636">
        <f>$C636*CP635</f>
        <v/>
      </c>
      <c r="CQ636">
        <f>$C636*CQ635</f>
        <v/>
      </c>
      <c r="CR636">
        <f>$C636*CR635</f>
        <v/>
      </c>
      <c r="CS636">
        <f>$C636*CS635</f>
        <v/>
      </c>
      <c r="CT636">
        <f>$C636*CT635</f>
        <v/>
      </c>
      <c r="CU636">
        <f>$C636*CU635</f>
        <v/>
      </c>
      <c r="CV636">
        <f>$C636*CV635</f>
        <v/>
      </c>
      <c r="CW636">
        <f>$C636*CW635</f>
        <v/>
      </c>
      <c r="CX636">
        <f>$C636*CX635</f>
        <v/>
      </c>
      <c r="CY636">
        <f>$C636*CY635</f>
        <v/>
      </c>
      <c r="CZ636">
        <f>$C636*CZ635</f>
        <v/>
      </c>
      <c r="DA636">
        <f>$C636*DA635</f>
        <v/>
      </c>
      <c r="DB636">
        <f>$C636*DB635</f>
        <v/>
      </c>
      <c r="DC636">
        <f>$C636*DC635</f>
        <v/>
      </c>
    </row>
    <row r="637">
      <c r="B637" s="4" t="inlineStr">
        <is>
          <t>合計使用量(kg)/週</t>
        </is>
      </c>
      <c r="D637">
        <f>'Grid_Requirement'!B22</f>
        <v/>
      </c>
      <c r="E637">
        <f>'Grid_Requirement'!C22</f>
        <v/>
      </c>
      <c r="F637">
        <f>'Grid_Requirement'!D22</f>
        <v/>
      </c>
      <c r="G637">
        <f>'Grid_Requirement'!E22</f>
        <v/>
      </c>
      <c r="H637">
        <f>'Grid_Requirement'!F22</f>
        <v/>
      </c>
      <c r="I637">
        <f>'Grid_Requirement'!G22</f>
        <v/>
      </c>
      <c r="J637">
        <f>'Grid_Requirement'!H22</f>
        <v/>
      </c>
      <c r="K637">
        <f>'Grid_Requirement'!I22</f>
        <v/>
      </c>
      <c r="L637">
        <f>'Grid_Requirement'!J22</f>
        <v/>
      </c>
      <c r="M637">
        <f>'Grid_Requirement'!K22</f>
        <v/>
      </c>
      <c r="N637">
        <f>'Grid_Requirement'!L22</f>
        <v/>
      </c>
      <c r="O637">
        <f>'Grid_Requirement'!M22</f>
        <v/>
      </c>
      <c r="P637">
        <f>'Grid_Requirement'!N22</f>
        <v/>
      </c>
      <c r="Q637">
        <f>'Grid_Requirement'!O22</f>
        <v/>
      </c>
      <c r="R637">
        <f>'Grid_Requirement'!P22</f>
        <v/>
      </c>
      <c r="S637">
        <f>'Grid_Requirement'!Q22</f>
        <v/>
      </c>
      <c r="T637">
        <f>'Grid_Requirement'!R22</f>
        <v/>
      </c>
      <c r="U637">
        <f>'Grid_Requirement'!S22</f>
        <v/>
      </c>
      <c r="V637">
        <f>'Grid_Requirement'!T22</f>
        <v/>
      </c>
      <c r="W637">
        <f>'Grid_Requirement'!U22</f>
        <v/>
      </c>
      <c r="X637">
        <f>'Grid_Requirement'!V22</f>
        <v/>
      </c>
      <c r="Y637">
        <f>'Grid_Requirement'!W22</f>
        <v/>
      </c>
      <c r="Z637">
        <f>'Grid_Requirement'!X22</f>
        <v/>
      </c>
      <c r="AA637">
        <f>'Grid_Requirement'!Y22</f>
        <v/>
      </c>
      <c r="AB637">
        <f>'Grid_Requirement'!Z22</f>
        <v/>
      </c>
      <c r="AC637">
        <f>'Grid_Requirement'!AA22</f>
        <v/>
      </c>
      <c r="AD637">
        <f>'Grid_Requirement'!AB22</f>
        <v/>
      </c>
      <c r="AE637">
        <f>'Grid_Requirement'!AC22</f>
        <v/>
      </c>
      <c r="AF637">
        <f>'Grid_Requirement'!AD22</f>
        <v/>
      </c>
      <c r="AG637">
        <f>'Grid_Requirement'!AE22</f>
        <v/>
      </c>
      <c r="AH637">
        <f>'Grid_Requirement'!AF22</f>
        <v/>
      </c>
      <c r="AI637">
        <f>'Grid_Requirement'!AG22</f>
        <v/>
      </c>
      <c r="AJ637">
        <f>'Grid_Requirement'!AH22</f>
        <v/>
      </c>
      <c r="AK637">
        <f>'Grid_Requirement'!AI22</f>
        <v/>
      </c>
      <c r="AL637">
        <f>'Grid_Requirement'!AJ22</f>
        <v/>
      </c>
      <c r="AM637">
        <f>'Grid_Requirement'!AK22</f>
        <v/>
      </c>
      <c r="AN637">
        <f>'Grid_Requirement'!AL22</f>
        <v/>
      </c>
      <c r="AO637">
        <f>'Grid_Requirement'!AM22</f>
        <v/>
      </c>
      <c r="AP637">
        <f>'Grid_Requirement'!AN22</f>
        <v/>
      </c>
      <c r="AQ637">
        <f>'Grid_Requirement'!AO22</f>
        <v/>
      </c>
      <c r="AR637">
        <f>'Grid_Requirement'!AP22</f>
        <v/>
      </c>
      <c r="AS637">
        <f>'Grid_Requirement'!AQ22</f>
        <v/>
      </c>
      <c r="AT637">
        <f>'Grid_Requirement'!AR22</f>
        <v/>
      </c>
      <c r="AU637">
        <f>'Grid_Requirement'!AS22</f>
        <v/>
      </c>
      <c r="AV637">
        <f>'Grid_Requirement'!AT22</f>
        <v/>
      </c>
      <c r="AW637">
        <f>'Grid_Requirement'!AU22</f>
        <v/>
      </c>
      <c r="AX637">
        <f>'Grid_Requirement'!AV22</f>
        <v/>
      </c>
      <c r="AY637">
        <f>'Grid_Requirement'!AW22</f>
        <v/>
      </c>
      <c r="AZ637">
        <f>'Grid_Requirement'!AX22</f>
        <v/>
      </c>
      <c r="BA637">
        <f>'Grid_Requirement'!AY22</f>
        <v/>
      </c>
      <c r="BB637">
        <f>'Grid_Requirement'!AZ22</f>
        <v/>
      </c>
      <c r="BC637">
        <f>'Grid_Requirement'!BA22</f>
        <v/>
      </c>
      <c r="BD637">
        <f>'Grid_Requirement'!BB22</f>
        <v/>
      </c>
      <c r="BE637">
        <f>'Grid_Requirement'!BC22</f>
        <v/>
      </c>
      <c r="BF637">
        <f>'Grid_Requirement'!BD22</f>
        <v/>
      </c>
      <c r="BG637">
        <f>'Grid_Requirement'!BE22</f>
        <v/>
      </c>
      <c r="BH637">
        <f>'Grid_Requirement'!BF22</f>
        <v/>
      </c>
      <c r="BI637">
        <f>'Grid_Requirement'!BG22</f>
        <v/>
      </c>
      <c r="BJ637">
        <f>'Grid_Requirement'!BH22</f>
        <v/>
      </c>
      <c r="BK637">
        <f>'Grid_Requirement'!BI22</f>
        <v/>
      </c>
      <c r="BL637">
        <f>'Grid_Requirement'!BJ22</f>
        <v/>
      </c>
      <c r="BM637">
        <f>'Grid_Requirement'!BK22</f>
        <v/>
      </c>
      <c r="BN637">
        <f>'Grid_Requirement'!BL22</f>
        <v/>
      </c>
      <c r="BO637">
        <f>'Grid_Requirement'!BM22</f>
        <v/>
      </c>
      <c r="BP637">
        <f>'Grid_Requirement'!BN22</f>
        <v/>
      </c>
      <c r="BQ637">
        <f>'Grid_Requirement'!BO22</f>
        <v/>
      </c>
      <c r="BR637">
        <f>'Grid_Requirement'!BP22</f>
        <v/>
      </c>
      <c r="BS637">
        <f>'Grid_Requirement'!BQ22</f>
        <v/>
      </c>
      <c r="BT637">
        <f>'Grid_Requirement'!BR22</f>
        <v/>
      </c>
      <c r="BU637">
        <f>'Grid_Requirement'!BS22</f>
        <v/>
      </c>
      <c r="BV637">
        <f>'Grid_Requirement'!BT22</f>
        <v/>
      </c>
      <c r="BW637">
        <f>'Grid_Requirement'!BU22</f>
        <v/>
      </c>
      <c r="BX637">
        <f>'Grid_Requirement'!BV22</f>
        <v/>
      </c>
      <c r="BY637">
        <f>'Grid_Requirement'!BW22</f>
        <v/>
      </c>
      <c r="BZ637">
        <f>'Grid_Requirement'!BX22</f>
        <v/>
      </c>
      <c r="CA637">
        <f>'Grid_Requirement'!BY22</f>
        <v/>
      </c>
      <c r="CB637">
        <f>'Grid_Requirement'!BZ22</f>
        <v/>
      </c>
      <c r="CC637">
        <f>'Grid_Requirement'!CA22</f>
        <v/>
      </c>
      <c r="CD637">
        <f>'Grid_Requirement'!CB22</f>
        <v/>
      </c>
      <c r="CE637">
        <f>'Grid_Requirement'!CC22</f>
        <v/>
      </c>
      <c r="CF637">
        <f>'Grid_Requirement'!CD22</f>
        <v/>
      </c>
      <c r="CG637">
        <f>'Grid_Requirement'!CE22</f>
        <v/>
      </c>
      <c r="CH637">
        <f>'Grid_Requirement'!CF22</f>
        <v/>
      </c>
      <c r="CI637">
        <f>'Grid_Requirement'!CG22</f>
        <v/>
      </c>
      <c r="CJ637">
        <f>'Grid_Requirement'!CH22</f>
        <v/>
      </c>
      <c r="CK637">
        <f>'Grid_Requirement'!CI22</f>
        <v/>
      </c>
      <c r="CL637">
        <f>'Grid_Requirement'!CJ22</f>
        <v/>
      </c>
      <c r="CM637">
        <f>'Grid_Requirement'!CK22</f>
        <v/>
      </c>
      <c r="CN637">
        <f>'Grid_Requirement'!CL22</f>
        <v/>
      </c>
      <c r="CO637">
        <f>'Grid_Requirement'!CM22</f>
        <v/>
      </c>
      <c r="CP637">
        <f>'Grid_Requirement'!CN22</f>
        <v/>
      </c>
      <c r="CQ637">
        <f>'Grid_Requirement'!CO22</f>
        <v/>
      </c>
      <c r="CR637">
        <f>'Grid_Requirement'!CP22</f>
        <v/>
      </c>
      <c r="CS637">
        <f>'Grid_Requirement'!CQ22</f>
        <v/>
      </c>
      <c r="CT637">
        <f>'Grid_Requirement'!CR22</f>
        <v/>
      </c>
      <c r="CU637">
        <f>'Grid_Requirement'!CS22</f>
        <v/>
      </c>
      <c r="CV637">
        <f>'Grid_Requirement'!CT22</f>
        <v/>
      </c>
      <c r="CW637">
        <f>'Grid_Requirement'!CU22</f>
        <v/>
      </c>
      <c r="CX637">
        <f>'Grid_Requirement'!CV22</f>
        <v/>
      </c>
      <c r="CY637">
        <f>'Grid_Requirement'!CW22</f>
        <v/>
      </c>
      <c r="CZ637">
        <f>'Grid_Requirement'!CX22</f>
        <v/>
      </c>
      <c r="DA637">
        <f>'Grid_Requirement'!CY22</f>
        <v/>
      </c>
      <c r="DB637">
        <f>'Grid_Requirement'!CZ22</f>
        <v/>
      </c>
      <c r="DC637">
        <f>'Grid_Requirement'!DA22</f>
        <v/>
      </c>
    </row>
    <row r="638">
      <c r="B638" t="inlineStr">
        <is>
          <t>TTAF在庫(実績,kg)</t>
        </is>
      </c>
      <c r="D638">
        <f>'T_TTAFStock'!B26</f>
        <v/>
      </c>
      <c r="E638">
        <f>'T_TTAFStock'!C26</f>
        <v/>
      </c>
      <c r="F638">
        <f>'T_TTAFStock'!D26</f>
        <v/>
      </c>
      <c r="G638">
        <f>'T_TTAFStock'!E26</f>
        <v/>
      </c>
      <c r="H638">
        <f>'T_TTAFStock'!F26</f>
        <v/>
      </c>
      <c r="I638">
        <f>'T_TTAFStock'!G26</f>
        <v/>
      </c>
      <c r="J638">
        <f>'T_TTAFStock'!H26</f>
        <v/>
      </c>
      <c r="K638">
        <f>'T_TTAFStock'!I26</f>
        <v/>
      </c>
      <c r="L638">
        <f>'T_TTAFStock'!J26</f>
        <v/>
      </c>
      <c r="M638">
        <f>'T_TTAFStock'!K26</f>
        <v/>
      </c>
      <c r="N638">
        <f>'T_TTAFStock'!L26</f>
        <v/>
      </c>
      <c r="O638">
        <f>'T_TTAFStock'!M26</f>
        <v/>
      </c>
      <c r="P638">
        <f>'T_TTAFStock'!N26</f>
        <v/>
      </c>
      <c r="Q638">
        <f>'T_TTAFStock'!O26</f>
        <v/>
      </c>
      <c r="R638">
        <f>'T_TTAFStock'!P26</f>
        <v/>
      </c>
      <c r="S638">
        <f>'T_TTAFStock'!Q26</f>
        <v/>
      </c>
      <c r="T638">
        <f>'T_TTAFStock'!R26</f>
        <v/>
      </c>
      <c r="U638">
        <f>'T_TTAFStock'!S26</f>
        <v/>
      </c>
      <c r="V638">
        <f>'T_TTAFStock'!T26</f>
        <v/>
      </c>
      <c r="W638">
        <f>'T_TTAFStock'!U26</f>
        <v/>
      </c>
      <c r="X638">
        <f>'T_TTAFStock'!V26</f>
        <v/>
      </c>
      <c r="Y638">
        <f>'T_TTAFStock'!W26</f>
        <v/>
      </c>
      <c r="Z638">
        <f>'T_TTAFStock'!X26</f>
        <v/>
      </c>
      <c r="AA638">
        <f>'T_TTAFStock'!Y26</f>
        <v/>
      </c>
      <c r="AB638">
        <f>'T_TTAFStock'!Z26</f>
        <v/>
      </c>
      <c r="AC638">
        <f>'T_TTAFStock'!AA26</f>
        <v/>
      </c>
      <c r="AD638">
        <f>'T_TTAFStock'!AB26</f>
        <v/>
      </c>
      <c r="AE638">
        <f>'T_TTAFStock'!AC26</f>
        <v/>
      </c>
      <c r="AF638">
        <f>'T_TTAFStock'!AD26</f>
        <v/>
      </c>
      <c r="AG638">
        <f>'T_TTAFStock'!AE26</f>
        <v/>
      </c>
      <c r="AH638">
        <f>'T_TTAFStock'!AF26</f>
        <v/>
      </c>
      <c r="AI638">
        <f>'T_TTAFStock'!AG26</f>
        <v/>
      </c>
      <c r="AJ638">
        <f>'T_TTAFStock'!AH26</f>
        <v/>
      </c>
      <c r="AK638">
        <f>'T_TTAFStock'!AI26</f>
        <v/>
      </c>
      <c r="AL638">
        <f>'T_TTAFStock'!AJ26</f>
        <v/>
      </c>
      <c r="AM638">
        <f>'T_TTAFStock'!AK26</f>
        <v/>
      </c>
      <c r="AN638">
        <f>'T_TTAFStock'!AL26</f>
        <v/>
      </c>
      <c r="AO638">
        <f>'T_TTAFStock'!AM26</f>
        <v/>
      </c>
      <c r="AP638">
        <f>'T_TTAFStock'!AN26</f>
        <v/>
      </c>
      <c r="AQ638">
        <f>'T_TTAFStock'!AO26</f>
        <v/>
      </c>
      <c r="AR638">
        <f>'T_TTAFStock'!AP26</f>
        <v/>
      </c>
      <c r="AS638">
        <f>'T_TTAFStock'!AQ26</f>
        <v/>
      </c>
      <c r="AT638">
        <f>'T_TTAFStock'!AR26</f>
        <v/>
      </c>
      <c r="AU638">
        <f>'T_TTAFStock'!AS26</f>
        <v/>
      </c>
      <c r="AV638">
        <f>'T_TTAFStock'!AT26</f>
        <v/>
      </c>
      <c r="AW638">
        <f>'T_TTAFStock'!AU26</f>
        <v/>
      </c>
      <c r="AX638">
        <f>'T_TTAFStock'!AV26</f>
        <v/>
      </c>
      <c r="AY638">
        <f>'T_TTAFStock'!AW26</f>
        <v/>
      </c>
      <c r="AZ638">
        <f>'T_TTAFStock'!AX26</f>
        <v/>
      </c>
      <c r="BA638">
        <f>'T_TTAFStock'!AY26</f>
        <v/>
      </c>
      <c r="BB638">
        <f>'T_TTAFStock'!AZ26</f>
        <v/>
      </c>
      <c r="BC638">
        <f>'T_TTAFStock'!BA26</f>
        <v/>
      </c>
      <c r="BD638">
        <f>'T_TTAFStock'!BB26</f>
        <v/>
      </c>
      <c r="BE638">
        <f>'T_TTAFStock'!BC26</f>
        <v/>
      </c>
      <c r="BF638">
        <f>'T_TTAFStock'!BD26</f>
        <v/>
      </c>
      <c r="BG638">
        <f>'T_TTAFStock'!BE26</f>
        <v/>
      </c>
      <c r="BH638">
        <f>'T_TTAFStock'!BF26</f>
        <v/>
      </c>
      <c r="BI638">
        <f>'T_TTAFStock'!BG26</f>
        <v/>
      </c>
      <c r="BJ638">
        <f>'T_TTAFStock'!BH26</f>
        <v/>
      </c>
      <c r="BK638">
        <f>'T_TTAFStock'!BI26</f>
        <v/>
      </c>
      <c r="BL638">
        <f>'T_TTAFStock'!BJ26</f>
        <v/>
      </c>
      <c r="BM638">
        <f>'T_TTAFStock'!BK26</f>
        <v/>
      </c>
      <c r="BN638">
        <f>'T_TTAFStock'!BL26</f>
        <v/>
      </c>
      <c r="BO638">
        <f>'T_TTAFStock'!BM26</f>
        <v/>
      </c>
      <c r="BP638">
        <f>'T_TTAFStock'!BN26</f>
        <v/>
      </c>
      <c r="BQ638">
        <f>'T_TTAFStock'!BO26</f>
        <v/>
      </c>
      <c r="BR638">
        <f>'T_TTAFStock'!BP26</f>
        <v/>
      </c>
      <c r="BS638">
        <f>'T_TTAFStock'!BQ26</f>
        <v/>
      </c>
      <c r="BT638">
        <f>'T_TTAFStock'!BR26</f>
        <v/>
      </c>
      <c r="BU638">
        <f>'T_TTAFStock'!BS26</f>
        <v/>
      </c>
      <c r="BV638">
        <f>'T_TTAFStock'!BT26</f>
        <v/>
      </c>
      <c r="BW638">
        <f>'T_TTAFStock'!BU26</f>
        <v/>
      </c>
      <c r="BX638">
        <f>'T_TTAFStock'!BV26</f>
        <v/>
      </c>
      <c r="BY638">
        <f>'T_TTAFStock'!BW26</f>
        <v/>
      </c>
      <c r="BZ638">
        <f>'T_TTAFStock'!BX26</f>
        <v/>
      </c>
      <c r="CA638">
        <f>'T_TTAFStock'!BY26</f>
        <v/>
      </c>
      <c r="CB638">
        <f>'T_TTAFStock'!BZ26</f>
        <v/>
      </c>
      <c r="CC638">
        <f>'T_TTAFStock'!CA26</f>
        <v/>
      </c>
      <c r="CD638">
        <f>'T_TTAFStock'!CB26</f>
        <v/>
      </c>
      <c r="CE638">
        <f>'T_TTAFStock'!CC26</f>
        <v/>
      </c>
      <c r="CF638">
        <f>'T_TTAFStock'!CD26</f>
        <v/>
      </c>
      <c r="CG638">
        <f>'T_TTAFStock'!CE26</f>
        <v/>
      </c>
      <c r="CH638">
        <f>'T_TTAFStock'!CF26</f>
        <v/>
      </c>
      <c r="CI638">
        <f>'T_TTAFStock'!CG26</f>
        <v/>
      </c>
      <c r="CJ638">
        <f>'T_TTAFStock'!CH26</f>
        <v/>
      </c>
      <c r="CK638">
        <f>'T_TTAFStock'!CI26</f>
        <v/>
      </c>
      <c r="CL638">
        <f>'T_TTAFStock'!CJ26</f>
        <v/>
      </c>
      <c r="CM638">
        <f>'T_TTAFStock'!CK26</f>
        <v/>
      </c>
      <c r="CN638">
        <f>'T_TTAFStock'!CL26</f>
        <v/>
      </c>
      <c r="CO638">
        <f>'T_TTAFStock'!CM26</f>
        <v/>
      </c>
      <c r="CP638">
        <f>'T_TTAFStock'!CN26</f>
        <v/>
      </c>
      <c r="CQ638">
        <f>'T_TTAFStock'!CO26</f>
        <v/>
      </c>
      <c r="CR638">
        <f>'T_TTAFStock'!CP26</f>
        <v/>
      </c>
      <c r="CS638">
        <f>'T_TTAFStock'!CQ26</f>
        <v/>
      </c>
      <c r="CT638">
        <f>'T_TTAFStock'!CR26</f>
        <v/>
      </c>
      <c r="CU638">
        <f>'T_TTAFStock'!CS26</f>
        <v/>
      </c>
      <c r="CV638">
        <f>'T_TTAFStock'!CT26</f>
        <v/>
      </c>
      <c r="CW638">
        <f>'T_TTAFStock'!CU26</f>
        <v/>
      </c>
      <c r="CX638">
        <f>'T_TTAFStock'!CV26</f>
        <v/>
      </c>
      <c r="CY638">
        <f>'T_TTAFStock'!CW26</f>
        <v/>
      </c>
      <c r="CZ638">
        <f>'T_TTAFStock'!CX26</f>
        <v/>
      </c>
      <c r="DA638">
        <f>'T_TTAFStock'!CY26</f>
        <v/>
      </c>
      <c r="DB638">
        <f>'T_TTAFStock'!CZ26</f>
        <v/>
      </c>
      <c r="DC638">
        <f>'T_TTAFStock'!DA26</f>
        <v/>
      </c>
    </row>
    <row r="639">
      <c r="B639" t="inlineStr">
        <is>
          <t>自社在庫(実績,kg)</t>
        </is>
      </c>
      <c r="D639">
        <f>'T_SelfStock'!B26</f>
        <v/>
      </c>
      <c r="E639">
        <f>'T_SelfStock'!C26</f>
        <v/>
      </c>
      <c r="F639">
        <f>'T_SelfStock'!D26</f>
        <v/>
      </c>
      <c r="G639">
        <f>'T_SelfStock'!E26</f>
        <v/>
      </c>
      <c r="H639">
        <f>'T_SelfStock'!F26</f>
        <v/>
      </c>
      <c r="I639">
        <f>'T_SelfStock'!G26</f>
        <v/>
      </c>
      <c r="J639">
        <f>'T_SelfStock'!H26</f>
        <v/>
      </c>
      <c r="K639">
        <f>'T_SelfStock'!I26</f>
        <v/>
      </c>
      <c r="L639">
        <f>'T_SelfStock'!J26</f>
        <v/>
      </c>
      <c r="M639">
        <f>'T_SelfStock'!K26</f>
        <v/>
      </c>
      <c r="N639">
        <f>'T_SelfStock'!L26</f>
        <v/>
      </c>
      <c r="O639">
        <f>'T_SelfStock'!M26</f>
        <v/>
      </c>
      <c r="P639">
        <f>'T_SelfStock'!N26</f>
        <v/>
      </c>
      <c r="Q639">
        <f>'T_SelfStock'!O26</f>
        <v/>
      </c>
      <c r="R639">
        <f>'T_SelfStock'!P26</f>
        <v/>
      </c>
      <c r="S639">
        <f>'T_SelfStock'!Q26</f>
        <v/>
      </c>
      <c r="T639">
        <f>'T_SelfStock'!R26</f>
        <v/>
      </c>
      <c r="U639">
        <f>'T_SelfStock'!S26</f>
        <v/>
      </c>
      <c r="V639">
        <f>'T_SelfStock'!T26</f>
        <v/>
      </c>
      <c r="W639">
        <f>'T_SelfStock'!U26</f>
        <v/>
      </c>
      <c r="X639">
        <f>'T_SelfStock'!V26</f>
        <v/>
      </c>
      <c r="Y639">
        <f>'T_SelfStock'!W26</f>
        <v/>
      </c>
      <c r="Z639">
        <f>'T_SelfStock'!X26</f>
        <v/>
      </c>
      <c r="AA639">
        <f>'T_SelfStock'!Y26</f>
        <v/>
      </c>
      <c r="AB639">
        <f>'T_SelfStock'!Z26</f>
        <v/>
      </c>
      <c r="AC639">
        <f>'T_SelfStock'!AA26</f>
        <v/>
      </c>
      <c r="AD639">
        <f>'T_SelfStock'!AB26</f>
        <v/>
      </c>
      <c r="AE639">
        <f>'T_SelfStock'!AC26</f>
        <v/>
      </c>
      <c r="AF639">
        <f>'T_SelfStock'!AD26</f>
        <v/>
      </c>
      <c r="AG639">
        <f>'T_SelfStock'!AE26</f>
        <v/>
      </c>
      <c r="AH639">
        <f>'T_SelfStock'!AF26</f>
        <v/>
      </c>
      <c r="AI639">
        <f>'T_SelfStock'!AG26</f>
        <v/>
      </c>
      <c r="AJ639">
        <f>'T_SelfStock'!AH26</f>
        <v/>
      </c>
      <c r="AK639">
        <f>'T_SelfStock'!AI26</f>
        <v/>
      </c>
      <c r="AL639">
        <f>'T_SelfStock'!AJ26</f>
        <v/>
      </c>
      <c r="AM639">
        <f>'T_SelfStock'!AK26</f>
        <v/>
      </c>
      <c r="AN639">
        <f>'T_SelfStock'!AL26</f>
        <v/>
      </c>
      <c r="AO639">
        <f>'T_SelfStock'!AM26</f>
        <v/>
      </c>
      <c r="AP639">
        <f>'T_SelfStock'!AN26</f>
        <v/>
      </c>
      <c r="AQ639">
        <f>'T_SelfStock'!AO26</f>
        <v/>
      </c>
      <c r="AR639">
        <f>'T_SelfStock'!AP26</f>
        <v/>
      </c>
      <c r="AS639">
        <f>'T_SelfStock'!AQ26</f>
        <v/>
      </c>
      <c r="AT639">
        <f>'T_SelfStock'!AR26</f>
        <v/>
      </c>
      <c r="AU639">
        <f>'T_SelfStock'!AS26</f>
        <v/>
      </c>
      <c r="AV639">
        <f>'T_SelfStock'!AT26</f>
        <v/>
      </c>
      <c r="AW639">
        <f>'T_SelfStock'!AU26</f>
        <v/>
      </c>
      <c r="AX639">
        <f>'T_SelfStock'!AV26</f>
        <v/>
      </c>
      <c r="AY639">
        <f>'T_SelfStock'!AW26</f>
        <v/>
      </c>
      <c r="AZ639">
        <f>'T_SelfStock'!AX26</f>
        <v/>
      </c>
      <c r="BA639">
        <f>'T_SelfStock'!AY26</f>
        <v/>
      </c>
      <c r="BB639">
        <f>'T_SelfStock'!AZ26</f>
        <v/>
      </c>
      <c r="BC639">
        <f>'T_SelfStock'!BA26</f>
        <v/>
      </c>
      <c r="BD639">
        <f>'T_SelfStock'!BB26</f>
        <v/>
      </c>
      <c r="BE639">
        <f>'T_SelfStock'!BC26</f>
        <v/>
      </c>
      <c r="BF639">
        <f>'T_SelfStock'!BD26</f>
        <v/>
      </c>
      <c r="BG639">
        <f>'T_SelfStock'!BE26</f>
        <v/>
      </c>
      <c r="BH639">
        <f>'T_SelfStock'!BF26</f>
        <v/>
      </c>
      <c r="BI639">
        <f>'T_SelfStock'!BG26</f>
        <v/>
      </c>
      <c r="BJ639">
        <f>'T_SelfStock'!BH26</f>
        <v/>
      </c>
      <c r="BK639">
        <f>'T_SelfStock'!BI26</f>
        <v/>
      </c>
      <c r="BL639">
        <f>'T_SelfStock'!BJ26</f>
        <v/>
      </c>
      <c r="BM639">
        <f>'T_SelfStock'!BK26</f>
        <v/>
      </c>
      <c r="BN639">
        <f>'T_SelfStock'!BL26</f>
        <v/>
      </c>
      <c r="BO639">
        <f>'T_SelfStock'!BM26</f>
        <v/>
      </c>
      <c r="BP639">
        <f>'T_SelfStock'!BN26</f>
        <v/>
      </c>
      <c r="BQ639">
        <f>'T_SelfStock'!BO26</f>
        <v/>
      </c>
      <c r="BR639">
        <f>'T_SelfStock'!BP26</f>
        <v/>
      </c>
      <c r="BS639">
        <f>'T_SelfStock'!BQ26</f>
        <v/>
      </c>
      <c r="BT639">
        <f>'T_SelfStock'!BR26</f>
        <v/>
      </c>
      <c r="BU639">
        <f>'T_SelfStock'!BS26</f>
        <v/>
      </c>
      <c r="BV639">
        <f>'T_SelfStock'!BT26</f>
        <v/>
      </c>
      <c r="BW639">
        <f>'T_SelfStock'!BU26</f>
        <v/>
      </c>
      <c r="BX639">
        <f>'T_SelfStock'!BV26</f>
        <v/>
      </c>
      <c r="BY639">
        <f>'T_SelfStock'!BW26</f>
        <v/>
      </c>
      <c r="BZ639">
        <f>'T_SelfStock'!BX26</f>
        <v/>
      </c>
      <c r="CA639">
        <f>'T_SelfStock'!BY26</f>
        <v/>
      </c>
      <c r="CB639">
        <f>'T_SelfStock'!BZ26</f>
        <v/>
      </c>
      <c r="CC639">
        <f>'T_SelfStock'!CA26</f>
        <v/>
      </c>
      <c r="CD639">
        <f>'T_SelfStock'!CB26</f>
        <v/>
      </c>
      <c r="CE639">
        <f>'T_SelfStock'!CC26</f>
        <v/>
      </c>
      <c r="CF639">
        <f>'T_SelfStock'!CD26</f>
        <v/>
      </c>
      <c r="CG639">
        <f>'T_SelfStock'!CE26</f>
        <v/>
      </c>
      <c r="CH639">
        <f>'T_SelfStock'!CF26</f>
        <v/>
      </c>
      <c r="CI639">
        <f>'T_SelfStock'!CG26</f>
        <v/>
      </c>
      <c r="CJ639">
        <f>'T_SelfStock'!CH26</f>
        <v/>
      </c>
      <c r="CK639">
        <f>'T_SelfStock'!CI26</f>
        <v/>
      </c>
      <c r="CL639">
        <f>'T_SelfStock'!CJ26</f>
        <v/>
      </c>
      <c r="CM639">
        <f>'T_SelfStock'!CK26</f>
        <v/>
      </c>
      <c r="CN639">
        <f>'T_SelfStock'!CL26</f>
        <v/>
      </c>
      <c r="CO639">
        <f>'T_SelfStock'!CM26</f>
        <v/>
      </c>
      <c r="CP639">
        <f>'T_SelfStock'!CN26</f>
        <v/>
      </c>
      <c r="CQ639">
        <f>'T_SelfStock'!CO26</f>
        <v/>
      </c>
      <c r="CR639">
        <f>'T_SelfStock'!CP26</f>
        <v/>
      </c>
      <c r="CS639">
        <f>'T_SelfStock'!CQ26</f>
        <v/>
      </c>
      <c r="CT639">
        <f>'T_SelfStock'!CR26</f>
        <v/>
      </c>
      <c r="CU639">
        <f>'T_SelfStock'!CS26</f>
        <v/>
      </c>
      <c r="CV639">
        <f>'T_SelfStock'!CT26</f>
        <v/>
      </c>
      <c r="CW639">
        <f>'T_SelfStock'!CU26</f>
        <v/>
      </c>
      <c r="CX639">
        <f>'T_SelfStock'!CV26</f>
        <v/>
      </c>
      <c r="CY639">
        <f>'T_SelfStock'!CW26</f>
        <v/>
      </c>
      <c r="CZ639">
        <f>'T_SelfStock'!CX26</f>
        <v/>
      </c>
      <c r="DA639">
        <f>'T_SelfStock'!CY26</f>
        <v/>
      </c>
      <c r="DB639">
        <f>'T_SelfStock'!CZ26</f>
        <v/>
      </c>
      <c r="DC639">
        <f>'T_SelfStock'!DA26</f>
        <v/>
      </c>
    </row>
    <row r="640">
      <c r="B640" s="4" t="inlineStr">
        <is>
          <t>合計在庫(週末時点,kg)</t>
        </is>
      </c>
      <c r="D640">
        <f>'Grid_Stock'!B22</f>
        <v/>
      </c>
      <c r="E640">
        <f>'Grid_Stock'!C22</f>
        <v/>
      </c>
      <c r="F640">
        <f>'Grid_Stock'!D22</f>
        <v/>
      </c>
      <c r="G640">
        <f>'Grid_Stock'!E22</f>
        <v/>
      </c>
      <c r="H640">
        <f>'Grid_Stock'!F22</f>
        <v/>
      </c>
      <c r="I640">
        <f>'Grid_Stock'!G22</f>
        <v/>
      </c>
      <c r="J640">
        <f>'Grid_Stock'!H22</f>
        <v/>
      </c>
      <c r="K640">
        <f>'Grid_Stock'!I22</f>
        <v/>
      </c>
      <c r="L640">
        <f>'Grid_Stock'!J22</f>
        <v/>
      </c>
      <c r="M640">
        <f>'Grid_Stock'!K22</f>
        <v/>
      </c>
      <c r="N640">
        <f>'Grid_Stock'!L22</f>
        <v/>
      </c>
      <c r="O640">
        <f>'Grid_Stock'!M22</f>
        <v/>
      </c>
      <c r="P640">
        <f>'Grid_Stock'!N22</f>
        <v/>
      </c>
      <c r="Q640">
        <f>'Grid_Stock'!O22</f>
        <v/>
      </c>
      <c r="R640">
        <f>'Grid_Stock'!P22</f>
        <v/>
      </c>
      <c r="S640">
        <f>'Grid_Stock'!Q22</f>
        <v/>
      </c>
      <c r="T640">
        <f>'Grid_Stock'!R22</f>
        <v/>
      </c>
      <c r="U640">
        <f>'Grid_Stock'!S22</f>
        <v/>
      </c>
      <c r="V640">
        <f>'Grid_Stock'!T22</f>
        <v/>
      </c>
      <c r="W640">
        <f>'Grid_Stock'!U22</f>
        <v/>
      </c>
      <c r="X640">
        <f>'Grid_Stock'!V22</f>
        <v/>
      </c>
      <c r="Y640">
        <f>'Grid_Stock'!W22</f>
        <v/>
      </c>
      <c r="Z640">
        <f>'Grid_Stock'!X22</f>
        <v/>
      </c>
      <c r="AA640">
        <f>'Grid_Stock'!Y22</f>
        <v/>
      </c>
      <c r="AB640">
        <f>'Grid_Stock'!Z22</f>
        <v/>
      </c>
      <c r="AC640">
        <f>'Grid_Stock'!AA22</f>
        <v/>
      </c>
      <c r="AD640">
        <f>'Grid_Stock'!AB22</f>
        <v/>
      </c>
      <c r="AE640">
        <f>'Grid_Stock'!AC22</f>
        <v/>
      </c>
      <c r="AF640">
        <f>'Grid_Stock'!AD22</f>
        <v/>
      </c>
      <c r="AG640">
        <f>'Grid_Stock'!AE22</f>
        <v/>
      </c>
      <c r="AH640">
        <f>'Grid_Stock'!AF22</f>
        <v/>
      </c>
      <c r="AI640">
        <f>'Grid_Stock'!AG22</f>
        <v/>
      </c>
      <c r="AJ640">
        <f>'Grid_Stock'!AH22</f>
        <v/>
      </c>
      <c r="AK640">
        <f>'Grid_Stock'!AI22</f>
        <v/>
      </c>
      <c r="AL640">
        <f>'Grid_Stock'!AJ22</f>
        <v/>
      </c>
      <c r="AM640">
        <f>'Grid_Stock'!AK22</f>
        <v/>
      </c>
      <c r="AN640">
        <f>'Grid_Stock'!AL22</f>
        <v/>
      </c>
      <c r="AO640">
        <f>'Grid_Stock'!AM22</f>
        <v/>
      </c>
      <c r="AP640">
        <f>'Grid_Stock'!AN22</f>
        <v/>
      </c>
      <c r="AQ640">
        <f>'Grid_Stock'!AO22</f>
        <v/>
      </c>
      <c r="AR640">
        <f>'Grid_Stock'!AP22</f>
        <v/>
      </c>
      <c r="AS640">
        <f>'Grid_Stock'!AQ22</f>
        <v/>
      </c>
      <c r="AT640">
        <f>'Grid_Stock'!AR22</f>
        <v/>
      </c>
      <c r="AU640">
        <f>'Grid_Stock'!AS22</f>
        <v/>
      </c>
      <c r="AV640">
        <f>'Grid_Stock'!AT22</f>
        <v/>
      </c>
      <c r="AW640">
        <f>'Grid_Stock'!AU22</f>
        <v/>
      </c>
      <c r="AX640">
        <f>'Grid_Stock'!AV22</f>
        <v/>
      </c>
      <c r="AY640">
        <f>'Grid_Stock'!AW22</f>
        <v/>
      </c>
      <c r="AZ640">
        <f>'Grid_Stock'!AX22</f>
        <v/>
      </c>
      <c r="BA640">
        <f>'Grid_Stock'!AY22</f>
        <v/>
      </c>
      <c r="BB640">
        <f>'Grid_Stock'!AZ22</f>
        <v/>
      </c>
      <c r="BC640">
        <f>'Grid_Stock'!BA22</f>
        <v/>
      </c>
      <c r="BD640">
        <f>'Grid_Stock'!BB22</f>
        <v/>
      </c>
      <c r="BE640">
        <f>'Grid_Stock'!BC22</f>
        <v/>
      </c>
      <c r="BF640">
        <f>'Grid_Stock'!BD22</f>
        <v/>
      </c>
      <c r="BG640">
        <f>'Grid_Stock'!BE22</f>
        <v/>
      </c>
      <c r="BH640">
        <f>'Grid_Stock'!BF22</f>
        <v/>
      </c>
      <c r="BI640">
        <f>'Grid_Stock'!BG22</f>
        <v/>
      </c>
      <c r="BJ640">
        <f>'Grid_Stock'!BH22</f>
        <v/>
      </c>
      <c r="BK640">
        <f>'Grid_Stock'!BI22</f>
        <v/>
      </c>
      <c r="BL640">
        <f>'Grid_Stock'!BJ22</f>
        <v/>
      </c>
      <c r="BM640">
        <f>'Grid_Stock'!BK22</f>
        <v/>
      </c>
      <c r="BN640">
        <f>'Grid_Stock'!BL22</f>
        <v/>
      </c>
      <c r="BO640">
        <f>'Grid_Stock'!BM22</f>
        <v/>
      </c>
      <c r="BP640">
        <f>'Grid_Stock'!BN22</f>
        <v/>
      </c>
      <c r="BQ640">
        <f>'Grid_Stock'!BO22</f>
        <v/>
      </c>
      <c r="BR640">
        <f>'Grid_Stock'!BP22</f>
        <v/>
      </c>
      <c r="BS640">
        <f>'Grid_Stock'!BQ22</f>
        <v/>
      </c>
      <c r="BT640">
        <f>'Grid_Stock'!BR22</f>
        <v/>
      </c>
      <c r="BU640">
        <f>'Grid_Stock'!BS22</f>
        <v/>
      </c>
      <c r="BV640">
        <f>'Grid_Stock'!BT22</f>
        <v/>
      </c>
      <c r="BW640">
        <f>'Grid_Stock'!BU22</f>
        <v/>
      </c>
      <c r="BX640">
        <f>'Grid_Stock'!BV22</f>
        <v/>
      </c>
      <c r="BY640">
        <f>'Grid_Stock'!BW22</f>
        <v/>
      </c>
      <c r="BZ640">
        <f>'Grid_Stock'!BX22</f>
        <v/>
      </c>
      <c r="CA640">
        <f>'Grid_Stock'!BY22</f>
        <v/>
      </c>
      <c r="CB640">
        <f>'Grid_Stock'!BZ22</f>
        <v/>
      </c>
      <c r="CC640">
        <f>'Grid_Stock'!CA22</f>
        <v/>
      </c>
      <c r="CD640">
        <f>'Grid_Stock'!CB22</f>
        <v/>
      </c>
      <c r="CE640">
        <f>'Grid_Stock'!CC22</f>
        <v/>
      </c>
      <c r="CF640">
        <f>'Grid_Stock'!CD22</f>
        <v/>
      </c>
      <c r="CG640">
        <f>'Grid_Stock'!CE22</f>
        <v/>
      </c>
      <c r="CH640">
        <f>'Grid_Stock'!CF22</f>
        <v/>
      </c>
      <c r="CI640">
        <f>'Grid_Stock'!CG22</f>
        <v/>
      </c>
      <c r="CJ640">
        <f>'Grid_Stock'!CH22</f>
        <v/>
      </c>
      <c r="CK640">
        <f>'Grid_Stock'!CI22</f>
        <v/>
      </c>
      <c r="CL640">
        <f>'Grid_Stock'!CJ22</f>
        <v/>
      </c>
      <c r="CM640">
        <f>'Grid_Stock'!CK22</f>
        <v/>
      </c>
      <c r="CN640">
        <f>'Grid_Stock'!CL22</f>
        <v/>
      </c>
      <c r="CO640">
        <f>'Grid_Stock'!CM22</f>
        <v/>
      </c>
      <c r="CP640">
        <f>'Grid_Stock'!CN22</f>
        <v/>
      </c>
      <c r="CQ640">
        <f>'Grid_Stock'!CO22</f>
        <v/>
      </c>
      <c r="CR640">
        <f>'Grid_Stock'!CP22</f>
        <v/>
      </c>
      <c r="CS640">
        <f>'Grid_Stock'!CQ22</f>
        <v/>
      </c>
      <c r="CT640">
        <f>'Grid_Stock'!CR22</f>
        <v/>
      </c>
      <c r="CU640">
        <f>'Grid_Stock'!CS22</f>
        <v/>
      </c>
      <c r="CV640">
        <f>'Grid_Stock'!CT22</f>
        <v/>
      </c>
      <c r="CW640">
        <f>'Grid_Stock'!CU22</f>
        <v/>
      </c>
      <c r="CX640">
        <f>'Grid_Stock'!CV22</f>
        <v/>
      </c>
      <c r="CY640">
        <f>'Grid_Stock'!CW22</f>
        <v/>
      </c>
      <c r="CZ640">
        <f>'Grid_Stock'!CX22</f>
        <v/>
      </c>
      <c r="DA640">
        <f>'Grid_Stock'!CY22</f>
        <v/>
      </c>
      <c r="DB640">
        <f>'Grid_Stock'!CZ22</f>
        <v/>
      </c>
      <c r="DC640">
        <f>'Grid_Stock'!DA22</f>
        <v/>
      </c>
    </row>
    <row r="641">
      <c r="B641" s="16" t="inlineStr">
        <is>
          <t>（発注の目安はDashboardの基準在庫[下限/上限]と色分けを参照）</t>
        </is>
      </c>
    </row>
    <row r="643">
      <c r="A643" s="14" t="inlineStr">
        <is>
          <t>CHEM-1660</t>
        </is>
      </c>
      <c r="B643" s="14" t="inlineStr">
        <is>
          <t>GW-3394</t>
        </is>
      </c>
      <c r="C643" s="15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  <c r="BS643" s="14" t="n"/>
      <c r="BT643" s="14" t="n"/>
      <c r="BU643" s="14" t="n"/>
      <c r="BV643" s="14" t="n"/>
      <c r="BW643" s="14" t="n"/>
      <c r="BX643" s="14" t="n"/>
      <c r="BY643" s="14" t="n"/>
      <c r="BZ643" s="14" t="n"/>
      <c r="CA643" s="14" t="n"/>
      <c r="CB643" s="14" t="n"/>
      <c r="CC643" s="14" t="n"/>
      <c r="CD643" s="14" t="n"/>
      <c r="CE643" s="14" t="n"/>
      <c r="CF643" s="14" t="n"/>
      <c r="CG643" s="14" t="n"/>
      <c r="CH643" s="14" t="n"/>
      <c r="CI643" s="14" t="n"/>
      <c r="CJ643" s="14" t="n"/>
      <c r="CK643" s="14" t="n"/>
      <c r="CL643" s="14" t="n"/>
      <c r="CM643" s="14" t="n"/>
      <c r="CN643" s="14" t="n"/>
      <c r="CO643" s="14" t="n"/>
      <c r="CP643" s="14" t="n"/>
      <c r="CQ643" s="14" t="n"/>
      <c r="CR643" s="14" t="n"/>
      <c r="CS643" s="14" t="n"/>
      <c r="CT643" s="14" t="n"/>
      <c r="CU643" s="14" t="n"/>
      <c r="CV643" s="14" t="n"/>
      <c r="CW643" s="14" t="n"/>
      <c r="CX643" s="14" t="n"/>
      <c r="CY643" s="14" t="n"/>
      <c r="CZ643" s="14" t="n"/>
      <c r="DA643" s="14" t="n"/>
      <c r="DB643" s="14" t="n"/>
      <c r="DC643" s="14" t="n"/>
    </row>
    <row r="644">
      <c r="B644" t="inlineStr">
        <is>
          <t>TSP-219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Name],$A643)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TSP-655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Name],$A643)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TSP-656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Name],$A643)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VSP-820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Name],$A643)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VSP-822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Name],$A643)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VSP-869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VSP-870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VSP-910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VSP-989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VSP-990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s="4" t="inlineStr">
        <is>
          <t>合計使用量(kg)/週</t>
        </is>
      </c>
      <c r="D664">
        <f>'Grid_Requirement'!B18</f>
        <v/>
      </c>
      <c r="E664">
        <f>'Grid_Requirement'!C18</f>
        <v/>
      </c>
      <c r="F664">
        <f>'Grid_Requirement'!D18</f>
        <v/>
      </c>
      <c r="G664">
        <f>'Grid_Requirement'!E18</f>
        <v/>
      </c>
      <c r="H664">
        <f>'Grid_Requirement'!F18</f>
        <v/>
      </c>
      <c r="I664">
        <f>'Grid_Requirement'!G18</f>
        <v/>
      </c>
      <c r="J664">
        <f>'Grid_Requirement'!H18</f>
        <v/>
      </c>
      <c r="K664">
        <f>'Grid_Requirement'!I18</f>
        <v/>
      </c>
      <c r="L664">
        <f>'Grid_Requirement'!J18</f>
        <v/>
      </c>
      <c r="M664">
        <f>'Grid_Requirement'!K18</f>
        <v/>
      </c>
      <c r="N664">
        <f>'Grid_Requirement'!L18</f>
        <v/>
      </c>
      <c r="O664">
        <f>'Grid_Requirement'!M18</f>
        <v/>
      </c>
      <c r="P664">
        <f>'Grid_Requirement'!N18</f>
        <v/>
      </c>
      <c r="Q664">
        <f>'Grid_Requirement'!O18</f>
        <v/>
      </c>
      <c r="R664">
        <f>'Grid_Requirement'!P18</f>
        <v/>
      </c>
      <c r="S664">
        <f>'Grid_Requirement'!Q18</f>
        <v/>
      </c>
      <c r="T664">
        <f>'Grid_Requirement'!R18</f>
        <v/>
      </c>
      <c r="U664">
        <f>'Grid_Requirement'!S18</f>
        <v/>
      </c>
      <c r="V664">
        <f>'Grid_Requirement'!T18</f>
        <v/>
      </c>
      <c r="W664">
        <f>'Grid_Requirement'!U18</f>
        <v/>
      </c>
      <c r="X664">
        <f>'Grid_Requirement'!V18</f>
        <v/>
      </c>
      <c r="Y664">
        <f>'Grid_Requirement'!W18</f>
        <v/>
      </c>
      <c r="Z664">
        <f>'Grid_Requirement'!X18</f>
        <v/>
      </c>
      <c r="AA664">
        <f>'Grid_Requirement'!Y18</f>
        <v/>
      </c>
      <c r="AB664">
        <f>'Grid_Requirement'!Z18</f>
        <v/>
      </c>
      <c r="AC664">
        <f>'Grid_Requirement'!AA18</f>
        <v/>
      </c>
      <c r="AD664">
        <f>'Grid_Requirement'!AB18</f>
        <v/>
      </c>
      <c r="AE664">
        <f>'Grid_Requirement'!AC18</f>
        <v/>
      </c>
      <c r="AF664">
        <f>'Grid_Requirement'!AD18</f>
        <v/>
      </c>
      <c r="AG664">
        <f>'Grid_Requirement'!AE18</f>
        <v/>
      </c>
      <c r="AH664">
        <f>'Grid_Requirement'!AF18</f>
        <v/>
      </c>
      <c r="AI664">
        <f>'Grid_Requirement'!AG18</f>
        <v/>
      </c>
      <c r="AJ664">
        <f>'Grid_Requirement'!AH18</f>
        <v/>
      </c>
      <c r="AK664">
        <f>'Grid_Requirement'!AI18</f>
        <v/>
      </c>
      <c r="AL664">
        <f>'Grid_Requirement'!AJ18</f>
        <v/>
      </c>
      <c r="AM664">
        <f>'Grid_Requirement'!AK18</f>
        <v/>
      </c>
      <c r="AN664">
        <f>'Grid_Requirement'!AL18</f>
        <v/>
      </c>
      <c r="AO664">
        <f>'Grid_Requirement'!AM18</f>
        <v/>
      </c>
      <c r="AP664">
        <f>'Grid_Requirement'!AN18</f>
        <v/>
      </c>
      <c r="AQ664">
        <f>'Grid_Requirement'!AO18</f>
        <v/>
      </c>
      <c r="AR664">
        <f>'Grid_Requirement'!AP18</f>
        <v/>
      </c>
      <c r="AS664">
        <f>'Grid_Requirement'!AQ18</f>
        <v/>
      </c>
      <c r="AT664">
        <f>'Grid_Requirement'!AR18</f>
        <v/>
      </c>
      <c r="AU664">
        <f>'Grid_Requirement'!AS18</f>
        <v/>
      </c>
      <c r="AV664">
        <f>'Grid_Requirement'!AT18</f>
        <v/>
      </c>
      <c r="AW664">
        <f>'Grid_Requirement'!AU18</f>
        <v/>
      </c>
      <c r="AX664">
        <f>'Grid_Requirement'!AV18</f>
        <v/>
      </c>
      <c r="AY664">
        <f>'Grid_Requirement'!AW18</f>
        <v/>
      </c>
      <c r="AZ664">
        <f>'Grid_Requirement'!AX18</f>
        <v/>
      </c>
      <c r="BA664">
        <f>'Grid_Requirement'!AY18</f>
        <v/>
      </c>
      <c r="BB664">
        <f>'Grid_Requirement'!AZ18</f>
        <v/>
      </c>
      <c r="BC664">
        <f>'Grid_Requirement'!BA18</f>
        <v/>
      </c>
      <c r="BD664">
        <f>'Grid_Requirement'!BB18</f>
        <v/>
      </c>
      <c r="BE664">
        <f>'Grid_Requirement'!BC18</f>
        <v/>
      </c>
      <c r="BF664">
        <f>'Grid_Requirement'!BD18</f>
        <v/>
      </c>
      <c r="BG664">
        <f>'Grid_Requirement'!BE18</f>
        <v/>
      </c>
      <c r="BH664">
        <f>'Grid_Requirement'!BF18</f>
        <v/>
      </c>
      <c r="BI664">
        <f>'Grid_Requirement'!BG18</f>
        <v/>
      </c>
      <c r="BJ664">
        <f>'Grid_Requirement'!BH18</f>
        <v/>
      </c>
      <c r="BK664">
        <f>'Grid_Requirement'!BI18</f>
        <v/>
      </c>
      <c r="BL664">
        <f>'Grid_Requirement'!BJ18</f>
        <v/>
      </c>
      <c r="BM664">
        <f>'Grid_Requirement'!BK18</f>
        <v/>
      </c>
      <c r="BN664">
        <f>'Grid_Requirement'!BL18</f>
        <v/>
      </c>
      <c r="BO664">
        <f>'Grid_Requirement'!BM18</f>
        <v/>
      </c>
      <c r="BP664">
        <f>'Grid_Requirement'!BN18</f>
        <v/>
      </c>
      <c r="BQ664">
        <f>'Grid_Requirement'!BO18</f>
        <v/>
      </c>
      <c r="BR664">
        <f>'Grid_Requirement'!BP18</f>
        <v/>
      </c>
      <c r="BS664">
        <f>'Grid_Requirement'!BQ18</f>
        <v/>
      </c>
      <c r="BT664">
        <f>'Grid_Requirement'!BR18</f>
        <v/>
      </c>
      <c r="BU664">
        <f>'Grid_Requirement'!BS18</f>
        <v/>
      </c>
      <c r="BV664">
        <f>'Grid_Requirement'!BT18</f>
        <v/>
      </c>
      <c r="BW664">
        <f>'Grid_Requirement'!BU18</f>
        <v/>
      </c>
      <c r="BX664">
        <f>'Grid_Requirement'!BV18</f>
        <v/>
      </c>
      <c r="BY664">
        <f>'Grid_Requirement'!BW18</f>
        <v/>
      </c>
      <c r="BZ664">
        <f>'Grid_Requirement'!BX18</f>
        <v/>
      </c>
      <c r="CA664">
        <f>'Grid_Requirement'!BY18</f>
        <v/>
      </c>
      <c r="CB664">
        <f>'Grid_Requirement'!BZ18</f>
        <v/>
      </c>
      <c r="CC664">
        <f>'Grid_Requirement'!CA18</f>
        <v/>
      </c>
      <c r="CD664">
        <f>'Grid_Requirement'!CB18</f>
        <v/>
      </c>
      <c r="CE664">
        <f>'Grid_Requirement'!CC18</f>
        <v/>
      </c>
      <c r="CF664">
        <f>'Grid_Requirement'!CD18</f>
        <v/>
      </c>
      <c r="CG664">
        <f>'Grid_Requirement'!CE18</f>
        <v/>
      </c>
      <c r="CH664">
        <f>'Grid_Requirement'!CF18</f>
        <v/>
      </c>
      <c r="CI664">
        <f>'Grid_Requirement'!CG18</f>
        <v/>
      </c>
      <c r="CJ664">
        <f>'Grid_Requirement'!CH18</f>
        <v/>
      </c>
      <c r="CK664">
        <f>'Grid_Requirement'!CI18</f>
        <v/>
      </c>
      <c r="CL664">
        <f>'Grid_Requirement'!CJ18</f>
        <v/>
      </c>
      <c r="CM664">
        <f>'Grid_Requirement'!CK18</f>
        <v/>
      </c>
      <c r="CN664">
        <f>'Grid_Requirement'!CL18</f>
        <v/>
      </c>
      <c r="CO664">
        <f>'Grid_Requirement'!CM18</f>
        <v/>
      </c>
      <c r="CP664">
        <f>'Grid_Requirement'!CN18</f>
        <v/>
      </c>
      <c r="CQ664">
        <f>'Grid_Requirement'!CO18</f>
        <v/>
      </c>
      <c r="CR664">
        <f>'Grid_Requirement'!CP18</f>
        <v/>
      </c>
      <c r="CS664">
        <f>'Grid_Requirement'!CQ18</f>
        <v/>
      </c>
      <c r="CT664">
        <f>'Grid_Requirement'!CR18</f>
        <v/>
      </c>
      <c r="CU664">
        <f>'Grid_Requirement'!CS18</f>
        <v/>
      </c>
      <c r="CV664">
        <f>'Grid_Requirement'!CT18</f>
        <v/>
      </c>
      <c r="CW664">
        <f>'Grid_Requirement'!CU18</f>
        <v/>
      </c>
      <c r="CX664">
        <f>'Grid_Requirement'!CV18</f>
        <v/>
      </c>
      <c r="CY664">
        <f>'Grid_Requirement'!CW18</f>
        <v/>
      </c>
      <c r="CZ664">
        <f>'Grid_Requirement'!CX18</f>
        <v/>
      </c>
      <c r="DA664">
        <f>'Grid_Requirement'!CY18</f>
        <v/>
      </c>
      <c r="DB664">
        <f>'Grid_Requirement'!CZ18</f>
        <v/>
      </c>
      <c r="DC664">
        <f>'Grid_Requirement'!DA18</f>
        <v/>
      </c>
    </row>
    <row r="665">
      <c r="B665" t="inlineStr">
        <is>
          <t>TTAF在庫(実績,kg)</t>
        </is>
      </c>
      <c r="D665">
        <f>'T_TTAFStock'!B22</f>
        <v/>
      </c>
      <c r="E665">
        <f>'T_TTAFStock'!C22</f>
        <v/>
      </c>
      <c r="F665">
        <f>'T_TTAFStock'!D22</f>
        <v/>
      </c>
      <c r="G665">
        <f>'T_TTAFStock'!E22</f>
        <v/>
      </c>
      <c r="H665">
        <f>'T_TTAFStock'!F22</f>
        <v/>
      </c>
      <c r="I665">
        <f>'T_TTAFStock'!G22</f>
        <v/>
      </c>
      <c r="J665">
        <f>'T_TTAFStock'!H22</f>
        <v/>
      </c>
      <c r="K665">
        <f>'T_TTAFStock'!I22</f>
        <v/>
      </c>
      <c r="L665">
        <f>'T_TTAFStock'!J22</f>
        <v/>
      </c>
      <c r="M665">
        <f>'T_TTAFStock'!K22</f>
        <v/>
      </c>
      <c r="N665">
        <f>'T_TTAFStock'!L22</f>
        <v/>
      </c>
      <c r="O665">
        <f>'T_TTAFStock'!M22</f>
        <v/>
      </c>
      <c r="P665">
        <f>'T_TTAFStock'!N22</f>
        <v/>
      </c>
      <c r="Q665">
        <f>'T_TTAFStock'!O22</f>
        <v/>
      </c>
      <c r="R665">
        <f>'T_TTAFStock'!P22</f>
        <v/>
      </c>
      <c r="S665">
        <f>'T_TTAFStock'!Q22</f>
        <v/>
      </c>
      <c r="T665">
        <f>'T_TTAFStock'!R22</f>
        <v/>
      </c>
      <c r="U665">
        <f>'T_TTAFStock'!S22</f>
        <v/>
      </c>
      <c r="V665">
        <f>'T_TTAFStock'!T22</f>
        <v/>
      </c>
      <c r="W665">
        <f>'T_TTAFStock'!U22</f>
        <v/>
      </c>
      <c r="X665">
        <f>'T_TTAFStock'!V22</f>
        <v/>
      </c>
      <c r="Y665">
        <f>'T_TTAFStock'!W22</f>
        <v/>
      </c>
      <c r="Z665">
        <f>'T_TTAFStock'!X22</f>
        <v/>
      </c>
      <c r="AA665">
        <f>'T_TTAFStock'!Y22</f>
        <v/>
      </c>
      <c r="AB665">
        <f>'T_TTAFStock'!Z22</f>
        <v/>
      </c>
      <c r="AC665">
        <f>'T_TTAFStock'!AA22</f>
        <v/>
      </c>
      <c r="AD665">
        <f>'T_TTAFStock'!AB22</f>
        <v/>
      </c>
      <c r="AE665">
        <f>'T_TTAFStock'!AC22</f>
        <v/>
      </c>
      <c r="AF665">
        <f>'T_TTAFStock'!AD22</f>
        <v/>
      </c>
      <c r="AG665">
        <f>'T_TTAFStock'!AE22</f>
        <v/>
      </c>
      <c r="AH665">
        <f>'T_TTAFStock'!AF22</f>
        <v/>
      </c>
      <c r="AI665">
        <f>'T_TTAFStock'!AG22</f>
        <v/>
      </c>
      <c r="AJ665">
        <f>'T_TTAFStock'!AH22</f>
        <v/>
      </c>
      <c r="AK665">
        <f>'T_TTAFStock'!AI22</f>
        <v/>
      </c>
      <c r="AL665">
        <f>'T_TTAFStock'!AJ22</f>
        <v/>
      </c>
      <c r="AM665">
        <f>'T_TTAFStock'!AK22</f>
        <v/>
      </c>
      <c r="AN665">
        <f>'T_TTAFStock'!AL22</f>
        <v/>
      </c>
      <c r="AO665">
        <f>'T_TTAFStock'!AM22</f>
        <v/>
      </c>
      <c r="AP665">
        <f>'T_TTAFStock'!AN22</f>
        <v/>
      </c>
      <c r="AQ665">
        <f>'T_TTAFStock'!AO22</f>
        <v/>
      </c>
      <c r="AR665">
        <f>'T_TTAFStock'!AP22</f>
        <v/>
      </c>
      <c r="AS665">
        <f>'T_TTAFStock'!AQ22</f>
        <v/>
      </c>
      <c r="AT665">
        <f>'T_TTAFStock'!AR22</f>
        <v/>
      </c>
      <c r="AU665">
        <f>'T_TTAFStock'!AS22</f>
        <v/>
      </c>
      <c r="AV665">
        <f>'T_TTAFStock'!AT22</f>
        <v/>
      </c>
      <c r="AW665">
        <f>'T_TTAFStock'!AU22</f>
        <v/>
      </c>
      <c r="AX665">
        <f>'T_TTAFStock'!AV22</f>
        <v/>
      </c>
      <c r="AY665">
        <f>'T_TTAFStock'!AW22</f>
        <v/>
      </c>
      <c r="AZ665">
        <f>'T_TTAFStock'!AX22</f>
        <v/>
      </c>
      <c r="BA665">
        <f>'T_TTAFStock'!AY22</f>
        <v/>
      </c>
      <c r="BB665">
        <f>'T_TTAFStock'!AZ22</f>
        <v/>
      </c>
      <c r="BC665">
        <f>'T_TTAFStock'!BA22</f>
        <v/>
      </c>
      <c r="BD665">
        <f>'T_TTAFStock'!BB22</f>
        <v/>
      </c>
      <c r="BE665">
        <f>'T_TTAFStock'!BC22</f>
        <v/>
      </c>
      <c r="BF665">
        <f>'T_TTAFStock'!BD22</f>
        <v/>
      </c>
      <c r="BG665">
        <f>'T_TTAFStock'!BE22</f>
        <v/>
      </c>
      <c r="BH665">
        <f>'T_TTAFStock'!BF22</f>
        <v/>
      </c>
      <c r="BI665">
        <f>'T_TTAFStock'!BG22</f>
        <v/>
      </c>
      <c r="BJ665">
        <f>'T_TTAFStock'!BH22</f>
        <v/>
      </c>
      <c r="BK665">
        <f>'T_TTAFStock'!BI22</f>
        <v/>
      </c>
      <c r="BL665">
        <f>'T_TTAFStock'!BJ22</f>
        <v/>
      </c>
      <c r="BM665">
        <f>'T_TTAFStock'!BK22</f>
        <v/>
      </c>
      <c r="BN665">
        <f>'T_TTAFStock'!BL22</f>
        <v/>
      </c>
      <c r="BO665">
        <f>'T_TTAFStock'!BM22</f>
        <v/>
      </c>
      <c r="BP665">
        <f>'T_TTAFStock'!BN22</f>
        <v/>
      </c>
      <c r="BQ665">
        <f>'T_TTAFStock'!BO22</f>
        <v/>
      </c>
      <c r="BR665">
        <f>'T_TTAFStock'!BP22</f>
        <v/>
      </c>
      <c r="BS665">
        <f>'T_TTAFStock'!BQ22</f>
        <v/>
      </c>
      <c r="BT665">
        <f>'T_TTAFStock'!BR22</f>
        <v/>
      </c>
      <c r="BU665">
        <f>'T_TTAFStock'!BS22</f>
        <v/>
      </c>
      <c r="BV665">
        <f>'T_TTAFStock'!BT22</f>
        <v/>
      </c>
      <c r="BW665">
        <f>'T_TTAFStock'!BU22</f>
        <v/>
      </c>
      <c r="BX665">
        <f>'T_TTAFStock'!BV22</f>
        <v/>
      </c>
      <c r="BY665">
        <f>'T_TTAFStock'!BW22</f>
        <v/>
      </c>
      <c r="BZ665">
        <f>'T_TTAFStock'!BX22</f>
        <v/>
      </c>
      <c r="CA665">
        <f>'T_TTAFStock'!BY22</f>
        <v/>
      </c>
      <c r="CB665">
        <f>'T_TTAFStock'!BZ22</f>
        <v/>
      </c>
      <c r="CC665">
        <f>'T_TTAFStock'!CA22</f>
        <v/>
      </c>
      <c r="CD665">
        <f>'T_TTAFStock'!CB22</f>
        <v/>
      </c>
      <c r="CE665">
        <f>'T_TTAFStock'!CC22</f>
        <v/>
      </c>
      <c r="CF665">
        <f>'T_TTAFStock'!CD22</f>
        <v/>
      </c>
      <c r="CG665">
        <f>'T_TTAFStock'!CE22</f>
        <v/>
      </c>
      <c r="CH665">
        <f>'T_TTAFStock'!CF22</f>
        <v/>
      </c>
      <c r="CI665">
        <f>'T_TTAFStock'!CG22</f>
        <v/>
      </c>
      <c r="CJ665">
        <f>'T_TTAFStock'!CH22</f>
        <v/>
      </c>
      <c r="CK665">
        <f>'T_TTAFStock'!CI22</f>
        <v/>
      </c>
      <c r="CL665">
        <f>'T_TTAFStock'!CJ22</f>
        <v/>
      </c>
      <c r="CM665">
        <f>'T_TTAFStock'!CK22</f>
        <v/>
      </c>
      <c r="CN665">
        <f>'T_TTAFStock'!CL22</f>
        <v/>
      </c>
      <c r="CO665">
        <f>'T_TTAFStock'!CM22</f>
        <v/>
      </c>
      <c r="CP665">
        <f>'T_TTAFStock'!CN22</f>
        <v/>
      </c>
      <c r="CQ665">
        <f>'T_TTAFStock'!CO22</f>
        <v/>
      </c>
      <c r="CR665">
        <f>'T_TTAFStock'!CP22</f>
        <v/>
      </c>
      <c r="CS665">
        <f>'T_TTAFStock'!CQ22</f>
        <v/>
      </c>
      <c r="CT665">
        <f>'T_TTAFStock'!CR22</f>
        <v/>
      </c>
      <c r="CU665">
        <f>'T_TTAFStock'!CS22</f>
        <v/>
      </c>
      <c r="CV665">
        <f>'T_TTAFStock'!CT22</f>
        <v/>
      </c>
      <c r="CW665">
        <f>'T_TTAFStock'!CU22</f>
        <v/>
      </c>
      <c r="CX665">
        <f>'T_TTAFStock'!CV22</f>
        <v/>
      </c>
      <c r="CY665">
        <f>'T_TTAFStock'!CW22</f>
        <v/>
      </c>
      <c r="CZ665">
        <f>'T_TTAFStock'!CX22</f>
        <v/>
      </c>
      <c r="DA665">
        <f>'T_TTAFStock'!CY22</f>
        <v/>
      </c>
      <c r="DB665">
        <f>'T_TTAFStock'!CZ22</f>
        <v/>
      </c>
      <c r="DC665">
        <f>'T_TTAFStock'!DA22</f>
        <v/>
      </c>
    </row>
    <row r="666">
      <c r="B666" t="inlineStr">
        <is>
          <t>自社在庫(実績,kg)</t>
        </is>
      </c>
      <c r="D666">
        <f>'T_SelfStock'!B22</f>
        <v/>
      </c>
      <c r="E666">
        <f>'T_SelfStock'!C22</f>
        <v/>
      </c>
      <c r="F666">
        <f>'T_SelfStock'!D22</f>
        <v/>
      </c>
      <c r="G666">
        <f>'T_SelfStock'!E22</f>
        <v/>
      </c>
      <c r="H666">
        <f>'T_SelfStock'!F22</f>
        <v/>
      </c>
      <c r="I666">
        <f>'T_SelfStock'!G22</f>
        <v/>
      </c>
      <c r="J666">
        <f>'T_SelfStock'!H22</f>
        <v/>
      </c>
      <c r="K666">
        <f>'T_SelfStock'!I22</f>
        <v/>
      </c>
      <c r="L666">
        <f>'T_SelfStock'!J22</f>
        <v/>
      </c>
      <c r="M666">
        <f>'T_SelfStock'!K22</f>
        <v/>
      </c>
      <c r="N666">
        <f>'T_SelfStock'!L22</f>
        <v/>
      </c>
      <c r="O666">
        <f>'T_SelfStock'!M22</f>
        <v/>
      </c>
      <c r="P666">
        <f>'T_SelfStock'!N22</f>
        <v/>
      </c>
      <c r="Q666">
        <f>'T_SelfStock'!O22</f>
        <v/>
      </c>
      <c r="R666">
        <f>'T_SelfStock'!P22</f>
        <v/>
      </c>
      <c r="S666">
        <f>'T_SelfStock'!Q22</f>
        <v/>
      </c>
      <c r="T666">
        <f>'T_SelfStock'!R22</f>
        <v/>
      </c>
      <c r="U666">
        <f>'T_SelfStock'!S22</f>
        <v/>
      </c>
      <c r="V666">
        <f>'T_SelfStock'!T22</f>
        <v/>
      </c>
      <c r="W666">
        <f>'T_SelfStock'!U22</f>
        <v/>
      </c>
      <c r="X666">
        <f>'T_SelfStock'!V22</f>
        <v/>
      </c>
      <c r="Y666">
        <f>'T_SelfStock'!W22</f>
        <v/>
      </c>
      <c r="Z666">
        <f>'T_SelfStock'!X22</f>
        <v/>
      </c>
      <c r="AA666">
        <f>'T_SelfStock'!Y22</f>
        <v/>
      </c>
      <c r="AB666">
        <f>'T_SelfStock'!Z22</f>
        <v/>
      </c>
      <c r="AC666">
        <f>'T_SelfStock'!AA22</f>
        <v/>
      </c>
      <c r="AD666">
        <f>'T_SelfStock'!AB22</f>
        <v/>
      </c>
      <c r="AE666">
        <f>'T_SelfStock'!AC22</f>
        <v/>
      </c>
      <c r="AF666">
        <f>'T_SelfStock'!AD22</f>
        <v/>
      </c>
      <c r="AG666">
        <f>'T_SelfStock'!AE22</f>
        <v/>
      </c>
      <c r="AH666">
        <f>'T_SelfStock'!AF22</f>
        <v/>
      </c>
      <c r="AI666">
        <f>'T_SelfStock'!AG22</f>
        <v/>
      </c>
      <c r="AJ666">
        <f>'T_SelfStock'!AH22</f>
        <v/>
      </c>
      <c r="AK666">
        <f>'T_SelfStock'!AI22</f>
        <v/>
      </c>
      <c r="AL666">
        <f>'T_SelfStock'!AJ22</f>
        <v/>
      </c>
      <c r="AM666">
        <f>'T_SelfStock'!AK22</f>
        <v/>
      </c>
      <c r="AN666">
        <f>'T_SelfStock'!AL22</f>
        <v/>
      </c>
      <c r="AO666">
        <f>'T_SelfStock'!AM22</f>
        <v/>
      </c>
      <c r="AP666">
        <f>'T_SelfStock'!AN22</f>
        <v/>
      </c>
      <c r="AQ666">
        <f>'T_SelfStock'!AO22</f>
        <v/>
      </c>
      <c r="AR666">
        <f>'T_SelfStock'!AP22</f>
        <v/>
      </c>
      <c r="AS666">
        <f>'T_SelfStock'!AQ22</f>
        <v/>
      </c>
      <c r="AT666">
        <f>'T_SelfStock'!AR22</f>
        <v/>
      </c>
      <c r="AU666">
        <f>'T_SelfStock'!AS22</f>
        <v/>
      </c>
      <c r="AV666">
        <f>'T_SelfStock'!AT22</f>
        <v/>
      </c>
      <c r="AW666">
        <f>'T_SelfStock'!AU22</f>
        <v/>
      </c>
      <c r="AX666">
        <f>'T_SelfStock'!AV22</f>
        <v/>
      </c>
      <c r="AY666">
        <f>'T_SelfStock'!AW22</f>
        <v/>
      </c>
      <c r="AZ666">
        <f>'T_SelfStock'!AX22</f>
        <v/>
      </c>
      <c r="BA666">
        <f>'T_SelfStock'!AY22</f>
        <v/>
      </c>
      <c r="BB666">
        <f>'T_SelfStock'!AZ22</f>
        <v/>
      </c>
      <c r="BC666">
        <f>'T_SelfStock'!BA22</f>
        <v/>
      </c>
      <c r="BD666">
        <f>'T_SelfStock'!BB22</f>
        <v/>
      </c>
      <c r="BE666">
        <f>'T_SelfStock'!BC22</f>
        <v/>
      </c>
      <c r="BF666">
        <f>'T_SelfStock'!BD22</f>
        <v/>
      </c>
      <c r="BG666">
        <f>'T_SelfStock'!BE22</f>
        <v/>
      </c>
      <c r="BH666">
        <f>'T_SelfStock'!BF22</f>
        <v/>
      </c>
      <c r="BI666">
        <f>'T_SelfStock'!BG22</f>
        <v/>
      </c>
      <c r="BJ666">
        <f>'T_SelfStock'!BH22</f>
        <v/>
      </c>
      <c r="BK666">
        <f>'T_SelfStock'!BI22</f>
        <v/>
      </c>
      <c r="BL666">
        <f>'T_SelfStock'!BJ22</f>
        <v/>
      </c>
      <c r="BM666">
        <f>'T_SelfStock'!BK22</f>
        <v/>
      </c>
      <c r="BN666">
        <f>'T_SelfStock'!BL22</f>
        <v/>
      </c>
      <c r="BO666">
        <f>'T_SelfStock'!BM22</f>
        <v/>
      </c>
      <c r="BP666">
        <f>'T_SelfStock'!BN22</f>
        <v/>
      </c>
      <c r="BQ666">
        <f>'T_SelfStock'!BO22</f>
        <v/>
      </c>
      <c r="BR666">
        <f>'T_SelfStock'!BP22</f>
        <v/>
      </c>
      <c r="BS666">
        <f>'T_SelfStock'!BQ22</f>
        <v/>
      </c>
      <c r="BT666">
        <f>'T_SelfStock'!BR22</f>
        <v/>
      </c>
      <c r="BU666">
        <f>'T_SelfStock'!BS22</f>
        <v/>
      </c>
      <c r="BV666">
        <f>'T_SelfStock'!BT22</f>
        <v/>
      </c>
      <c r="BW666">
        <f>'T_SelfStock'!BU22</f>
        <v/>
      </c>
      <c r="BX666">
        <f>'T_SelfStock'!BV22</f>
        <v/>
      </c>
      <c r="BY666">
        <f>'T_SelfStock'!BW22</f>
        <v/>
      </c>
      <c r="BZ666">
        <f>'T_SelfStock'!BX22</f>
        <v/>
      </c>
      <c r="CA666">
        <f>'T_SelfStock'!BY22</f>
        <v/>
      </c>
      <c r="CB666">
        <f>'T_SelfStock'!BZ22</f>
        <v/>
      </c>
      <c r="CC666">
        <f>'T_SelfStock'!CA22</f>
        <v/>
      </c>
      <c r="CD666">
        <f>'T_SelfStock'!CB22</f>
        <v/>
      </c>
      <c r="CE666">
        <f>'T_SelfStock'!CC22</f>
        <v/>
      </c>
      <c r="CF666">
        <f>'T_SelfStock'!CD22</f>
        <v/>
      </c>
      <c r="CG666">
        <f>'T_SelfStock'!CE22</f>
        <v/>
      </c>
      <c r="CH666">
        <f>'T_SelfStock'!CF22</f>
        <v/>
      </c>
      <c r="CI666">
        <f>'T_SelfStock'!CG22</f>
        <v/>
      </c>
      <c r="CJ666">
        <f>'T_SelfStock'!CH22</f>
        <v/>
      </c>
      <c r="CK666">
        <f>'T_SelfStock'!CI22</f>
        <v/>
      </c>
      <c r="CL666">
        <f>'T_SelfStock'!CJ22</f>
        <v/>
      </c>
      <c r="CM666">
        <f>'T_SelfStock'!CK22</f>
        <v/>
      </c>
      <c r="CN666">
        <f>'T_SelfStock'!CL22</f>
        <v/>
      </c>
      <c r="CO666">
        <f>'T_SelfStock'!CM22</f>
        <v/>
      </c>
      <c r="CP666">
        <f>'T_SelfStock'!CN22</f>
        <v/>
      </c>
      <c r="CQ666">
        <f>'T_SelfStock'!CO22</f>
        <v/>
      </c>
      <c r="CR666">
        <f>'T_SelfStock'!CP22</f>
        <v/>
      </c>
      <c r="CS666">
        <f>'T_SelfStock'!CQ22</f>
        <v/>
      </c>
      <c r="CT666">
        <f>'T_SelfStock'!CR22</f>
        <v/>
      </c>
      <c r="CU666">
        <f>'T_SelfStock'!CS22</f>
        <v/>
      </c>
      <c r="CV666">
        <f>'T_SelfStock'!CT22</f>
        <v/>
      </c>
      <c r="CW666">
        <f>'T_SelfStock'!CU22</f>
        <v/>
      </c>
      <c r="CX666">
        <f>'T_SelfStock'!CV22</f>
        <v/>
      </c>
      <c r="CY666">
        <f>'T_SelfStock'!CW22</f>
        <v/>
      </c>
      <c r="CZ666">
        <f>'T_SelfStock'!CX22</f>
        <v/>
      </c>
      <c r="DA666">
        <f>'T_SelfStock'!CY22</f>
        <v/>
      </c>
      <c r="DB666">
        <f>'T_SelfStock'!CZ22</f>
        <v/>
      </c>
      <c r="DC666">
        <f>'T_SelfStock'!DA22</f>
        <v/>
      </c>
    </row>
    <row r="667">
      <c r="B667" s="4" t="inlineStr">
        <is>
          <t>合計在庫(週末時点,kg)</t>
        </is>
      </c>
      <c r="D667">
        <f>'Grid_Stock'!B18</f>
        <v/>
      </c>
      <c r="E667">
        <f>'Grid_Stock'!C18</f>
        <v/>
      </c>
      <c r="F667">
        <f>'Grid_Stock'!D18</f>
        <v/>
      </c>
      <c r="G667">
        <f>'Grid_Stock'!E18</f>
        <v/>
      </c>
      <c r="H667">
        <f>'Grid_Stock'!F18</f>
        <v/>
      </c>
      <c r="I667">
        <f>'Grid_Stock'!G18</f>
        <v/>
      </c>
      <c r="J667">
        <f>'Grid_Stock'!H18</f>
        <v/>
      </c>
      <c r="K667">
        <f>'Grid_Stock'!I18</f>
        <v/>
      </c>
      <c r="L667">
        <f>'Grid_Stock'!J18</f>
        <v/>
      </c>
      <c r="M667">
        <f>'Grid_Stock'!K18</f>
        <v/>
      </c>
      <c r="N667">
        <f>'Grid_Stock'!L18</f>
        <v/>
      </c>
      <c r="O667">
        <f>'Grid_Stock'!M18</f>
        <v/>
      </c>
      <c r="P667">
        <f>'Grid_Stock'!N18</f>
        <v/>
      </c>
      <c r="Q667">
        <f>'Grid_Stock'!O18</f>
        <v/>
      </c>
      <c r="R667">
        <f>'Grid_Stock'!P18</f>
        <v/>
      </c>
      <c r="S667">
        <f>'Grid_Stock'!Q18</f>
        <v/>
      </c>
      <c r="T667">
        <f>'Grid_Stock'!R18</f>
        <v/>
      </c>
      <c r="U667">
        <f>'Grid_Stock'!S18</f>
        <v/>
      </c>
      <c r="V667">
        <f>'Grid_Stock'!T18</f>
        <v/>
      </c>
      <c r="W667">
        <f>'Grid_Stock'!U18</f>
        <v/>
      </c>
      <c r="X667">
        <f>'Grid_Stock'!V18</f>
        <v/>
      </c>
      <c r="Y667">
        <f>'Grid_Stock'!W18</f>
        <v/>
      </c>
      <c r="Z667">
        <f>'Grid_Stock'!X18</f>
        <v/>
      </c>
      <c r="AA667">
        <f>'Grid_Stock'!Y18</f>
        <v/>
      </c>
      <c r="AB667">
        <f>'Grid_Stock'!Z18</f>
        <v/>
      </c>
      <c r="AC667">
        <f>'Grid_Stock'!AA18</f>
        <v/>
      </c>
      <c r="AD667">
        <f>'Grid_Stock'!AB18</f>
        <v/>
      </c>
      <c r="AE667">
        <f>'Grid_Stock'!AC18</f>
        <v/>
      </c>
      <c r="AF667">
        <f>'Grid_Stock'!AD18</f>
        <v/>
      </c>
      <c r="AG667">
        <f>'Grid_Stock'!AE18</f>
        <v/>
      </c>
      <c r="AH667">
        <f>'Grid_Stock'!AF18</f>
        <v/>
      </c>
      <c r="AI667">
        <f>'Grid_Stock'!AG18</f>
        <v/>
      </c>
      <c r="AJ667">
        <f>'Grid_Stock'!AH18</f>
        <v/>
      </c>
      <c r="AK667">
        <f>'Grid_Stock'!AI18</f>
        <v/>
      </c>
      <c r="AL667">
        <f>'Grid_Stock'!AJ18</f>
        <v/>
      </c>
      <c r="AM667">
        <f>'Grid_Stock'!AK18</f>
        <v/>
      </c>
      <c r="AN667">
        <f>'Grid_Stock'!AL18</f>
        <v/>
      </c>
      <c r="AO667">
        <f>'Grid_Stock'!AM18</f>
        <v/>
      </c>
      <c r="AP667">
        <f>'Grid_Stock'!AN18</f>
        <v/>
      </c>
      <c r="AQ667">
        <f>'Grid_Stock'!AO18</f>
        <v/>
      </c>
      <c r="AR667">
        <f>'Grid_Stock'!AP18</f>
        <v/>
      </c>
      <c r="AS667">
        <f>'Grid_Stock'!AQ18</f>
        <v/>
      </c>
      <c r="AT667">
        <f>'Grid_Stock'!AR18</f>
        <v/>
      </c>
      <c r="AU667">
        <f>'Grid_Stock'!AS18</f>
        <v/>
      </c>
      <c r="AV667">
        <f>'Grid_Stock'!AT18</f>
        <v/>
      </c>
      <c r="AW667">
        <f>'Grid_Stock'!AU18</f>
        <v/>
      </c>
      <c r="AX667">
        <f>'Grid_Stock'!AV18</f>
        <v/>
      </c>
      <c r="AY667">
        <f>'Grid_Stock'!AW18</f>
        <v/>
      </c>
      <c r="AZ667">
        <f>'Grid_Stock'!AX18</f>
        <v/>
      </c>
      <c r="BA667">
        <f>'Grid_Stock'!AY18</f>
        <v/>
      </c>
      <c r="BB667">
        <f>'Grid_Stock'!AZ18</f>
        <v/>
      </c>
      <c r="BC667">
        <f>'Grid_Stock'!BA18</f>
        <v/>
      </c>
      <c r="BD667">
        <f>'Grid_Stock'!BB18</f>
        <v/>
      </c>
      <c r="BE667">
        <f>'Grid_Stock'!BC18</f>
        <v/>
      </c>
      <c r="BF667">
        <f>'Grid_Stock'!BD18</f>
        <v/>
      </c>
      <c r="BG667">
        <f>'Grid_Stock'!BE18</f>
        <v/>
      </c>
      <c r="BH667">
        <f>'Grid_Stock'!BF18</f>
        <v/>
      </c>
      <c r="BI667">
        <f>'Grid_Stock'!BG18</f>
        <v/>
      </c>
      <c r="BJ667">
        <f>'Grid_Stock'!BH18</f>
        <v/>
      </c>
      <c r="BK667">
        <f>'Grid_Stock'!BI18</f>
        <v/>
      </c>
      <c r="BL667">
        <f>'Grid_Stock'!BJ18</f>
        <v/>
      </c>
      <c r="BM667">
        <f>'Grid_Stock'!BK18</f>
        <v/>
      </c>
      <c r="BN667">
        <f>'Grid_Stock'!BL18</f>
        <v/>
      </c>
      <c r="BO667">
        <f>'Grid_Stock'!BM18</f>
        <v/>
      </c>
      <c r="BP667">
        <f>'Grid_Stock'!BN18</f>
        <v/>
      </c>
      <c r="BQ667">
        <f>'Grid_Stock'!BO18</f>
        <v/>
      </c>
      <c r="BR667">
        <f>'Grid_Stock'!BP18</f>
        <v/>
      </c>
      <c r="BS667">
        <f>'Grid_Stock'!BQ18</f>
        <v/>
      </c>
      <c r="BT667">
        <f>'Grid_Stock'!BR18</f>
        <v/>
      </c>
      <c r="BU667">
        <f>'Grid_Stock'!BS18</f>
        <v/>
      </c>
      <c r="BV667">
        <f>'Grid_Stock'!BT18</f>
        <v/>
      </c>
      <c r="BW667">
        <f>'Grid_Stock'!BU18</f>
        <v/>
      </c>
      <c r="BX667">
        <f>'Grid_Stock'!BV18</f>
        <v/>
      </c>
      <c r="BY667">
        <f>'Grid_Stock'!BW18</f>
        <v/>
      </c>
      <c r="BZ667">
        <f>'Grid_Stock'!BX18</f>
        <v/>
      </c>
      <c r="CA667">
        <f>'Grid_Stock'!BY18</f>
        <v/>
      </c>
      <c r="CB667">
        <f>'Grid_Stock'!BZ18</f>
        <v/>
      </c>
      <c r="CC667">
        <f>'Grid_Stock'!CA18</f>
        <v/>
      </c>
      <c r="CD667">
        <f>'Grid_Stock'!CB18</f>
        <v/>
      </c>
      <c r="CE667">
        <f>'Grid_Stock'!CC18</f>
        <v/>
      </c>
      <c r="CF667">
        <f>'Grid_Stock'!CD18</f>
        <v/>
      </c>
      <c r="CG667">
        <f>'Grid_Stock'!CE18</f>
        <v/>
      </c>
      <c r="CH667">
        <f>'Grid_Stock'!CF18</f>
        <v/>
      </c>
      <c r="CI667">
        <f>'Grid_Stock'!CG18</f>
        <v/>
      </c>
      <c r="CJ667">
        <f>'Grid_Stock'!CH18</f>
        <v/>
      </c>
      <c r="CK667">
        <f>'Grid_Stock'!CI18</f>
        <v/>
      </c>
      <c r="CL667">
        <f>'Grid_Stock'!CJ18</f>
        <v/>
      </c>
      <c r="CM667">
        <f>'Grid_Stock'!CK18</f>
        <v/>
      </c>
      <c r="CN667">
        <f>'Grid_Stock'!CL18</f>
        <v/>
      </c>
      <c r="CO667">
        <f>'Grid_Stock'!CM18</f>
        <v/>
      </c>
      <c r="CP667">
        <f>'Grid_Stock'!CN18</f>
        <v/>
      </c>
      <c r="CQ667">
        <f>'Grid_Stock'!CO18</f>
        <v/>
      </c>
      <c r="CR667">
        <f>'Grid_Stock'!CP18</f>
        <v/>
      </c>
      <c r="CS667">
        <f>'Grid_Stock'!CQ18</f>
        <v/>
      </c>
      <c r="CT667">
        <f>'Grid_Stock'!CR18</f>
        <v/>
      </c>
      <c r="CU667">
        <f>'Grid_Stock'!CS18</f>
        <v/>
      </c>
      <c r="CV667">
        <f>'Grid_Stock'!CT18</f>
        <v/>
      </c>
      <c r="CW667">
        <f>'Grid_Stock'!CU18</f>
        <v/>
      </c>
      <c r="CX667">
        <f>'Grid_Stock'!CV18</f>
        <v/>
      </c>
      <c r="CY667">
        <f>'Grid_Stock'!CW18</f>
        <v/>
      </c>
      <c r="CZ667">
        <f>'Grid_Stock'!CX18</f>
        <v/>
      </c>
      <c r="DA667">
        <f>'Grid_Stock'!CY18</f>
        <v/>
      </c>
      <c r="DB667">
        <f>'Grid_Stock'!CZ18</f>
        <v/>
      </c>
      <c r="DC667">
        <f>'Grid_Stock'!DA18</f>
        <v/>
      </c>
    </row>
    <row r="668">
      <c r="B668" s="16" t="inlineStr">
        <is>
          <t>（発注の目安はDashboardの基準在庫[下限/上限]と色分けを参照）</t>
        </is>
      </c>
    </row>
    <row r="670">
      <c r="A670" s="14" t="inlineStr">
        <is>
          <t>CHEM-1240</t>
        </is>
      </c>
      <c r="B670" s="14" t="inlineStr">
        <is>
          <t>Alumina SOL(AS200)</t>
        </is>
      </c>
      <c r="C670" s="15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4" t="n"/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  <c r="BS670" s="14" t="n"/>
      <c r="BT670" s="14" t="n"/>
      <c r="BU670" s="14" t="n"/>
      <c r="BV670" s="14" t="n"/>
      <c r="BW670" s="14" t="n"/>
      <c r="BX670" s="14" t="n"/>
      <c r="BY670" s="14" t="n"/>
      <c r="BZ670" s="14" t="n"/>
      <c r="CA670" s="14" t="n"/>
      <c r="CB670" s="14" t="n"/>
      <c r="CC670" s="14" t="n"/>
      <c r="CD670" s="14" t="n"/>
      <c r="CE670" s="14" t="n"/>
      <c r="CF670" s="14" t="n"/>
      <c r="CG670" s="14" t="n"/>
      <c r="CH670" s="14" t="n"/>
      <c r="CI670" s="14" t="n"/>
      <c r="CJ670" s="14" t="n"/>
      <c r="CK670" s="14" t="n"/>
      <c r="CL670" s="14" t="n"/>
      <c r="CM670" s="14" t="n"/>
      <c r="CN670" s="14" t="n"/>
      <c r="CO670" s="14" t="n"/>
      <c r="CP670" s="14" t="n"/>
      <c r="CQ670" s="14" t="n"/>
      <c r="CR670" s="14" t="n"/>
      <c r="CS670" s="14" t="n"/>
      <c r="CT670" s="14" t="n"/>
      <c r="CU670" s="14" t="n"/>
      <c r="CV670" s="14" t="n"/>
      <c r="CW670" s="14" t="n"/>
      <c r="CX670" s="14" t="n"/>
      <c r="CY670" s="14" t="n"/>
      <c r="CZ670" s="14" t="n"/>
      <c r="DA670" s="14" t="n"/>
      <c r="DB670" s="14" t="n"/>
      <c r="DC670" s="14" t="n"/>
    </row>
    <row r="671">
      <c r="B671" t="inlineStr">
        <is>
          <t>TSP-224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SUMIFS(M_BOM[RM_Qty_Per_Batch],M_BOM[Intermediate],$B671,M_BOM[Part Name],$A670)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TSP-390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SUMIFS(M_BOM[RM_Qty_Per_Batch],M_BOM[Intermediate],$B673,M_BOM[Part Name],$A670)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TSP-399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SUMIFS(M_BOM[RM_Qty_Per_Batch],M_BOM[Intermediate],$B675,M_BOM[Part Name],$A670)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TSP-668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SUMIFS(M_BOM[RM_Qty_Per_Batch],M_BOM[Intermediate],$B677,M_BOM[Part Name],$A670)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TSP-669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SUMIFS(M_BOM[RM_Qty_Per_Batch],M_BOM[Intermediate],$B679,M_BOM[Part Name],$A670)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TSP-670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SUMIFS(M_BOM[RM_Qty_Per_Batch],M_BOM[Intermediate],$B681,M_BOM[Part Name],$A670)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TSP-699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SUMIFS(M_BOM[RM_Qty_Per_Batch],M_BOM[Intermediate],$B683,M_BOM[Part Name],$A670)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TSP-1448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SUMIFS(M_BOM[RM_Qty_Per_Batch],M_BOM[Intermediate],$B685,M_BOM[Part Name],$A670)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TSP-1449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SUMIFS(M_BOM[RM_Qty_Per_Batch],M_BOM[Intermediate],$B687,M_BOM[Part Name],$A670)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TSP-1558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SUMIFS(M_BOM[RM_Qty_Per_Batch],M_BOM[Intermediate],$B689,M_BOM[Part Name],$A670)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s="4" t="inlineStr">
        <is>
          <t>合計使用量(kg)/週</t>
        </is>
      </c>
      <c r="D691">
        <f>'Grid_Requirement'!B21</f>
        <v/>
      </c>
      <c r="E691">
        <f>'Grid_Requirement'!C21</f>
        <v/>
      </c>
      <c r="F691">
        <f>'Grid_Requirement'!D21</f>
        <v/>
      </c>
      <c r="G691">
        <f>'Grid_Requirement'!E21</f>
        <v/>
      </c>
      <c r="H691">
        <f>'Grid_Requirement'!F21</f>
        <v/>
      </c>
      <c r="I691">
        <f>'Grid_Requirement'!G21</f>
        <v/>
      </c>
      <c r="J691">
        <f>'Grid_Requirement'!H21</f>
        <v/>
      </c>
      <c r="K691">
        <f>'Grid_Requirement'!I21</f>
        <v/>
      </c>
      <c r="L691">
        <f>'Grid_Requirement'!J21</f>
        <v/>
      </c>
      <c r="M691">
        <f>'Grid_Requirement'!K21</f>
        <v/>
      </c>
      <c r="N691">
        <f>'Grid_Requirement'!L21</f>
        <v/>
      </c>
      <c r="O691">
        <f>'Grid_Requirement'!M21</f>
        <v/>
      </c>
      <c r="P691">
        <f>'Grid_Requirement'!N21</f>
        <v/>
      </c>
      <c r="Q691">
        <f>'Grid_Requirement'!O21</f>
        <v/>
      </c>
      <c r="R691">
        <f>'Grid_Requirement'!P21</f>
        <v/>
      </c>
      <c r="S691">
        <f>'Grid_Requirement'!Q21</f>
        <v/>
      </c>
      <c r="T691">
        <f>'Grid_Requirement'!R21</f>
        <v/>
      </c>
      <c r="U691">
        <f>'Grid_Requirement'!S21</f>
        <v/>
      </c>
      <c r="V691">
        <f>'Grid_Requirement'!T21</f>
        <v/>
      </c>
      <c r="W691">
        <f>'Grid_Requirement'!U21</f>
        <v/>
      </c>
      <c r="X691">
        <f>'Grid_Requirement'!V21</f>
        <v/>
      </c>
      <c r="Y691">
        <f>'Grid_Requirement'!W21</f>
        <v/>
      </c>
      <c r="Z691">
        <f>'Grid_Requirement'!X21</f>
        <v/>
      </c>
      <c r="AA691">
        <f>'Grid_Requirement'!Y21</f>
        <v/>
      </c>
      <c r="AB691">
        <f>'Grid_Requirement'!Z21</f>
        <v/>
      </c>
      <c r="AC691">
        <f>'Grid_Requirement'!AA21</f>
        <v/>
      </c>
      <c r="AD691">
        <f>'Grid_Requirement'!AB21</f>
        <v/>
      </c>
      <c r="AE691">
        <f>'Grid_Requirement'!AC21</f>
        <v/>
      </c>
      <c r="AF691">
        <f>'Grid_Requirement'!AD21</f>
        <v/>
      </c>
      <c r="AG691">
        <f>'Grid_Requirement'!AE21</f>
        <v/>
      </c>
      <c r="AH691">
        <f>'Grid_Requirement'!AF21</f>
        <v/>
      </c>
      <c r="AI691">
        <f>'Grid_Requirement'!AG21</f>
        <v/>
      </c>
      <c r="AJ691">
        <f>'Grid_Requirement'!AH21</f>
        <v/>
      </c>
      <c r="AK691">
        <f>'Grid_Requirement'!AI21</f>
        <v/>
      </c>
      <c r="AL691">
        <f>'Grid_Requirement'!AJ21</f>
        <v/>
      </c>
      <c r="AM691">
        <f>'Grid_Requirement'!AK21</f>
        <v/>
      </c>
      <c r="AN691">
        <f>'Grid_Requirement'!AL21</f>
        <v/>
      </c>
      <c r="AO691">
        <f>'Grid_Requirement'!AM21</f>
        <v/>
      </c>
      <c r="AP691">
        <f>'Grid_Requirement'!AN21</f>
        <v/>
      </c>
      <c r="AQ691">
        <f>'Grid_Requirement'!AO21</f>
        <v/>
      </c>
      <c r="AR691">
        <f>'Grid_Requirement'!AP21</f>
        <v/>
      </c>
      <c r="AS691">
        <f>'Grid_Requirement'!AQ21</f>
        <v/>
      </c>
      <c r="AT691">
        <f>'Grid_Requirement'!AR21</f>
        <v/>
      </c>
      <c r="AU691">
        <f>'Grid_Requirement'!AS21</f>
        <v/>
      </c>
      <c r="AV691">
        <f>'Grid_Requirement'!AT21</f>
        <v/>
      </c>
      <c r="AW691">
        <f>'Grid_Requirement'!AU21</f>
        <v/>
      </c>
      <c r="AX691">
        <f>'Grid_Requirement'!AV21</f>
        <v/>
      </c>
      <c r="AY691">
        <f>'Grid_Requirement'!AW21</f>
        <v/>
      </c>
      <c r="AZ691">
        <f>'Grid_Requirement'!AX21</f>
        <v/>
      </c>
      <c r="BA691">
        <f>'Grid_Requirement'!AY21</f>
        <v/>
      </c>
      <c r="BB691">
        <f>'Grid_Requirement'!AZ21</f>
        <v/>
      </c>
      <c r="BC691">
        <f>'Grid_Requirement'!BA21</f>
        <v/>
      </c>
      <c r="BD691">
        <f>'Grid_Requirement'!BB21</f>
        <v/>
      </c>
      <c r="BE691">
        <f>'Grid_Requirement'!BC21</f>
        <v/>
      </c>
      <c r="BF691">
        <f>'Grid_Requirement'!BD21</f>
        <v/>
      </c>
      <c r="BG691">
        <f>'Grid_Requirement'!BE21</f>
        <v/>
      </c>
      <c r="BH691">
        <f>'Grid_Requirement'!BF21</f>
        <v/>
      </c>
      <c r="BI691">
        <f>'Grid_Requirement'!BG21</f>
        <v/>
      </c>
      <c r="BJ691">
        <f>'Grid_Requirement'!BH21</f>
        <v/>
      </c>
      <c r="BK691">
        <f>'Grid_Requirement'!BI21</f>
        <v/>
      </c>
      <c r="BL691">
        <f>'Grid_Requirement'!BJ21</f>
        <v/>
      </c>
      <c r="BM691">
        <f>'Grid_Requirement'!BK21</f>
        <v/>
      </c>
      <c r="BN691">
        <f>'Grid_Requirement'!BL21</f>
        <v/>
      </c>
      <c r="BO691">
        <f>'Grid_Requirement'!BM21</f>
        <v/>
      </c>
      <c r="BP691">
        <f>'Grid_Requirement'!BN21</f>
        <v/>
      </c>
      <c r="BQ691">
        <f>'Grid_Requirement'!BO21</f>
        <v/>
      </c>
      <c r="BR691">
        <f>'Grid_Requirement'!BP21</f>
        <v/>
      </c>
      <c r="BS691">
        <f>'Grid_Requirement'!BQ21</f>
        <v/>
      </c>
      <c r="BT691">
        <f>'Grid_Requirement'!BR21</f>
        <v/>
      </c>
      <c r="BU691">
        <f>'Grid_Requirement'!BS21</f>
        <v/>
      </c>
      <c r="BV691">
        <f>'Grid_Requirement'!BT21</f>
        <v/>
      </c>
      <c r="BW691">
        <f>'Grid_Requirement'!BU21</f>
        <v/>
      </c>
      <c r="BX691">
        <f>'Grid_Requirement'!BV21</f>
        <v/>
      </c>
      <c r="BY691">
        <f>'Grid_Requirement'!BW21</f>
        <v/>
      </c>
      <c r="BZ691">
        <f>'Grid_Requirement'!BX21</f>
        <v/>
      </c>
      <c r="CA691">
        <f>'Grid_Requirement'!BY21</f>
        <v/>
      </c>
      <c r="CB691">
        <f>'Grid_Requirement'!BZ21</f>
        <v/>
      </c>
      <c r="CC691">
        <f>'Grid_Requirement'!CA21</f>
        <v/>
      </c>
      <c r="CD691">
        <f>'Grid_Requirement'!CB21</f>
        <v/>
      </c>
      <c r="CE691">
        <f>'Grid_Requirement'!CC21</f>
        <v/>
      </c>
      <c r="CF691">
        <f>'Grid_Requirement'!CD21</f>
        <v/>
      </c>
      <c r="CG691">
        <f>'Grid_Requirement'!CE21</f>
        <v/>
      </c>
      <c r="CH691">
        <f>'Grid_Requirement'!CF21</f>
        <v/>
      </c>
      <c r="CI691">
        <f>'Grid_Requirement'!CG21</f>
        <v/>
      </c>
      <c r="CJ691">
        <f>'Grid_Requirement'!CH21</f>
        <v/>
      </c>
      <c r="CK691">
        <f>'Grid_Requirement'!CI21</f>
        <v/>
      </c>
      <c r="CL691">
        <f>'Grid_Requirement'!CJ21</f>
        <v/>
      </c>
      <c r="CM691">
        <f>'Grid_Requirement'!CK21</f>
        <v/>
      </c>
      <c r="CN691">
        <f>'Grid_Requirement'!CL21</f>
        <v/>
      </c>
      <c r="CO691">
        <f>'Grid_Requirement'!CM21</f>
        <v/>
      </c>
      <c r="CP691">
        <f>'Grid_Requirement'!CN21</f>
        <v/>
      </c>
      <c r="CQ691">
        <f>'Grid_Requirement'!CO21</f>
        <v/>
      </c>
      <c r="CR691">
        <f>'Grid_Requirement'!CP21</f>
        <v/>
      </c>
      <c r="CS691">
        <f>'Grid_Requirement'!CQ21</f>
        <v/>
      </c>
      <c r="CT691">
        <f>'Grid_Requirement'!CR21</f>
        <v/>
      </c>
      <c r="CU691">
        <f>'Grid_Requirement'!CS21</f>
        <v/>
      </c>
      <c r="CV691">
        <f>'Grid_Requirement'!CT21</f>
        <v/>
      </c>
      <c r="CW691">
        <f>'Grid_Requirement'!CU21</f>
        <v/>
      </c>
      <c r="CX691">
        <f>'Grid_Requirement'!CV21</f>
        <v/>
      </c>
      <c r="CY691">
        <f>'Grid_Requirement'!CW21</f>
        <v/>
      </c>
      <c r="CZ691">
        <f>'Grid_Requirement'!CX21</f>
        <v/>
      </c>
      <c r="DA691">
        <f>'Grid_Requirement'!CY21</f>
        <v/>
      </c>
      <c r="DB691">
        <f>'Grid_Requirement'!CZ21</f>
        <v/>
      </c>
      <c r="DC691">
        <f>'Grid_Requirement'!DA21</f>
        <v/>
      </c>
    </row>
    <row r="692">
      <c r="B692" t="inlineStr">
        <is>
          <t>TTAF在庫(実績,kg)</t>
        </is>
      </c>
      <c r="D692">
        <f>'T_TTAFStock'!B25</f>
        <v/>
      </c>
      <c r="E692">
        <f>'T_TTAFStock'!C25</f>
        <v/>
      </c>
      <c r="F692">
        <f>'T_TTAFStock'!D25</f>
        <v/>
      </c>
      <c r="G692">
        <f>'T_TTAFStock'!E25</f>
        <v/>
      </c>
      <c r="H692">
        <f>'T_TTAFStock'!F25</f>
        <v/>
      </c>
      <c r="I692">
        <f>'T_TTAFStock'!G25</f>
        <v/>
      </c>
      <c r="J692">
        <f>'T_TTAFStock'!H25</f>
        <v/>
      </c>
      <c r="K692">
        <f>'T_TTAFStock'!I25</f>
        <v/>
      </c>
      <c r="L692">
        <f>'T_TTAFStock'!J25</f>
        <v/>
      </c>
      <c r="M692">
        <f>'T_TTAFStock'!K25</f>
        <v/>
      </c>
      <c r="N692">
        <f>'T_TTAFStock'!L25</f>
        <v/>
      </c>
      <c r="O692">
        <f>'T_TTAFStock'!M25</f>
        <v/>
      </c>
      <c r="P692">
        <f>'T_TTAFStock'!N25</f>
        <v/>
      </c>
      <c r="Q692">
        <f>'T_TTAFStock'!O25</f>
        <v/>
      </c>
      <c r="R692">
        <f>'T_TTAFStock'!P25</f>
        <v/>
      </c>
      <c r="S692">
        <f>'T_TTAFStock'!Q25</f>
        <v/>
      </c>
      <c r="T692">
        <f>'T_TTAFStock'!R25</f>
        <v/>
      </c>
      <c r="U692">
        <f>'T_TTAFStock'!S25</f>
        <v/>
      </c>
      <c r="V692">
        <f>'T_TTAFStock'!T25</f>
        <v/>
      </c>
      <c r="W692">
        <f>'T_TTAFStock'!U25</f>
        <v/>
      </c>
      <c r="X692">
        <f>'T_TTAFStock'!V25</f>
        <v/>
      </c>
      <c r="Y692">
        <f>'T_TTAFStock'!W25</f>
        <v/>
      </c>
      <c r="Z692">
        <f>'T_TTAFStock'!X25</f>
        <v/>
      </c>
      <c r="AA692">
        <f>'T_TTAFStock'!Y25</f>
        <v/>
      </c>
      <c r="AB692">
        <f>'T_TTAFStock'!Z25</f>
        <v/>
      </c>
      <c r="AC692">
        <f>'T_TTAFStock'!AA25</f>
        <v/>
      </c>
      <c r="AD692">
        <f>'T_TTAFStock'!AB25</f>
        <v/>
      </c>
      <c r="AE692">
        <f>'T_TTAFStock'!AC25</f>
        <v/>
      </c>
      <c r="AF692">
        <f>'T_TTAFStock'!AD25</f>
        <v/>
      </c>
      <c r="AG692">
        <f>'T_TTAFStock'!AE25</f>
        <v/>
      </c>
      <c r="AH692">
        <f>'T_TTAFStock'!AF25</f>
        <v/>
      </c>
      <c r="AI692">
        <f>'T_TTAFStock'!AG25</f>
        <v/>
      </c>
      <c r="AJ692">
        <f>'T_TTAFStock'!AH25</f>
        <v/>
      </c>
      <c r="AK692">
        <f>'T_TTAFStock'!AI25</f>
        <v/>
      </c>
      <c r="AL692">
        <f>'T_TTAFStock'!AJ25</f>
        <v/>
      </c>
      <c r="AM692">
        <f>'T_TTAFStock'!AK25</f>
        <v/>
      </c>
      <c r="AN692">
        <f>'T_TTAFStock'!AL25</f>
        <v/>
      </c>
      <c r="AO692">
        <f>'T_TTAFStock'!AM25</f>
        <v/>
      </c>
      <c r="AP692">
        <f>'T_TTAFStock'!AN25</f>
        <v/>
      </c>
      <c r="AQ692">
        <f>'T_TTAFStock'!AO25</f>
        <v/>
      </c>
      <c r="AR692">
        <f>'T_TTAFStock'!AP25</f>
        <v/>
      </c>
      <c r="AS692">
        <f>'T_TTAFStock'!AQ25</f>
        <v/>
      </c>
      <c r="AT692">
        <f>'T_TTAFStock'!AR25</f>
        <v/>
      </c>
      <c r="AU692">
        <f>'T_TTAFStock'!AS25</f>
        <v/>
      </c>
      <c r="AV692">
        <f>'T_TTAFStock'!AT25</f>
        <v/>
      </c>
      <c r="AW692">
        <f>'T_TTAFStock'!AU25</f>
        <v/>
      </c>
      <c r="AX692">
        <f>'T_TTAFStock'!AV25</f>
        <v/>
      </c>
      <c r="AY692">
        <f>'T_TTAFStock'!AW25</f>
        <v/>
      </c>
      <c r="AZ692">
        <f>'T_TTAFStock'!AX25</f>
        <v/>
      </c>
      <c r="BA692">
        <f>'T_TTAFStock'!AY25</f>
        <v/>
      </c>
      <c r="BB692">
        <f>'T_TTAFStock'!AZ25</f>
        <v/>
      </c>
      <c r="BC692">
        <f>'T_TTAFStock'!BA25</f>
        <v/>
      </c>
      <c r="BD692">
        <f>'T_TTAFStock'!BB25</f>
        <v/>
      </c>
      <c r="BE692">
        <f>'T_TTAFStock'!BC25</f>
        <v/>
      </c>
      <c r="BF692">
        <f>'T_TTAFStock'!BD25</f>
        <v/>
      </c>
      <c r="BG692">
        <f>'T_TTAFStock'!BE25</f>
        <v/>
      </c>
      <c r="BH692">
        <f>'T_TTAFStock'!BF25</f>
        <v/>
      </c>
      <c r="BI692">
        <f>'T_TTAFStock'!BG25</f>
        <v/>
      </c>
      <c r="BJ692">
        <f>'T_TTAFStock'!BH25</f>
        <v/>
      </c>
      <c r="BK692">
        <f>'T_TTAFStock'!BI25</f>
        <v/>
      </c>
      <c r="BL692">
        <f>'T_TTAFStock'!BJ25</f>
        <v/>
      </c>
      <c r="BM692">
        <f>'T_TTAFStock'!BK25</f>
        <v/>
      </c>
      <c r="BN692">
        <f>'T_TTAFStock'!BL25</f>
        <v/>
      </c>
      <c r="BO692">
        <f>'T_TTAFStock'!BM25</f>
        <v/>
      </c>
      <c r="BP692">
        <f>'T_TTAFStock'!BN25</f>
        <v/>
      </c>
      <c r="BQ692">
        <f>'T_TTAFStock'!BO25</f>
        <v/>
      </c>
      <c r="BR692">
        <f>'T_TTAFStock'!BP25</f>
        <v/>
      </c>
      <c r="BS692">
        <f>'T_TTAFStock'!BQ25</f>
        <v/>
      </c>
      <c r="BT692">
        <f>'T_TTAFStock'!BR25</f>
        <v/>
      </c>
      <c r="BU692">
        <f>'T_TTAFStock'!BS25</f>
        <v/>
      </c>
      <c r="BV692">
        <f>'T_TTAFStock'!BT25</f>
        <v/>
      </c>
      <c r="BW692">
        <f>'T_TTAFStock'!BU25</f>
        <v/>
      </c>
      <c r="BX692">
        <f>'T_TTAFStock'!BV25</f>
        <v/>
      </c>
      <c r="BY692">
        <f>'T_TTAFStock'!BW25</f>
        <v/>
      </c>
      <c r="BZ692">
        <f>'T_TTAFStock'!BX25</f>
        <v/>
      </c>
      <c r="CA692">
        <f>'T_TTAFStock'!BY25</f>
        <v/>
      </c>
      <c r="CB692">
        <f>'T_TTAFStock'!BZ25</f>
        <v/>
      </c>
      <c r="CC692">
        <f>'T_TTAFStock'!CA25</f>
        <v/>
      </c>
      <c r="CD692">
        <f>'T_TTAFStock'!CB25</f>
        <v/>
      </c>
      <c r="CE692">
        <f>'T_TTAFStock'!CC25</f>
        <v/>
      </c>
      <c r="CF692">
        <f>'T_TTAFStock'!CD25</f>
        <v/>
      </c>
      <c r="CG692">
        <f>'T_TTAFStock'!CE25</f>
        <v/>
      </c>
      <c r="CH692">
        <f>'T_TTAFStock'!CF25</f>
        <v/>
      </c>
      <c r="CI692">
        <f>'T_TTAFStock'!CG25</f>
        <v/>
      </c>
      <c r="CJ692">
        <f>'T_TTAFStock'!CH25</f>
        <v/>
      </c>
      <c r="CK692">
        <f>'T_TTAFStock'!CI25</f>
        <v/>
      </c>
      <c r="CL692">
        <f>'T_TTAFStock'!CJ25</f>
        <v/>
      </c>
      <c r="CM692">
        <f>'T_TTAFStock'!CK25</f>
        <v/>
      </c>
      <c r="CN692">
        <f>'T_TTAFStock'!CL25</f>
        <v/>
      </c>
      <c r="CO692">
        <f>'T_TTAFStock'!CM25</f>
        <v/>
      </c>
      <c r="CP692">
        <f>'T_TTAFStock'!CN25</f>
        <v/>
      </c>
      <c r="CQ692">
        <f>'T_TTAFStock'!CO25</f>
        <v/>
      </c>
      <c r="CR692">
        <f>'T_TTAFStock'!CP25</f>
        <v/>
      </c>
      <c r="CS692">
        <f>'T_TTAFStock'!CQ25</f>
        <v/>
      </c>
      <c r="CT692">
        <f>'T_TTAFStock'!CR25</f>
        <v/>
      </c>
      <c r="CU692">
        <f>'T_TTAFStock'!CS25</f>
        <v/>
      </c>
      <c r="CV692">
        <f>'T_TTAFStock'!CT25</f>
        <v/>
      </c>
      <c r="CW692">
        <f>'T_TTAFStock'!CU25</f>
        <v/>
      </c>
      <c r="CX692">
        <f>'T_TTAFStock'!CV25</f>
        <v/>
      </c>
      <c r="CY692">
        <f>'T_TTAFStock'!CW25</f>
        <v/>
      </c>
      <c r="CZ692">
        <f>'T_TTAFStock'!CX25</f>
        <v/>
      </c>
      <c r="DA692">
        <f>'T_TTAFStock'!CY25</f>
        <v/>
      </c>
      <c r="DB692">
        <f>'T_TTAFStock'!CZ25</f>
        <v/>
      </c>
      <c r="DC692">
        <f>'T_TTAFStock'!DA25</f>
        <v/>
      </c>
    </row>
    <row r="693">
      <c r="B693" t="inlineStr">
        <is>
          <t>自社在庫(実績,kg)</t>
        </is>
      </c>
      <c r="D693">
        <f>'T_SelfStock'!B25</f>
        <v/>
      </c>
      <c r="E693">
        <f>'T_SelfStock'!C25</f>
        <v/>
      </c>
      <c r="F693">
        <f>'T_SelfStock'!D25</f>
        <v/>
      </c>
      <c r="G693">
        <f>'T_SelfStock'!E25</f>
        <v/>
      </c>
      <c r="H693">
        <f>'T_SelfStock'!F25</f>
        <v/>
      </c>
      <c r="I693">
        <f>'T_SelfStock'!G25</f>
        <v/>
      </c>
      <c r="J693">
        <f>'T_SelfStock'!H25</f>
        <v/>
      </c>
      <c r="K693">
        <f>'T_SelfStock'!I25</f>
        <v/>
      </c>
      <c r="L693">
        <f>'T_SelfStock'!J25</f>
        <v/>
      </c>
      <c r="M693">
        <f>'T_SelfStock'!K25</f>
        <v/>
      </c>
      <c r="N693">
        <f>'T_SelfStock'!L25</f>
        <v/>
      </c>
      <c r="O693">
        <f>'T_SelfStock'!M25</f>
        <v/>
      </c>
      <c r="P693">
        <f>'T_SelfStock'!N25</f>
        <v/>
      </c>
      <c r="Q693">
        <f>'T_SelfStock'!O25</f>
        <v/>
      </c>
      <c r="R693">
        <f>'T_SelfStock'!P25</f>
        <v/>
      </c>
      <c r="S693">
        <f>'T_SelfStock'!Q25</f>
        <v/>
      </c>
      <c r="T693">
        <f>'T_SelfStock'!R25</f>
        <v/>
      </c>
      <c r="U693">
        <f>'T_SelfStock'!S25</f>
        <v/>
      </c>
      <c r="V693">
        <f>'T_SelfStock'!T25</f>
        <v/>
      </c>
      <c r="W693">
        <f>'T_SelfStock'!U25</f>
        <v/>
      </c>
      <c r="X693">
        <f>'T_SelfStock'!V25</f>
        <v/>
      </c>
      <c r="Y693">
        <f>'T_SelfStock'!W25</f>
        <v/>
      </c>
      <c r="Z693">
        <f>'T_SelfStock'!X25</f>
        <v/>
      </c>
      <c r="AA693">
        <f>'T_SelfStock'!Y25</f>
        <v/>
      </c>
      <c r="AB693">
        <f>'T_SelfStock'!Z25</f>
        <v/>
      </c>
      <c r="AC693">
        <f>'T_SelfStock'!AA25</f>
        <v/>
      </c>
      <c r="AD693">
        <f>'T_SelfStock'!AB25</f>
        <v/>
      </c>
      <c r="AE693">
        <f>'T_SelfStock'!AC25</f>
        <v/>
      </c>
      <c r="AF693">
        <f>'T_SelfStock'!AD25</f>
        <v/>
      </c>
      <c r="AG693">
        <f>'T_SelfStock'!AE25</f>
        <v/>
      </c>
      <c r="AH693">
        <f>'T_SelfStock'!AF25</f>
        <v/>
      </c>
      <c r="AI693">
        <f>'T_SelfStock'!AG25</f>
        <v/>
      </c>
      <c r="AJ693">
        <f>'T_SelfStock'!AH25</f>
        <v/>
      </c>
      <c r="AK693">
        <f>'T_SelfStock'!AI25</f>
        <v/>
      </c>
      <c r="AL693">
        <f>'T_SelfStock'!AJ25</f>
        <v/>
      </c>
      <c r="AM693">
        <f>'T_SelfStock'!AK25</f>
        <v/>
      </c>
      <c r="AN693">
        <f>'T_SelfStock'!AL25</f>
        <v/>
      </c>
      <c r="AO693">
        <f>'T_SelfStock'!AM25</f>
        <v/>
      </c>
      <c r="AP693">
        <f>'T_SelfStock'!AN25</f>
        <v/>
      </c>
      <c r="AQ693">
        <f>'T_SelfStock'!AO25</f>
        <v/>
      </c>
      <c r="AR693">
        <f>'T_SelfStock'!AP25</f>
        <v/>
      </c>
      <c r="AS693">
        <f>'T_SelfStock'!AQ25</f>
        <v/>
      </c>
      <c r="AT693">
        <f>'T_SelfStock'!AR25</f>
        <v/>
      </c>
      <c r="AU693">
        <f>'T_SelfStock'!AS25</f>
        <v/>
      </c>
      <c r="AV693">
        <f>'T_SelfStock'!AT25</f>
        <v/>
      </c>
      <c r="AW693">
        <f>'T_SelfStock'!AU25</f>
        <v/>
      </c>
      <c r="AX693">
        <f>'T_SelfStock'!AV25</f>
        <v/>
      </c>
      <c r="AY693">
        <f>'T_SelfStock'!AW25</f>
        <v/>
      </c>
      <c r="AZ693">
        <f>'T_SelfStock'!AX25</f>
        <v/>
      </c>
      <c r="BA693">
        <f>'T_SelfStock'!AY25</f>
        <v/>
      </c>
      <c r="BB693">
        <f>'T_SelfStock'!AZ25</f>
        <v/>
      </c>
      <c r="BC693">
        <f>'T_SelfStock'!BA25</f>
        <v/>
      </c>
      <c r="BD693">
        <f>'T_SelfStock'!BB25</f>
        <v/>
      </c>
      <c r="BE693">
        <f>'T_SelfStock'!BC25</f>
        <v/>
      </c>
      <c r="BF693">
        <f>'T_SelfStock'!BD25</f>
        <v/>
      </c>
      <c r="BG693">
        <f>'T_SelfStock'!BE25</f>
        <v/>
      </c>
      <c r="BH693">
        <f>'T_SelfStock'!BF25</f>
        <v/>
      </c>
      <c r="BI693">
        <f>'T_SelfStock'!BG25</f>
        <v/>
      </c>
      <c r="BJ693">
        <f>'T_SelfStock'!BH25</f>
        <v/>
      </c>
      <c r="BK693">
        <f>'T_SelfStock'!BI25</f>
        <v/>
      </c>
      <c r="BL693">
        <f>'T_SelfStock'!BJ25</f>
        <v/>
      </c>
      <c r="BM693">
        <f>'T_SelfStock'!BK25</f>
        <v/>
      </c>
      <c r="BN693">
        <f>'T_SelfStock'!BL25</f>
        <v/>
      </c>
      <c r="BO693">
        <f>'T_SelfStock'!BM25</f>
        <v/>
      </c>
      <c r="BP693">
        <f>'T_SelfStock'!BN25</f>
        <v/>
      </c>
      <c r="BQ693">
        <f>'T_SelfStock'!BO25</f>
        <v/>
      </c>
      <c r="BR693">
        <f>'T_SelfStock'!BP25</f>
        <v/>
      </c>
      <c r="BS693">
        <f>'T_SelfStock'!BQ25</f>
        <v/>
      </c>
      <c r="BT693">
        <f>'T_SelfStock'!BR25</f>
        <v/>
      </c>
      <c r="BU693">
        <f>'T_SelfStock'!BS25</f>
        <v/>
      </c>
      <c r="BV693">
        <f>'T_SelfStock'!BT25</f>
        <v/>
      </c>
      <c r="BW693">
        <f>'T_SelfStock'!BU25</f>
        <v/>
      </c>
      <c r="BX693">
        <f>'T_SelfStock'!BV25</f>
        <v/>
      </c>
      <c r="BY693">
        <f>'T_SelfStock'!BW25</f>
        <v/>
      </c>
      <c r="BZ693">
        <f>'T_SelfStock'!BX25</f>
        <v/>
      </c>
      <c r="CA693">
        <f>'T_SelfStock'!BY25</f>
        <v/>
      </c>
      <c r="CB693">
        <f>'T_SelfStock'!BZ25</f>
        <v/>
      </c>
      <c r="CC693">
        <f>'T_SelfStock'!CA25</f>
        <v/>
      </c>
      <c r="CD693">
        <f>'T_SelfStock'!CB25</f>
        <v/>
      </c>
      <c r="CE693">
        <f>'T_SelfStock'!CC25</f>
        <v/>
      </c>
      <c r="CF693">
        <f>'T_SelfStock'!CD25</f>
        <v/>
      </c>
      <c r="CG693">
        <f>'T_SelfStock'!CE25</f>
        <v/>
      </c>
      <c r="CH693">
        <f>'T_SelfStock'!CF25</f>
        <v/>
      </c>
      <c r="CI693">
        <f>'T_SelfStock'!CG25</f>
        <v/>
      </c>
      <c r="CJ693">
        <f>'T_SelfStock'!CH25</f>
        <v/>
      </c>
      <c r="CK693">
        <f>'T_SelfStock'!CI25</f>
        <v/>
      </c>
      <c r="CL693">
        <f>'T_SelfStock'!CJ25</f>
        <v/>
      </c>
      <c r="CM693">
        <f>'T_SelfStock'!CK25</f>
        <v/>
      </c>
      <c r="CN693">
        <f>'T_SelfStock'!CL25</f>
        <v/>
      </c>
      <c r="CO693">
        <f>'T_SelfStock'!CM25</f>
        <v/>
      </c>
      <c r="CP693">
        <f>'T_SelfStock'!CN25</f>
        <v/>
      </c>
      <c r="CQ693">
        <f>'T_SelfStock'!CO25</f>
        <v/>
      </c>
      <c r="CR693">
        <f>'T_SelfStock'!CP25</f>
        <v/>
      </c>
      <c r="CS693">
        <f>'T_SelfStock'!CQ25</f>
        <v/>
      </c>
      <c r="CT693">
        <f>'T_SelfStock'!CR25</f>
        <v/>
      </c>
      <c r="CU693">
        <f>'T_SelfStock'!CS25</f>
        <v/>
      </c>
      <c r="CV693">
        <f>'T_SelfStock'!CT25</f>
        <v/>
      </c>
      <c r="CW693">
        <f>'T_SelfStock'!CU25</f>
        <v/>
      </c>
      <c r="CX693">
        <f>'T_SelfStock'!CV25</f>
        <v/>
      </c>
      <c r="CY693">
        <f>'T_SelfStock'!CW25</f>
        <v/>
      </c>
      <c r="CZ693">
        <f>'T_SelfStock'!CX25</f>
        <v/>
      </c>
      <c r="DA693">
        <f>'T_SelfStock'!CY25</f>
        <v/>
      </c>
      <c r="DB693">
        <f>'T_SelfStock'!CZ25</f>
        <v/>
      </c>
      <c r="DC693">
        <f>'T_SelfStock'!DA25</f>
        <v/>
      </c>
    </row>
    <row r="694">
      <c r="B694" s="4" t="inlineStr">
        <is>
          <t>合計在庫(週末時点,kg)</t>
        </is>
      </c>
      <c r="D694">
        <f>'Grid_Stock'!B21</f>
        <v/>
      </c>
      <c r="E694">
        <f>'Grid_Stock'!C21</f>
        <v/>
      </c>
      <c r="F694">
        <f>'Grid_Stock'!D21</f>
        <v/>
      </c>
      <c r="G694">
        <f>'Grid_Stock'!E21</f>
        <v/>
      </c>
      <c r="H694">
        <f>'Grid_Stock'!F21</f>
        <v/>
      </c>
      <c r="I694">
        <f>'Grid_Stock'!G21</f>
        <v/>
      </c>
      <c r="J694">
        <f>'Grid_Stock'!H21</f>
        <v/>
      </c>
      <c r="K694">
        <f>'Grid_Stock'!I21</f>
        <v/>
      </c>
      <c r="L694">
        <f>'Grid_Stock'!J21</f>
        <v/>
      </c>
      <c r="M694">
        <f>'Grid_Stock'!K21</f>
        <v/>
      </c>
      <c r="N694">
        <f>'Grid_Stock'!L21</f>
        <v/>
      </c>
      <c r="O694">
        <f>'Grid_Stock'!M21</f>
        <v/>
      </c>
      <c r="P694">
        <f>'Grid_Stock'!N21</f>
        <v/>
      </c>
      <c r="Q694">
        <f>'Grid_Stock'!O21</f>
        <v/>
      </c>
      <c r="R694">
        <f>'Grid_Stock'!P21</f>
        <v/>
      </c>
      <c r="S694">
        <f>'Grid_Stock'!Q21</f>
        <v/>
      </c>
      <c r="T694">
        <f>'Grid_Stock'!R21</f>
        <v/>
      </c>
      <c r="U694">
        <f>'Grid_Stock'!S21</f>
        <v/>
      </c>
      <c r="V694">
        <f>'Grid_Stock'!T21</f>
        <v/>
      </c>
      <c r="W694">
        <f>'Grid_Stock'!U21</f>
        <v/>
      </c>
      <c r="X694">
        <f>'Grid_Stock'!V21</f>
        <v/>
      </c>
      <c r="Y694">
        <f>'Grid_Stock'!W21</f>
        <v/>
      </c>
      <c r="Z694">
        <f>'Grid_Stock'!X21</f>
        <v/>
      </c>
      <c r="AA694">
        <f>'Grid_Stock'!Y21</f>
        <v/>
      </c>
      <c r="AB694">
        <f>'Grid_Stock'!Z21</f>
        <v/>
      </c>
      <c r="AC694">
        <f>'Grid_Stock'!AA21</f>
        <v/>
      </c>
      <c r="AD694">
        <f>'Grid_Stock'!AB21</f>
        <v/>
      </c>
      <c r="AE694">
        <f>'Grid_Stock'!AC21</f>
        <v/>
      </c>
      <c r="AF694">
        <f>'Grid_Stock'!AD21</f>
        <v/>
      </c>
      <c r="AG694">
        <f>'Grid_Stock'!AE21</f>
        <v/>
      </c>
      <c r="AH694">
        <f>'Grid_Stock'!AF21</f>
        <v/>
      </c>
      <c r="AI694">
        <f>'Grid_Stock'!AG21</f>
        <v/>
      </c>
      <c r="AJ694">
        <f>'Grid_Stock'!AH21</f>
        <v/>
      </c>
      <c r="AK694">
        <f>'Grid_Stock'!AI21</f>
        <v/>
      </c>
      <c r="AL694">
        <f>'Grid_Stock'!AJ21</f>
        <v/>
      </c>
      <c r="AM694">
        <f>'Grid_Stock'!AK21</f>
        <v/>
      </c>
      <c r="AN694">
        <f>'Grid_Stock'!AL21</f>
        <v/>
      </c>
      <c r="AO694">
        <f>'Grid_Stock'!AM21</f>
        <v/>
      </c>
      <c r="AP694">
        <f>'Grid_Stock'!AN21</f>
        <v/>
      </c>
      <c r="AQ694">
        <f>'Grid_Stock'!AO21</f>
        <v/>
      </c>
      <c r="AR694">
        <f>'Grid_Stock'!AP21</f>
        <v/>
      </c>
      <c r="AS694">
        <f>'Grid_Stock'!AQ21</f>
        <v/>
      </c>
      <c r="AT694">
        <f>'Grid_Stock'!AR21</f>
        <v/>
      </c>
      <c r="AU694">
        <f>'Grid_Stock'!AS21</f>
        <v/>
      </c>
      <c r="AV694">
        <f>'Grid_Stock'!AT21</f>
        <v/>
      </c>
      <c r="AW694">
        <f>'Grid_Stock'!AU21</f>
        <v/>
      </c>
      <c r="AX694">
        <f>'Grid_Stock'!AV21</f>
        <v/>
      </c>
      <c r="AY694">
        <f>'Grid_Stock'!AW21</f>
        <v/>
      </c>
      <c r="AZ694">
        <f>'Grid_Stock'!AX21</f>
        <v/>
      </c>
      <c r="BA694">
        <f>'Grid_Stock'!AY21</f>
        <v/>
      </c>
      <c r="BB694">
        <f>'Grid_Stock'!AZ21</f>
        <v/>
      </c>
      <c r="BC694">
        <f>'Grid_Stock'!BA21</f>
        <v/>
      </c>
      <c r="BD694">
        <f>'Grid_Stock'!BB21</f>
        <v/>
      </c>
      <c r="BE694">
        <f>'Grid_Stock'!BC21</f>
        <v/>
      </c>
      <c r="BF694">
        <f>'Grid_Stock'!BD21</f>
        <v/>
      </c>
      <c r="BG694">
        <f>'Grid_Stock'!BE21</f>
        <v/>
      </c>
      <c r="BH694">
        <f>'Grid_Stock'!BF21</f>
        <v/>
      </c>
      <c r="BI694">
        <f>'Grid_Stock'!BG21</f>
        <v/>
      </c>
      <c r="BJ694">
        <f>'Grid_Stock'!BH21</f>
        <v/>
      </c>
      <c r="BK694">
        <f>'Grid_Stock'!BI21</f>
        <v/>
      </c>
      <c r="BL694">
        <f>'Grid_Stock'!BJ21</f>
        <v/>
      </c>
      <c r="BM694">
        <f>'Grid_Stock'!BK21</f>
        <v/>
      </c>
      <c r="BN694">
        <f>'Grid_Stock'!BL21</f>
        <v/>
      </c>
      <c r="BO694">
        <f>'Grid_Stock'!BM21</f>
        <v/>
      </c>
      <c r="BP694">
        <f>'Grid_Stock'!BN21</f>
        <v/>
      </c>
      <c r="BQ694">
        <f>'Grid_Stock'!BO21</f>
        <v/>
      </c>
      <c r="BR694">
        <f>'Grid_Stock'!BP21</f>
        <v/>
      </c>
      <c r="BS694">
        <f>'Grid_Stock'!BQ21</f>
        <v/>
      </c>
      <c r="BT694">
        <f>'Grid_Stock'!BR21</f>
        <v/>
      </c>
      <c r="BU694">
        <f>'Grid_Stock'!BS21</f>
        <v/>
      </c>
      <c r="BV694">
        <f>'Grid_Stock'!BT21</f>
        <v/>
      </c>
      <c r="BW694">
        <f>'Grid_Stock'!BU21</f>
        <v/>
      </c>
      <c r="BX694">
        <f>'Grid_Stock'!BV21</f>
        <v/>
      </c>
      <c r="BY694">
        <f>'Grid_Stock'!BW21</f>
        <v/>
      </c>
      <c r="BZ694">
        <f>'Grid_Stock'!BX21</f>
        <v/>
      </c>
      <c r="CA694">
        <f>'Grid_Stock'!BY21</f>
        <v/>
      </c>
      <c r="CB694">
        <f>'Grid_Stock'!BZ21</f>
        <v/>
      </c>
      <c r="CC694">
        <f>'Grid_Stock'!CA21</f>
        <v/>
      </c>
      <c r="CD694">
        <f>'Grid_Stock'!CB21</f>
        <v/>
      </c>
      <c r="CE694">
        <f>'Grid_Stock'!CC21</f>
        <v/>
      </c>
      <c r="CF694">
        <f>'Grid_Stock'!CD21</f>
        <v/>
      </c>
      <c r="CG694">
        <f>'Grid_Stock'!CE21</f>
        <v/>
      </c>
      <c r="CH694">
        <f>'Grid_Stock'!CF21</f>
        <v/>
      </c>
      <c r="CI694">
        <f>'Grid_Stock'!CG21</f>
        <v/>
      </c>
      <c r="CJ694">
        <f>'Grid_Stock'!CH21</f>
        <v/>
      </c>
      <c r="CK694">
        <f>'Grid_Stock'!CI21</f>
        <v/>
      </c>
      <c r="CL694">
        <f>'Grid_Stock'!CJ21</f>
        <v/>
      </c>
      <c r="CM694">
        <f>'Grid_Stock'!CK21</f>
        <v/>
      </c>
      <c r="CN694">
        <f>'Grid_Stock'!CL21</f>
        <v/>
      </c>
      <c r="CO694">
        <f>'Grid_Stock'!CM21</f>
        <v/>
      </c>
      <c r="CP694">
        <f>'Grid_Stock'!CN21</f>
        <v/>
      </c>
      <c r="CQ694">
        <f>'Grid_Stock'!CO21</f>
        <v/>
      </c>
      <c r="CR694">
        <f>'Grid_Stock'!CP21</f>
        <v/>
      </c>
      <c r="CS694">
        <f>'Grid_Stock'!CQ21</f>
        <v/>
      </c>
      <c r="CT694">
        <f>'Grid_Stock'!CR21</f>
        <v/>
      </c>
      <c r="CU694">
        <f>'Grid_Stock'!CS21</f>
        <v/>
      </c>
      <c r="CV694">
        <f>'Grid_Stock'!CT21</f>
        <v/>
      </c>
      <c r="CW694">
        <f>'Grid_Stock'!CU21</f>
        <v/>
      </c>
      <c r="CX694">
        <f>'Grid_Stock'!CV21</f>
        <v/>
      </c>
      <c r="CY694">
        <f>'Grid_Stock'!CW21</f>
        <v/>
      </c>
      <c r="CZ694">
        <f>'Grid_Stock'!CX21</f>
        <v/>
      </c>
      <c r="DA694">
        <f>'Grid_Stock'!CY21</f>
        <v/>
      </c>
      <c r="DB694">
        <f>'Grid_Stock'!CZ21</f>
        <v/>
      </c>
      <c r="DC694">
        <f>'Grid_Stock'!DA21</f>
        <v/>
      </c>
    </row>
    <row r="695">
      <c r="B695" s="16" t="inlineStr">
        <is>
          <t>（発注の目安はDashboardの基準在庫[下限/上限]と色分けを参照）</t>
        </is>
      </c>
    </row>
    <row r="697">
      <c r="A697" s="14" t="inlineStr">
        <is>
          <t>CHEM-1560</t>
        </is>
      </c>
      <c r="B697" s="14" t="inlineStr">
        <is>
          <t>TPZ-511</t>
        </is>
      </c>
      <c r="C697" s="15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4" t="n"/>
      <c r="BJ697" s="14" t="n"/>
      <c r="BK697" s="14" t="n"/>
      <c r="BL697" s="14" t="n"/>
      <c r="BM697" s="14" t="n"/>
      <c r="BN697" s="14" t="n"/>
      <c r="BO697" s="14" t="n"/>
      <c r="BP697" s="14" t="n"/>
      <c r="BQ697" s="14" t="n"/>
      <c r="BR697" s="14" t="n"/>
      <c r="BS697" s="14" t="n"/>
      <c r="BT697" s="14" t="n"/>
      <c r="BU697" s="14" t="n"/>
      <c r="BV697" s="14" t="n"/>
      <c r="BW697" s="14" t="n"/>
      <c r="BX697" s="14" t="n"/>
      <c r="BY697" s="14" t="n"/>
      <c r="BZ697" s="14" t="n"/>
      <c r="CA697" s="14" t="n"/>
      <c r="CB697" s="14" t="n"/>
      <c r="CC697" s="14" t="n"/>
      <c r="CD697" s="14" t="n"/>
      <c r="CE697" s="14" t="n"/>
      <c r="CF697" s="14" t="n"/>
      <c r="CG697" s="14" t="n"/>
      <c r="CH697" s="14" t="n"/>
      <c r="CI697" s="14" t="n"/>
      <c r="CJ697" s="14" t="n"/>
      <c r="CK697" s="14" t="n"/>
      <c r="CL697" s="14" t="n"/>
      <c r="CM697" s="14" t="n"/>
      <c r="CN697" s="14" t="n"/>
      <c r="CO697" s="14" t="n"/>
      <c r="CP697" s="14" t="n"/>
      <c r="CQ697" s="14" t="n"/>
      <c r="CR697" s="14" t="n"/>
      <c r="CS697" s="14" t="n"/>
      <c r="CT697" s="14" t="n"/>
      <c r="CU697" s="14" t="n"/>
      <c r="CV697" s="14" t="n"/>
      <c r="CW697" s="14" t="n"/>
      <c r="CX697" s="14" t="n"/>
      <c r="CY697" s="14" t="n"/>
      <c r="CZ697" s="14" t="n"/>
      <c r="DA697" s="14" t="n"/>
      <c r="DB697" s="14" t="n"/>
      <c r="DC697" s="14" t="n"/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Name],$A697)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TSP-544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Name],$A697)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TSP-710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Name],$A697)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s="4" t="inlineStr">
        <is>
          <t>合計使用量(kg)/週</t>
        </is>
      </c>
      <c r="D704">
        <f>'Grid_Requirement'!B34</f>
        <v/>
      </c>
      <c r="E704">
        <f>'Grid_Requirement'!C34</f>
        <v/>
      </c>
      <c r="F704">
        <f>'Grid_Requirement'!D34</f>
        <v/>
      </c>
      <c r="G704">
        <f>'Grid_Requirement'!E34</f>
        <v/>
      </c>
      <c r="H704">
        <f>'Grid_Requirement'!F34</f>
        <v/>
      </c>
      <c r="I704">
        <f>'Grid_Requirement'!G34</f>
        <v/>
      </c>
      <c r="J704">
        <f>'Grid_Requirement'!H34</f>
        <v/>
      </c>
      <c r="K704">
        <f>'Grid_Requirement'!I34</f>
        <v/>
      </c>
      <c r="L704">
        <f>'Grid_Requirement'!J34</f>
        <v/>
      </c>
      <c r="M704">
        <f>'Grid_Requirement'!K34</f>
        <v/>
      </c>
      <c r="N704">
        <f>'Grid_Requirement'!L34</f>
        <v/>
      </c>
      <c r="O704">
        <f>'Grid_Requirement'!M34</f>
        <v/>
      </c>
      <c r="P704">
        <f>'Grid_Requirement'!N34</f>
        <v/>
      </c>
      <c r="Q704">
        <f>'Grid_Requirement'!O34</f>
        <v/>
      </c>
      <c r="R704">
        <f>'Grid_Requirement'!P34</f>
        <v/>
      </c>
      <c r="S704">
        <f>'Grid_Requirement'!Q34</f>
        <v/>
      </c>
      <c r="T704">
        <f>'Grid_Requirement'!R34</f>
        <v/>
      </c>
      <c r="U704">
        <f>'Grid_Requirement'!S34</f>
        <v/>
      </c>
      <c r="V704">
        <f>'Grid_Requirement'!T34</f>
        <v/>
      </c>
      <c r="W704">
        <f>'Grid_Requirement'!U34</f>
        <v/>
      </c>
      <c r="X704">
        <f>'Grid_Requirement'!V34</f>
        <v/>
      </c>
      <c r="Y704">
        <f>'Grid_Requirement'!W34</f>
        <v/>
      </c>
      <c r="Z704">
        <f>'Grid_Requirement'!X34</f>
        <v/>
      </c>
      <c r="AA704">
        <f>'Grid_Requirement'!Y34</f>
        <v/>
      </c>
      <c r="AB704">
        <f>'Grid_Requirement'!Z34</f>
        <v/>
      </c>
      <c r="AC704">
        <f>'Grid_Requirement'!AA34</f>
        <v/>
      </c>
      <c r="AD704">
        <f>'Grid_Requirement'!AB34</f>
        <v/>
      </c>
      <c r="AE704">
        <f>'Grid_Requirement'!AC34</f>
        <v/>
      </c>
      <c r="AF704">
        <f>'Grid_Requirement'!AD34</f>
        <v/>
      </c>
      <c r="AG704">
        <f>'Grid_Requirement'!AE34</f>
        <v/>
      </c>
      <c r="AH704">
        <f>'Grid_Requirement'!AF34</f>
        <v/>
      </c>
      <c r="AI704">
        <f>'Grid_Requirement'!AG34</f>
        <v/>
      </c>
      <c r="AJ704">
        <f>'Grid_Requirement'!AH34</f>
        <v/>
      </c>
      <c r="AK704">
        <f>'Grid_Requirement'!AI34</f>
        <v/>
      </c>
      <c r="AL704">
        <f>'Grid_Requirement'!AJ34</f>
        <v/>
      </c>
      <c r="AM704">
        <f>'Grid_Requirement'!AK34</f>
        <v/>
      </c>
      <c r="AN704">
        <f>'Grid_Requirement'!AL34</f>
        <v/>
      </c>
      <c r="AO704">
        <f>'Grid_Requirement'!AM34</f>
        <v/>
      </c>
      <c r="AP704">
        <f>'Grid_Requirement'!AN34</f>
        <v/>
      </c>
      <c r="AQ704">
        <f>'Grid_Requirement'!AO34</f>
        <v/>
      </c>
      <c r="AR704">
        <f>'Grid_Requirement'!AP34</f>
        <v/>
      </c>
      <c r="AS704">
        <f>'Grid_Requirement'!AQ34</f>
        <v/>
      </c>
      <c r="AT704">
        <f>'Grid_Requirement'!AR34</f>
        <v/>
      </c>
      <c r="AU704">
        <f>'Grid_Requirement'!AS34</f>
        <v/>
      </c>
      <c r="AV704">
        <f>'Grid_Requirement'!AT34</f>
        <v/>
      </c>
      <c r="AW704">
        <f>'Grid_Requirement'!AU34</f>
        <v/>
      </c>
      <c r="AX704">
        <f>'Grid_Requirement'!AV34</f>
        <v/>
      </c>
      <c r="AY704">
        <f>'Grid_Requirement'!AW34</f>
        <v/>
      </c>
      <c r="AZ704">
        <f>'Grid_Requirement'!AX34</f>
        <v/>
      </c>
      <c r="BA704">
        <f>'Grid_Requirement'!AY34</f>
        <v/>
      </c>
      <c r="BB704">
        <f>'Grid_Requirement'!AZ34</f>
        <v/>
      </c>
      <c r="BC704">
        <f>'Grid_Requirement'!BA34</f>
        <v/>
      </c>
      <c r="BD704">
        <f>'Grid_Requirement'!BB34</f>
        <v/>
      </c>
      <c r="BE704">
        <f>'Grid_Requirement'!BC34</f>
        <v/>
      </c>
      <c r="BF704">
        <f>'Grid_Requirement'!BD34</f>
        <v/>
      </c>
      <c r="BG704">
        <f>'Grid_Requirement'!BE34</f>
        <v/>
      </c>
      <c r="BH704">
        <f>'Grid_Requirement'!BF34</f>
        <v/>
      </c>
      <c r="BI704">
        <f>'Grid_Requirement'!BG34</f>
        <v/>
      </c>
      <c r="BJ704">
        <f>'Grid_Requirement'!BH34</f>
        <v/>
      </c>
      <c r="BK704">
        <f>'Grid_Requirement'!BI34</f>
        <v/>
      </c>
      <c r="BL704">
        <f>'Grid_Requirement'!BJ34</f>
        <v/>
      </c>
      <c r="BM704">
        <f>'Grid_Requirement'!BK34</f>
        <v/>
      </c>
      <c r="BN704">
        <f>'Grid_Requirement'!BL34</f>
        <v/>
      </c>
      <c r="BO704">
        <f>'Grid_Requirement'!BM34</f>
        <v/>
      </c>
      <c r="BP704">
        <f>'Grid_Requirement'!BN34</f>
        <v/>
      </c>
      <c r="BQ704">
        <f>'Grid_Requirement'!BO34</f>
        <v/>
      </c>
      <c r="BR704">
        <f>'Grid_Requirement'!BP34</f>
        <v/>
      </c>
      <c r="BS704">
        <f>'Grid_Requirement'!BQ34</f>
        <v/>
      </c>
      <c r="BT704">
        <f>'Grid_Requirement'!BR34</f>
        <v/>
      </c>
      <c r="BU704">
        <f>'Grid_Requirement'!BS34</f>
        <v/>
      </c>
      <c r="BV704">
        <f>'Grid_Requirement'!BT34</f>
        <v/>
      </c>
      <c r="BW704">
        <f>'Grid_Requirement'!BU34</f>
        <v/>
      </c>
      <c r="BX704">
        <f>'Grid_Requirement'!BV34</f>
        <v/>
      </c>
      <c r="BY704">
        <f>'Grid_Requirement'!BW34</f>
        <v/>
      </c>
      <c r="BZ704">
        <f>'Grid_Requirement'!BX34</f>
        <v/>
      </c>
      <c r="CA704">
        <f>'Grid_Requirement'!BY34</f>
        <v/>
      </c>
      <c r="CB704">
        <f>'Grid_Requirement'!BZ34</f>
        <v/>
      </c>
      <c r="CC704">
        <f>'Grid_Requirement'!CA34</f>
        <v/>
      </c>
      <c r="CD704">
        <f>'Grid_Requirement'!CB34</f>
        <v/>
      </c>
      <c r="CE704">
        <f>'Grid_Requirement'!CC34</f>
        <v/>
      </c>
      <c r="CF704">
        <f>'Grid_Requirement'!CD34</f>
        <v/>
      </c>
      <c r="CG704">
        <f>'Grid_Requirement'!CE34</f>
        <v/>
      </c>
      <c r="CH704">
        <f>'Grid_Requirement'!CF34</f>
        <v/>
      </c>
      <c r="CI704">
        <f>'Grid_Requirement'!CG34</f>
        <v/>
      </c>
      <c r="CJ704">
        <f>'Grid_Requirement'!CH34</f>
        <v/>
      </c>
      <c r="CK704">
        <f>'Grid_Requirement'!CI34</f>
        <v/>
      </c>
      <c r="CL704">
        <f>'Grid_Requirement'!CJ34</f>
        <v/>
      </c>
      <c r="CM704">
        <f>'Grid_Requirement'!CK34</f>
        <v/>
      </c>
      <c r="CN704">
        <f>'Grid_Requirement'!CL34</f>
        <v/>
      </c>
      <c r="CO704">
        <f>'Grid_Requirement'!CM34</f>
        <v/>
      </c>
      <c r="CP704">
        <f>'Grid_Requirement'!CN34</f>
        <v/>
      </c>
      <c r="CQ704">
        <f>'Grid_Requirement'!CO34</f>
        <v/>
      </c>
      <c r="CR704">
        <f>'Grid_Requirement'!CP34</f>
        <v/>
      </c>
      <c r="CS704">
        <f>'Grid_Requirement'!CQ34</f>
        <v/>
      </c>
      <c r="CT704">
        <f>'Grid_Requirement'!CR34</f>
        <v/>
      </c>
      <c r="CU704">
        <f>'Grid_Requirement'!CS34</f>
        <v/>
      </c>
      <c r="CV704">
        <f>'Grid_Requirement'!CT34</f>
        <v/>
      </c>
      <c r="CW704">
        <f>'Grid_Requirement'!CU34</f>
        <v/>
      </c>
      <c r="CX704">
        <f>'Grid_Requirement'!CV34</f>
        <v/>
      </c>
      <c r="CY704">
        <f>'Grid_Requirement'!CW34</f>
        <v/>
      </c>
      <c r="CZ704">
        <f>'Grid_Requirement'!CX34</f>
        <v/>
      </c>
      <c r="DA704">
        <f>'Grid_Requirement'!CY34</f>
        <v/>
      </c>
      <c r="DB704">
        <f>'Grid_Requirement'!CZ34</f>
        <v/>
      </c>
      <c r="DC704">
        <f>'Grid_Requirement'!DA34</f>
        <v/>
      </c>
    </row>
    <row r="705">
      <c r="B705" t="inlineStr">
        <is>
          <t>TTAF在庫(実績,kg)</t>
        </is>
      </c>
      <c r="D705">
        <f>'T_TTAFStock'!B38</f>
        <v/>
      </c>
      <c r="E705">
        <f>'T_TTAFStock'!C38</f>
        <v/>
      </c>
      <c r="F705">
        <f>'T_TTAFStock'!D38</f>
        <v/>
      </c>
      <c r="G705">
        <f>'T_TTAFStock'!E38</f>
        <v/>
      </c>
      <c r="H705">
        <f>'T_TTAFStock'!F38</f>
        <v/>
      </c>
      <c r="I705">
        <f>'T_TTAFStock'!G38</f>
        <v/>
      </c>
      <c r="J705">
        <f>'T_TTAFStock'!H38</f>
        <v/>
      </c>
      <c r="K705">
        <f>'T_TTAFStock'!I38</f>
        <v/>
      </c>
      <c r="L705">
        <f>'T_TTAFStock'!J38</f>
        <v/>
      </c>
      <c r="M705">
        <f>'T_TTAFStock'!K38</f>
        <v/>
      </c>
      <c r="N705">
        <f>'T_TTAFStock'!L38</f>
        <v/>
      </c>
      <c r="O705">
        <f>'T_TTAFStock'!M38</f>
        <v/>
      </c>
      <c r="P705">
        <f>'T_TTAFStock'!N38</f>
        <v/>
      </c>
      <c r="Q705">
        <f>'T_TTAFStock'!O38</f>
        <v/>
      </c>
      <c r="R705">
        <f>'T_TTAFStock'!P38</f>
        <v/>
      </c>
      <c r="S705">
        <f>'T_TTAFStock'!Q38</f>
        <v/>
      </c>
      <c r="T705">
        <f>'T_TTAFStock'!R38</f>
        <v/>
      </c>
      <c r="U705">
        <f>'T_TTAFStock'!S38</f>
        <v/>
      </c>
      <c r="V705">
        <f>'T_TTAFStock'!T38</f>
        <v/>
      </c>
      <c r="W705">
        <f>'T_TTAFStock'!U38</f>
        <v/>
      </c>
      <c r="X705">
        <f>'T_TTAFStock'!V38</f>
        <v/>
      </c>
      <c r="Y705">
        <f>'T_TTAFStock'!W38</f>
        <v/>
      </c>
      <c r="Z705">
        <f>'T_TTAFStock'!X38</f>
        <v/>
      </c>
      <c r="AA705">
        <f>'T_TTAFStock'!Y38</f>
        <v/>
      </c>
      <c r="AB705">
        <f>'T_TTAFStock'!Z38</f>
        <v/>
      </c>
      <c r="AC705">
        <f>'T_TTAFStock'!AA38</f>
        <v/>
      </c>
      <c r="AD705">
        <f>'T_TTAFStock'!AB38</f>
        <v/>
      </c>
      <c r="AE705">
        <f>'T_TTAFStock'!AC38</f>
        <v/>
      </c>
      <c r="AF705">
        <f>'T_TTAFStock'!AD38</f>
        <v/>
      </c>
      <c r="AG705">
        <f>'T_TTAFStock'!AE38</f>
        <v/>
      </c>
      <c r="AH705">
        <f>'T_TTAFStock'!AF38</f>
        <v/>
      </c>
      <c r="AI705">
        <f>'T_TTAFStock'!AG38</f>
        <v/>
      </c>
      <c r="AJ705">
        <f>'T_TTAFStock'!AH38</f>
        <v/>
      </c>
      <c r="AK705">
        <f>'T_TTAFStock'!AI38</f>
        <v/>
      </c>
      <c r="AL705">
        <f>'T_TTAFStock'!AJ38</f>
        <v/>
      </c>
      <c r="AM705">
        <f>'T_TTAFStock'!AK38</f>
        <v/>
      </c>
      <c r="AN705">
        <f>'T_TTAFStock'!AL38</f>
        <v/>
      </c>
      <c r="AO705">
        <f>'T_TTAFStock'!AM38</f>
        <v/>
      </c>
      <c r="AP705">
        <f>'T_TTAFStock'!AN38</f>
        <v/>
      </c>
      <c r="AQ705">
        <f>'T_TTAFStock'!AO38</f>
        <v/>
      </c>
      <c r="AR705">
        <f>'T_TTAFStock'!AP38</f>
        <v/>
      </c>
      <c r="AS705">
        <f>'T_TTAFStock'!AQ38</f>
        <v/>
      </c>
      <c r="AT705">
        <f>'T_TTAFStock'!AR38</f>
        <v/>
      </c>
      <c r="AU705">
        <f>'T_TTAFStock'!AS38</f>
        <v/>
      </c>
      <c r="AV705">
        <f>'T_TTAFStock'!AT38</f>
        <v/>
      </c>
      <c r="AW705">
        <f>'T_TTAFStock'!AU38</f>
        <v/>
      </c>
      <c r="AX705">
        <f>'T_TTAFStock'!AV38</f>
        <v/>
      </c>
      <c r="AY705">
        <f>'T_TTAFStock'!AW38</f>
        <v/>
      </c>
      <c r="AZ705">
        <f>'T_TTAFStock'!AX38</f>
        <v/>
      </c>
      <c r="BA705">
        <f>'T_TTAFStock'!AY38</f>
        <v/>
      </c>
      <c r="BB705">
        <f>'T_TTAFStock'!AZ38</f>
        <v/>
      </c>
      <c r="BC705">
        <f>'T_TTAFStock'!BA38</f>
        <v/>
      </c>
      <c r="BD705">
        <f>'T_TTAFStock'!BB38</f>
        <v/>
      </c>
      <c r="BE705">
        <f>'T_TTAFStock'!BC38</f>
        <v/>
      </c>
      <c r="BF705">
        <f>'T_TTAFStock'!BD38</f>
        <v/>
      </c>
      <c r="BG705">
        <f>'T_TTAFStock'!BE38</f>
        <v/>
      </c>
      <c r="BH705">
        <f>'T_TTAFStock'!BF38</f>
        <v/>
      </c>
      <c r="BI705">
        <f>'T_TTAFStock'!BG38</f>
        <v/>
      </c>
      <c r="BJ705">
        <f>'T_TTAFStock'!BH38</f>
        <v/>
      </c>
      <c r="BK705">
        <f>'T_TTAFStock'!BI38</f>
        <v/>
      </c>
      <c r="BL705">
        <f>'T_TTAFStock'!BJ38</f>
        <v/>
      </c>
      <c r="BM705">
        <f>'T_TTAFStock'!BK38</f>
        <v/>
      </c>
      <c r="BN705">
        <f>'T_TTAFStock'!BL38</f>
        <v/>
      </c>
      <c r="BO705">
        <f>'T_TTAFStock'!BM38</f>
        <v/>
      </c>
      <c r="BP705">
        <f>'T_TTAFStock'!BN38</f>
        <v/>
      </c>
      <c r="BQ705">
        <f>'T_TTAFStock'!BO38</f>
        <v/>
      </c>
      <c r="BR705">
        <f>'T_TTAFStock'!BP38</f>
        <v/>
      </c>
      <c r="BS705">
        <f>'T_TTAFStock'!BQ38</f>
        <v/>
      </c>
      <c r="BT705">
        <f>'T_TTAFStock'!BR38</f>
        <v/>
      </c>
      <c r="BU705">
        <f>'T_TTAFStock'!BS38</f>
        <v/>
      </c>
      <c r="BV705">
        <f>'T_TTAFStock'!BT38</f>
        <v/>
      </c>
      <c r="BW705">
        <f>'T_TTAFStock'!BU38</f>
        <v/>
      </c>
      <c r="BX705">
        <f>'T_TTAFStock'!BV38</f>
        <v/>
      </c>
      <c r="BY705">
        <f>'T_TTAFStock'!BW38</f>
        <v/>
      </c>
      <c r="BZ705">
        <f>'T_TTAFStock'!BX38</f>
        <v/>
      </c>
      <c r="CA705">
        <f>'T_TTAFStock'!BY38</f>
        <v/>
      </c>
      <c r="CB705">
        <f>'T_TTAFStock'!BZ38</f>
        <v/>
      </c>
      <c r="CC705">
        <f>'T_TTAFStock'!CA38</f>
        <v/>
      </c>
      <c r="CD705">
        <f>'T_TTAFStock'!CB38</f>
        <v/>
      </c>
      <c r="CE705">
        <f>'T_TTAFStock'!CC38</f>
        <v/>
      </c>
      <c r="CF705">
        <f>'T_TTAFStock'!CD38</f>
        <v/>
      </c>
      <c r="CG705">
        <f>'T_TTAFStock'!CE38</f>
        <v/>
      </c>
      <c r="CH705">
        <f>'T_TTAFStock'!CF38</f>
        <v/>
      </c>
      <c r="CI705">
        <f>'T_TTAFStock'!CG38</f>
        <v/>
      </c>
      <c r="CJ705">
        <f>'T_TTAFStock'!CH38</f>
        <v/>
      </c>
      <c r="CK705">
        <f>'T_TTAFStock'!CI38</f>
        <v/>
      </c>
      <c r="CL705">
        <f>'T_TTAFStock'!CJ38</f>
        <v/>
      </c>
      <c r="CM705">
        <f>'T_TTAFStock'!CK38</f>
        <v/>
      </c>
      <c r="CN705">
        <f>'T_TTAFStock'!CL38</f>
        <v/>
      </c>
      <c r="CO705">
        <f>'T_TTAFStock'!CM38</f>
        <v/>
      </c>
      <c r="CP705">
        <f>'T_TTAFStock'!CN38</f>
        <v/>
      </c>
      <c r="CQ705">
        <f>'T_TTAFStock'!CO38</f>
        <v/>
      </c>
      <c r="CR705">
        <f>'T_TTAFStock'!CP38</f>
        <v/>
      </c>
      <c r="CS705">
        <f>'T_TTAFStock'!CQ38</f>
        <v/>
      </c>
      <c r="CT705">
        <f>'T_TTAFStock'!CR38</f>
        <v/>
      </c>
      <c r="CU705">
        <f>'T_TTAFStock'!CS38</f>
        <v/>
      </c>
      <c r="CV705">
        <f>'T_TTAFStock'!CT38</f>
        <v/>
      </c>
      <c r="CW705">
        <f>'T_TTAFStock'!CU38</f>
        <v/>
      </c>
      <c r="CX705">
        <f>'T_TTAFStock'!CV38</f>
        <v/>
      </c>
      <c r="CY705">
        <f>'T_TTAFStock'!CW38</f>
        <v/>
      </c>
      <c r="CZ705">
        <f>'T_TTAFStock'!CX38</f>
        <v/>
      </c>
      <c r="DA705">
        <f>'T_TTAFStock'!CY38</f>
        <v/>
      </c>
      <c r="DB705">
        <f>'T_TTAFStock'!CZ38</f>
        <v/>
      </c>
      <c r="DC705">
        <f>'T_TTAFStock'!DA38</f>
        <v/>
      </c>
    </row>
    <row r="706">
      <c r="B706" t="inlineStr">
        <is>
          <t>自社在庫(実績,kg)</t>
        </is>
      </c>
      <c r="D706">
        <f>'T_SelfStock'!B38</f>
        <v/>
      </c>
      <c r="E706">
        <f>'T_SelfStock'!C38</f>
        <v/>
      </c>
      <c r="F706">
        <f>'T_SelfStock'!D38</f>
        <v/>
      </c>
      <c r="G706">
        <f>'T_SelfStock'!E38</f>
        <v/>
      </c>
      <c r="H706">
        <f>'T_SelfStock'!F38</f>
        <v/>
      </c>
      <c r="I706">
        <f>'T_SelfStock'!G38</f>
        <v/>
      </c>
      <c r="J706">
        <f>'T_SelfStock'!H38</f>
        <v/>
      </c>
      <c r="K706">
        <f>'T_SelfStock'!I38</f>
        <v/>
      </c>
      <c r="L706">
        <f>'T_SelfStock'!J38</f>
        <v/>
      </c>
      <c r="M706">
        <f>'T_SelfStock'!K38</f>
        <v/>
      </c>
      <c r="N706">
        <f>'T_SelfStock'!L38</f>
        <v/>
      </c>
      <c r="O706">
        <f>'T_SelfStock'!M38</f>
        <v/>
      </c>
      <c r="P706">
        <f>'T_SelfStock'!N38</f>
        <v/>
      </c>
      <c r="Q706">
        <f>'T_SelfStock'!O38</f>
        <v/>
      </c>
      <c r="R706">
        <f>'T_SelfStock'!P38</f>
        <v/>
      </c>
      <c r="S706">
        <f>'T_SelfStock'!Q38</f>
        <v/>
      </c>
      <c r="T706">
        <f>'T_SelfStock'!R38</f>
        <v/>
      </c>
      <c r="U706">
        <f>'T_SelfStock'!S38</f>
        <v/>
      </c>
      <c r="V706">
        <f>'T_SelfStock'!T38</f>
        <v/>
      </c>
      <c r="W706">
        <f>'T_SelfStock'!U38</f>
        <v/>
      </c>
      <c r="X706">
        <f>'T_SelfStock'!V38</f>
        <v/>
      </c>
      <c r="Y706">
        <f>'T_SelfStock'!W38</f>
        <v/>
      </c>
      <c r="Z706">
        <f>'T_SelfStock'!X38</f>
        <v/>
      </c>
      <c r="AA706">
        <f>'T_SelfStock'!Y38</f>
        <v/>
      </c>
      <c r="AB706">
        <f>'T_SelfStock'!Z38</f>
        <v/>
      </c>
      <c r="AC706">
        <f>'T_SelfStock'!AA38</f>
        <v/>
      </c>
      <c r="AD706">
        <f>'T_SelfStock'!AB38</f>
        <v/>
      </c>
      <c r="AE706">
        <f>'T_SelfStock'!AC38</f>
        <v/>
      </c>
      <c r="AF706">
        <f>'T_SelfStock'!AD38</f>
        <v/>
      </c>
      <c r="AG706">
        <f>'T_SelfStock'!AE38</f>
        <v/>
      </c>
      <c r="AH706">
        <f>'T_SelfStock'!AF38</f>
        <v/>
      </c>
      <c r="AI706">
        <f>'T_SelfStock'!AG38</f>
        <v/>
      </c>
      <c r="AJ706">
        <f>'T_SelfStock'!AH38</f>
        <v/>
      </c>
      <c r="AK706">
        <f>'T_SelfStock'!AI38</f>
        <v/>
      </c>
      <c r="AL706">
        <f>'T_SelfStock'!AJ38</f>
        <v/>
      </c>
      <c r="AM706">
        <f>'T_SelfStock'!AK38</f>
        <v/>
      </c>
      <c r="AN706">
        <f>'T_SelfStock'!AL38</f>
        <v/>
      </c>
      <c r="AO706">
        <f>'T_SelfStock'!AM38</f>
        <v/>
      </c>
      <c r="AP706">
        <f>'T_SelfStock'!AN38</f>
        <v/>
      </c>
      <c r="AQ706">
        <f>'T_SelfStock'!AO38</f>
        <v/>
      </c>
      <c r="AR706">
        <f>'T_SelfStock'!AP38</f>
        <v/>
      </c>
      <c r="AS706">
        <f>'T_SelfStock'!AQ38</f>
        <v/>
      </c>
      <c r="AT706">
        <f>'T_SelfStock'!AR38</f>
        <v/>
      </c>
      <c r="AU706">
        <f>'T_SelfStock'!AS38</f>
        <v/>
      </c>
      <c r="AV706">
        <f>'T_SelfStock'!AT38</f>
        <v/>
      </c>
      <c r="AW706">
        <f>'T_SelfStock'!AU38</f>
        <v/>
      </c>
      <c r="AX706">
        <f>'T_SelfStock'!AV38</f>
        <v/>
      </c>
      <c r="AY706">
        <f>'T_SelfStock'!AW38</f>
        <v/>
      </c>
      <c r="AZ706">
        <f>'T_SelfStock'!AX38</f>
        <v/>
      </c>
      <c r="BA706">
        <f>'T_SelfStock'!AY38</f>
        <v/>
      </c>
      <c r="BB706">
        <f>'T_SelfStock'!AZ38</f>
        <v/>
      </c>
      <c r="BC706">
        <f>'T_SelfStock'!BA38</f>
        <v/>
      </c>
      <c r="BD706">
        <f>'T_SelfStock'!BB38</f>
        <v/>
      </c>
      <c r="BE706">
        <f>'T_SelfStock'!BC38</f>
        <v/>
      </c>
      <c r="BF706">
        <f>'T_SelfStock'!BD38</f>
        <v/>
      </c>
      <c r="BG706">
        <f>'T_SelfStock'!BE38</f>
        <v/>
      </c>
      <c r="BH706">
        <f>'T_SelfStock'!BF38</f>
        <v/>
      </c>
      <c r="BI706">
        <f>'T_SelfStock'!BG38</f>
        <v/>
      </c>
      <c r="BJ706">
        <f>'T_SelfStock'!BH38</f>
        <v/>
      </c>
      <c r="BK706">
        <f>'T_SelfStock'!BI38</f>
        <v/>
      </c>
      <c r="BL706">
        <f>'T_SelfStock'!BJ38</f>
        <v/>
      </c>
      <c r="BM706">
        <f>'T_SelfStock'!BK38</f>
        <v/>
      </c>
      <c r="BN706">
        <f>'T_SelfStock'!BL38</f>
        <v/>
      </c>
      <c r="BO706">
        <f>'T_SelfStock'!BM38</f>
        <v/>
      </c>
      <c r="BP706">
        <f>'T_SelfStock'!BN38</f>
        <v/>
      </c>
      <c r="BQ706">
        <f>'T_SelfStock'!BO38</f>
        <v/>
      </c>
      <c r="BR706">
        <f>'T_SelfStock'!BP38</f>
        <v/>
      </c>
      <c r="BS706">
        <f>'T_SelfStock'!BQ38</f>
        <v/>
      </c>
      <c r="BT706">
        <f>'T_SelfStock'!BR38</f>
        <v/>
      </c>
      <c r="BU706">
        <f>'T_SelfStock'!BS38</f>
        <v/>
      </c>
      <c r="BV706">
        <f>'T_SelfStock'!BT38</f>
        <v/>
      </c>
      <c r="BW706">
        <f>'T_SelfStock'!BU38</f>
        <v/>
      </c>
      <c r="BX706">
        <f>'T_SelfStock'!BV38</f>
        <v/>
      </c>
      <c r="BY706">
        <f>'T_SelfStock'!BW38</f>
        <v/>
      </c>
      <c r="BZ706">
        <f>'T_SelfStock'!BX38</f>
        <v/>
      </c>
      <c r="CA706">
        <f>'T_SelfStock'!BY38</f>
        <v/>
      </c>
      <c r="CB706">
        <f>'T_SelfStock'!BZ38</f>
        <v/>
      </c>
      <c r="CC706">
        <f>'T_SelfStock'!CA38</f>
        <v/>
      </c>
      <c r="CD706">
        <f>'T_SelfStock'!CB38</f>
        <v/>
      </c>
      <c r="CE706">
        <f>'T_SelfStock'!CC38</f>
        <v/>
      </c>
      <c r="CF706">
        <f>'T_SelfStock'!CD38</f>
        <v/>
      </c>
      <c r="CG706">
        <f>'T_SelfStock'!CE38</f>
        <v/>
      </c>
      <c r="CH706">
        <f>'T_SelfStock'!CF38</f>
        <v/>
      </c>
      <c r="CI706">
        <f>'T_SelfStock'!CG38</f>
        <v/>
      </c>
      <c r="CJ706">
        <f>'T_SelfStock'!CH38</f>
        <v/>
      </c>
      <c r="CK706">
        <f>'T_SelfStock'!CI38</f>
        <v/>
      </c>
      <c r="CL706">
        <f>'T_SelfStock'!CJ38</f>
        <v/>
      </c>
      <c r="CM706">
        <f>'T_SelfStock'!CK38</f>
        <v/>
      </c>
      <c r="CN706">
        <f>'T_SelfStock'!CL38</f>
        <v/>
      </c>
      <c r="CO706">
        <f>'T_SelfStock'!CM38</f>
        <v/>
      </c>
      <c r="CP706">
        <f>'T_SelfStock'!CN38</f>
        <v/>
      </c>
      <c r="CQ706">
        <f>'T_SelfStock'!CO38</f>
        <v/>
      </c>
      <c r="CR706">
        <f>'T_SelfStock'!CP38</f>
        <v/>
      </c>
      <c r="CS706">
        <f>'T_SelfStock'!CQ38</f>
        <v/>
      </c>
      <c r="CT706">
        <f>'T_SelfStock'!CR38</f>
        <v/>
      </c>
      <c r="CU706">
        <f>'T_SelfStock'!CS38</f>
        <v/>
      </c>
      <c r="CV706">
        <f>'T_SelfStock'!CT38</f>
        <v/>
      </c>
      <c r="CW706">
        <f>'T_SelfStock'!CU38</f>
        <v/>
      </c>
      <c r="CX706">
        <f>'T_SelfStock'!CV38</f>
        <v/>
      </c>
      <c r="CY706">
        <f>'T_SelfStock'!CW38</f>
        <v/>
      </c>
      <c r="CZ706">
        <f>'T_SelfStock'!CX38</f>
        <v/>
      </c>
      <c r="DA706">
        <f>'T_SelfStock'!CY38</f>
        <v/>
      </c>
      <c r="DB706">
        <f>'T_SelfStock'!CZ38</f>
        <v/>
      </c>
      <c r="DC706">
        <f>'T_SelfStock'!DA38</f>
        <v/>
      </c>
    </row>
    <row r="707">
      <c r="B707" s="4" t="inlineStr">
        <is>
          <t>合計在庫(週末時点,kg)</t>
        </is>
      </c>
      <c r="D707">
        <f>'Grid_Stock'!B34</f>
        <v/>
      </c>
      <c r="E707">
        <f>'Grid_Stock'!C34</f>
        <v/>
      </c>
      <c r="F707">
        <f>'Grid_Stock'!D34</f>
        <v/>
      </c>
      <c r="G707">
        <f>'Grid_Stock'!E34</f>
        <v/>
      </c>
      <c r="H707">
        <f>'Grid_Stock'!F34</f>
        <v/>
      </c>
      <c r="I707">
        <f>'Grid_Stock'!G34</f>
        <v/>
      </c>
      <c r="J707">
        <f>'Grid_Stock'!H34</f>
        <v/>
      </c>
      <c r="K707">
        <f>'Grid_Stock'!I34</f>
        <v/>
      </c>
      <c r="L707">
        <f>'Grid_Stock'!J34</f>
        <v/>
      </c>
      <c r="M707">
        <f>'Grid_Stock'!K34</f>
        <v/>
      </c>
      <c r="N707">
        <f>'Grid_Stock'!L34</f>
        <v/>
      </c>
      <c r="O707">
        <f>'Grid_Stock'!M34</f>
        <v/>
      </c>
      <c r="P707">
        <f>'Grid_Stock'!N34</f>
        <v/>
      </c>
      <c r="Q707">
        <f>'Grid_Stock'!O34</f>
        <v/>
      </c>
      <c r="R707">
        <f>'Grid_Stock'!P34</f>
        <v/>
      </c>
      <c r="S707">
        <f>'Grid_Stock'!Q34</f>
        <v/>
      </c>
      <c r="T707">
        <f>'Grid_Stock'!R34</f>
        <v/>
      </c>
      <c r="U707">
        <f>'Grid_Stock'!S34</f>
        <v/>
      </c>
      <c r="V707">
        <f>'Grid_Stock'!T34</f>
        <v/>
      </c>
      <c r="W707">
        <f>'Grid_Stock'!U34</f>
        <v/>
      </c>
      <c r="X707">
        <f>'Grid_Stock'!V34</f>
        <v/>
      </c>
      <c r="Y707">
        <f>'Grid_Stock'!W34</f>
        <v/>
      </c>
      <c r="Z707">
        <f>'Grid_Stock'!X34</f>
        <v/>
      </c>
      <c r="AA707">
        <f>'Grid_Stock'!Y34</f>
        <v/>
      </c>
      <c r="AB707">
        <f>'Grid_Stock'!Z34</f>
        <v/>
      </c>
      <c r="AC707">
        <f>'Grid_Stock'!AA34</f>
        <v/>
      </c>
      <c r="AD707">
        <f>'Grid_Stock'!AB34</f>
        <v/>
      </c>
      <c r="AE707">
        <f>'Grid_Stock'!AC34</f>
        <v/>
      </c>
      <c r="AF707">
        <f>'Grid_Stock'!AD34</f>
        <v/>
      </c>
      <c r="AG707">
        <f>'Grid_Stock'!AE34</f>
        <v/>
      </c>
      <c r="AH707">
        <f>'Grid_Stock'!AF34</f>
        <v/>
      </c>
      <c r="AI707">
        <f>'Grid_Stock'!AG34</f>
        <v/>
      </c>
      <c r="AJ707">
        <f>'Grid_Stock'!AH34</f>
        <v/>
      </c>
      <c r="AK707">
        <f>'Grid_Stock'!AI34</f>
        <v/>
      </c>
      <c r="AL707">
        <f>'Grid_Stock'!AJ34</f>
        <v/>
      </c>
      <c r="AM707">
        <f>'Grid_Stock'!AK34</f>
        <v/>
      </c>
      <c r="AN707">
        <f>'Grid_Stock'!AL34</f>
        <v/>
      </c>
      <c r="AO707">
        <f>'Grid_Stock'!AM34</f>
        <v/>
      </c>
      <c r="AP707">
        <f>'Grid_Stock'!AN34</f>
        <v/>
      </c>
      <c r="AQ707">
        <f>'Grid_Stock'!AO34</f>
        <v/>
      </c>
      <c r="AR707">
        <f>'Grid_Stock'!AP34</f>
        <v/>
      </c>
      <c r="AS707">
        <f>'Grid_Stock'!AQ34</f>
        <v/>
      </c>
      <c r="AT707">
        <f>'Grid_Stock'!AR34</f>
        <v/>
      </c>
      <c r="AU707">
        <f>'Grid_Stock'!AS34</f>
        <v/>
      </c>
      <c r="AV707">
        <f>'Grid_Stock'!AT34</f>
        <v/>
      </c>
      <c r="AW707">
        <f>'Grid_Stock'!AU34</f>
        <v/>
      </c>
      <c r="AX707">
        <f>'Grid_Stock'!AV34</f>
        <v/>
      </c>
      <c r="AY707">
        <f>'Grid_Stock'!AW34</f>
        <v/>
      </c>
      <c r="AZ707">
        <f>'Grid_Stock'!AX34</f>
        <v/>
      </c>
      <c r="BA707">
        <f>'Grid_Stock'!AY34</f>
        <v/>
      </c>
      <c r="BB707">
        <f>'Grid_Stock'!AZ34</f>
        <v/>
      </c>
      <c r="BC707">
        <f>'Grid_Stock'!BA34</f>
        <v/>
      </c>
      <c r="BD707">
        <f>'Grid_Stock'!BB34</f>
        <v/>
      </c>
      <c r="BE707">
        <f>'Grid_Stock'!BC34</f>
        <v/>
      </c>
      <c r="BF707">
        <f>'Grid_Stock'!BD34</f>
        <v/>
      </c>
      <c r="BG707">
        <f>'Grid_Stock'!BE34</f>
        <v/>
      </c>
      <c r="BH707">
        <f>'Grid_Stock'!BF34</f>
        <v/>
      </c>
      <c r="BI707">
        <f>'Grid_Stock'!BG34</f>
        <v/>
      </c>
      <c r="BJ707">
        <f>'Grid_Stock'!BH34</f>
        <v/>
      </c>
      <c r="BK707">
        <f>'Grid_Stock'!BI34</f>
        <v/>
      </c>
      <c r="BL707">
        <f>'Grid_Stock'!BJ34</f>
        <v/>
      </c>
      <c r="BM707">
        <f>'Grid_Stock'!BK34</f>
        <v/>
      </c>
      <c r="BN707">
        <f>'Grid_Stock'!BL34</f>
        <v/>
      </c>
      <c r="BO707">
        <f>'Grid_Stock'!BM34</f>
        <v/>
      </c>
      <c r="BP707">
        <f>'Grid_Stock'!BN34</f>
        <v/>
      </c>
      <c r="BQ707">
        <f>'Grid_Stock'!BO34</f>
        <v/>
      </c>
      <c r="BR707">
        <f>'Grid_Stock'!BP34</f>
        <v/>
      </c>
      <c r="BS707">
        <f>'Grid_Stock'!BQ34</f>
        <v/>
      </c>
      <c r="BT707">
        <f>'Grid_Stock'!BR34</f>
        <v/>
      </c>
      <c r="BU707">
        <f>'Grid_Stock'!BS34</f>
        <v/>
      </c>
      <c r="BV707">
        <f>'Grid_Stock'!BT34</f>
        <v/>
      </c>
      <c r="BW707">
        <f>'Grid_Stock'!BU34</f>
        <v/>
      </c>
      <c r="BX707">
        <f>'Grid_Stock'!BV34</f>
        <v/>
      </c>
      <c r="BY707">
        <f>'Grid_Stock'!BW34</f>
        <v/>
      </c>
      <c r="BZ707">
        <f>'Grid_Stock'!BX34</f>
        <v/>
      </c>
      <c r="CA707">
        <f>'Grid_Stock'!BY34</f>
        <v/>
      </c>
      <c r="CB707">
        <f>'Grid_Stock'!BZ34</f>
        <v/>
      </c>
      <c r="CC707">
        <f>'Grid_Stock'!CA34</f>
        <v/>
      </c>
      <c r="CD707">
        <f>'Grid_Stock'!CB34</f>
        <v/>
      </c>
      <c r="CE707">
        <f>'Grid_Stock'!CC34</f>
        <v/>
      </c>
      <c r="CF707">
        <f>'Grid_Stock'!CD34</f>
        <v/>
      </c>
      <c r="CG707">
        <f>'Grid_Stock'!CE34</f>
        <v/>
      </c>
      <c r="CH707">
        <f>'Grid_Stock'!CF34</f>
        <v/>
      </c>
      <c r="CI707">
        <f>'Grid_Stock'!CG34</f>
        <v/>
      </c>
      <c r="CJ707">
        <f>'Grid_Stock'!CH34</f>
        <v/>
      </c>
      <c r="CK707">
        <f>'Grid_Stock'!CI34</f>
        <v/>
      </c>
      <c r="CL707">
        <f>'Grid_Stock'!CJ34</f>
        <v/>
      </c>
      <c r="CM707">
        <f>'Grid_Stock'!CK34</f>
        <v/>
      </c>
      <c r="CN707">
        <f>'Grid_Stock'!CL34</f>
        <v/>
      </c>
      <c r="CO707">
        <f>'Grid_Stock'!CM34</f>
        <v/>
      </c>
      <c r="CP707">
        <f>'Grid_Stock'!CN34</f>
        <v/>
      </c>
      <c r="CQ707">
        <f>'Grid_Stock'!CO34</f>
        <v/>
      </c>
      <c r="CR707">
        <f>'Grid_Stock'!CP34</f>
        <v/>
      </c>
      <c r="CS707">
        <f>'Grid_Stock'!CQ34</f>
        <v/>
      </c>
      <c r="CT707">
        <f>'Grid_Stock'!CR34</f>
        <v/>
      </c>
      <c r="CU707">
        <f>'Grid_Stock'!CS34</f>
        <v/>
      </c>
      <c r="CV707">
        <f>'Grid_Stock'!CT34</f>
        <v/>
      </c>
      <c r="CW707">
        <f>'Grid_Stock'!CU34</f>
        <v/>
      </c>
      <c r="CX707">
        <f>'Grid_Stock'!CV34</f>
        <v/>
      </c>
      <c r="CY707">
        <f>'Grid_Stock'!CW34</f>
        <v/>
      </c>
      <c r="CZ707">
        <f>'Grid_Stock'!CX34</f>
        <v/>
      </c>
      <c r="DA707">
        <f>'Grid_Stock'!CY34</f>
        <v/>
      </c>
      <c r="DB707">
        <f>'Grid_Stock'!CZ34</f>
        <v/>
      </c>
      <c r="DC707">
        <f>'Grid_Stock'!DA34</f>
        <v/>
      </c>
    </row>
    <row r="708">
      <c r="B708" s="16" t="inlineStr">
        <is>
          <t>（発注の目安はDashboardの基準在庫[下限/上限]と色分けを参照）</t>
        </is>
      </c>
    </row>
    <row r="710">
      <c r="A710" s="14" t="inlineStr">
        <is>
          <t>CHEM-1530</t>
        </is>
      </c>
      <c r="B710" s="14" t="inlineStr">
        <is>
          <t>JCK-97</t>
        </is>
      </c>
      <c r="C710" s="15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  <c r="AO710" s="14" t="n"/>
      <c r="AP710" s="14" t="n"/>
      <c r="AQ710" s="14" t="n"/>
      <c r="AR710" s="14" t="n"/>
      <c r="AS710" s="14" t="n"/>
      <c r="AT710" s="14" t="n"/>
      <c r="AU710" s="14" t="n"/>
      <c r="AV710" s="14" t="n"/>
      <c r="AW710" s="14" t="n"/>
      <c r="AX710" s="14" t="n"/>
      <c r="AY710" s="14" t="n"/>
      <c r="AZ710" s="14" t="n"/>
      <c r="BA710" s="14" t="n"/>
      <c r="BB710" s="14" t="n"/>
      <c r="BC710" s="14" t="n"/>
      <c r="BD710" s="14" t="n"/>
      <c r="BE710" s="14" t="n"/>
      <c r="BF710" s="14" t="n"/>
      <c r="BG710" s="14" t="n"/>
      <c r="BH710" s="14" t="n"/>
      <c r="BI710" s="14" t="n"/>
      <c r="BJ710" s="14" t="n"/>
      <c r="BK710" s="14" t="n"/>
      <c r="BL710" s="14" t="n"/>
      <c r="BM710" s="14" t="n"/>
      <c r="BN710" s="14" t="n"/>
      <c r="BO710" s="14" t="n"/>
      <c r="BP710" s="14" t="n"/>
      <c r="BQ710" s="14" t="n"/>
      <c r="BR710" s="14" t="n"/>
      <c r="BS710" s="14" t="n"/>
      <c r="BT710" s="14" t="n"/>
      <c r="BU710" s="14" t="n"/>
      <c r="BV710" s="14" t="n"/>
      <c r="BW710" s="14" t="n"/>
      <c r="BX710" s="14" t="n"/>
      <c r="BY710" s="14" t="n"/>
      <c r="BZ710" s="14" t="n"/>
      <c r="CA710" s="14" t="n"/>
      <c r="CB710" s="14" t="n"/>
      <c r="CC710" s="14" t="n"/>
      <c r="CD710" s="14" t="n"/>
      <c r="CE710" s="14" t="n"/>
      <c r="CF710" s="14" t="n"/>
      <c r="CG710" s="14" t="n"/>
      <c r="CH710" s="14" t="n"/>
      <c r="CI710" s="14" t="n"/>
      <c r="CJ710" s="14" t="n"/>
      <c r="CK710" s="14" t="n"/>
      <c r="CL710" s="14" t="n"/>
      <c r="CM710" s="14" t="n"/>
      <c r="CN710" s="14" t="n"/>
      <c r="CO710" s="14" t="n"/>
      <c r="CP710" s="14" t="n"/>
      <c r="CQ710" s="14" t="n"/>
      <c r="CR710" s="14" t="n"/>
      <c r="CS710" s="14" t="n"/>
      <c r="CT710" s="14" t="n"/>
      <c r="CU710" s="14" t="n"/>
      <c r="CV710" s="14" t="n"/>
      <c r="CW710" s="14" t="n"/>
      <c r="CX710" s="14" t="n"/>
      <c r="CY710" s="14" t="n"/>
      <c r="CZ710" s="14" t="n"/>
      <c r="DA710" s="14" t="n"/>
      <c r="DB710" s="14" t="n"/>
      <c r="DC710" s="14" t="n"/>
    </row>
    <row r="711">
      <c r="B711" t="inlineStr">
        <is>
          <t>TSP-402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SUMIFS(M_BOM[RM_Qty_Per_Batch],M_BOM[Intermediate],$B711,M_BOM[Part Name],$A710)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TSP-403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SUMIFS(M_BOM[RM_Qty_Per_Batch],M_BOM[Intermediate],$B713,M_BOM[Part Name],$A710)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TSP-404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SUMIFS(M_BOM[RM_Qty_Per_Batch],M_BOM[Intermediate],$B715,M_BOM[Part Name],$A710)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TSP-405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SUMIFS(M_BOM[RM_Qty_Per_Batch],M_BOM[Intermediate],$B717,M_BOM[Part Name],$A710)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TSP-655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SUMIFS(M_BOM[RM_Qty_Per_Batch],M_BOM[Intermediate],$B719,M_BOM[Part Name],$A710)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TSP-903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SUMIFS(M_BOM[RM_Qty_Per_Batch],M_BOM[Intermediate],$B721,M_BOM[Part Name],$A710)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TSP-959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SUMIFS(M_BOM[RM_Qty_Per_Batch],M_BOM[Intermediate],$B723,M_BOM[Part Name],$A710)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VSP-567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SUMIFS(M_BOM[RM_Qty_Per_Batch],M_BOM[Intermediate],$B725,M_BOM[Part Name],$A710)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VSP-602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SUMIFS(M_BOM[RM_Qty_Per_Batch],M_BOM[Intermediate],$B727,M_BOM[Part Name],$A710)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VSP-605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SUMIFS(M_BOM[RM_Qty_Per_Batch],M_BOM[Intermediate],$B729,M_BOM[Part Name],$A710)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VSP-607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SUMIFS(M_BOM[RM_Qty_Per_Batch],M_BOM[Intermediate],$B731,M_BOM[Part Name],$A710)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VSP-740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SUMIFS(M_BOM[RM_Qty_Per_Batch],M_BOM[Intermediate],$B733,M_BOM[Part Name],$A710)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VSP-746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SUMIFS(M_BOM[RM_Qty_Per_Batch],M_BOM[Intermediate],$B735,M_BOM[Part Name],$A710)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VSP-822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SUMIFS(M_BOM[RM_Qty_Per_Batch],M_BOM[Intermediate],$B737,M_BOM[Part Name],$A710)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t="inlineStr">
        <is>
          <t>VSP-870</t>
        </is>
      </c>
      <c r="C739" t="inlineStr">
        <is>
          <t>No. of batches</t>
        </is>
      </c>
      <c r="D739">
        <f>IFERROR(INDEX(PP_Grid[#Data],$DD739,2),0)</f>
        <v/>
      </c>
      <c r="E739">
        <f>IFERROR(INDEX(PP_Grid[#Data],$DD739,3),0)</f>
        <v/>
      </c>
      <c r="F739">
        <f>IFERROR(INDEX(PP_Grid[#Data],$DD739,4),0)</f>
        <v/>
      </c>
      <c r="G739">
        <f>IFERROR(INDEX(PP_Grid[#Data],$DD739,5),0)</f>
        <v/>
      </c>
      <c r="H739">
        <f>IFERROR(INDEX(PP_Grid[#Data],$DD739,6),0)</f>
        <v/>
      </c>
      <c r="I739">
        <f>IFERROR(INDEX(PP_Grid[#Data],$DD739,7),0)</f>
        <v/>
      </c>
      <c r="J739">
        <f>IFERROR(INDEX(PP_Grid[#Data],$DD739,8),0)</f>
        <v/>
      </c>
      <c r="K739">
        <f>IFERROR(INDEX(PP_Grid[#Data],$DD739,9),0)</f>
        <v/>
      </c>
      <c r="L739">
        <f>IFERROR(INDEX(PP_Grid[#Data],$DD739,10),0)</f>
        <v/>
      </c>
      <c r="M739">
        <f>IFERROR(INDEX(PP_Grid[#Data],$DD739,11),0)</f>
        <v/>
      </c>
      <c r="N739">
        <f>IFERROR(INDEX(PP_Grid[#Data],$DD739,12),0)</f>
        <v/>
      </c>
      <c r="O739">
        <f>IFERROR(INDEX(PP_Grid[#Data],$DD739,13),0)</f>
        <v/>
      </c>
      <c r="P739">
        <f>IFERROR(INDEX(PP_Grid[#Data],$DD739,14),0)</f>
        <v/>
      </c>
      <c r="Q739">
        <f>IFERROR(INDEX(PP_Grid[#Data],$DD739,15),0)</f>
        <v/>
      </c>
      <c r="R739">
        <f>IFERROR(INDEX(PP_Grid[#Data],$DD739,16),0)</f>
        <v/>
      </c>
      <c r="S739">
        <f>IFERROR(INDEX(PP_Grid[#Data],$DD739,17),0)</f>
        <v/>
      </c>
      <c r="T739">
        <f>IFERROR(INDEX(PP_Grid[#Data],$DD739,18),0)</f>
        <v/>
      </c>
      <c r="U739">
        <f>IFERROR(INDEX(PP_Grid[#Data],$DD739,19),0)</f>
        <v/>
      </c>
      <c r="V739">
        <f>IFERROR(INDEX(PP_Grid[#Data],$DD739,20),0)</f>
        <v/>
      </c>
      <c r="W739">
        <f>IFERROR(INDEX(PP_Grid[#Data],$DD739,21),0)</f>
        <v/>
      </c>
      <c r="X739">
        <f>IFERROR(INDEX(PP_Grid[#Data],$DD739,22),0)</f>
        <v/>
      </c>
      <c r="Y739">
        <f>IFERROR(INDEX(PP_Grid[#Data],$DD739,23),0)</f>
        <v/>
      </c>
      <c r="Z739">
        <f>IFERROR(INDEX(PP_Grid[#Data],$DD739,24),0)</f>
        <v/>
      </c>
      <c r="AA739">
        <f>IFERROR(INDEX(PP_Grid[#Data],$DD739,25),0)</f>
        <v/>
      </c>
      <c r="AB739">
        <f>IFERROR(INDEX(PP_Grid[#Data],$DD739,26),0)</f>
        <v/>
      </c>
      <c r="AC739">
        <f>IFERROR(INDEX(PP_Grid[#Data],$DD739,27),0)</f>
        <v/>
      </c>
      <c r="AD739">
        <f>IFERROR(INDEX(PP_Grid[#Data],$DD739,28),0)</f>
        <v/>
      </c>
      <c r="AE739">
        <f>IFERROR(INDEX(PP_Grid[#Data],$DD739,29),0)</f>
        <v/>
      </c>
      <c r="AF739">
        <f>IFERROR(INDEX(PP_Grid[#Data],$DD739,30),0)</f>
        <v/>
      </c>
      <c r="AG739">
        <f>IFERROR(INDEX(PP_Grid[#Data],$DD739,31),0)</f>
        <v/>
      </c>
      <c r="AH739">
        <f>IFERROR(INDEX(PP_Grid[#Data],$DD739,32),0)</f>
        <v/>
      </c>
      <c r="AI739">
        <f>IFERROR(INDEX(PP_Grid[#Data],$DD739,33),0)</f>
        <v/>
      </c>
      <c r="AJ739">
        <f>IFERROR(INDEX(PP_Grid[#Data],$DD739,34),0)</f>
        <v/>
      </c>
      <c r="AK739">
        <f>IFERROR(INDEX(PP_Grid[#Data],$DD739,35),0)</f>
        <v/>
      </c>
      <c r="AL739">
        <f>IFERROR(INDEX(PP_Grid[#Data],$DD739,36),0)</f>
        <v/>
      </c>
      <c r="AM739">
        <f>IFERROR(INDEX(PP_Grid[#Data],$DD739,37),0)</f>
        <v/>
      </c>
      <c r="AN739">
        <f>IFERROR(INDEX(PP_Grid[#Data],$DD739,38),0)</f>
        <v/>
      </c>
      <c r="AO739">
        <f>IFERROR(INDEX(PP_Grid[#Data],$DD739,39),0)</f>
        <v/>
      </c>
      <c r="AP739">
        <f>IFERROR(INDEX(PP_Grid[#Data],$DD739,40),0)</f>
        <v/>
      </c>
      <c r="AQ739">
        <f>IFERROR(INDEX(PP_Grid[#Data],$DD739,41),0)</f>
        <v/>
      </c>
      <c r="AR739">
        <f>IFERROR(INDEX(PP_Grid[#Data],$DD739,42),0)</f>
        <v/>
      </c>
      <c r="AS739">
        <f>IFERROR(INDEX(PP_Grid[#Data],$DD739,43),0)</f>
        <v/>
      </c>
      <c r="AT739">
        <f>IFERROR(INDEX(PP_Grid[#Data],$DD739,44),0)</f>
        <v/>
      </c>
      <c r="AU739">
        <f>IFERROR(INDEX(PP_Grid[#Data],$DD739,45),0)</f>
        <v/>
      </c>
      <c r="AV739">
        <f>IFERROR(INDEX(PP_Grid[#Data],$DD739,46),0)</f>
        <v/>
      </c>
      <c r="AW739">
        <f>IFERROR(INDEX(PP_Grid[#Data],$DD739,47),0)</f>
        <v/>
      </c>
      <c r="AX739">
        <f>IFERROR(INDEX(PP_Grid[#Data],$DD739,48),0)</f>
        <v/>
      </c>
      <c r="AY739">
        <f>IFERROR(INDEX(PP_Grid[#Data],$DD739,49),0)</f>
        <v/>
      </c>
      <c r="AZ739">
        <f>IFERROR(INDEX(PP_Grid[#Data],$DD739,50),0)</f>
        <v/>
      </c>
      <c r="BA739">
        <f>IFERROR(INDEX(PP_Grid[#Data],$DD739,51),0)</f>
        <v/>
      </c>
      <c r="BB739">
        <f>IFERROR(INDEX(PP_Grid[#Data],$DD739,52),0)</f>
        <v/>
      </c>
      <c r="BC739">
        <f>IFERROR(INDEX(PP_Grid[#Data],$DD739,53),0)</f>
        <v/>
      </c>
      <c r="BD739">
        <f>IFERROR(INDEX(PP_Grid[#Data],$DD739,54),0)</f>
        <v/>
      </c>
      <c r="BE739">
        <f>IFERROR(INDEX(PP_Grid[#Data],$DD739,55),0)</f>
        <v/>
      </c>
      <c r="BF739">
        <f>IFERROR(INDEX(PP_Grid[#Data],$DD739,56),0)</f>
        <v/>
      </c>
      <c r="BG739">
        <f>IFERROR(INDEX(PP_Grid[#Data],$DD739,57),0)</f>
        <v/>
      </c>
      <c r="BH739">
        <f>IFERROR(INDEX(PP_Grid[#Data],$DD739,58),0)</f>
        <v/>
      </c>
      <c r="BI739">
        <f>IFERROR(INDEX(PP_Grid[#Data],$DD739,59),0)</f>
        <v/>
      </c>
      <c r="BJ739">
        <f>IFERROR(INDEX(PP_Grid[#Data],$DD739,60),0)</f>
        <v/>
      </c>
      <c r="BK739">
        <f>IFERROR(INDEX(PP_Grid[#Data],$DD739,61),0)</f>
        <v/>
      </c>
      <c r="BL739">
        <f>IFERROR(INDEX(PP_Grid[#Data],$DD739,62),0)</f>
        <v/>
      </c>
      <c r="BM739">
        <f>IFERROR(INDEX(PP_Grid[#Data],$DD739,63),0)</f>
        <v/>
      </c>
      <c r="BN739">
        <f>IFERROR(INDEX(PP_Grid[#Data],$DD739,64),0)</f>
        <v/>
      </c>
      <c r="BO739">
        <f>IFERROR(INDEX(PP_Grid[#Data],$DD739,65),0)</f>
        <v/>
      </c>
      <c r="BP739">
        <f>IFERROR(INDEX(PP_Grid[#Data],$DD739,66),0)</f>
        <v/>
      </c>
      <c r="BQ739">
        <f>IFERROR(INDEX(PP_Grid[#Data],$DD739,67),0)</f>
        <v/>
      </c>
      <c r="BR739">
        <f>IFERROR(INDEX(PP_Grid[#Data],$DD739,68),0)</f>
        <v/>
      </c>
      <c r="BS739">
        <f>IFERROR(INDEX(PP_Grid[#Data],$DD739,69),0)</f>
        <v/>
      </c>
      <c r="BT739">
        <f>IFERROR(INDEX(PP_Grid[#Data],$DD739,70),0)</f>
        <v/>
      </c>
      <c r="BU739">
        <f>IFERROR(INDEX(PP_Grid[#Data],$DD739,71),0)</f>
        <v/>
      </c>
      <c r="BV739">
        <f>IFERROR(INDEX(PP_Grid[#Data],$DD739,72),0)</f>
        <v/>
      </c>
      <c r="BW739">
        <f>IFERROR(INDEX(PP_Grid[#Data],$DD739,73),0)</f>
        <v/>
      </c>
      <c r="BX739">
        <f>IFERROR(INDEX(PP_Grid[#Data],$DD739,74),0)</f>
        <v/>
      </c>
      <c r="BY739">
        <f>IFERROR(INDEX(PP_Grid[#Data],$DD739,75),0)</f>
        <v/>
      </c>
      <c r="BZ739">
        <f>IFERROR(INDEX(PP_Grid[#Data],$DD739,76),0)</f>
        <v/>
      </c>
      <c r="CA739">
        <f>IFERROR(INDEX(PP_Grid[#Data],$DD739,77),0)</f>
        <v/>
      </c>
      <c r="CB739">
        <f>IFERROR(INDEX(PP_Grid[#Data],$DD739,78),0)</f>
        <v/>
      </c>
      <c r="CC739">
        <f>IFERROR(INDEX(PP_Grid[#Data],$DD739,79),0)</f>
        <v/>
      </c>
      <c r="CD739">
        <f>IFERROR(INDEX(PP_Grid[#Data],$DD739,80),0)</f>
        <v/>
      </c>
      <c r="CE739">
        <f>IFERROR(INDEX(PP_Grid[#Data],$DD739,81),0)</f>
        <v/>
      </c>
      <c r="CF739">
        <f>IFERROR(INDEX(PP_Grid[#Data],$DD739,82),0)</f>
        <v/>
      </c>
      <c r="CG739">
        <f>IFERROR(INDEX(PP_Grid[#Data],$DD739,83),0)</f>
        <v/>
      </c>
      <c r="CH739">
        <f>IFERROR(INDEX(PP_Grid[#Data],$DD739,84),0)</f>
        <v/>
      </c>
      <c r="CI739">
        <f>IFERROR(INDEX(PP_Grid[#Data],$DD739,85),0)</f>
        <v/>
      </c>
      <c r="CJ739">
        <f>IFERROR(INDEX(PP_Grid[#Data],$DD739,86),0)</f>
        <v/>
      </c>
      <c r="CK739">
        <f>IFERROR(INDEX(PP_Grid[#Data],$DD739,87),0)</f>
        <v/>
      </c>
      <c r="CL739">
        <f>IFERROR(INDEX(PP_Grid[#Data],$DD739,88),0)</f>
        <v/>
      </c>
      <c r="CM739">
        <f>IFERROR(INDEX(PP_Grid[#Data],$DD739,89),0)</f>
        <v/>
      </c>
      <c r="CN739">
        <f>IFERROR(INDEX(PP_Grid[#Data],$DD739,90),0)</f>
        <v/>
      </c>
      <c r="CO739">
        <f>IFERROR(INDEX(PP_Grid[#Data],$DD739,91),0)</f>
        <v/>
      </c>
      <c r="CP739">
        <f>IFERROR(INDEX(PP_Grid[#Data],$DD739,92),0)</f>
        <v/>
      </c>
      <c r="CQ739">
        <f>IFERROR(INDEX(PP_Grid[#Data],$DD739,93),0)</f>
        <v/>
      </c>
      <c r="CR739">
        <f>IFERROR(INDEX(PP_Grid[#Data],$DD739,94),0)</f>
        <v/>
      </c>
      <c r="CS739">
        <f>IFERROR(INDEX(PP_Grid[#Data],$DD739,95),0)</f>
        <v/>
      </c>
      <c r="CT739">
        <f>IFERROR(INDEX(PP_Grid[#Data],$DD739,96),0)</f>
        <v/>
      </c>
      <c r="CU739">
        <f>IFERROR(INDEX(PP_Grid[#Data],$DD739,97),0)</f>
        <v/>
      </c>
      <c r="CV739">
        <f>IFERROR(INDEX(PP_Grid[#Data],$DD739,98),0)</f>
        <v/>
      </c>
      <c r="CW739">
        <f>IFERROR(INDEX(PP_Grid[#Data],$DD739,99),0)</f>
        <v/>
      </c>
      <c r="CX739">
        <f>IFERROR(INDEX(PP_Grid[#Data],$DD739,100),0)</f>
        <v/>
      </c>
      <c r="CY739">
        <f>IFERROR(INDEX(PP_Grid[#Data],$DD739,101),0)</f>
        <v/>
      </c>
      <c r="CZ739">
        <f>IFERROR(INDEX(PP_Grid[#Data],$DD739,102),0)</f>
        <v/>
      </c>
      <c r="DA739">
        <f>IFERROR(INDEX(PP_Grid[#Data],$DD739,103),0)</f>
        <v/>
      </c>
      <c r="DB739">
        <f>IFERROR(INDEX(PP_Grid[#Data],$DD739,104),0)</f>
        <v/>
      </c>
      <c r="DC739">
        <f>IFERROR(INDEX(PP_Grid[#Data],$DD739,105),0)</f>
        <v/>
      </c>
      <c r="DD739" s="7">
        <f>IFERROR(MATCH($B739,PP_Grid[Intermediate],0),99999)</f>
        <v/>
      </c>
    </row>
    <row r="740">
      <c r="B740" t="inlineStr">
        <is>
          <t>使用量(kg)</t>
        </is>
      </c>
      <c r="C740">
        <f>SUMIFS(M_BOM[RM_Qty_Per_Batch],M_BOM[Intermediate],$B739,M_BOM[Part Name],$A710)</f>
        <v/>
      </c>
      <c r="D740">
        <f>$C740*D739</f>
        <v/>
      </c>
      <c r="E740">
        <f>$C740*E739</f>
        <v/>
      </c>
      <c r="F740">
        <f>$C740*F739</f>
        <v/>
      </c>
      <c r="G740">
        <f>$C740*G739</f>
        <v/>
      </c>
      <c r="H740">
        <f>$C740*H739</f>
        <v/>
      </c>
      <c r="I740">
        <f>$C740*I739</f>
        <v/>
      </c>
      <c r="J740">
        <f>$C740*J739</f>
        <v/>
      </c>
      <c r="K740">
        <f>$C740*K739</f>
        <v/>
      </c>
      <c r="L740">
        <f>$C740*L739</f>
        <v/>
      </c>
      <c r="M740">
        <f>$C740*M739</f>
        <v/>
      </c>
      <c r="N740">
        <f>$C740*N739</f>
        <v/>
      </c>
      <c r="O740">
        <f>$C740*O739</f>
        <v/>
      </c>
      <c r="P740">
        <f>$C740*P739</f>
        <v/>
      </c>
      <c r="Q740">
        <f>$C740*Q739</f>
        <v/>
      </c>
      <c r="R740">
        <f>$C740*R739</f>
        <v/>
      </c>
      <c r="S740">
        <f>$C740*S739</f>
        <v/>
      </c>
      <c r="T740">
        <f>$C740*T739</f>
        <v/>
      </c>
      <c r="U740">
        <f>$C740*U739</f>
        <v/>
      </c>
      <c r="V740">
        <f>$C740*V739</f>
        <v/>
      </c>
      <c r="W740">
        <f>$C740*W739</f>
        <v/>
      </c>
      <c r="X740">
        <f>$C740*X739</f>
        <v/>
      </c>
      <c r="Y740">
        <f>$C740*Y739</f>
        <v/>
      </c>
      <c r="Z740">
        <f>$C740*Z739</f>
        <v/>
      </c>
      <c r="AA740">
        <f>$C740*AA739</f>
        <v/>
      </c>
      <c r="AB740">
        <f>$C740*AB739</f>
        <v/>
      </c>
      <c r="AC740">
        <f>$C740*AC739</f>
        <v/>
      </c>
      <c r="AD740">
        <f>$C740*AD739</f>
        <v/>
      </c>
      <c r="AE740">
        <f>$C740*AE739</f>
        <v/>
      </c>
      <c r="AF740">
        <f>$C740*AF739</f>
        <v/>
      </c>
      <c r="AG740">
        <f>$C740*AG739</f>
        <v/>
      </c>
      <c r="AH740">
        <f>$C740*AH739</f>
        <v/>
      </c>
      <c r="AI740">
        <f>$C740*AI739</f>
        <v/>
      </c>
      <c r="AJ740">
        <f>$C740*AJ739</f>
        <v/>
      </c>
      <c r="AK740">
        <f>$C740*AK739</f>
        <v/>
      </c>
      <c r="AL740">
        <f>$C740*AL739</f>
        <v/>
      </c>
      <c r="AM740">
        <f>$C740*AM739</f>
        <v/>
      </c>
      <c r="AN740">
        <f>$C740*AN739</f>
        <v/>
      </c>
      <c r="AO740">
        <f>$C740*AO739</f>
        <v/>
      </c>
      <c r="AP740">
        <f>$C740*AP739</f>
        <v/>
      </c>
      <c r="AQ740">
        <f>$C740*AQ739</f>
        <v/>
      </c>
      <c r="AR740">
        <f>$C740*AR739</f>
        <v/>
      </c>
      <c r="AS740">
        <f>$C740*AS739</f>
        <v/>
      </c>
      <c r="AT740">
        <f>$C740*AT739</f>
        <v/>
      </c>
      <c r="AU740">
        <f>$C740*AU739</f>
        <v/>
      </c>
      <c r="AV740">
        <f>$C740*AV739</f>
        <v/>
      </c>
      <c r="AW740">
        <f>$C740*AW739</f>
        <v/>
      </c>
      <c r="AX740">
        <f>$C740*AX739</f>
        <v/>
      </c>
      <c r="AY740">
        <f>$C740*AY739</f>
        <v/>
      </c>
      <c r="AZ740">
        <f>$C740*AZ739</f>
        <v/>
      </c>
      <c r="BA740">
        <f>$C740*BA739</f>
        <v/>
      </c>
      <c r="BB740">
        <f>$C740*BB739</f>
        <v/>
      </c>
      <c r="BC740">
        <f>$C740*BC739</f>
        <v/>
      </c>
      <c r="BD740">
        <f>$C740*BD739</f>
        <v/>
      </c>
      <c r="BE740">
        <f>$C740*BE739</f>
        <v/>
      </c>
      <c r="BF740">
        <f>$C740*BF739</f>
        <v/>
      </c>
      <c r="BG740">
        <f>$C740*BG739</f>
        <v/>
      </c>
      <c r="BH740">
        <f>$C740*BH739</f>
        <v/>
      </c>
      <c r="BI740">
        <f>$C740*BI739</f>
        <v/>
      </c>
      <c r="BJ740">
        <f>$C740*BJ739</f>
        <v/>
      </c>
      <c r="BK740">
        <f>$C740*BK739</f>
        <v/>
      </c>
      <c r="BL740">
        <f>$C740*BL739</f>
        <v/>
      </c>
      <c r="BM740">
        <f>$C740*BM739</f>
        <v/>
      </c>
      <c r="BN740">
        <f>$C740*BN739</f>
        <v/>
      </c>
      <c r="BO740">
        <f>$C740*BO739</f>
        <v/>
      </c>
      <c r="BP740">
        <f>$C740*BP739</f>
        <v/>
      </c>
      <c r="BQ740">
        <f>$C740*BQ739</f>
        <v/>
      </c>
      <c r="BR740">
        <f>$C740*BR739</f>
        <v/>
      </c>
      <c r="BS740">
        <f>$C740*BS739</f>
        <v/>
      </c>
      <c r="BT740">
        <f>$C740*BT739</f>
        <v/>
      </c>
      <c r="BU740">
        <f>$C740*BU739</f>
        <v/>
      </c>
      <c r="BV740">
        <f>$C740*BV739</f>
        <v/>
      </c>
      <c r="BW740">
        <f>$C740*BW739</f>
        <v/>
      </c>
      <c r="BX740">
        <f>$C740*BX739</f>
        <v/>
      </c>
      <c r="BY740">
        <f>$C740*BY739</f>
        <v/>
      </c>
      <c r="BZ740">
        <f>$C740*BZ739</f>
        <v/>
      </c>
      <c r="CA740">
        <f>$C740*CA739</f>
        <v/>
      </c>
      <c r="CB740">
        <f>$C740*CB739</f>
        <v/>
      </c>
      <c r="CC740">
        <f>$C740*CC739</f>
        <v/>
      </c>
      <c r="CD740">
        <f>$C740*CD739</f>
        <v/>
      </c>
      <c r="CE740">
        <f>$C740*CE739</f>
        <v/>
      </c>
      <c r="CF740">
        <f>$C740*CF739</f>
        <v/>
      </c>
      <c r="CG740">
        <f>$C740*CG739</f>
        <v/>
      </c>
      <c r="CH740">
        <f>$C740*CH739</f>
        <v/>
      </c>
      <c r="CI740">
        <f>$C740*CI739</f>
        <v/>
      </c>
      <c r="CJ740">
        <f>$C740*CJ739</f>
        <v/>
      </c>
      <c r="CK740">
        <f>$C740*CK739</f>
        <v/>
      </c>
      <c r="CL740">
        <f>$C740*CL739</f>
        <v/>
      </c>
      <c r="CM740">
        <f>$C740*CM739</f>
        <v/>
      </c>
      <c r="CN740">
        <f>$C740*CN739</f>
        <v/>
      </c>
      <c r="CO740">
        <f>$C740*CO739</f>
        <v/>
      </c>
      <c r="CP740">
        <f>$C740*CP739</f>
        <v/>
      </c>
      <c r="CQ740">
        <f>$C740*CQ739</f>
        <v/>
      </c>
      <c r="CR740">
        <f>$C740*CR739</f>
        <v/>
      </c>
      <c r="CS740">
        <f>$C740*CS739</f>
        <v/>
      </c>
      <c r="CT740">
        <f>$C740*CT739</f>
        <v/>
      </c>
      <c r="CU740">
        <f>$C740*CU739</f>
        <v/>
      </c>
      <c r="CV740">
        <f>$C740*CV739</f>
        <v/>
      </c>
      <c r="CW740">
        <f>$C740*CW739</f>
        <v/>
      </c>
      <c r="CX740">
        <f>$C740*CX739</f>
        <v/>
      </c>
      <c r="CY740">
        <f>$C740*CY739</f>
        <v/>
      </c>
      <c r="CZ740">
        <f>$C740*CZ739</f>
        <v/>
      </c>
      <c r="DA740">
        <f>$C740*DA739</f>
        <v/>
      </c>
      <c r="DB740">
        <f>$C740*DB739</f>
        <v/>
      </c>
      <c r="DC740">
        <f>$C740*DC739</f>
        <v/>
      </c>
    </row>
    <row r="741">
      <c r="B741" t="inlineStr">
        <is>
          <t>VSP-910</t>
        </is>
      </c>
      <c r="C741" t="inlineStr">
        <is>
          <t>No. of batches</t>
        </is>
      </c>
      <c r="D741">
        <f>IFERROR(INDEX(PP_Grid[#Data],$DD741,2),0)</f>
        <v/>
      </c>
      <c r="E741">
        <f>IFERROR(INDEX(PP_Grid[#Data],$DD741,3),0)</f>
        <v/>
      </c>
      <c r="F741">
        <f>IFERROR(INDEX(PP_Grid[#Data],$DD741,4),0)</f>
        <v/>
      </c>
      <c r="G741">
        <f>IFERROR(INDEX(PP_Grid[#Data],$DD741,5),0)</f>
        <v/>
      </c>
      <c r="H741">
        <f>IFERROR(INDEX(PP_Grid[#Data],$DD741,6),0)</f>
        <v/>
      </c>
      <c r="I741">
        <f>IFERROR(INDEX(PP_Grid[#Data],$DD741,7),0)</f>
        <v/>
      </c>
      <c r="J741">
        <f>IFERROR(INDEX(PP_Grid[#Data],$DD741,8),0)</f>
        <v/>
      </c>
      <c r="K741">
        <f>IFERROR(INDEX(PP_Grid[#Data],$DD741,9),0)</f>
        <v/>
      </c>
      <c r="L741">
        <f>IFERROR(INDEX(PP_Grid[#Data],$DD741,10),0)</f>
        <v/>
      </c>
      <c r="M741">
        <f>IFERROR(INDEX(PP_Grid[#Data],$DD741,11),0)</f>
        <v/>
      </c>
      <c r="N741">
        <f>IFERROR(INDEX(PP_Grid[#Data],$DD741,12),0)</f>
        <v/>
      </c>
      <c r="O741">
        <f>IFERROR(INDEX(PP_Grid[#Data],$DD741,13),0)</f>
        <v/>
      </c>
      <c r="P741">
        <f>IFERROR(INDEX(PP_Grid[#Data],$DD741,14),0)</f>
        <v/>
      </c>
      <c r="Q741">
        <f>IFERROR(INDEX(PP_Grid[#Data],$DD741,15),0)</f>
        <v/>
      </c>
      <c r="R741">
        <f>IFERROR(INDEX(PP_Grid[#Data],$DD741,16),0)</f>
        <v/>
      </c>
      <c r="S741">
        <f>IFERROR(INDEX(PP_Grid[#Data],$DD741,17),0)</f>
        <v/>
      </c>
      <c r="T741">
        <f>IFERROR(INDEX(PP_Grid[#Data],$DD741,18),0)</f>
        <v/>
      </c>
      <c r="U741">
        <f>IFERROR(INDEX(PP_Grid[#Data],$DD741,19),0)</f>
        <v/>
      </c>
      <c r="V741">
        <f>IFERROR(INDEX(PP_Grid[#Data],$DD741,20),0)</f>
        <v/>
      </c>
      <c r="W741">
        <f>IFERROR(INDEX(PP_Grid[#Data],$DD741,21),0)</f>
        <v/>
      </c>
      <c r="X741">
        <f>IFERROR(INDEX(PP_Grid[#Data],$DD741,22),0)</f>
        <v/>
      </c>
      <c r="Y741">
        <f>IFERROR(INDEX(PP_Grid[#Data],$DD741,23),0)</f>
        <v/>
      </c>
      <c r="Z741">
        <f>IFERROR(INDEX(PP_Grid[#Data],$DD741,24),0)</f>
        <v/>
      </c>
      <c r="AA741">
        <f>IFERROR(INDEX(PP_Grid[#Data],$DD741,25),0)</f>
        <v/>
      </c>
      <c r="AB741">
        <f>IFERROR(INDEX(PP_Grid[#Data],$DD741,26),0)</f>
        <v/>
      </c>
      <c r="AC741">
        <f>IFERROR(INDEX(PP_Grid[#Data],$DD741,27),0)</f>
        <v/>
      </c>
      <c r="AD741">
        <f>IFERROR(INDEX(PP_Grid[#Data],$DD741,28),0)</f>
        <v/>
      </c>
      <c r="AE741">
        <f>IFERROR(INDEX(PP_Grid[#Data],$DD741,29),0)</f>
        <v/>
      </c>
      <c r="AF741">
        <f>IFERROR(INDEX(PP_Grid[#Data],$DD741,30),0)</f>
        <v/>
      </c>
      <c r="AG741">
        <f>IFERROR(INDEX(PP_Grid[#Data],$DD741,31),0)</f>
        <v/>
      </c>
      <c r="AH741">
        <f>IFERROR(INDEX(PP_Grid[#Data],$DD741,32),0)</f>
        <v/>
      </c>
      <c r="AI741">
        <f>IFERROR(INDEX(PP_Grid[#Data],$DD741,33),0)</f>
        <v/>
      </c>
      <c r="AJ741">
        <f>IFERROR(INDEX(PP_Grid[#Data],$DD741,34),0)</f>
        <v/>
      </c>
      <c r="AK741">
        <f>IFERROR(INDEX(PP_Grid[#Data],$DD741,35),0)</f>
        <v/>
      </c>
      <c r="AL741">
        <f>IFERROR(INDEX(PP_Grid[#Data],$DD741,36),0)</f>
        <v/>
      </c>
      <c r="AM741">
        <f>IFERROR(INDEX(PP_Grid[#Data],$DD741,37),0)</f>
        <v/>
      </c>
      <c r="AN741">
        <f>IFERROR(INDEX(PP_Grid[#Data],$DD741,38),0)</f>
        <v/>
      </c>
      <c r="AO741">
        <f>IFERROR(INDEX(PP_Grid[#Data],$DD741,39),0)</f>
        <v/>
      </c>
      <c r="AP741">
        <f>IFERROR(INDEX(PP_Grid[#Data],$DD741,40),0)</f>
        <v/>
      </c>
      <c r="AQ741">
        <f>IFERROR(INDEX(PP_Grid[#Data],$DD741,41),0)</f>
        <v/>
      </c>
      <c r="AR741">
        <f>IFERROR(INDEX(PP_Grid[#Data],$DD741,42),0)</f>
        <v/>
      </c>
      <c r="AS741">
        <f>IFERROR(INDEX(PP_Grid[#Data],$DD741,43),0)</f>
        <v/>
      </c>
      <c r="AT741">
        <f>IFERROR(INDEX(PP_Grid[#Data],$DD741,44),0)</f>
        <v/>
      </c>
      <c r="AU741">
        <f>IFERROR(INDEX(PP_Grid[#Data],$DD741,45),0)</f>
        <v/>
      </c>
      <c r="AV741">
        <f>IFERROR(INDEX(PP_Grid[#Data],$DD741,46),0)</f>
        <v/>
      </c>
      <c r="AW741">
        <f>IFERROR(INDEX(PP_Grid[#Data],$DD741,47),0)</f>
        <v/>
      </c>
      <c r="AX741">
        <f>IFERROR(INDEX(PP_Grid[#Data],$DD741,48),0)</f>
        <v/>
      </c>
      <c r="AY741">
        <f>IFERROR(INDEX(PP_Grid[#Data],$DD741,49),0)</f>
        <v/>
      </c>
      <c r="AZ741">
        <f>IFERROR(INDEX(PP_Grid[#Data],$DD741,50),0)</f>
        <v/>
      </c>
      <c r="BA741">
        <f>IFERROR(INDEX(PP_Grid[#Data],$DD741,51),0)</f>
        <v/>
      </c>
      <c r="BB741">
        <f>IFERROR(INDEX(PP_Grid[#Data],$DD741,52),0)</f>
        <v/>
      </c>
      <c r="BC741">
        <f>IFERROR(INDEX(PP_Grid[#Data],$DD741,53),0)</f>
        <v/>
      </c>
      <c r="BD741">
        <f>IFERROR(INDEX(PP_Grid[#Data],$DD741,54),0)</f>
        <v/>
      </c>
      <c r="BE741">
        <f>IFERROR(INDEX(PP_Grid[#Data],$DD741,55),0)</f>
        <v/>
      </c>
      <c r="BF741">
        <f>IFERROR(INDEX(PP_Grid[#Data],$DD741,56),0)</f>
        <v/>
      </c>
      <c r="BG741">
        <f>IFERROR(INDEX(PP_Grid[#Data],$DD741,57),0)</f>
        <v/>
      </c>
      <c r="BH741">
        <f>IFERROR(INDEX(PP_Grid[#Data],$DD741,58),0)</f>
        <v/>
      </c>
      <c r="BI741">
        <f>IFERROR(INDEX(PP_Grid[#Data],$DD741,59),0)</f>
        <v/>
      </c>
      <c r="BJ741">
        <f>IFERROR(INDEX(PP_Grid[#Data],$DD741,60),0)</f>
        <v/>
      </c>
      <c r="BK741">
        <f>IFERROR(INDEX(PP_Grid[#Data],$DD741,61),0)</f>
        <v/>
      </c>
      <c r="BL741">
        <f>IFERROR(INDEX(PP_Grid[#Data],$DD741,62),0)</f>
        <v/>
      </c>
      <c r="BM741">
        <f>IFERROR(INDEX(PP_Grid[#Data],$DD741,63),0)</f>
        <v/>
      </c>
      <c r="BN741">
        <f>IFERROR(INDEX(PP_Grid[#Data],$DD741,64),0)</f>
        <v/>
      </c>
      <c r="BO741">
        <f>IFERROR(INDEX(PP_Grid[#Data],$DD741,65),0)</f>
        <v/>
      </c>
      <c r="BP741">
        <f>IFERROR(INDEX(PP_Grid[#Data],$DD741,66),0)</f>
        <v/>
      </c>
      <c r="BQ741">
        <f>IFERROR(INDEX(PP_Grid[#Data],$DD741,67),0)</f>
        <v/>
      </c>
      <c r="BR741">
        <f>IFERROR(INDEX(PP_Grid[#Data],$DD741,68),0)</f>
        <v/>
      </c>
      <c r="BS741">
        <f>IFERROR(INDEX(PP_Grid[#Data],$DD741,69),0)</f>
        <v/>
      </c>
      <c r="BT741">
        <f>IFERROR(INDEX(PP_Grid[#Data],$DD741,70),0)</f>
        <v/>
      </c>
      <c r="BU741">
        <f>IFERROR(INDEX(PP_Grid[#Data],$DD741,71),0)</f>
        <v/>
      </c>
      <c r="BV741">
        <f>IFERROR(INDEX(PP_Grid[#Data],$DD741,72),0)</f>
        <v/>
      </c>
      <c r="BW741">
        <f>IFERROR(INDEX(PP_Grid[#Data],$DD741,73),0)</f>
        <v/>
      </c>
      <c r="BX741">
        <f>IFERROR(INDEX(PP_Grid[#Data],$DD741,74),0)</f>
        <v/>
      </c>
      <c r="BY741">
        <f>IFERROR(INDEX(PP_Grid[#Data],$DD741,75),0)</f>
        <v/>
      </c>
      <c r="BZ741">
        <f>IFERROR(INDEX(PP_Grid[#Data],$DD741,76),0)</f>
        <v/>
      </c>
      <c r="CA741">
        <f>IFERROR(INDEX(PP_Grid[#Data],$DD741,77),0)</f>
        <v/>
      </c>
      <c r="CB741">
        <f>IFERROR(INDEX(PP_Grid[#Data],$DD741,78),0)</f>
        <v/>
      </c>
      <c r="CC741">
        <f>IFERROR(INDEX(PP_Grid[#Data],$DD741,79),0)</f>
        <v/>
      </c>
      <c r="CD741">
        <f>IFERROR(INDEX(PP_Grid[#Data],$DD741,80),0)</f>
        <v/>
      </c>
      <c r="CE741">
        <f>IFERROR(INDEX(PP_Grid[#Data],$DD741,81),0)</f>
        <v/>
      </c>
      <c r="CF741">
        <f>IFERROR(INDEX(PP_Grid[#Data],$DD741,82),0)</f>
        <v/>
      </c>
      <c r="CG741">
        <f>IFERROR(INDEX(PP_Grid[#Data],$DD741,83),0)</f>
        <v/>
      </c>
      <c r="CH741">
        <f>IFERROR(INDEX(PP_Grid[#Data],$DD741,84),0)</f>
        <v/>
      </c>
      <c r="CI741">
        <f>IFERROR(INDEX(PP_Grid[#Data],$DD741,85),0)</f>
        <v/>
      </c>
      <c r="CJ741">
        <f>IFERROR(INDEX(PP_Grid[#Data],$DD741,86),0)</f>
        <v/>
      </c>
      <c r="CK741">
        <f>IFERROR(INDEX(PP_Grid[#Data],$DD741,87),0)</f>
        <v/>
      </c>
      <c r="CL741">
        <f>IFERROR(INDEX(PP_Grid[#Data],$DD741,88),0)</f>
        <v/>
      </c>
      <c r="CM741">
        <f>IFERROR(INDEX(PP_Grid[#Data],$DD741,89),0)</f>
        <v/>
      </c>
      <c r="CN741">
        <f>IFERROR(INDEX(PP_Grid[#Data],$DD741,90),0)</f>
        <v/>
      </c>
      <c r="CO741">
        <f>IFERROR(INDEX(PP_Grid[#Data],$DD741,91),0)</f>
        <v/>
      </c>
      <c r="CP741">
        <f>IFERROR(INDEX(PP_Grid[#Data],$DD741,92),0)</f>
        <v/>
      </c>
      <c r="CQ741">
        <f>IFERROR(INDEX(PP_Grid[#Data],$DD741,93),0)</f>
        <v/>
      </c>
      <c r="CR741">
        <f>IFERROR(INDEX(PP_Grid[#Data],$DD741,94),0)</f>
        <v/>
      </c>
      <c r="CS741">
        <f>IFERROR(INDEX(PP_Grid[#Data],$DD741,95),0)</f>
        <v/>
      </c>
      <c r="CT741">
        <f>IFERROR(INDEX(PP_Grid[#Data],$DD741,96),0)</f>
        <v/>
      </c>
      <c r="CU741">
        <f>IFERROR(INDEX(PP_Grid[#Data],$DD741,97),0)</f>
        <v/>
      </c>
      <c r="CV741">
        <f>IFERROR(INDEX(PP_Grid[#Data],$DD741,98),0)</f>
        <v/>
      </c>
      <c r="CW741">
        <f>IFERROR(INDEX(PP_Grid[#Data],$DD741,99),0)</f>
        <v/>
      </c>
      <c r="CX741">
        <f>IFERROR(INDEX(PP_Grid[#Data],$DD741,100),0)</f>
        <v/>
      </c>
      <c r="CY741">
        <f>IFERROR(INDEX(PP_Grid[#Data],$DD741,101),0)</f>
        <v/>
      </c>
      <c r="CZ741">
        <f>IFERROR(INDEX(PP_Grid[#Data],$DD741,102),0)</f>
        <v/>
      </c>
      <c r="DA741">
        <f>IFERROR(INDEX(PP_Grid[#Data],$DD741,103),0)</f>
        <v/>
      </c>
      <c r="DB741">
        <f>IFERROR(INDEX(PP_Grid[#Data],$DD741,104),0)</f>
        <v/>
      </c>
      <c r="DC741">
        <f>IFERROR(INDEX(PP_Grid[#Data],$DD741,105),0)</f>
        <v/>
      </c>
      <c r="DD741" s="7">
        <f>IFERROR(MATCH($B741,PP_Grid[Intermediate],0),99999)</f>
        <v/>
      </c>
    </row>
    <row r="742">
      <c r="B742" t="inlineStr">
        <is>
          <t>使用量(kg)</t>
        </is>
      </c>
      <c r="C742">
        <f>SUMIFS(M_BOM[RM_Qty_Per_Batch],M_BOM[Intermediate],$B741,M_BOM[Part Name],$A710)</f>
        <v/>
      </c>
      <c r="D742">
        <f>$C742*D741</f>
        <v/>
      </c>
      <c r="E742">
        <f>$C742*E741</f>
        <v/>
      </c>
      <c r="F742">
        <f>$C742*F741</f>
        <v/>
      </c>
      <c r="G742">
        <f>$C742*G741</f>
        <v/>
      </c>
      <c r="H742">
        <f>$C742*H741</f>
        <v/>
      </c>
      <c r="I742">
        <f>$C742*I741</f>
        <v/>
      </c>
      <c r="J742">
        <f>$C742*J741</f>
        <v/>
      </c>
      <c r="K742">
        <f>$C742*K741</f>
        <v/>
      </c>
      <c r="L742">
        <f>$C742*L741</f>
        <v/>
      </c>
      <c r="M742">
        <f>$C742*M741</f>
        <v/>
      </c>
      <c r="N742">
        <f>$C742*N741</f>
        <v/>
      </c>
      <c r="O742">
        <f>$C742*O741</f>
        <v/>
      </c>
      <c r="P742">
        <f>$C742*P741</f>
        <v/>
      </c>
      <c r="Q742">
        <f>$C742*Q741</f>
        <v/>
      </c>
      <c r="R742">
        <f>$C742*R741</f>
        <v/>
      </c>
      <c r="S742">
        <f>$C742*S741</f>
        <v/>
      </c>
      <c r="T742">
        <f>$C742*T741</f>
        <v/>
      </c>
      <c r="U742">
        <f>$C742*U741</f>
        <v/>
      </c>
      <c r="V742">
        <f>$C742*V741</f>
        <v/>
      </c>
      <c r="W742">
        <f>$C742*W741</f>
        <v/>
      </c>
      <c r="X742">
        <f>$C742*X741</f>
        <v/>
      </c>
      <c r="Y742">
        <f>$C742*Y741</f>
        <v/>
      </c>
      <c r="Z742">
        <f>$C742*Z741</f>
        <v/>
      </c>
      <c r="AA742">
        <f>$C742*AA741</f>
        <v/>
      </c>
      <c r="AB742">
        <f>$C742*AB741</f>
        <v/>
      </c>
      <c r="AC742">
        <f>$C742*AC741</f>
        <v/>
      </c>
      <c r="AD742">
        <f>$C742*AD741</f>
        <v/>
      </c>
      <c r="AE742">
        <f>$C742*AE741</f>
        <v/>
      </c>
      <c r="AF742">
        <f>$C742*AF741</f>
        <v/>
      </c>
      <c r="AG742">
        <f>$C742*AG741</f>
        <v/>
      </c>
      <c r="AH742">
        <f>$C742*AH741</f>
        <v/>
      </c>
      <c r="AI742">
        <f>$C742*AI741</f>
        <v/>
      </c>
      <c r="AJ742">
        <f>$C742*AJ741</f>
        <v/>
      </c>
      <c r="AK742">
        <f>$C742*AK741</f>
        <v/>
      </c>
      <c r="AL742">
        <f>$C742*AL741</f>
        <v/>
      </c>
      <c r="AM742">
        <f>$C742*AM741</f>
        <v/>
      </c>
      <c r="AN742">
        <f>$C742*AN741</f>
        <v/>
      </c>
      <c r="AO742">
        <f>$C742*AO741</f>
        <v/>
      </c>
      <c r="AP742">
        <f>$C742*AP741</f>
        <v/>
      </c>
      <c r="AQ742">
        <f>$C742*AQ741</f>
        <v/>
      </c>
      <c r="AR742">
        <f>$C742*AR741</f>
        <v/>
      </c>
      <c r="AS742">
        <f>$C742*AS741</f>
        <v/>
      </c>
      <c r="AT742">
        <f>$C742*AT741</f>
        <v/>
      </c>
      <c r="AU742">
        <f>$C742*AU741</f>
        <v/>
      </c>
      <c r="AV742">
        <f>$C742*AV741</f>
        <v/>
      </c>
      <c r="AW742">
        <f>$C742*AW741</f>
        <v/>
      </c>
      <c r="AX742">
        <f>$C742*AX741</f>
        <v/>
      </c>
      <c r="AY742">
        <f>$C742*AY741</f>
        <v/>
      </c>
      <c r="AZ742">
        <f>$C742*AZ741</f>
        <v/>
      </c>
      <c r="BA742">
        <f>$C742*BA741</f>
        <v/>
      </c>
      <c r="BB742">
        <f>$C742*BB741</f>
        <v/>
      </c>
      <c r="BC742">
        <f>$C742*BC741</f>
        <v/>
      </c>
      <c r="BD742">
        <f>$C742*BD741</f>
        <v/>
      </c>
      <c r="BE742">
        <f>$C742*BE741</f>
        <v/>
      </c>
      <c r="BF742">
        <f>$C742*BF741</f>
        <v/>
      </c>
      <c r="BG742">
        <f>$C742*BG741</f>
        <v/>
      </c>
      <c r="BH742">
        <f>$C742*BH741</f>
        <v/>
      </c>
      <c r="BI742">
        <f>$C742*BI741</f>
        <v/>
      </c>
      <c r="BJ742">
        <f>$C742*BJ741</f>
        <v/>
      </c>
      <c r="BK742">
        <f>$C742*BK741</f>
        <v/>
      </c>
      <c r="BL742">
        <f>$C742*BL741</f>
        <v/>
      </c>
      <c r="BM742">
        <f>$C742*BM741</f>
        <v/>
      </c>
      <c r="BN742">
        <f>$C742*BN741</f>
        <v/>
      </c>
      <c r="BO742">
        <f>$C742*BO741</f>
        <v/>
      </c>
      <c r="BP742">
        <f>$C742*BP741</f>
        <v/>
      </c>
      <c r="BQ742">
        <f>$C742*BQ741</f>
        <v/>
      </c>
      <c r="BR742">
        <f>$C742*BR741</f>
        <v/>
      </c>
      <c r="BS742">
        <f>$C742*BS741</f>
        <v/>
      </c>
      <c r="BT742">
        <f>$C742*BT741</f>
        <v/>
      </c>
      <c r="BU742">
        <f>$C742*BU741</f>
        <v/>
      </c>
      <c r="BV742">
        <f>$C742*BV741</f>
        <v/>
      </c>
      <c r="BW742">
        <f>$C742*BW741</f>
        <v/>
      </c>
      <c r="BX742">
        <f>$C742*BX741</f>
        <v/>
      </c>
      <c r="BY742">
        <f>$C742*BY741</f>
        <v/>
      </c>
      <c r="BZ742">
        <f>$C742*BZ741</f>
        <v/>
      </c>
      <c r="CA742">
        <f>$C742*CA741</f>
        <v/>
      </c>
      <c r="CB742">
        <f>$C742*CB741</f>
        <v/>
      </c>
      <c r="CC742">
        <f>$C742*CC741</f>
        <v/>
      </c>
      <c r="CD742">
        <f>$C742*CD741</f>
        <v/>
      </c>
      <c r="CE742">
        <f>$C742*CE741</f>
        <v/>
      </c>
      <c r="CF742">
        <f>$C742*CF741</f>
        <v/>
      </c>
      <c r="CG742">
        <f>$C742*CG741</f>
        <v/>
      </c>
      <c r="CH742">
        <f>$C742*CH741</f>
        <v/>
      </c>
      <c r="CI742">
        <f>$C742*CI741</f>
        <v/>
      </c>
      <c r="CJ742">
        <f>$C742*CJ741</f>
        <v/>
      </c>
      <c r="CK742">
        <f>$C742*CK741</f>
        <v/>
      </c>
      <c r="CL742">
        <f>$C742*CL741</f>
        <v/>
      </c>
      <c r="CM742">
        <f>$C742*CM741</f>
        <v/>
      </c>
      <c r="CN742">
        <f>$C742*CN741</f>
        <v/>
      </c>
      <c r="CO742">
        <f>$C742*CO741</f>
        <v/>
      </c>
      <c r="CP742">
        <f>$C742*CP741</f>
        <v/>
      </c>
      <c r="CQ742">
        <f>$C742*CQ741</f>
        <v/>
      </c>
      <c r="CR742">
        <f>$C742*CR741</f>
        <v/>
      </c>
      <c r="CS742">
        <f>$C742*CS741</f>
        <v/>
      </c>
      <c r="CT742">
        <f>$C742*CT741</f>
        <v/>
      </c>
      <c r="CU742">
        <f>$C742*CU741</f>
        <v/>
      </c>
      <c r="CV742">
        <f>$C742*CV741</f>
        <v/>
      </c>
      <c r="CW742">
        <f>$C742*CW741</f>
        <v/>
      </c>
      <c r="CX742">
        <f>$C742*CX741</f>
        <v/>
      </c>
      <c r="CY742">
        <f>$C742*CY741</f>
        <v/>
      </c>
      <c r="CZ742">
        <f>$C742*CZ741</f>
        <v/>
      </c>
      <c r="DA742">
        <f>$C742*DA741</f>
        <v/>
      </c>
      <c r="DB742">
        <f>$C742*DB741</f>
        <v/>
      </c>
      <c r="DC742">
        <f>$C742*DC741</f>
        <v/>
      </c>
    </row>
    <row r="743">
      <c r="B743" t="inlineStr">
        <is>
          <t>VSP-990</t>
        </is>
      </c>
      <c r="C743" t="inlineStr">
        <is>
          <t>No. of batches</t>
        </is>
      </c>
      <c r="D743">
        <f>IFERROR(INDEX(PP_Grid[#Data],$DD743,2),0)</f>
        <v/>
      </c>
      <c r="E743">
        <f>IFERROR(INDEX(PP_Grid[#Data],$DD743,3),0)</f>
        <v/>
      </c>
      <c r="F743">
        <f>IFERROR(INDEX(PP_Grid[#Data],$DD743,4),0)</f>
        <v/>
      </c>
      <c r="G743">
        <f>IFERROR(INDEX(PP_Grid[#Data],$DD743,5),0)</f>
        <v/>
      </c>
      <c r="H743">
        <f>IFERROR(INDEX(PP_Grid[#Data],$DD743,6),0)</f>
        <v/>
      </c>
      <c r="I743">
        <f>IFERROR(INDEX(PP_Grid[#Data],$DD743,7),0)</f>
        <v/>
      </c>
      <c r="J743">
        <f>IFERROR(INDEX(PP_Grid[#Data],$DD743,8),0)</f>
        <v/>
      </c>
      <c r="K743">
        <f>IFERROR(INDEX(PP_Grid[#Data],$DD743,9),0)</f>
        <v/>
      </c>
      <c r="L743">
        <f>IFERROR(INDEX(PP_Grid[#Data],$DD743,10),0)</f>
        <v/>
      </c>
      <c r="M743">
        <f>IFERROR(INDEX(PP_Grid[#Data],$DD743,11),0)</f>
        <v/>
      </c>
      <c r="N743">
        <f>IFERROR(INDEX(PP_Grid[#Data],$DD743,12),0)</f>
        <v/>
      </c>
      <c r="O743">
        <f>IFERROR(INDEX(PP_Grid[#Data],$DD743,13),0)</f>
        <v/>
      </c>
      <c r="P743">
        <f>IFERROR(INDEX(PP_Grid[#Data],$DD743,14),0)</f>
        <v/>
      </c>
      <c r="Q743">
        <f>IFERROR(INDEX(PP_Grid[#Data],$DD743,15),0)</f>
        <v/>
      </c>
      <c r="R743">
        <f>IFERROR(INDEX(PP_Grid[#Data],$DD743,16),0)</f>
        <v/>
      </c>
      <c r="S743">
        <f>IFERROR(INDEX(PP_Grid[#Data],$DD743,17),0)</f>
        <v/>
      </c>
      <c r="T743">
        <f>IFERROR(INDEX(PP_Grid[#Data],$DD743,18),0)</f>
        <v/>
      </c>
      <c r="U743">
        <f>IFERROR(INDEX(PP_Grid[#Data],$DD743,19),0)</f>
        <v/>
      </c>
      <c r="V743">
        <f>IFERROR(INDEX(PP_Grid[#Data],$DD743,20),0)</f>
        <v/>
      </c>
      <c r="W743">
        <f>IFERROR(INDEX(PP_Grid[#Data],$DD743,21),0)</f>
        <v/>
      </c>
      <c r="X743">
        <f>IFERROR(INDEX(PP_Grid[#Data],$DD743,22),0)</f>
        <v/>
      </c>
      <c r="Y743">
        <f>IFERROR(INDEX(PP_Grid[#Data],$DD743,23),0)</f>
        <v/>
      </c>
      <c r="Z743">
        <f>IFERROR(INDEX(PP_Grid[#Data],$DD743,24),0)</f>
        <v/>
      </c>
      <c r="AA743">
        <f>IFERROR(INDEX(PP_Grid[#Data],$DD743,25),0)</f>
        <v/>
      </c>
      <c r="AB743">
        <f>IFERROR(INDEX(PP_Grid[#Data],$DD743,26),0)</f>
        <v/>
      </c>
      <c r="AC743">
        <f>IFERROR(INDEX(PP_Grid[#Data],$DD743,27),0)</f>
        <v/>
      </c>
      <c r="AD743">
        <f>IFERROR(INDEX(PP_Grid[#Data],$DD743,28),0)</f>
        <v/>
      </c>
      <c r="AE743">
        <f>IFERROR(INDEX(PP_Grid[#Data],$DD743,29),0)</f>
        <v/>
      </c>
      <c r="AF743">
        <f>IFERROR(INDEX(PP_Grid[#Data],$DD743,30),0)</f>
        <v/>
      </c>
      <c r="AG743">
        <f>IFERROR(INDEX(PP_Grid[#Data],$DD743,31),0)</f>
        <v/>
      </c>
      <c r="AH743">
        <f>IFERROR(INDEX(PP_Grid[#Data],$DD743,32),0)</f>
        <v/>
      </c>
      <c r="AI743">
        <f>IFERROR(INDEX(PP_Grid[#Data],$DD743,33),0)</f>
        <v/>
      </c>
      <c r="AJ743">
        <f>IFERROR(INDEX(PP_Grid[#Data],$DD743,34),0)</f>
        <v/>
      </c>
      <c r="AK743">
        <f>IFERROR(INDEX(PP_Grid[#Data],$DD743,35),0)</f>
        <v/>
      </c>
      <c r="AL743">
        <f>IFERROR(INDEX(PP_Grid[#Data],$DD743,36),0)</f>
        <v/>
      </c>
      <c r="AM743">
        <f>IFERROR(INDEX(PP_Grid[#Data],$DD743,37),0)</f>
        <v/>
      </c>
      <c r="AN743">
        <f>IFERROR(INDEX(PP_Grid[#Data],$DD743,38),0)</f>
        <v/>
      </c>
      <c r="AO743">
        <f>IFERROR(INDEX(PP_Grid[#Data],$DD743,39),0)</f>
        <v/>
      </c>
      <c r="AP743">
        <f>IFERROR(INDEX(PP_Grid[#Data],$DD743,40),0)</f>
        <v/>
      </c>
      <c r="AQ743">
        <f>IFERROR(INDEX(PP_Grid[#Data],$DD743,41),0)</f>
        <v/>
      </c>
      <c r="AR743">
        <f>IFERROR(INDEX(PP_Grid[#Data],$DD743,42),0)</f>
        <v/>
      </c>
      <c r="AS743">
        <f>IFERROR(INDEX(PP_Grid[#Data],$DD743,43),0)</f>
        <v/>
      </c>
      <c r="AT743">
        <f>IFERROR(INDEX(PP_Grid[#Data],$DD743,44),0)</f>
        <v/>
      </c>
      <c r="AU743">
        <f>IFERROR(INDEX(PP_Grid[#Data],$DD743,45),0)</f>
        <v/>
      </c>
      <c r="AV743">
        <f>IFERROR(INDEX(PP_Grid[#Data],$DD743,46),0)</f>
        <v/>
      </c>
      <c r="AW743">
        <f>IFERROR(INDEX(PP_Grid[#Data],$DD743,47),0)</f>
        <v/>
      </c>
      <c r="AX743">
        <f>IFERROR(INDEX(PP_Grid[#Data],$DD743,48),0)</f>
        <v/>
      </c>
      <c r="AY743">
        <f>IFERROR(INDEX(PP_Grid[#Data],$DD743,49),0)</f>
        <v/>
      </c>
      <c r="AZ743">
        <f>IFERROR(INDEX(PP_Grid[#Data],$DD743,50),0)</f>
        <v/>
      </c>
      <c r="BA743">
        <f>IFERROR(INDEX(PP_Grid[#Data],$DD743,51),0)</f>
        <v/>
      </c>
      <c r="BB743">
        <f>IFERROR(INDEX(PP_Grid[#Data],$DD743,52),0)</f>
        <v/>
      </c>
      <c r="BC743">
        <f>IFERROR(INDEX(PP_Grid[#Data],$DD743,53),0)</f>
        <v/>
      </c>
      <c r="BD743">
        <f>IFERROR(INDEX(PP_Grid[#Data],$DD743,54),0)</f>
        <v/>
      </c>
      <c r="BE743">
        <f>IFERROR(INDEX(PP_Grid[#Data],$DD743,55),0)</f>
        <v/>
      </c>
      <c r="BF743">
        <f>IFERROR(INDEX(PP_Grid[#Data],$DD743,56),0)</f>
        <v/>
      </c>
      <c r="BG743">
        <f>IFERROR(INDEX(PP_Grid[#Data],$DD743,57),0)</f>
        <v/>
      </c>
      <c r="BH743">
        <f>IFERROR(INDEX(PP_Grid[#Data],$DD743,58),0)</f>
        <v/>
      </c>
      <c r="BI743">
        <f>IFERROR(INDEX(PP_Grid[#Data],$DD743,59),0)</f>
        <v/>
      </c>
      <c r="BJ743">
        <f>IFERROR(INDEX(PP_Grid[#Data],$DD743,60),0)</f>
        <v/>
      </c>
      <c r="BK743">
        <f>IFERROR(INDEX(PP_Grid[#Data],$DD743,61),0)</f>
        <v/>
      </c>
      <c r="BL743">
        <f>IFERROR(INDEX(PP_Grid[#Data],$DD743,62),0)</f>
        <v/>
      </c>
      <c r="BM743">
        <f>IFERROR(INDEX(PP_Grid[#Data],$DD743,63),0)</f>
        <v/>
      </c>
      <c r="BN743">
        <f>IFERROR(INDEX(PP_Grid[#Data],$DD743,64),0)</f>
        <v/>
      </c>
      <c r="BO743">
        <f>IFERROR(INDEX(PP_Grid[#Data],$DD743,65),0)</f>
        <v/>
      </c>
      <c r="BP743">
        <f>IFERROR(INDEX(PP_Grid[#Data],$DD743,66),0)</f>
        <v/>
      </c>
      <c r="BQ743">
        <f>IFERROR(INDEX(PP_Grid[#Data],$DD743,67),0)</f>
        <v/>
      </c>
      <c r="BR743">
        <f>IFERROR(INDEX(PP_Grid[#Data],$DD743,68),0)</f>
        <v/>
      </c>
      <c r="BS743">
        <f>IFERROR(INDEX(PP_Grid[#Data],$DD743,69),0)</f>
        <v/>
      </c>
      <c r="BT743">
        <f>IFERROR(INDEX(PP_Grid[#Data],$DD743,70),0)</f>
        <v/>
      </c>
      <c r="BU743">
        <f>IFERROR(INDEX(PP_Grid[#Data],$DD743,71),0)</f>
        <v/>
      </c>
      <c r="BV743">
        <f>IFERROR(INDEX(PP_Grid[#Data],$DD743,72),0)</f>
        <v/>
      </c>
      <c r="BW743">
        <f>IFERROR(INDEX(PP_Grid[#Data],$DD743,73),0)</f>
        <v/>
      </c>
      <c r="BX743">
        <f>IFERROR(INDEX(PP_Grid[#Data],$DD743,74),0)</f>
        <v/>
      </c>
      <c r="BY743">
        <f>IFERROR(INDEX(PP_Grid[#Data],$DD743,75),0)</f>
        <v/>
      </c>
      <c r="BZ743">
        <f>IFERROR(INDEX(PP_Grid[#Data],$DD743,76),0)</f>
        <v/>
      </c>
      <c r="CA743">
        <f>IFERROR(INDEX(PP_Grid[#Data],$DD743,77),0)</f>
        <v/>
      </c>
      <c r="CB743">
        <f>IFERROR(INDEX(PP_Grid[#Data],$DD743,78),0)</f>
        <v/>
      </c>
      <c r="CC743">
        <f>IFERROR(INDEX(PP_Grid[#Data],$DD743,79),0)</f>
        <v/>
      </c>
      <c r="CD743">
        <f>IFERROR(INDEX(PP_Grid[#Data],$DD743,80),0)</f>
        <v/>
      </c>
      <c r="CE743">
        <f>IFERROR(INDEX(PP_Grid[#Data],$DD743,81),0)</f>
        <v/>
      </c>
      <c r="CF743">
        <f>IFERROR(INDEX(PP_Grid[#Data],$DD743,82),0)</f>
        <v/>
      </c>
      <c r="CG743">
        <f>IFERROR(INDEX(PP_Grid[#Data],$DD743,83),0)</f>
        <v/>
      </c>
      <c r="CH743">
        <f>IFERROR(INDEX(PP_Grid[#Data],$DD743,84),0)</f>
        <v/>
      </c>
      <c r="CI743">
        <f>IFERROR(INDEX(PP_Grid[#Data],$DD743,85),0)</f>
        <v/>
      </c>
      <c r="CJ743">
        <f>IFERROR(INDEX(PP_Grid[#Data],$DD743,86),0)</f>
        <v/>
      </c>
      <c r="CK743">
        <f>IFERROR(INDEX(PP_Grid[#Data],$DD743,87),0)</f>
        <v/>
      </c>
      <c r="CL743">
        <f>IFERROR(INDEX(PP_Grid[#Data],$DD743,88),0)</f>
        <v/>
      </c>
      <c r="CM743">
        <f>IFERROR(INDEX(PP_Grid[#Data],$DD743,89),0)</f>
        <v/>
      </c>
      <c r="CN743">
        <f>IFERROR(INDEX(PP_Grid[#Data],$DD743,90),0)</f>
        <v/>
      </c>
      <c r="CO743">
        <f>IFERROR(INDEX(PP_Grid[#Data],$DD743,91),0)</f>
        <v/>
      </c>
      <c r="CP743">
        <f>IFERROR(INDEX(PP_Grid[#Data],$DD743,92),0)</f>
        <v/>
      </c>
      <c r="CQ743">
        <f>IFERROR(INDEX(PP_Grid[#Data],$DD743,93),0)</f>
        <v/>
      </c>
      <c r="CR743">
        <f>IFERROR(INDEX(PP_Grid[#Data],$DD743,94),0)</f>
        <v/>
      </c>
      <c r="CS743">
        <f>IFERROR(INDEX(PP_Grid[#Data],$DD743,95),0)</f>
        <v/>
      </c>
      <c r="CT743">
        <f>IFERROR(INDEX(PP_Grid[#Data],$DD743,96),0)</f>
        <v/>
      </c>
      <c r="CU743">
        <f>IFERROR(INDEX(PP_Grid[#Data],$DD743,97),0)</f>
        <v/>
      </c>
      <c r="CV743">
        <f>IFERROR(INDEX(PP_Grid[#Data],$DD743,98),0)</f>
        <v/>
      </c>
      <c r="CW743">
        <f>IFERROR(INDEX(PP_Grid[#Data],$DD743,99),0)</f>
        <v/>
      </c>
      <c r="CX743">
        <f>IFERROR(INDEX(PP_Grid[#Data],$DD743,100),0)</f>
        <v/>
      </c>
      <c r="CY743">
        <f>IFERROR(INDEX(PP_Grid[#Data],$DD743,101),0)</f>
        <v/>
      </c>
      <c r="CZ743">
        <f>IFERROR(INDEX(PP_Grid[#Data],$DD743,102),0)</f>
        <v/>
      </c>
      <c r="DA743">
        <f>IFERROR(INDEX(PP_Grid[#Data],$DD743,103),0)</f>
        <v/>
      </c>
      <c r="DB743">
        <f>IFERROR(INDEX(PP_Grid[#Data],$DD743,104),0)</f>
        <v/>
      </c>
      <c r="DC743">
        <f>IFERROR(INDEX(PP_Grid[#Data],$DD743,105),0)</f>
        <v/>
      </c>
      <c r="DD743" s="7">
        <f>IFERROR(MATCH($B743,PP_Grid[Intermediate],0),99999)</f>
        <v/>
      </c>
    </row>
    <row r="744">
      <c r="B744" t="inlineStr">
        <is>
          <t>使用量(kg)</t>
        </is>
      </c>
      <c r="C744">
        <f>SUMIFS(M_BOM[RM_Qty_Per_Batch],M_BOM[Intermediate],$B743,M_BOM[Part Name],$A710)</f>
        <v/>
      </c>
      <c r="D744">
        <f>$C744*D743</f>
        <v/>
      </c>
      <c r="E744">
        <f>$C744*E743</f>
        <v/>
      </c>
      <c r="F744">
        <f>$C744*F743</f>
        <v/>
      </c>
      <c r="G744">
        <f>$C744*G743</f>
        <v/>
      </c>
      <c r="H744">
        <f>$C744*H743</f>
        <v/>
      </c>
      <c r="I744">
        <f>$C744*I743</f>
        <v/>
      </c>
      <c r="J744">
        <f>$C744*J743</f>
        <v/>
      </c>
      <c r="K744">
        <f>$C744*K743</f>
        <v/>
      </c>
      <c r="L744">
        <f>$C744*L743</f>
        <v/>
      </c>
      <c r="M744">
        <f>$C744*M743</f>
        <v/>
      </c>
      <c r="N744">
        <f>$C744*N743</f>
        <v/>
      </c>
      <c r="O744">
        <f>$C744*O743</f>
        <v/>
      </c>
      <c r="P744">
        <f>$C744*P743</f>
        <v/>
      </c>
      <c r="Q744">
        <f>$C744*Q743</f>
        <v/>
      </c>
      <c r="R744">
        <f>$C744*R743</f>
        <v/>
      </c>
      <c r="S744">
        <f>$C744*S743</f>
        <v/>
      </c>
      <c r="T744">
        <f>$C744*T743</f>
        <v/>
      </c>
      <c r="U744">
        <f>$C744*U743</f>
        <v/>
      </c>
      <c r="V744">
        <f>$C744*V743</f>
        <v/>
      </c>
      <c r="W744">
        <f>$C744*W743</f>
        <v/>
      </c>
      <c r="X744">
        <f>$C744*X743</f>
        <v/>
      </c>
      <c r="Y744">
        <f>$C744*Y743</f>
        <v/>
      </c>
      <c r="Z744">
        <f>$C744*Z743</f>
        <v/>
      </c>
      <c r="AA744">
        <f>$C744*AA743</f>
        <v/>
      </c>
      <c r="AB744">
        <f>$C744*AB743</f>
        <v/>
      </c>
      <c r="AC744">
        <f>$C744*AC743</f>
        <v/>
      </c>
      <c r="AD744">
        <f>$C744*AD743</f>
        <v/>
      </c>
      <c r="AE744">
        <f>$C744*AE743</f>
        <v/>
      </c>
      <c r="AF744">
        <f>$C744*AF743</f>
        <v/>
      </c>
      <c r="AG744">
        <f>$C744*AG743</f>
        <v/>
      </c>
      <c r="AH744">
        <f>$C744*AH743</f>
        <v/>
      </c>
      <c r="AI744">
        <f>$C744*AI743</f>
        <v/>
      </c>
      <c r="AJ744">
        <f>$C744*AJ743</f>
        <v/>
      </c>
      <c r="AK744">
        <f>$C744*AK743</f>
        <v/>
      </c>
      <c r="AL744">
        <f>$C744*AL743</f>
        <v/>
      </c>
      <c r="AM744">
        <f>$C744*AM743</f>
        <v/>
      </c>
      <c r="AN744">
        <f>$C744*AN743</f>
        <v/>
      </c>
      <c r="AO744">
        <f>$C744*AO743</f>
        <v/>
      </c>
      <c r="AP744">
        <f>$C744*AP743</f>
        <v/>
      </c>
      <c r="AQ744">
        <f>$C744*AQ743</f>
        <v/>
      </c>
      <c r="AR744">
        <f>$C744*AR743</f>
        <v/>
      </c>
      <c r="AS744">
        <f>$C744*AS743</f>
        <v/>
      </c>
      <c r="AT744">
        <f>$C744*AT743</f>
        <v/>
      </c>
      <c r="AU744">
        <f>$C744*AU743</f>
        <v/>
      </c>
      <c r="AV744">
        <f>$C744*AV743</f>
        <v/>
      </c>
      <c r="AW744">
        <f>$C744*AW743</f>
        <v/>
      </c>
      <c r="AX744">
        <f>$C744*AX743</f>
        <v/>
      </c>
      <c r="AY744">
        <f>$C744*AY743</f>
        <v/>
      </c>
      <c r="AZ744">
        <f>$C744*AZ743</f>
        <v/>
      </c>
      <c r="BA744">
        <f>$C744*BA743</f>
        <v/>
      </c>
      <c r="BB744">
        <f>$C744*BB743</f>
        <v/>
      </c>
      <c r="BC744">
        <f>$C744*BC743</f>
        <v/>
      </c>
      <c r="BD744">
        <f>$C744*BD743</f>
        <v/>
      </c>
      <c r="BE744">
        <f>$C744*BE743</f>
        <v/>
      </c>
      <c r="BF744">
        <f>$C744*BF743</f>
        <v/>
      </c>
      <c r="BG744">
        <f>$C744*BG743</f>
        <v/>
      </c>
      <c r="BH744">
        <f>$C744*BH743</f>
        <v/>
      </c>
      <c r="BI744">
        <f>$C744*BI743</f>
        <v/>
      </c>
      <c r="BJ744">
        <f>$C744*BJ743</f>
        <v/>
      </c>
      <c r="BK744">
        <f>$C744*BK743</f>
        <v/>
      </c>
      <c r="BL744">
        <f>$C744*BL743</f>
        <v/>
      </c>
      <c r="BM744">
        <f>$C744*BM743</f>
        <v/>
      </c>
      <c r="BN744">
        <f>$C744*BN743</f>
        <v/>
      </c>
      <c r="BO744">
        <f>$C744*BO743</f>
        <v/>
      </c>
      <c r="BP744">
        <f>$C744*BP743</f>
        <v/>
      </c>
      <c r="BQ744">
        <f>$C744*BQ743</f>
        <v/>
      </c>
      <c r="BR744">
        <f>$C744*BR743</f>
        <v/>
      </c>
      <c r="BS744">
        <f>$C744*BS743</f>
        <v/>
      </c>
      <c r="BT744">
        <f>$C744*BT743</f>
        <v/>
      </c>
      <c r="BU744">
        <f>$C744*BU743</f>
        <v/>
      </c>
      <c r="BV744">
        <f>$C744*BV743</f>
        <v/>
      </c>
      <c r="BW744">
        <f>$C744*BW743</f>
        <v/>
      </c>
      <c r="BX744">
        <f>$C744*BX743</f>
        <v/>
      </c>
      <c r="BY744">
        <f>$C744*BY743</f>
        <v/>
      </c>
      <c r="BZ744">
        <f>$C744*BZ743</f>
        <v/>
      </c>
      <c r="CA744">
        <f>$C744*CA743</f>
        <v/>
      </c>
      <c r="CB744">
        <f>$C744*CB743</f>
        <v/>
      </c>
      <c r="CC744">
        <f>$C744*CC743</f>
        <v/>
      </c>
      <c r="CD744">
        <f>$C744*CD743</f>
        <v/>
      </c>
      <c r="CE744">
        <f>$C744*CE743</f>
        <v/>
      </c>
      <c r="CF744">
        <f>$C744*CF743</f>
        <v/>
      </c>
      <c r="CG744">
        <f>$C744*CG743</f>
        <v/>
      </c>
      <c r="CH744">
        <f>$C744*CH743</f>
        <v/>
      </c>
      <c r="CI744">
        <f>$C744*CI743</f>
        <v/>
      </c>
      <c r="CJ744">
        <f>$C744*CJ743</f>
        <v/>
      </c>
      <c r="CK744">
        <f>$C744*CK743</f>
        <v/>
      </c>
      <c r="CL744">
        <f>$C744*CL743</f>
        <v/>
      </c>
      <c r="CM744">
        <f>$C744*CM743</f>
        <v/>
      </c>
      <c r="CN744">
        <f>$C744*CN743</f>
        <v/>
      </c>
      <c r="CO744">
        <f>$C744*CO743</f>
        <v/>
      </c>
      <c r="CP744">
        <f>$C744*CP743</f>
        <v/>
      </c>
      <c r="CQ744">
        <f>$C744*CQ743</f>
        <v/>
      </c>
      <c r="CR744">
        <f>$C744*CR743</f>
        <v/>
      </c>
      <c r="CS744">
        <f>$C744*CS743</f>
        <v/>
      </c>
      <c r="CT744">
        <f>$C744*CT743</f>
        <v/>
      </c>
      <c r="CU744">
        <f>$C744*CU743</f>
        <v/>
      </c>
      <c r="CV744">
        <f>$C744*CV743</f>
        <v/>
      </c>
      <c r="CW744">
        <f>$C744*CW743</f>
        <v/>
      </c>
      <c r="CX744">
        <f>$C744*CX743</f>
        <v/>
      </c>
      <c r="CY744">
        <f>$C744*CY743</f>
        <v/>
      </c>
      <c r="CZ744">
        <f>$C744*CZ743</f>
        <v/>
      </c>
      <c r="DA744">
        <f>$C744*DA743</f>
        <v/>
      </c>
      <c r="DB744">
        <f>$C744*DB743</f>
        <v/>
      </c>
      <c r="DC744">
        <f>$C744*DC743</f>
        <v/>
      </c>
    </row>
    <row r="745">
      <c r="B745" t="inlineStr">
        <is>
          <t>VSZ-745</t>
        </is>
      </c>
      <c r="C745" t="inlineStr">
        <is>
          <t>No. of batches</t>
        </is>
      </c>
      <c r="D745">
        <f>IFERROR(INDEX(PP_Grid[#Data],$DD745,2),0)</f>
        <v/>
      </c>
      <c r="E745">
        <f>IFERROR(INDEX(PP_Grid[#Data],$DD745,3),0)</f>
        <v/>
      </c>
      <c r="F745">
        <f>IFERROR(INDEX(PP_Grid[#Data],$DD745,4),0)</f>
        <v/>
      </c>
      <c r="G745">
        <f>IFERROR(INDEX(PP_Grid[#Data],$DD745,5),0)</f>
        <v/>
      </c>
      <c r="H745">
        <f>IFERROR(INDEX(PP_Grid[#Data],$DD745,6),0)</f>
        <v/>
      </c>
      <c r="I745">
        <f>IFERROR(INDEX(PP_Grid[#Data],$DD745,7),0)</f>
        <v/>
      </c>
      <c r="J745">
        <f>IFERROR(INDEX(PP_Grid[#Data],$DD745,8),0)</f>
        <v/>
      </c>
      <c r="K745">
        <f>IFERROR(INDEX(PP_Grid[#Data],$DD745,9),0)</f>
        <v/>
      </c>
      <c r="L745">
        <f>IFERROR(INDEX(PP_Grid[#Data],$DD745,10),0)</f>
        <v/>
      </c>
      <c r="M745">
        <f>IFERROR(INDEX(PP_Grid[#Data],$DD745,11),0)</f>
        <v/>
      </c>
      <c r="N745">
        <f>IFERROR(INDEX(PP_Grid[#Data],$DD745,12),0)</f>
        <v/>
      </c>
      <c r="O745">
        <f>IFERROR(INDEX(PP_Grid[#Data],$DD745,13),0)</f>
        <v/>
      </c>
      <c r="P745">
        <f>IFERROR(INDEX(PP_Grid[#Data],$DD745,14),0)</f>
        <v/>
      </c>
      <c r="Q745">
        <f>IFERROR(INDEX(PP_Grid[#Data],$DD745,15),0)</f>
        <v/>
      </c>
      <c r="R745">
        <f>IFERROR(INDEX(PP_Grid[#Data],$DD745,16),0)</f>
        <v/>
      </c>
      <c r="S745">
        <f>IFERROR(INDEX(PP_Grid[#Data],$DD745,17),0)</f>
        <v/>
      </c>
      <c r="T745">
        <f>IFERROR(INDEX(PP_Grid[#Data],$DD745,18),0)</f>
        <v/>
      </c>
      <c r="U745">
        <f>IFERROR(INDEX(PP_Grid[#Data],$DD745,19),0)</f>
        <v/>
      </c>
      <c r="V745">
        <f>IFERROR(INDEX(PP_Grid[#Data],$DD745,20),0)</f>
        <v/>
      </c>
      <c r="W745">
        <f>IFERROR(INDEX(PP_Grid[#Data],$DD745,21),0)</f>
        <v/>
      </c>
      <c r="X745">
        <f>IFERROR(INDEX(PP_Grid[#Data],$DD745,22),0)</f>
        <v/>
      </c>
      <c r="Y745">
        <f>IFERROR(INDEX(PP_Grid[#Data],$DD745,23),0)</f>
        <v/>
      </c>
      <c r="Z745">
        <f>IFERROR(INDEX(PP_Grid[#Data],$DD745,24),0)</f>
        <v/>
      </c>
      <c r="AA745">
        <f>IFERROR(INDEX(PP_Grid[#Data],$DD745,25),0)</f>
        <v/>
      </c>
      <c r="AB745">
        <f>IFERROR(INDEX(PP_Grid[#Data],$DD745,26),0)</f>
        <v/>
      </c>
      <c r="AC745">
        <f>IFERROR(INDEX(PP_Grid[#Data],$DD745,27),0)</f>
        <v/>
      </c>
      <c r="AD745">
        <f>IFERROR(INDEX(PP_Grid[#Data],$DD745,28),0)</f>
        <v/>
      </c>
      <c r="AE745">
        <f>IFERROR(INDEX(PP_Grid[#Data],$DD745,29),0)</f>
        <v/>
      </c>
      <c r="AF745">
        <f>IFERROR(INDEX(PP_Grid[#Data],$DD745,30),0)</f>
        <v/>
      </c>
      <c r="AG745">
        <f>IFERROR(INDEX(PP_Grid[#Data],$DD745,31),0)</f>
        <v/>
      </c>
      <c r="AH745">
        <f>IFERROR(INDEX(PP_Grid[#Data],$DD745,32),0)</f>
        <v/>
      </c>
      <c r="AI745">
        <f>IFERROR(INDEX(PP_Grid[#Data],$DD745,33),0)</f>
        <v/>
      </c>
      <c r="AJ745">
        <f>IFERROR(INDEX(PP_Grid[#Data],$DD745,34),0)</f>
        <v/>
      </c>
      <c r="AK745">
        <f>IFERROR(INDEX(PP_Grid[#Data],$DD745,35),0)</f>
        <v/>
      </c>
      <c r="AL745">
        <f>IFERROR(INDEX(PP_Grid[#Data],$DD745,36),0)</f>
        <v/>
      </c>
      <c r="AM745">
        <f>IFERROR(INDEX(PP_Grid[#Data],$DD745,37),0)</f>
        <v/>
      </c>
      <c r="AN745">
        <f>IFERROR(INDEX(PP_Grid[#Data],$DD745,38),0)</f>
        <v/>
      </c>
      <c r="AO745">
        <f>IFERROR(INDEX(PP_Grid[#Data],$DD745,39),0)</f>
        <v/>
      </c>
      <c r="AP745">
        <f>IFERROR(INDEX(PP_Grid[#Data],$DD745,40),0)</f>
        <v/>
      </c>
      <c r="AQ745">
        <f>IFERROR(INDEX(PP_Grid[#Data],$DD745,41),0)</f>
        <v/>
      </c>
      <c r="AR745">
        <f>IFERROR(INDEX(PP_Grid[#Data],$DD745,42),0)</f>
        <v/>
      </c>
      <c r="AS745">
        <f>IFERROR(INDEX(PP_Grid[#Data],$DD745,43),0)</f>
        <v/>
      </c>
      <c r="AT745">
        <f>IFERROR(INDEX(PP_Grid[#Data],$DD745,44),0)</f>
        <v/>
      </c>
      <c r="AU745">
        <f>IFERROR(INDEX(PP_Grid[#Data],$DD745,45),0)</f>
        <v/>
      </c>
      <c r="AV745">
        <f>IFERROR(INDEX(PP_Grid[#Data],$DD745,46),0)</f>
        <v/>
      </c>
      <c r="AW745">
        <f>IFERROR(INDEX(PP_Grid[#Data],$DD745,47),0)</f>
        <v/>
      </c>
      <c r="AX745">
        <f>IFERROR(INDEX(PP_Grid[#Data],$DD745,48),0)</f>
        <v/>
      </c>
      <c r="AY745">
        <f>IFERROR(INDEX(PP_Grid[#Data],$DD745,49),0)</f>
        <v/>
      </c>
      <c r="AZ745">
        <f>IFERROR(INDEX(PP_Grid[#Data],$DD745,50),0)</f>
        <v/>
      </c>
      <c r="BA745">
        <f>IFERROR(INDEX(PP_Grid[#Data],$DD745,51),0)</f>
        <v/>
      </c>
      <c r="BB745">
        <f>IFERROR(INDEX(PP_Grid[#Data],$DD745,52),0)</f>
        <v/>
      </c>
      <c r="BC745">
        <f>IFERROR(INDEX(PP_Grid[#Data],$DD745,53),0)</f>
        <v/>
      </c>
      <c r="BD745">
        <f>IFERROR(INDEX(PP_Grid[#Data],$DD745,54),0)</f>
        <v/>
      </c>
      <c r="BE745">
        <f>IFERROR(INDEX(PP_Grid[#Data],$DD745,55),0)</f>
        <v/>
      </c>
      <c r="BF745">
        <f>IFERROR(INDEX(PP_Grid[#Data],$DD745,56),0)</f>
        <v/>
      </c>
      <c r="BG745">
        <f>IFERROR(INDEX(PP_Grid[#Data],$DD745,57),0)</f>
        <v/>
      </c>
      <c r="BH745">
        <f>IFERROR(INDEX(PP_Grid[#Data],$DD745,58),0)</f>
        <v/>
      </c>
      <c r="BI745">
        <f>IFERROR(INDEX(PP_Grid[#Data],$DD745,59),0)</f>
        <v/>
      </c>
      <c r="BJ745">
        <f>IFERROR(INDEX(PP_Grid[#Data],$DD745,60),0)</f>
        <v/>
      </c>
      <c r="BK745">
        <f>IFERROR(INDEX(PP_Grid[#Data],$DD745,61),0)</f>
        <v/>
      </c>
      <c r="BL745">
        <f>IFERROR(INDEX(PP_Grid[#Data],$DD745,62),0)</f>
        <v/>
      </c>
      <c r="BM745">
        <f>IFERROR(INDEX(PP_Grid[#Data],$DD745,63),0)</f>
        <v/>
      </c>
      <c r="BN745">
        <f>IFERROR(INDEX(PP_Grid[#Data],$DD745,64),0)</f>
        <v/>
      </c>
      <c r="BO745">
        <f>IFERROR(INDEX(PP_Grid[#Data],$DD745,65),0)</f>
        <v/>
      </c>
      <c r="BP745">
        <f>IFERROR(INDEX(PP_Grid[#Data],$DD745,66),0)</f>
        <v/>
      </c>
      <c r="BQ745">
        <f>IFERROR(INDEX(PP_Grid[#Data],$DD745,67),0)</f>
        <v/>
      </c>
      <c r="BR745">
        <f>IFERROR(INDEX(PP_Grid[#Data],$DD745,68),0)</f>
        <v/>
      </c>
      <c r="BS745">
        <f>IFERROR(INDEX(PP_Grid[#Data],$DD745,69),0)</f>
        <v/>
      </c>
      <c r="BT745">
        <f>IFERROR(INDEX(PP_Grid[#Data],$DD745,70),0)</f>
        <v/>
      </c>
      <c r="BU745">
        <f>IFERROR(INDEX(PP_Grid[#Data],$DD745,71),0)</f>
        <v/>
      </c>
      <c r="BV745">
        <f>IFERROR(INDEX(PP_Grid[#Data],$DD745,72),0)</f>
        <v/>
      </c>
      <c r="BW745">
        <f>IFERROR(INDEX(PP_Grid[#Data],$DD745,73),0)</f>
        <v/>
      </c>
      <c r="BX745">
        <f>IFERROR(INDEX(PP_Grid[#Data],$DD745,74),0)</f>
        <v/>
      </c>
      <c r="BY745">
        <f>IFERROR(INDEX(PP_Grid[#Data],$DD745,75),0)</f>
        <v/>
      </c>
      <c r="BZ745">
        <f>IFERROR(INDEX(PP_Grid[#Data],$DD745,76),0)</f>
        <v/>
      </c>
      <c r="CA745">
        <f>IFERROR(INDEX(PP_Grid[#Data],$DD745,77),0)</f>
        <v/>
      </c>
      <c r="CB745">
        <f>IFERROR(INDEX(PP_Grid[#Data],$DD745,78),0)</f>
        <v/>
      </c>
      <c r="CC745">
        <f>IFERROR(INDEX(PP_Grid[#Data],$DD745,79),0)</f>
        <v/>
      </c>
      <c r="CD745">
        <f>IFERROR(INDEX(PP_Grid[#Data],$DD745,80),0)</f>
        <v/>
      </c>
      <c r="CE745">
        <f>IFERROR(INDEX(PP_Grid[#Data],$DD745,81),0)</f>
        <v/>
      </c>
      <c r="CF745">
        <f>IFERROR(INDEX(PP_Grid[#Data],$DD745,82),0)</f>
        <v/>
      </c>
      <c r="CG745">
        <f>IFERROR(INDEX(PP_Grid[#Data],$DD745,83),0)</f>
        <v/>
      </c>
      <c r="CH745">
        <f>IFERROR(INDEX(PP_Grid[#Data],$DD745,84),0)</f>
        <v/>
      </c>
      <c r="CI745">
        <f>IFERROR(INDEX(PP_Grid[#Data],$DD745,85),0)</f>
        <v/>
      </c>
      <c r="CJ745">
        <f>IFERROR(INDEX(PP_Grid[#Data],$DD745,86),0)</f>
        <v/>
      </c>
      <c r="CK745">
        <f>IFERROR(INDEX(PP_Grid[#Data],$DD745,87),0)</f>
        <v/>
      </c>
      <c r="CL745">
        <f>IFERROR(INDEX(PP_Grid[#Data],$DD745,88),0)</f>
        <v/>
      </c>
      <c r="CM745">
        <f>IFERROR(INDEX(PP_Grid[#Data],$DD745,89),0)</f>
        <v/>
      </c>
      <c r="CN745">
        <f>IFERROR(INDEX(PP_Grid[#Data],$DD745,90),0)</f>
        <v/>
      </c>
      <c r="CO745">
        <f>IFERROR(INDEX(PP_Grid[#Data],$DD745,91),0)</f>
        <v/>
      </c>
      <c r="CP745">
        <f>IFERROR(INDEX(PP_Grid[#Data],$DD745,92),0)</f>
        <v/>
      </c>
      <c r="CQ745">
        <f>IFERROR(INDEX(PP_Grid[#Data],$DD745,93),0)</f>
        <v/>
      </c>
      <c r="CR745">
        <f>IFERROR(INDEX(PP_Grid[#Data],$DD745,94),0)</f>
        <v/>
      </c>
      <c r="CS745">
        <f>IFERROR(INDEX(PP_Grid[#Data],$DD745,95),0)</f>
        <v/>
      </c>
      <c r="CT745">
        <f>IFERROR(INDEX(PP_Grid[#Data],$DD745,96),0)</f>
        <v/>
      </c>
      <c r="CU745">
        <f>IFERROR(INDEX(PP_Grid[#Data],$DD745,97),0)</f>
        <v/>
      </c>
      <c r="CV745">
        <f>IFERROR(INDEX(PP_Grid[#Data],$DD745,98),0)</f>
        <v/>
      </c>
      <c r="CW745">
        <f>IFERROR(INDEX(PP_Grid[#Data],$DD745,99),0)</f>
        <v/>
      </c>
      <c r="CX745">
        <f>IFERROR(INDEX(PP_Grid[#Data],$DD745,100),0)</f>
        <v/>
      </c>
      <c r="CY745">
        <f>IFERROR(INDEX(PP_Grid[#Data],$DD745,101),0)</f>
        <v/>
      </c>
      <c r="CZ745">
        <f>IFERROR(INDEX(PP_Grid[#Data],$DD745,102),0)</f>
        <v/>
      </c>
      <c r="DA745">
        <f>IFERROR(INDEX(PP_Grid[#Data],$DD745,103),0)</f>
        <v/>
      </c>
      <c r="DB745">
        <f>IFERROR(INDEX(PP_Grid[#Data],$DD745,104),0)</f>
        <v/>
      </c>
      <c r="DC745">
        <f>IFERROR(INDEX(PP_Grid[#Data],$DD745,105),0)</f>
        <v/>
      </c>
      <c r="DD745" s="7">
        <f>IFERROR(MATCH($B745,PP_Grid[Intermediate],0),99999)</f>
        <v/>
      </c>
    </row>
    <row r="746">
      <c r="B746" t="inlineStr">
        <is>
          <t>使用量(kg)</t>
        </is>
      </c>
      <c r="C746">
        <f>SUMIFS(M_BOM[RM_Qty_Per_Batch],M_BOM[Intermediate],$B745,M_BOM[Part Name],$A710)</f>
        <v/>
      </c>
      <c r="D746">
        <f>$C746*D745</f>
        <v/>
      </c>
      <c r="E746">
        <f>$C746*E745</f>
        <v/>
      </c>
      <c r="F746">
        <f>$C746*F745</f>
        <v/>
      </c>
      <c r="G746">
        <f>$C746*G745</f>
        <v/>
      </c>
      <c r="H746">
        <f>$C746*H745</f>
        <v/>
      </c>
      <c r="I746">
        <f>$C746*I745</f>
        <v/>
      </c>
      <c r="J746">
        <f>$C746*J745</f>
        <v/>
      </c>
      <c r="K746">
        <f>$C746*K745</f>
        <v/>
      </c>
      <c r="L746">
        <f>$C746*L745</f>
        <v/>
      </c>
      <c r="M746">
        <f>$C746*M745</f>
        <v/>
      </c>
      <c r="N746">
        <f>$C746*N745</f>
        <v/>
      </c>
      <c r="O746">
        <f>$C746*O745</f>
        <v/>
      </c>
      <c r="P746">
        <f>$C746*P745</f>
        <v/>
      </c>
      <c r="Q746">
        <f>$C746*Q745</f>
        <v/>
      </c>
      <c r="R746">
        <f>$C746*R745</f>
        <v/>
      </c>
      <c r="S746">
        <f>$C746*S745</f>
        <v/>
      </c>
      <c r="T746">
        <f>$C746*T745</f>
        <v/>
      </c>
      <c r="U746">
        <f>$C746*U745</f>
        <v/>
      </c>
      <c r="V746">
        <f>$C746*V745</f>
        <v/>
      </c>
      <c r="W746">
        <f>$C746*W745</f>
        <v/>
      </c>
      <c r="X746">
        <f>$C746*X745</f>
        <v/>
      </c>
      <c r="Y746">
        <f>$C746*Y745</f>
        <v/>
      </c>
      <c r="Z746">
        <f>$C746*Z745</f>
        <v/>
      </c>
      <c r="AA746">
        <f>$C746*AA745</f>
        <v/>
      </c>
      <c r="AB746">
        <f>$C746*AB745</f>
        <v/>
      </c>
      <c r="AC746">
        <f>$C746*AC745</f>
        <v/>
      </c>
      <c r="AD746">
        <f>$C746*AD745</f>
        <v/>
      </c>
      <c r="AE746">
        <f>$C746*AE745</f>
        <v/>
      </c>
      <c r="AF746">
        <f>$C746*AF745</f>
        <v/>
      </c>
      <c r="AG746">
        <f>$C746*AG745</f>
        <v/>
      </c>
      <c r="AH746">
        <f>$C746*AH745</f>
        <v/>
      </c>
      <c r="AI746">
        <f>$C746*AI745</f>
        <v/>
      </c>
      <c r="AJ746">
        <f>$C746*AJ745</f>
        <v/>
      </c>
      <c r="AK746">
        <f>$C746*AK745</f>
        <v/>
      </c>
      <c r="AL746">
        <f>$C746*AL745</f>
        <v/>
      </c>
      <c r="AM746">
        <f>$C746*AM745</f>
        <v/>
      </c>
      <c r="AN746">
        <f>$C746*AN745</f>
        <v/>
      </c>
      <c r="AO746">
        <f>$C746*AO745</f>
        <v/>
      </c>
      <c r="AP746">
        <f>$C746*AP745</f>
        <v/>
      </c>
      <c r="AQ746">
        <f>$C746*AQ745</f>
        <v/>
      </c>
      <c r="AR746">
        <f>$C746*AR745</f>
        <v/>
      </c>
      <c r="AS746">
        <f>$C746*AS745</f>
        <v/>
      </c>
      <c r="AT746">
        <f>$C746*AT745</f>
        <v/>
      </c>
      <c r="AU746">
        <f>$C746*AU745</f>
        <v/>
      </c>
      <c r="AV746">
        <f>$C746*AV745</f>
        <v/>
      </c>
      <c r="AW746">
        <f>$C746*AW745</f>
        <v/>
      </c>
      <c r="AX746">
        <f>$C746*AX745</f>
        <v/>
      </c>
      <c r="AY746">
        <f>$C746*AY745</f>
        <v/>
      </c>
      <c r="AZ746">
        <f>$C746*AZ745</f>
        <v/>
      </c>
      <c r="BA746">
        <f>$C746*BA745</f>
        <v/>
      </c>
      <c r="BB746">
        <f>$C746*BB745</f>
        <v/>
      </c>
      <c r="BC746">
        <f>$C746*BC745</f>
        <v/>
      </c>
      <c r="BD746">
        <f>$C746*BD745</f>
        <v/>
      </c>
      <c r="BE746">
        <f>$C746*BE745</f>
        <v/>
      </c>
      <c r="BF746">
        <f>$C746*BF745</f>
        <v/>
      </c>
      <c r="BG746">
        <f>$C746*BG745</f>
        <v/>
      </c>
      <c r="BH746">
        <f>$C746*BH745</f>
        <v/>
      </c>
      <c r="BI746">
        <f>$C746*BI745</f>
        <v/>
      </c>
      <c r="BJ746">
        <f>$C746*BJ745</f>
        <v/>
      </c>
      <c r="BK746">
        <f>$C746*BK745</f>
        <v/>
      </c>
      <c r="BL746">
        <f>$C746*BL745</f>
        <v/>
      </c>
      <c r="BM746">
        <f>$C746*BM745</f>
        <v/>
      </c>
      <c r="BN746">
        <f>$C746*BN745</f>
        <v/>
      </c>
      <c r="BO746">
        <f>$C746*BO745</f>
        <v/>
      </c>
      <c r="BP746">
        <f>$C746*BP745</f>
        <v/>
      </c>
      <c r="BQ746">
        <f>$C746*BQ745</f>
        <v/>
      </c>
      <c r="BR746">
        <f>$C746*BR745</f>
        <v/>
      </c>
      <c r="BS746">
        <f>$C746*BS745</f>
        <v/>
      </c>
      <c r="BT746">
        <f>$C746*BT745</f>
        <v/>
      </c>
      <c r="BU746">
        <f>$C746*BU745</f>
        <v/>
      </c>
      <c r="BV746">
        <f>$C746*BV745</f>
        <v/>
      </c>
      <c r="BW746">
        <f>$C746*BW745</f>
        <v/>
      </c>
      <c r="BX746">
        <f>$C746*BX745</f>
        <v/>
      </c>
      <c r="BY746">
        <f>$C746*BY745</f>
        <v/>
      </c>
      <c r="BZ746">
        <f>$C746*BZ745</f>
        <v/>
      </c>
      <c r="CA746">
        <f>$C746*CA745</f>
        <v/>
      </c>
      <c r="CB746">
        <f>$C746*CB745</f>
        <v/>
      </c>
      <c r="CC746">
        <f>$C746*CC745</f>
        <v/>
      </c>
      <c r="CD746">
        <f>$C746*CD745</f>
        <v/>
      </c>
      <c r="CE746">
        <f>$C746*CE745</f>
        <v/>
      </c>
      <c r="CF746">
        <f>$C746*CF745</f>
        <v/>
      </c>
      <c r="CG746">
        <f>$C746*CG745</f>
        <v/>
      </c>
      <c r="CH746">
        <f>$C746*CH745</f>
        <v/>
      </c>
      <c r="CI746">
        <f>$C746*CI745</f>
        <v/>
      </c>
      <c r="CJ746">
        <f>$C746*CJ745</f>
        <v/>
      </c>
      <c r="CK746">
        <f>$C746*CK745</f>
        <v/>
      </c>
      <c r="CL746">
        <f>$C746*CL745</f>
        <v/>
      </c>
      <c r="CM746">
        <f>$C746*CM745</f>
        <v/>
      </c>
      <c r="CN746">
        <f>$C746*CN745</f>
        <v/>
      </c>
      <c r="CO746">
        <f>$C746*CO745</f>
        <v/>
      </c>
      <c r="CP746">
        <f>$C746*CP745</f>
        <v/>
      </c>
      <c r="CQ746">
        <f>$C746*CQ745</f>
        <v/>
      </c>
      <c r="CR746">
        <f>$C746*CR745</f>
        <v/>
      </c>
      <c r="CS746">
        <f>$C746*CS745</f>
        <v/>
      </c>
      <c r="CT746">
        <f>$C746*CT745</f>
        <v/>
      </c>
      <c r="CU746">
        <f>$C746*CU745</f>
        <v/>
      </c>
      <c r="CV746">
        <f>$C746*CV745</f>
        <v/>
      </c>
      <c r="CW746">
        <f>$C746*CW745</f>
        <v/>
      </c>
      <c r="CX746">
        <f>$C746*CX745</f>
        <v/>
      </c>
      <c r="CY746">
        <f>$C746*CY745</f>
        <v/>
      </c>
      <c r="CZ746">
        <f>$C746*CZ745</f>
        <v/>
      </c>
      <c r="DA746">
        <f>$C746*DA745</f>
        <v/>
      </c>
      <c r="DB746">
        <f>$C746*DB745</f>
        <v/>
      </c>
      <c r="DC746">
        <f>$C746*DC745</f>
        <v/>
      </c>
    </row>
    <row r="747">
      <c r="B747" t="inlineStr">
        <is>
          <t>TPP-650</t>
        </is>
      </c>
      <c r="C747" t="inlineStr">
        <is>
          <t>No. of batches</t>
        </is>
      </c>
      <c r="D747">
        <f>IFERROR(INDEX(PP_Grid[#Data],$DD747,2),0)</f>
        <v/>
      </c>
      <c r="E747">
        <f>IFERROR(INDEX(PP_Grid[#Data],$DD747,3),0)</f>
        <v/>
      </c>
      <c r="F747">
        <f>IFERROR(INDEX(PP_Grid[#Data],$DD747,4),0)</f>
        <v/>
      </c>
      <c r="G747">
        <f>IFERROR(INDEX(PP_Grid[#Data],$DD747,5),0)</f>
        <v/>
      </c>
      <c r="H747">
        <f>IFERROR(INDEX(PP_Grid[#Data],$DD747,6),0)</f>
        <v/>
      </c>
      <c r="I747">
        <f>IFERROR(INDEX(PP_Grid[#Data],$DD747,7),0)</f>
        <v/>
      </c>
      <c r="J747">
        <f>IFERROR(INDEX(PP_Grid[#Data],$DD747,8),0)</f>
        <v/>
      </c>
      <c r="K747">
        <f>IFERROR(INDEX(PP_Grid[#Data],$DD747,9),0)</f>
        <v/>
      </c>
      <c r="L747">
        <f>IFERROR(INDEX(PP_Grid[#Data],$DD747,10),0)</f>
        <v/>
      </c>
      <c r="M747">
        <f>IFERROR(INDEX(PP_Grid[#Data],$DD747,11),0)</f>
        <v/>
      </c>
      <c r="N747">
        <f>IFERROR(INDEX(PP_Grid[#Data],$DD747,12),0)</f>
        <v/>
      </c>
      <c r="O747">
        <f>IFERROR(INDEX(PP_Grid[#Data],$DD747,13),0)</f>
        <v/>
      </c>
      <c r="P747">
        <f>IFERROR(INDEX(PP_Grid[#Data],$DD747,14),0)</f>
        <v/>
      </c>
      <c r="Q747">
        <f>IFERROR(INDEX(PP_Grid[#Data],$DD747,15),0)</f>
        <v/>
      </c>
      <c r="R747">
        <f>IFERROR(INDEX(PP_Grid[#Data],$DD747,16),0)</f>
        <v/>
      </c>
      <c r="S747">
        <f>IFERROR(INDEX(PP_Grid[#Data],$DD747,17),0)</f>
        <v/>
      </c>
      <c r="T747">
        <f>IFERROR(INDEX(PP_Grid[#Data],$DD747,18),0)</f>
        <v/>
      </c>
      <c r="U747">
        <f>IFERROR(INDEX(PP_Grid[#Data],$DD747,19),0)</f>
        <v/>
      </c>
      <c r="V747">
        <f>IFERROR(INDEX(PP_Grid[#Data],$DD747,20),0)</f>
        <v/>
      </c>
      <c r="W747">
        <f>IFERROR(INDEX(PP_Grid[#Data],$DD747,21),0)</f>
        <v/>
      </c>
      <c r="X747">
        <f>IFERROR(INDEX(PP_Grid[#Data],$DD747,22),0)</f>
        <v/>
      </c>
      <c r="Y747">
        <f>IFERROR(INDEX(PP_Grid[#Data],$DD747,23),0)</f>
        <v/>
      </c>
      <c r="Z747">
        <f>IFERROR(INDEX(PP_Grid[#Data],$DD747,24),0)</f>
        <v/>
      </c>
      <c r="AA747">
        <f>IFERROR(INDEX(PP_Grid[#Data],$DD747,25),0)</f>
        <v/>
      </c>
      <c r="AB747">
        <f>IFERROR(INDEX(PP_Grid[#Data],$DD747,26),0)</f>
        <v/>
      </c>
      <c r="AC747">
        <f>IFERROR(INDEX(PP_Grid[#Data],$DD747,27),0)</f>
        <v/>
      </c>
      <c r="AD747">
        <f>IFERROR(INDEX(PP_Grid[#Data],$DD747,28),0)</f>
        <v/>
      </c>
      <c r="AE747">
        <f>IFERROR(INDEX(PP_Grid[#Data],$DD747,29),0)</f>
        <v/>
      </c>
      <c r="AF747">
        <f>IFERROR(INDEX(PP_Grid[#Data],$DD747,30),0)</f>
        <v/>
      </c>
      <c r="AG747">
        <f>IFERROR(INDEX(PP_Grid[#Data],$DD747,31),0)</f>
        <v/>
      </c>
      <c r="AH747">
        <f>IFERROR(INDEX(PP_Grid[#Data],$DD747,32),0)</f>
        <v/>
      </c>
      <c r="AI747">
        <f>IFERROR(INDEX(PP_Grid[#Data],$DD747,33),0)</f>
        <v/>
      </c>
      <c r="AJ747">
        <f>IFERROR(INDEX(PP_Grid[#Data],$DD747,34),0)</f>
        <v/>
      </c>
      <c r="AK747">
        <f>IFERROR(INDEX(PP_Grid[#Data],$DD747,35),0)</f>
        <v/>
      </c>
      <c r="AL747">
        <f>IFERROR(INDEX(PP_Grid[#Data],$DD747,36),0)</f>
        <v/>
      </c>
      <c r="AM747">
        <f>IFERROR(INDEX(PP_Grid[#Data],$DD747,37),0)</f>
        <v/>
      </c>
      <c r="AN747">
        <f>IFERROR(INDEX(PP_Grid[#Data],$DD747,38),0)</f>
        <v/>
      </c>
      <c r="AO747">
        <f>IFERROR(INDEX(PP_Grid[#Data],$DD747,39),0)</f>
        <v/>
      </c>
      <c r="AP747">
        <f>IFERROR(INDEX(PP_Grid[#Data],$DD747,40),0)</f>
        <v/>
      </c>
      <c r="AQ747">
        <f>IFERROR(INDEX(PP_Grid[#Data],$DD747,41),0)</f>
        <v/>
      </c>
      <c r="AR747">
        <f>IFERROR(INDEX(PP_Grid[#Data],$DD747,42),0)</f>
        <v/>
      </c>
      <c r="AS747">
        <f>IFERROR(INDEX(PP_Grid[#Data],$DD747,43),0)</f>
        <v/>
      </c>
      <c r="AT747">
        <f>IFERROR(INDEX(PP_Grid[#Data],$DD747,44),0)</f>
        <v/>
      </c>
      <c r="AU747">
        <f>IFERROR(INDEX(PP_Grid[#Data],$DD747,45),0)</f>
        <v/>
      </c>
      <c r="AV747">
        <f>IFERROR(INDEX(PP_Grid[#Data],$DD747,46),0)</f>
        <v/>
      </c>
      <c r="AW747">
        <f>IFERROR(INDEX(PP_Grid[#Data],$DD747,47),0)</f>
        <v/>
      </c>
      <c r="AX747">
        <f>IFERROR(INDEX(PP_Grid[#Data],$DD747,48),0)</f>
        <v/>
      </c>
      <c r="AY747">
        <f>IFERROR(INDEX(PP_Grid[#Data],$DD747,49),0)</f>
        <v/>
      </c>
      <c r="AZ747">
        <f>IFERROR(INDEX(PP_Grid[#Data],$DD747,50),0)</f>
        <v/>
      </c>
      <c r="BA747">
        <f>IFERROR(INDEX(PP_Grid[#Data],$DD747,51),0)</f>
        <v/>
      </c>
      <c r="BB747">
        <f>IFERROR(INDEX(PP_Grid[#Data],$DD747,52),0)</f>
        <v/>
      </c>
      <c r="BC747">
        <f>IFERROR(INDEX(PP_Grid[#Data],$DD747,53),0)</f>
        <v/>
      </c>
      <c r="BD747">
        <f>IFERROR(INDEX(PP_Grid[#Data],$DD747,54),0)</f>
        <v/>
      </c>
      <c r="BE747">
        <f>IFERROR(INDEX(PP_Grid[#Data],$DD747,55),0)</f>
        <v/>
      </c>
      <c r="BF747">
        <f>IFERROR(INDEX(PP_Grid[#Data],$DD747,56),0)</f>
        <v/>
      </c>
      <c r="BG747">
        <f>IFERROR(INDEX(PP_Grid[#Data],$DD747,57),0)</f>
        <v/>
      </c>
      <c r="BH747">
        <f>IFERROR(INDEX(PP_Grid[#Data],$DD747,58),0)</f>
        <v/>
      </c>
      <c r="BI747">
        <f>IFERROR(INDEX(PP_Grid[#Data],$DD747,59),0)</f>
        <v/>
      </c>
      <c r="BJ747">
        <f>IFERROR(INDEX(PP_Grid[#Data],$DD747,60),0)</f>
        <v/>
      </c>
      <c r="BK747">
        <f>IFERROR(INDEX(PP_Grid[#Data],$DD747,61),0)</f>
        <v/>
      </c>
      <c r="BL747">
        <f>IFERROR(INDEX(PP_Grid[#Data],$DD747,62),0)</f>
        <v/>
      </c>
      <c r="BM747">
        <f>IFERROR(INDEX(PP_Grid[#Data],$DD747,63),0)</f>
        <v/>
      </c>
      <c r="BN747">
        <f>IFERROR(INDEX(PP_Grid[#Data],$DD747,64),0)</f>
        <v/>
      </c>
      <c r="BO747">
        <f>IFERROR(INDEX(PP_Grid[#Data],$DD747,65),0)</f>
        <v/>
      </c>
      <c r="BP747">
        <f>IFERROR(INDEX(PP_Grid[#Data],$DD747,66),0)</f>
        <v/>
      </c>
      <c r="BQ747">
        <f>IFERROR(INDEX(PP_Grid[#Data],$DD747,67),0)</f>
        <v/>
      </c>
      <c r="BR747">
        <f>IFERROR(INDEX(PP_Grid[#Data],$DD747,68),0)</f>
        <v/>
      </c>
      <c r="BS747">
        <f>IFERROR(INDEX(PP_Grid[#Data],$DD747,69),0)</f>
        <v/>
      </c>
      <c r="BT747">
        <f>IFERROR(INDEX(PP_Grid[#Data],$DD747,70),0)</f>
        <v/>
      </c>
      <c r="BU747">
        <f>IFERROR(INDEX(PP_Grid[#Data],$DD747,71),0)</f>
        <v/>
      </c>
      <c r="BV747">
        <f>IFERROR(INDEX(PP_Grid[#Data],$DD747,72),0)</f>
        <v/>
      </c>
      <c r="BW747">
        <f>IFERROR(INDEX(PP_Grid[#Data],$DD747,73),0)</f>
        <v/>
      </c>
      <c r="BX747">
        <f>IFERROR(INDEX(PP_Grid[#Data],$DD747,74),0)</f>
        <v/>
      </c>
      <c r="BY747">
        <f>IFERROR(INDEX(PP_Grid[#Data],$DD747,75),0)</f>
        <v/>
      </c>
      <c r="BZ747">
        <f>IFERROR(INDEX(PP_Grid[#Data],$DD747,76),0)</f>
        <v/>
      </c>
      <c r="CA747">
        <f>IFERROR(INDEX(PP_Grid[#Data],$DD747,77),0)</f>
        <v/>
      </c>
      <c r="CB747">
        <f>IFERROR(INDEX(PP_Grid[#Data],$DD747,78),0)</f>
        <v/>
      </c>
      <c r="CC747">
        <f>IFERROR(INDEX(PP_Grid[#Data],$DD747,79),0)</f>
        <v/>
      </c>
      <c r="CD747">
        <f>IFERROR(INDEX(PP_Grid[#Data],$DD747,80),0)</f>
        <v/>
      </c>
      <c r="CE747">
        <f>IFERROR(INDEX(PP_Grid[#Data],$DD747,81),0)</f>
        <v/>
      </c>
      <c r="CF747">
        <f>IFERROR(INDEX(PP_Grid[#Data],$DD747,82),0)</f>
        <v/>
      </c>
      <c r="CG747">
        <f>IFERROR(INDEX(PP_Grid[#Data],$DD747,83),0)</f>
        <v/>
      </c>
      <c r="CH747">
        <f>IFERROR(INDEX(PP_Grid[#Data],$DD747,84),0)</f>
        <v/>
      </c>
      <c r="CI747">
        <f>IFERROR(INDEX(PP_Grid[#Data],$DD747,85),0)</f>
        <v/>
      </c>
      <c r="CJ747">
        <f>IFERROR(INDEX(PP_Grid[#Data],$DD747,86),0)</f>
        <v/>
      </c>
      <c r="CK747">
        <f>IFERROR(INDEX(PP_Grid[#Data],$DD747,87),0)</f>
        <v/>
      </c>
      <c r="CL747">
        <f>IFERROR(INDEX(PP_Grid[#Data],$DD747,88),0)</f>
        <v/>
      </c>
      <c r="CM747">
        <f>IFERROR(INDEX(PP_Grid[#Data],$DD747,89),0)</f>
        <v/>
      </c>
      <c r="CN747">
        <f>IFERROR(INDEX(PP_Grid[#Data],$DD747,90),0)</f>
        <v/>
      </c>
      <c r="CO747">
        <f>IFERROR(INDEX(PP_Grid[#Data],$DD747,91),0)</f>
        <v/>
      </c>
      <c r="CP747">
        <f>IFERROR(INDEX(PP_Grid[#Data],$DD747,92),0)</f>
        <v/>
      </c>
      <c r="CQ747">
        <f>IFERROR(INDEX(PP_Grid[#Data],$DD747,93),0)</f>
        <v/>
      </c>
      <c r="CR747">
        <f>IFERROR(INDEX(PP_Grid[#Data],$DD747,94),0)</f>
        <v/>
      </c>
      <c r="CS747">
        <f>IFERROR(INDEX(PP_Grid[#Data],$DD747,95),0)</f>
        <v/>
      </c>
      <c r="CT747">
        <f>IFERROR(INDEX(PP_Grid[#Data],$DD747,96),0)</f>
        <v/>
      </c>
      <c r="CU747">
        <f>IFERROR(INDEX(PP_Grid[#Data],$DD747,97),0)</f>
        <v/>
      </c>
      <c r="CV747">
        <f>IFERROR(INDEX(PP_Grid[#Data],$DD747,98),0)</f>
        <v/>
      </c>
      <c r="CW747">
        <f>IFERROR(INDEX(PP_Grid[#Data],$DD747,99),0)</f>
        <v/>
      </c>
      <c r="CX747">
        <f>IFERROR(INDEX(PP_Grid[#Data],$DD747,100),0)</f>
        <v/>
      </c>
      <c r="CY747">
        <f>IFERROR(INDEX(PP_Grid[#Data],$DD747,101),0)</f>
        <v/>
      </c>
      <c r="CZ747">
        <f>IFERROR(INDEX(PP_Grid[#Data],$DD747,102),0)</f>
        <v/>
      </c>
      <c r="DA747">
        <f>IFERROR(INDEX(PP_Grid[#Data],$DD747,103),0)</f>
        <v/>
      </c>
      <c r="DB747">
        <f>IFERROR(INDEX(PP_Grid[#Data],$DD747,104),0)</f>
        <v/>
      </c>
      <c r="DC747">
        <f>IFERROR(INDEX(PP_Grid[#Data],$DD747,105),0)</f>
        <v/>
      </c>
      <c r="DD747" s="7">
        <f>IFERROR(MATCH($B747,PP_Grid[Intermediate],0),99999)</f>
        <v/>
      </c>
    </row>
    <row r="748">
      <c r="B748" t="inlineStr">
        <is>
          <t>使用量(kg)</t>
        </is>
      </c>
      <c r="C748">
        <f>SUMIFS(M_BOM[RM_Qty_Per_Batch],M_BOM[Intermediate],$B747,M_BOM[Part Name],$A710)</f>
        <v/>
      </c>
      <c r="D748">
        <f>$C748*D747</f>
        <v/>
      </c>
      <c r="E748">
        <f>$C748*E747</f>
        <v/>
      </c>
      <c r="F748">
        <f>$C748*F747</f>
        <v/>
      </c>
      <c r="G748">
        <f>$C748*G747</f>
        <v/>
      </c>
      <c r="H748">
        <f>$C748*H747</f>
        <v/>
      </c>
      <c r="I748">
        <f>$C748*I747</f>
        <v/>
      </c>
      <c r="J748">
        <f>$C748*J747</f>
        <v/>
      </c>
      <c r="K748">
        <f>$C748*K747</f>
        <v/>
      </c>
      <c r="L748">
        <f>$C748*L747</f>
        <v/>
      </c>
      <c r="M748">
        <f>$C748*M747</f>
        <v/>
      </c>
      <c r="N748">
        <f>$C748*N747</f>
        <v/>
      </c>
      <c r="O748">
        <f>$C748*O747</f>
        <v/>
      </c>
      <c r="P748">
        <f>$C748*P747</f>
        <v/>
      </c>
      <c r="Q748">
        <f>$C748*Q747</f>
        <v/>
      </c>
      <c r="R748">
        <f>$C748*R747</f>
        <v/>
      </c>
      <c r="S748">
        <f>$C748*S747</f>
        <v/>
      </c>
      <c r="T748">
        <f>$C748*T747</f>
        <v/>
      </c>
      <c r="U748">
        <f>$C748*U747</f>
        <v/>
      </c>
      <c r="V748">
        <f>$C748*V747</f>
        <v/>
      </c>
      <c r="W748">
        <f>$C748*W747</f>
        <v/>
      </c>
      <c r="X748">
        <f>$C748*X747</f>
        <v/>
      </c>
      <c r="Y748">
        <f>$C748*Y747</f>
        <v/>
      </c>
      <c r="Z748">
        <f>$C748*Z747</f>
        <v/>
      </c>
      <c r="AA748">
        <f>$C748*AA747</f>
        <v/>
      </c>
      <c r="AB748">
        <f>$C748*AB747</f>
        <v/>
      </c>
      <c r="AC748">
        <f>$C748*AC747</f>
        <v/>
      </c>
      <c r="AD748">
        <f>$C748*AD747</f>
        <v/>
      </c>
      <c r="AE748">
        <f>$C748*AE747</f>
        <v/>
      </c>
      <c r="AF748">
        <f>$C748*AF747</f>
        <v/>
      </c>
      <c r="AG748">
        <f>$C748*AG747</f>
        <v/>
      </c>
      <c r="AH748">
        <f>$C748*AH747</f>
        <v/>
      </c>
      <c r="AI748">
        <f>$C748*AI747</f>
        <v/>
      </c>
      <c r="AJ748">
        <f>$C748*AJ747</f>
        <v/>
      </c>
      <c r="AK748">
        <f>$C748*AK747</f>
        <v/>
      </c>
      <c r="AL748">
        <f>$C748*AL747</f>
        <v/>
      </c>
      <c r="AM748">
        <f>$C748*AM747</f>
        <v/>
      </c>
      <c r="AN748">
        <f>$C748*AN747</f>
        <v/>
      </c>
      <c r="AO748">
        <f>$C748*AO747</f>
        <v/>
      </c>
      <c r="AP748">
        <f>$C748*AP747</f>
        <v/>
      </c>
      <c r="AQ748">
        <f>$C748*AQ747</f>
        <v/>
      </c>
      <c r="AR748">
        <f>$C748*AR747</f>
        <v/>
      </c>
      <c r="AS748">
        <f>$C748*AS747</f>
        <v/>
      </c>
      <c r="AT748">
        <f>$C748*AT747</f>
        <v/>
      </c>
      <c r="AU748">
        <f>$C748*AU747</f>
        <v/>
      </c>
      <c r="AV748">
        <f>$C748*AV747</f>
        <v/>
      </c>
      <c r="AW748">
        <f>$C748*AW747</f>
        <v/>
      </c>
      <c r="AX748">
        <f>$C748*AX747</f>
        <v/>
      </c>
      <c r="AY748">
        <f>$C748*AY747</f>
        <v/>
      </c>
      <c r="AZ748">
        <f>$C748*AZ747</f>
        <v/>
      </c>
      <c r="BA748">
        <f>$C748*BA747</f>
        <v/>
      </c>
      <c r="BB748">
        <f>$C748*BB747</f>
        <v/>
      </c>
      <c r="BC748">
        <f>$C748*BC747</f>
        <v/>
      </c>
      <c r="BD748">
        <f>$C748*BD747</f>
        <v/>
      </c>
      <c r="BE748">
        <f>$C748*BE747</f>
        <v/>
      </c>
      <c r="BF748">
        <f>$C748*BF747</f>
        <v/>
      </c>
      <c r="BG748">
        <f>$C748*BG747</f>
        <v/>
      </c>
      <c r="BH748">
        <f>$C748*BH747</f>
        <v/>
      </c>
      <c r="BI748">
        <f>$C748*BI747</f>
        <v/>
      </c>
      <c r="BJ748">
        <f>$C748*BJ747</f>
        <v/>
      </c>
      <c r="BK748">
        <f>$C748*BK747</f>
        <v/>
      </c>
      <c r="BL748">
        <f>$C748*BL747</f>
        <v/>
      </c>
      <c r="BM748">
        <f>$C748*BM747</f>
        <v/>
      </c>
      <c r="BN748">
        <f>$C748*BN747</f>
        <v/>
      </c>
      <c r="BO748">
        <f>$C748*BO747</f>
        <v/>
      </c>
      <c r="BP748">
        <f>$C748*BP747</f>
        <v/>
      </c>
      <c r="BQ748">
        <f>$C748*BQ747</f>
        <v/>
      </c>
      <c r="BR748">
        <f>$C748*BR747</f>
        <v/>
      </c>
      <c r="BS748">
        <f>$C748*BS747</f>
        <v/>
      </c>
      <c r="BT748">
        <f>$C748*BT747</f>
        <v/>
      </c>
      <c r="BU748">
        <f>$C748*BU747</f>
        <v/>
      </c>
      <c r="BV748">
        <f>$C748*BV747</f>
        <v/>
      </c>
      <c r="BW748">
        <f>$C748*BW747</f>
        <v/>
      </c>
      <c r="BX748">
        <f>$C748*BX747</f>
        <v/>
      </c>
      <c r="BY748">
        <f>$C748*BY747</f>
        <v/>
      </c>
      <c r="BZ748">
        <f>$C748*BZ747</f>
        <v/>
      </c>
      <c r="CA748">
        <f>$C748*CA747</f>
        <v/>
      </c>
      <c r="CB748">
        <f>$C748*CB747</f>
        <v/>
      </c>
      <c r="CC748">
        <f>$C748*CC747</f>
        <v/>
      </c>
      <c r="CD748">
        <f>$C748*CD747</f>
        <v/>
      </c>
      <c r="CE748">
        <f>$C748*CE747</f>
        <v/>
      </c>
      <c r="CF748">
        <f>$C748*CF747</f>
        <v/>
      </c>
      <c r="CG748">
        <f>$C748*CG747</f>
        <v/>
      </c>
      <c r="CH748">
        <f>$C748*CH747</f>
        <v/>
      </c>
      <c r="CI748">
        <f>$C748*CI747</f>
        <v/>
      </c>
      <c r="CJ748">
        <f>$C748*CJ747</f>
        <v/>
      </c>
      <c r="CK748">
        <f>$C748*CK747</f>
        <v/>
      </c>
      <c r="CL748">
        <f>$C748*CL747</f>
        <v/>
      </c>
      <c r="CM748">
        <f>$C748*CM747</f>
        <v/>
      </c>
      <c r="CN748">
        <f>$C748*CN747</f>
        <v/>
      </c>
      <c r="CO748">
        <f>$C748*CO747</f>
        <v/>
      </c>
      <c r="CP748">
        <f>$C748*CP747</f>
        <v/>
      </c>
      <c r="CQ748">
        <f>$C748*CQ747</f>
        <v/>
      </c>
      <c r="CR748">
        <f>$C748*CR747</f>
        <v/>
      </c>
      <c r="CS748">
        <f>$C748*CS747</f>
        <v/>
      </c>
      <c r="CT748">
        <f>$C748*CT747</f>
        <v/>
      </c>
      <c r="CU748">
        <f>$C748*CU747</f>
        <v/>
      </c>
      <c r="CV748">
        <f>$C748*CV747</f>
        <v/>
      </c>
      <c r="CW748">
        <f>$C748*CW747</f>
        <v/>
      </c>
      <c r="CX748">
        <f>$C748*CX747</f>
        <v/>
      </c>
      <c r="CY748">
        <f>$C748*CY747</f>
        <v/>
      </c>
      <c r="CZ748">
        <f>$C748*CZ747</f>
        <v/>
      </c>
      <c r="DA748">
        <f>$C748*DA747</f>
        <v/>
      </c>
      <c r="DB748">
        <f>$C748*DB747</f>
        <v/>
      </c>
      <c r="DC748">
        <f>$C748*DC747</f>
        <v/>
      </c>
    </row>
    <row r="749">
      <c r="B749" t="inlineStr">
        <is>
          <t>No of times used</t>
        </is>
      </c>
      <c r="C749" t="inlineStr">
        <is>
          <t>No. of batches</t>
        </is>
      </c>
      <c r="D749">
        <f>IFERROR(INDEX(PP_Grid[#Data],$DD749,2),0)</f>
        <v/>
      </c>
      <c r="E749">
        <f>IFERROR(INDEX(PP_Grid[#Data],$DD749,3),0)</f>
        <v/>
      </c>
      <c r="F749">
        <f>IFERROR(INDEX(PP_Grid[#Data],$DD749,4),0)</f>
        <v/>
      </c>
      <c r="G749">
        <f>IFERROR(INDEX(PP_Grid[#Data],$DD749,5),0)</f>
        <v/>
      </c>
      <c r="H749">
        <f>IFERROR(INDEX(PP_Grid[#Data],$DD749,6),0)</f>
        <v/>
      </c>
      <c r="I749">
        <f>IFERROR(INDEX(PP_Grid[#Data],$DD749,7),0)</f>
        <v/>
      </c>
      <c r="J749">
        <f>IFERROR(INDEX(PP_Grid[#Data],$DD749,8),0)</f>
        <v/>
      </c>
      <c r="K749">
        <f>IFERROR(INDEX(PP_Grid[#Data],$DD749,9),0)</f>
        <v/>
      </c>
      <c r="L749">
        <f>IFERROR(INDEX(PP_Grid[#Data],$DD749,10),0)</f>
        <v/>
      </c>
      <c r="M749">
        <f>IFERROR(INDEX(PP_Grid[#Data],$DD749,11),0)</f>
        <v/>
      </c>
      <c r="N749">
        <f>IFERROR(INDEX(PP_Grid[#Data],$DD749,12),0)</f>
        <v/>
      </c>
      <c r="O749">
        <f>IFERROR(INDEX(PP_Grid[#Data],$DD749,13),0)</f>
        <v/>
      </c>
      <c r="P749">
        <f>IFERROR(INDEX(PP_Grid[#Data],$DD749,14),0)</f>
        <v/>
      </c>
      <c r="Q749">
        <f>IFERROR(INDEX(PP_Grid[#Data],$DD749,15),0)</f>
        <v/>
      </c>
      <c r="R749">
        <f>IFERROR(INDEX(PP_Grid[#Data],$DD749,16),0)</f>
        <v/>
      </c>
      <c r="S749">
        <f>IFERROR(INDEX(PP_Grid[#Data],$DD749,17),0)</f>
        <v/>
      </c>
      <c r="T749">
        <f>IFERROR(INDEX(PP_Grid[#Data],$DD749,18),0)</f>
        <v/>
      </c>
      <c r="U749">
        <f>IFERROR(INDEX(PP_Grid[#Data],$DD749,19),0)</f>
        <v/>
      </c>
      <c r="V749">
        <f>IFERROR(INDEX(PP_Grid[#Data],$DD749,20),0)</f>
        <v/>
      </c>
      <c r="W749">
        <f>IFERROR(INDEX(PP_Grid[#Data],$DD749,21),0)</f>
        <v/>
      </c>
      <c r="X749">
        <f>IFERROR(INDEX(PP_Grid[#Data],$DD749,22),0)</f>
        <v/>
      </c>
      <c r="Y749">
        <f>IFERROR(INDEX(PP_Grid[#Data],$DD749,23),0)</f>
        <v/>
      </c>
      <c r="Z749">
        <f>IFERROR(INDEX(PP_Grid[#Data],$DD749,24),0)</f>
        <v/>
      </c>
      <c r="AA749">
        <f>IFERROR(INDEX(PP_Grid[#Data],$DD749,25),0)</f>
        <v/>
      </c>
      <c r="AB749">
        <f>IFERROR(INDEX(PP_Grid[#Data],$DD749,26),0)</f>
        <v/>
      </c>
      <c r="AC749">
        <f>IFERROR(INDEX(PP_Grid[#Data],$DD749,27),0)</f>
        <v/>
      </c>
      <c r="AD749">
        <f>IFERROR(INDEX(PP_Grid[#Data],$DD749,28),0)</f>
        <v/>
      </c>
      <c r="AE749">
        <f>IFERROR(INDEX(PP_Grid[#Data],$DD749,29),0)</f>
        <v/>
      </c>
      <c r="AF749">
        <f>IFERROR(INDEX(PP_Grid[#Data],$DD749,30),0)</f>
        <v/>
      </c>
      <c r="AG749">
        <f>IFERROR(INDEX(PP_Grid[#Data],$DD749,31),0)</f>
        <v/>
      </c>
      <c r="AH749">
        <f>IFERROR(INDEX(PP_Grid[#Data],$DD749,32),0)</f>
        <v/>
      </c>
      <c r="AI749">
        <f>IFERROR(INDEX(PP_Grid[#Data],$DD749,33),0)</f>
        <v/>
      </c>
      <c r="AJ749">
        <f>IFERROR(INDEX(PP_Grid[#Data],$DD749,34),0)</f>
        <v/>
      </c>
      <c r="AK749">
        <f>IFERROR(INDEX(PP_Grid[#Data],$DD749,35),0)</f>
        <v/>
      </c>
      <c r="AL749">
        <f>IFERROR(INDEX(PP_Grid[#Data],$DD749,36),0)</f>
        <v/>
      </c>
      <c r="AM749">
        <f>IFERROR(INDEX(PP_Grid[#Data],$DD749,37),0)</f>
        <v/>
      </c>
      <c r="AN749">
        <f>IFERROR(INDEX(PP_Grid[#Data],$DD749,38),0)</f>
        <v/>
      </c>
      <c r="AO749">
        <f>IFERROR(INDEX(PP_Grid[#Data],$DD749,39),0)</f>
        <v/>
      </c>
      <c r="AP749">
        <f>IFERROR(INDEX(PP_Grid[#Data],$DD749,40),0)</f>
        <v/>
      </c>
      <c r="AQ749">
        <f>IFERROR(INDEX(PP_Grid[#Data],$DD749,41),0)</f>
        <v/>
      </c>
      <c r="AR749">
        <f>IFERROR(INDEX(PP_Grid[#Data],$DD749,42),0)</f>
        <v/>
      </c>
      <c r="AS749">
        <f>IFERROR(INDEX(PP_Grid[#Data],$DD749,43),0)</f>
        <v/>
      </c>
      <c r="AT749">
        <f>IFERROR(INDEX(PP_Grid[#Data],$DD749,44),0)</f>
        <v/>
      </c>
      <c r="AU749">
        <f>IFERROR(INDEX(PP_Grid[#Data],$DD749,45),0)</f>
        <v/>
      </c>
      <c r="AV749">
        <f>IFERROR(INDEX(PP_Grid[#Data],$DD749,46),0)</f>
        <v/>
      </c>
      <c r="AW749">
        <f>IFERROR(INDEX(PP_Grid[#Data],$DD749,47),0)</f>
        <v/>
      </c>
      <c r="AX749">
        <f>IFERROR(INDEX(PP_Grid[#Data],$DD749,48),0)</f>
        <v/>
      </c>
      <c r="AY749">
        <f>IFERROR(INDEX(PP_Grid[#Data],$DD749,49),0)</f>
        <v/>
      </c>
      <c r="AZ749">
        <f>IFERROR(INDEX(PP_Grid[#Data],$DD749,50),0)</f>
        <v/>
      </c>
      <c r="BA749">
        <f>IFERROR(INDEX(PP_Grid[#Data],$DD749,51),0)</f>
        <v/>
      </c>
      <c r="BB749">
        <f>IFERROR(INDEX(PP_Grid[#Data],$DD749,52),0)</f>
        <v/>
      </c>
      <c r="BC749">
        <f>IFERROR(INDEX(PP_Grid[#Data],$DD749,53),0)</f>
        <v/>
      </c>
      <c r="BD749">
        <f>IFERROR(INDEX(PP_Grid[#Data],$DD749,54),0)</f>
        <v/>
      </c>
      <c r="BE749">
        <f>IFERROR(INDEX(PP_Grid[#Data],$DD749,55),0)</f>
        <v/>
      </c>
      <c r="BF749">
        <f>IFERROR(INDEX(PP_Grid[#Data],$DD749,56),0)</f>
        <v/>
      </c>
      <c r="BG749">
        <f>IFERROR(INDEX(PP_Grid[#Data],$DD749,57),0)</f>
        <v/>
      </c>
      <c r="BH749">
        <f>IFERROR(INDEX(PP_Grid[#Data],$DD749,58),0)</f>
        <v/>
      </c>
      <c r="BI749">
        <f>IFERROR(INDEX(PP_Grid[#Data],$DD749,59),0)</f>
        <v/>
      </c>
      <c r="BJ749">
        <f>IFERROR(INDEX(PP_Grid[#Data],$DD749,60),0)</f>
        <v/>
      </c>
      <c r="BK749">
        <f>IFERROR(INDEX(PP_Grid[#Data],$DD749,61),0)</f>
        <v/>
      </c>
      <c r="BL749">
        <f>IFERROR(INDEX(PP_Grid[#Data],$DD749,62),0)</f>
        <v/>
      </c>
      <c r="BM749">
        <f>IFERROR(INDEX(PP_Grid[#Data],$DD749,63),0)</f>
        <v/>
      </c>
      <c r="BN749">
        <f>IFERROR(INDEX(PP_Grid[#Data],$DD749,64),0)</f>
        <v/>
      </c>
      <c r="BO749">
        <f>IFERROR(INDEX(PP_Grid[#Data],$DD749,65),0)</f>
        <v/>
      </c>
      <c r="BP749">
        <f>IFERROR(INDEX(PP_Grid[#Data],$DD749,66),0)</f>
        <v/>
      </c>
      <c r="BQ749">
        <f>IFERROR(INDEX(PP_Grid[#Data],$DD749,67),0)</f>
        <v/>
      </c>
      <c r="BR749">
        <f>IFERROR(INDEX(PP_Grid[#Data],$DD749,68),0)</f>
        <v/>
      </c>
      <c r="BS749">
        <f>IFERROR(INDEX(PP_Grid[#Data],$DD749,69),0)</f>
        <v/>
      </c>
      <c r="BT749">
        <f>IFERROR(INDEX(PP_Grid[#Data],$DD749,70),0)</f>
        <v/>
      </c>
      <c r="BU749">
        <f>IFERROR(INDEX(PP_Grid[#Data],$DD749,71),0)</f>
        <v/>
      </c>
      <c r="BV749">
        <f>IFERROR(INDEX(PP_Grid[#Data],$DD749,72),0)</f>
        <v/>
      </c>
      <c r="BW749">
        <f>IFERROR(INDEX(PP_Grid[#Data],$DD749,73),0)</f>
        <v/>
      </c>
      <c r="BX749">
        <f>IFERROR(INDEX(PP_Grid[#Data],$DD749,74),0)</f>
        <v/>
      </c>
      <c r="BY749">
        <f>IFERROR(INDEX(PP_Grid[#Data],$DD749,75),0)</f>
        <v/>
      </c>
      <c r="BZ749">
        <f>IFERROR(INDEX(PP_Grid[#Data],$DD749,76),0)</f>
        <v/>
      </c>
      <c r="CA749">
        <f>IFERROR(INDEX(PP_Grid[#Data],$DD749,77),0)</f>
        <v/>
      </c>
      <c r="CB749">
        <f>IFERROR(INDEX(PP_Grid[#Data],$DD749,78),0)</f>
        <v/>
      </c>
      <c r="CC749">
        <f>IFERROR(INDEX(PP_Grid[#Data],$DD749,79),0)</f>
        <v/>
      </c>
      <c r="CD749">
        <f>IFERROR(INDEX(PP_Grid[#Data],$DD749,80),0)</f>
        <v/>
      </c>
      <c r="CE749">
        <f>IFERROR(INDEX(PP_Grid[#Data],$DD749,81),0)</f>
        <v/>
      </c>
      <c r="CF749">
        <f>IFERROR(INDEX(PP_Grid[#Data],$DD749,82),0)</f>
        <v/>
      </c>
      <c r="CG749">
        <f>IFERROR(INDEX(PP_Grid[#Data],$DD749,83),0)</f>
        <v/>
      </c>
      <c r="CH749">
        <f>IFERROR(INDEX(PP_Grid[#Data],$DD749,84),0)</f>
        <v/>
      </c>
      <c r="CI749">
        <f>IFERROR(INDEX(PP_Grid[#Data],$DD749,85),0)</f>
        <v/>
      </c>
      <c r="CJ749">
        <f>IFERROR(INDEX(PP_Grid[#Data],$DD749,86),0)</f>
        <v/>
      </c>
      <c r="CK749">
        <f>IFERROR(INDEX(PP_Grid[#Data],$DD749,87),0)</f>
        <v/>
      </c>
      <c r="CL749">
        <f>IFERROR(INDEX(PP_Grid[#Data],$DD749,88),0)</f>
        <v/>
      </c>
      <c r="CM749">
        <f>IFERROR(INDEX(PP_Grid[#Data],$DD749,89),0)</f>
        <v/>
      </c>
      <c r="CN749">
        <f>IFERROR(INDEX(PP_Grid[#Data],$DD749,90),0)</f>
        <v/>
      </c>
      <c r="CO749">
        <f>IFERROR(INDEX(PP_Grid[#Data],$DD749,91),0)</f>
        <v/>
      </c>
      <c r="CP749">
        <f>IFERROR(INDEX(PP_Grid[#Data],$DD749,92),0)</f>
        <v/>
      </c>
      <c r="CQ749">
        <f>IFERROR(INDEX(PP_Grid[#Data],$DD749,93),0)</f>
        <v/>
      </c>
      <c r="CR749">
        <f>IFERROR(INDEX(PP_Grid[#Data],$DD749,94),0)</f>
        <v/>
      </c>
      <c r="CS749">
        <f>IFERROR(INDEX(PP_Grid[#Data],$DD749,95),0)</f>
        <v/>
      </c>
      <c r="CT749">
        <f>IFERROR(INDEX(PP_Grid[#Data],$DD749,96),0)</f>
        <v/>
      </c>
      <c r="CU749">
        <f>IFERROR(INDEX(PP_Grid[#Data],$DD749,97),0)</f>
        <v/>
      </c>
      <c r="CV749">
        <f>IFERROR(INDEX(PP_Grid[#Data],$DD749,98),0)</f>
        <v/>
      </c>
      <c r="CW749">
        <f>IFERROR(INDEX(PP_Grid[#Data],$DD749,99),0)</f>
        <v/>
      </c>
      <c r="CX749">
        <f>IFERROR(INDEX(PP_Grid[#Data],$DD749,100),0)</f>
        <v/>
      </c>
      <c r="CY749">
        <f>IFERROR(INDEX(PP_Grid[#Data],$DD749,101),0)</f>
        <v/>
      </c>
      <c r="CZ749">
        <f>IFERROR(INDEX(PP_Grid[#Data],$DD749,102),0)</f>
        <v/>
      </c>
      <c r="DA749">
        <f>IFERROR(INDEX(PP_Grid[#Data],$DD749,103),0)</f>
        <v/>
      </c>
      <c r="DB749">
        <f>IFERROR(INDEX(PP_Grid[#Data],$DD749,104),0)</f>
        <v/>
      </c>
      <c r="DC749">
        <f>IFERROR(INDEX(PP_Grid[#Data],$DD749,105),0)</f>
        <v/>
      </c>
      <c r="DD749" s="7">
        <f>IFERROR(MATCH($B749,PP_Grid[Intermediate],0),99999)</f>
        <v/>
      </c>
    </row>
    <row r="750">
      <c r="B750" t="inlineStr">
        <is>
          <t>使用量(kg)</t>
        </is>
      </c>
      <c r="C750">
        <f>SUMIFS(M_BOM[RM_Qty_Per_Batch],M_BOM[Intermediate],$B749,M_BOM[Part Name],$A710)</f>
        <v/>
      </c>
      <c r="D750">
        <f>$C750*D749</f>
        <v/>
      </c>
      <c r="E750">
        <f>$C750*E749</f>
        <v/>
      </c>
      <c r="F750">
        <f>$C750*F749</f>
        <v/>
      </c>
      <c r="G750">
        <f>$C750*G749</f>
        <v/>
      </c>
      <c r="H750">
        <f>$C750*H749</f>
        <v/>
      </c>
      <c r="I750">
        <f>$C750*I749</f>
        <v/>
      </c>
      <c r="J750">
        <f>$C750*J749</f>
        <v/>
      </c>
      <c r="K750">
        <f>$C750*K749</f>
        <v/>
      </c>
      <c r="L750">
        <f>$C750*L749</f>
        <v/>
      </c>
      <c r="M750">
        <f>$C750*M749</f>
        <v/>
      </c>
      <c r="N750">
        <f>$C750*N749</f>
        <v/>
      </c>
      <c r="O750">
        <f>$C750*O749</f>
        <v/>
      </c>
      <c r="P750">
        <f>$C750*P749</f>
        <v/>
      </c>
      <c r="Q750">
        <f>$C750*Q749</f>
        <v/>
      </c>
      <c r="R750">
        <f>$C750*R749</f>
        <v/>
      </c>
      <c r="S750">
        <f>$C750*S749</f>
        <v/>
      </c>
      <c r="T750">
        <f>$C750*T749</f>
        <v/>
      </c>
      <c r="U750">
        <f>$C750*U749</f>
        <v/>
      </c>
      <c r="V750">
        <f>$C750*V749</f>
        <v/>
      </c>
      <c r="W750">
        <f>$C750*W749</f>
        <v/>
      </c>
      <c r="X750">
        <f>$C750*X749</f>
        <v/>
      </c>
      <c r="Y750">
        <f>$C750*Y749</f>
        <v/>
      </c>
      <c r="Z750">
        <f>$C750*Z749</f>
        <v/>
      </c>
      <c r="AA750">
        <f>$C750*AA749</f>
        <v/>
      </c>
      <c r="AB750">
        <f>$C750*AB749</f>
        <v/>
      </c>
      <c r="AC750">
        <f>$C750*AC749</f>
        <v/>
      </c>
      <c r="AD750">
        <f>$C750*AD749</f>
        <v/>
      </c>
      <c r="AE750">
        <f>$C750*AE749</f>
        <v/>
      </c>
      <c r="AF750">
        <f>$C750*AF749</f>
        <v/>
      </c>
      <c r="AG750">
        <f>$C750*AG749</f>
        <v/>
      </c>
      <c r="AH750">
        <f>$C750*AH749</f>
        <v/>
      </c>
      <c r="AI750">
        <f>$C750*AI749</f>
        <v/>
      </c>
      <c r="AJ750">
        <f>$C750*AJ749</f>
        <v/>
      </c>
      <c r="AK750">
        <f>$C750*AK749</f>
        <v/>
      </c>
      <c r="AL750">
        <f>$C750*AL749</f>
        <v/>
      </c>
      <c r="AM750">
        <f>$C750*AM749</f>
        <v/>
      </c>
      <c r="AN750">
        <f>$C750*AN749</f>
        <v/>
      </c>
      <c r="AO750">
        <f>$C750*AO749</f>
        <v/>
      </c>
      <c r="AP750">
        <f>$C750*AP749</f>
        <v/>
      </c>
      <c r="AQ750">
        <f>$C750*AQ749</f>
        <v/>
      </c>
      <c r="AR750">
        <f>$C750*AR749</f>
        <v/>
      </c>
      <c r="AS750">
        <f>$C750*AS749</f>
        <v/>
      </c>
      <c r="AT750">
        <f>$C750*AT749</f>
        <v/>
      </c>
      <c r="AU750">
        <f>$C750*AU749</f>
        <v/>
      </c>
      <c r="AV750">
        <f>$C750*AV749</f>
        <v/>
      </c>
      <c r="AW750">
        <f>$C750*AW749</f>
        <v/>
      </c>
      <c r="AX750">
        <f>$C750*AX749</f>
        <v/>
      </c>
      <c r="AY750">
        <f>$C750*AY749</f>
        <v/>
      </c>
      <c r="AZ750">
        <f>$C750*AZ749</f>
        <v/>
      </c>
      <c r="BA750">
        <f>$C750*BA749</f>
        <v/>
      </c>
      <c r="BB750">
        <f>$C750*BB749</f>
        <v/>
      </c>
      <c r="BC750">
        <f>$C750*BC749</f>
        <v/>
      </c>
      <c r="BD750">
        <f>$C750*BD749</f>
        <v/>
      </c>
      <c r="BE750">
        <f>$C750*BE749</f>
        <v/>
      </c>
      <c r="BF750">
        <f>$C750*BF749</f>
        <v/>
      </c>
      <c r="BG750">
        <f>$C750*BG749</f>
        <v/>
      </c>
      <c r="BH750">
        <f>$C750*BH749</f>
        <v/>
      </c>
      <c r="BI750">
        <f>$C750*BI749</f>
        <v/>
      </c>
      <c r="BJ750">
        <f>$C750*BJ749</f>
        <v/>
      </c>
      <c r="BK750">
        <f>$C750*BK749</f>
        <v/>
      </c>
      <c r="BL750">
        <f>$C750*BL749</f>
        <v/>
      </c>
      <c r="BM750">
        <f>$C750*BM749</f>
        <v/>
      </c>
      <c r="BN750">
        <f>$C750*BN749</f>
        <v/>
      </c>
      <c r="BO750">
        <f>$C750*BO749</f>
        <v/>
      </c>
      <c r="BP750">
        <f>$C750*BP749</f>
        <v/>
      </c>
      <c r="BQ750">
        <f>$C750*BQ749</f>
        <v/>
      </c>
      <c r="BR750">
        <f>$C750*BR749</f>
        <v/>
      </c>
      <c r="BS750">
        <f>$C750*BS749</f>
        <v/>
      </c>
      <c r="BT750">
        <f>$C750*BT749</f>
        <v/>
      </c>
      <c r="BU750">
        <f>$C750*BU749</f>
        <v/>
      </c>
      <c r="BV750">
        <f>$C750*BV749</f>
        <v/>
      </c>
      <c r="BW750">
        <f>$C750*BW749</f>
        <v/>
      </c>
      <c r="BX750">
        <f>$C750*BX749</f>
        <v/>
      </c>
      <c r="BY750">
        <f>$C750*BY749</f>
        <v/>
      </c>
      <c r="BZ750">
        <f>$C750*BZ749</f>
        <v/>
      </c>
      <c r="CA750">
        <f>$C750*CA749</f>
        <v/>
      </c>
      <c r="CB750">
        <f>$C750*CB749</f>
        <v/>
      </c>
      <c r="CC750">
        <f>$C750*CC749</f>
        <v/>
      </c>
      <c r="CD750">
        <f>$C750*CD749</f>
        <v/>
      </c>
      <c r="CE750">
        <f>$C750*CE749</f>
        <v/>
      </c>
      <c r="CF750">
        <f>$C750*CF749</f>
        <v/>
      </c>
      <c r="CG750">
        <f>$C750*CG749</f>
        <v/>
      </c>
      <c r="CH750">
        <f>$C750*CH749</f>
        <v/>
      </c>
      <c r="CI750">
        <f>$C750*CI749</f>
        <v/>
      </c>
      <c r="CJ750">
        <f>$C750*CJ749</f>
        <v/>
      </c>
      <c r="CK750">
        <f>$C750*CK749</f>
        <v/>
      </c>
      <c r="CL750">
        <f>$C750*CL749</f>
        <v/>
      </c>
      <c r="CM750">
        <f>$C750*CM749</f>
        <v/>
      </c>
      <c r="CN750">
        <f>$C750*CN749</f>
        <v/>
      </c>
      <c r="CO750">
        <f>$C750*CO749</f>
        <v/>
      </c>
      <c r="CP750">
        <f>$C750*CP749</f>
        <v/>
      </c>
      <c r="CQ750">
        <f>$C750*CQ749</f>
        <v/>
      </c>
      <c r="CR750">
        <f>$C750*CR749</f>
        <v/>
      </c>
      <c r="CS750">
        <f>$C750*CS749</f>
        <v/>
      </c>
      <c r="CT750">
        <f>$C750*CT749</f>
        <v/>
      </c>
      <c r="CU750">
        <f>$C750*CU749</f>
        <v/>
      </c>
      <c r="CV750">
        <f>$C750*CV749</f>
        <v/>
      </c>
      <c r="CW750">
        <f>$C750*CW749</f>
        <v/>
      </c>
      <c r="CX750">
        <f>$C750*CX749</f>
        <v/>
      </c>
      <c r="CY750">
        <f>$C750*CY749</f>
        <v/>
      </c>
      <c r="CZ750">
        <f>$C750*CZ749</f>
        <v/>
      </c>
      <c r="DA750">
        <f>$C750*DA749</f>
        <v/>
      </c>
      <c r="DB750">
        <f>$C750*DB749</f>
        <v/>
      </c>
      <c r="DC750">
        <f>$C750*DC749</f>
        <v/>
      </c>
    </row>
    <row r="751">
      <c r="B751" t="inlineStr">
        <is>
          <t>TSP-1499</t>
        </is>
      </c>
      <c r="C751" t="inlineStr">
        <is>
          <t>No. of batches</t>
        </is>
      </c>
      <c r="D751">
        <f>IFERROR(INDEX(PP_Grid[#Data],$DD751,2),0)</f>
        <v/>
      </c>
      <c r="E751">
        <f>IFERROR(INDEX(PP_Grid[#Data],$DD751,3),0)</f>
        <v/>
      </c>
      <c r="F751">
        <f>IFERROR(INDEX(PP_Grid[#Data],$DD751,4),0)</f>
        <v/>
      </c>
      <c r="G751">
        <f>IFERROR(INDEX(PP_Grid[#Data],$DD751,5),0)</f>
        <v/>
      </c>
      <c r="H751">
        <f>IFERROR(INDEX(PP_Grid[#Data],$DD751,6),0)</f>
        <v/>
      </c>
      <c r="I751">
        <f>IFERROR(INDEX(PP_Grid[#Data],$DD751,7),0)</f>
        <v/>
      </c>
      <c r="J751">
        <f>IFERROR(INDEX(PP_Grid[#Data],$DD751,8),0)</f>
        <v/>
      </c>
      <c r="K751">
        <f>IFERROR(INDEX(PP_Grid[#Data],$DD751,9),0)</f>
        <v/>
      </c>
      <c r="L751">
        <f>IFERROR(INDEX(PP_Grid[#Data],$DD751,10),0)</f>
        <v/>
      </c>
      <c r="M751">
        <f>IFERROR(INDEX(PP_Grid[#Data],$DD751,11),0)</f>
        <v/>
      </c>
      <c r="N751">
        <f>IFERROR(INDEX(PP_Grid[#Data],$DD751,12),0)</f>
        <v/>
      </c>
      <c r="O751">
        <f>IFERROR(INDEX(PP_Grid[#Data],$DD751,13),0)</f>
        <v/>
      </c>
      <c r="P751">
        <f>IFERROR(INDEX(PP_Grid[#Data],$DD751,14),0)</f>
        <v/>
      </c>
      <c r="Q751">
        <f>IFERROR(INDEX(PP_Grid[#Data],$DD751,15),0)</f>
        <v/>
      </c>
      <c r="R751">
        <f>IFERROR(INDEX(PP_Grid[#Data],$DD751,16),0)</f>
        <v/>
      </c>
      <c r="S751">
        <f>IFERROR(INDEX(PP_Grid[#Data],$DD751,17),0)</f>
        <v/>
      </c>
      <c r="T751">
        <f>IFERROR(INDEX(PP_Grid[#Data],$DD751,18),0)</f>
        <v/>
      </c>
      <c r="U751">
        <f>IFERROR(INDEX(PP_Grid[#Data],$DD751,19),0)</f>
        <v/>
      </c>
      <c r="V751">
        <f>IFERROR(INDEX(PP_Grid[#Data],$DD751,20),0)</f>
        <v/>
      </c>
      <c r="W751">
        <f>IFERROR(INDEX(PP_Grid[#Data],$DD751,21),0)</f>
        <v/>
      </c>
      <c r="X751">
        <f>IFERROR(INDEX(PP_Grid[#Data],$DD751,22),0)</f>
        <v/>
      </c>
      <c r="Y751">
        <f>IFERROR(INDEX(PP_Grid[#Data],$DD751,23),0)</f>
        <v/>
      </c>
      <c r="Z751">
        <f>IFERROR(INDEX(PP_Grid[#Data],$DD751,24),0)</f>
        <v/>
      </c>
      <c r="AA751">
        <f>IFERROR(INDEX(PP_Grid[#Data],$DD751,25),0)</f>
        <v/>
      </c>
      <c r="AB751">
        <f>IFERROR(INDEX(PP_Grid[#Data],$DD751,26),0)</f>
        <v/>
      </c>
      <c r="AC751">
        <f>IFERROR(INDEX(PP_Grid[#Data],$DD751,27),0)</f>
        <v/>
      </c>
      <c r="AD751">
        <f>IFERROR(INDEX(PP_Grid[#Data],$DD751,28),0)</f>
        <v/>
      </c>
      <c r="AE751">
        <f>IFERROR(INDEX(PP_Grid[#Data],$DD751,29),0)</f>
        <v/>
      </c>
      <c r="AF751">
        <f>IFERROR(INDEX(PP_Grid[#Data],$DD751,30),0)</f>
        <v/>
      </c>
      <c r="AG751">
        <f>IFERROR(INDEX(PP_Grid[#Data],$DD751,31),0)</f>
        <v/>
      </c>
      <c r="AH751">
        <f>IFERROR(INDEX(PP_Grid[#Data],$DD751,32),0)</f>
        <v/>
      </c>
      <c r="AI751">
        <f>IFERROR(INDEX(PP_Grid[#Data],$DD751,33),0)</f>
        <v/>
      </c>
      <c r="AJ751">
        <f>IFERROR(INDEX(PP_Grid[#Data],$DD751,34),0)</f>
        <v/>
      </c>
      <c r="AK751">
        <f>IFERROR(INDEX(PP_Grid[#Data],$DD751,35),0)</f>
        <v/>
      </c>
      <c r="AL751">
        <f>IFERROR(INDEX(PP_Grid[#Data],$DD751,36),0)</f>
        <v/>
      </c>
      <c r="AM751">
        <f>IFERROR(INDEX(PP_Grid[#Data],$DD751,37),0)</f>
        <v/>
      </c>
      <c r="AN751">
        <f>IFERROR(INDEX(PP_Grid[#Data],$DD751,38),0)</f>
        <v/>
      </c>
      <c r="AO751">
        <f>IFERROR(INDEX(PP_Grid[#Data],$DD751,39),0)</f>
        <v/>
      </c>
      <c r="AP751">
        <f>IFERROR(INDEX(PP_Grid[#Data],$DD751,40),0)</f>
        <v/>
      </c>
      <c r="AQ751">
        <f>IFERROR(INDEX(PP_Grid[#Data],$DD751,41),0)</f>
        <v/>
      </c>
      <c r="AR751">
        <f>IFERROR(INDEX(PP_Grid[#Data],$DD751,42),0)</f>
        <v/>
      </c>
      <c r="AS751">
        <f>IFERROR(INDEX(PP_Grid[#Data],$DD751,43),0)</f>
        <v/>
      </c>
      <c r="AT751">
        <f>IFERROR(INDEX(PP_Grid[#Data],$DD751,44),0)</f>
        <v/>
      </c>
      <c r="AU751">
        <f>IFERROR(INDEX(PP_Grid[#Data],$DD751,45),0)</f>
        <v/>
      </c>
      <c r="AV751">
        <f>IFERROR(INDEX(PP_Grid[#Data],$DD751,46),0)</f>
        <v/>
      </c>
      <c r="AW751">
        <f>IFERROR(INDEX(PP_Grid[#Data],$DD751,47),0)</f>
        <v/>
      </c>
      <c r="AX751">
        <f>IFERROR(INDEX(PP_Grid[#Data],$DD751,48),0)</f>
        <v/>
      </c>
      <c r="AY751">
        <f>IFERROR(INDEX(PP_Grid[#Data],$DD751,49),0)</f>
        <v/>
      </c>
      <c r="AZ751">
        <f>IFERROR(INDEX(PP_Grid[#Data],$DD751,50),0)</f>
        <v/>
      </c>
      <c r="BA751">
        <f>IFERROR(INDEX(PP_Grid[#Data],$DD751,51),0)</f>
        <v/>
      </c>
      <c r="BB751">
        <f>IFERROR(INDEX(PP_Grid[#Data],$DD751,52),0)</f>
        <v/>
      </c>
      <c r="BC751">
        <f>IFERROR(INDEX(PP_Grid[#Data],$DD751,53),0)</f>
        <v/>
      </c>
      <c r="BD751">
        <f>IFERROR(INDEX(PP_Grid[#Data],$DD751,54),0)</f>
        <v/>
      </c>
      <c r="BE751">
        <f>IFERROR(INDEX(PP_Grid[#Data],$DD751,55),0)</f>
        <v/>
      </c>
      <c r="BF751">
        <f>IFERROR(INDEX(PP_Grid[#Data],$DD751,56),0)</f>
        <v/>
      </c>
      <c r="BG751">
        <f>IFERROR(INDEX(PP_Grid[#Data],$DD751,57),0)</f>
        <v/>
      </c>
      <c r="BH751">
        <f>IFERROR(INDEX(PP_Grid[#Data],$DD751,58),0)</f>
        <v/>
      </c>
      <c r="BI751">
        <f>IFERROR(INDEX(PP_Grid[#Data],$DD751,59),0)</f>
        <v/>
      </c>
      <c r="BJ751">
        <f>IFERROR(INDEX(PP_Grid[#Data],$DD751,60),0)</f>
        <v/>
      </c>
      <c r="BK751">
        <f>IFERROR(INDEX(PP_Grid[#Data],$DD751,61),0)</f>
        <v/>
      </c>
      <c r="BL751">
        <f>IFERROR(INDEX(PP_Grid[#Data],$DD751,62),0)</f>
        <v/>
      </c>
      <c r="BM751">
        <f>IFERROR(INDEX(PP_Grid[#Data],$DD751,63),0)</f>
        <v/>
      </c>
      <c r="BN751">
        <f>IFERROR(INDEX(PP_Grid[#Data],$DD751,64),0)</f>
        <v/>
      </c>
      <c r="BO751">
        <f>IFERROR(INDEX(PP_Grid[#Data],$DD751,65),0)</f>
        <v/>
      </c>
      <c r="BP751">
        <f>IFERROR(INDEX(PP_Grid[#Data],$DD751,66),0)</f>
        <v/>
      </c>
      <c r="BQ751">
        <f>IFERROR(INDEX(PP_Grid[#Data],$DD751,67),0)</f>
        <v/>
      </c>
      <c r="BR751">
        <f>IFERROR(INDEX(PP_Grid[#Data],$DD751,68),0)</f>
        <v/>
      </c>
      <c r="BS751">
        <f>IFERROR(INDEX(PP_Grid[#Data],$DD751,69),0)</f>
        <v/>
      </c>
      <c r="BT751">
        <f>IFERROR(INDEX(PP_Grid[#Data],$DD751,70),0)</f>
        <v/>
      </c>
      <c r="BU751">
        <f>IFERROR(INDEX(PP_Grid[#Data],$DD751,71),0)</f>
        <v/>
      </c>
      <c r="BV751">
        <f>IFERROR(INDEX(PP_Grid[#Data],$DD751,72),0)</f>
        <v/>
      </c>
      <c r="BW751">
        <f>IFERROR(INDEX(PP_Grid[#Data],$DD751,73),0)</f>
        <v/>
      </c>
      <c r="BX751">
        <f>IFERROR(INDEX(PP_Grid[#Data],$DD751,74),0)</f>
        <v/>
      </c>
      <c r="BY751">
        <f>IFERROR(INDEX(PP_Grid[#Data],$DD751,75),0)</f>
        <v/>
      </c>
      <c r="BZ751">
        <f>IFERROR(INDEX(PP_Grid[#Data],$DD751,76),0)</f>
        <v/>
      </c>
      <c r="CA751">
        <f>IFERROR(INDEX(PP_Grid[#Data],$DD751,77),0)</f>
        <v/>
      </c>
      <c r="CB751">
        <f>IFERROR(INDEX(PP_Grid[#Data],$DD751,78),0)</f>
        <v/>
      </c>
      <c r="CC751">
        <f>IFERROR(INDEX(PP_Grid[#Data],$DD751,79),0)</f>
        <v/>
      </c>
      <c r="CD751">
        <f>IFERROR(INDEX(PP_Grid[#Data],$DD751,80),0)</f>
        <v/>
      </c>
      <c r="CE751">
        <f>IFERROR(INDEX(PP_Grid[#Data],$DD751,81),0)</f>
        <v/>
      </c>
      <c r="CF751">
        <f>IFERROR(INDEX(PP_Grid[#Data],$DD751,82),0)</f>
        <v/>
      </c>
      <c r="CG751">
        <f>IFERROR(INDEX(PP_Grid[#Data],$DD751,83),0)</f>
        <v/>
      </c>
      <c r="CH751">
        <f>IFERROR(INDEX(PP_Grid[#Data],$DD751,84),0)</f>
        <v/>
      </c>
      <c r="CI751">
        <f>IFERROR(INDEX(PP_Grid[#Data],$DD751,85),0)</f>
        <v/>
      </c>
      <c r="CJ751">
        <f>IFERROR(INDEX(PP_Grid[#Data],$DD751,86),0)</f>
        <v/>
      </c>
      <c r="CK751">
        <f>IFERROR(INDEX(PP_Grid[#Data],$DD751,87),0)</f>
        <v/>
      </c>
      <c r="CL751">
        <f>IFERROR(INDEX(PP_Grid[#Data],$DD751,88),0)</f>
        <v/>
      </c>
      <c r="CM751">
        <f>IFERROR(INDEX(PP_Grid[#Data],$DD751,89),0)</f>
        <v/>
      </c>
      <c r="CN751">
        <f>IFERROR(INDEX(PP_Grid[#Data],$DD751,90),0)</f>
        <v/>
      </c>
      <c r="CO751">
        <f>IFERROR(INDEX(PP_Grid[#Data],$DD751,91),0)</f>
        <v/>
      </c>
      <c r="CP751">
        <f>IFERROR(INDEX(PP_Grid[#Data],$DD751,92),0)</f>
        <v/>
      </c>
      <c r="CQ751">
        <f>IFERROR(INDEX(PP_Grid[#Data],$DD751,93),0)</f>
        <v/>
      </c>
      <c r="CR751">
        <f>IFERROR(INDEX(PP_Grid[#Data],$DD751,94),0)</f>
        <v/>
      </c>
      <c r="CS751">
        <f>IFERROR(INDEX(PP_Grid[#Data],$DD751,95),0)</f>
        <v/>
      </c>
      <c r="CT751">
        <f>IFERROR(INDEX(PP_Grid[#Data],$DD751,96),0)</f>
        <v/>
      </c>
      <c r="CU751">
        <f>IFERROR(INDEX(PP_Grid[#Data],$DD751,97),0)</f>
        <v/>
      </c>
      <c r="CV751">
        <f>IFERROR(INDEX(PP_Grid[#Data],$DD751,98),0)</f>
        <v/>
      </c>
      <c r="CW751">
        <f>IFERROR(INDEX(PP_Grid[#Data],$DD751,99),0)</f>
        <v/>
      </c>
      <c r="CX751">
        <f>IFERROR(INDEX(PP_Grid[#Data],$DD751,100),0)</f>
        <v/>
      </c>
      <c r="CY751">
        <f>IFERROR(INDEX(PP_Grid[#Data],$DD751,101),0)</f>
        <v/>
      </c>
      <c r="CZ751">
        <f>IFERROR(INDEX(PP_Grid[#Data],$DD751,102),0)</f>
        <v/>
      </c>
      <c r="DA751">
        <f>IFERROR(INDEX(PP_Grid[#Data],$DD751,103),0)</f>
        <v/>
      </c>
      <c r="DB751">
        <f>IFERROR(INDEX(PP_Grid[#Data],$DD751,104),0)</f>
        <v/>
      </c>
      <c r="DC751">
        <f>IFERROR(INDEX(PP_Grid[#Data],$DD751,105),0)</f>
        <v/>
      </c>
      <c r="DD751" s="7">
        <f>IFERROR(MATCH($B751,PP_Grid[Intermediate],0),99999)</f>
        <v/>
      </c>
    </row>
    <row r="752">
      <c r="B752" t="inlineStr">
        <is>
          <t>使用量(kg)</t>
        </is>
      </c>
      <c r="C752">
        <f>SUMIFS(M_BOM[RM_Qty_Per_Batch],M_BOM[Intermediate],$B751,M_BOM[Part Name],$A710)</f>
        <v/>
      </c>
      <c r="D752">
        <f>$C752*D751</f>
        <v/>
      </c>
      <c r="E752">
        <f>$C752*E751</f>
        <v/>
      </c>
      <c r="F752">
        <f>$C752*F751</f>
        <v/>
      </c>
      <c r="G752">
        <f>$C752*G751</f>
        <v/>
      </c>
      <c r="H752">
        <f>$C752*H751</f>
        <v/>
      </c>
      <c r="I752">
        <f>$C752*I751</f>
        <v/>
      </c>
      <c r="J752">
        <f>$C752*J751</f>
        <v/>
      </c>
      <c r="K752">
        <f>$C752*K751</f>
        <v/>
      </c>
      <c r="L752">
        <f>$C752*L751</f>
        <v/>
      </c>
      <c r="M752">
        <f>$C752*M751</f>
        <v/>
      </c>
      <c r="N752">
        <f>$C752*N751</f>
        <v/>
      </c>
      <c r="O752">
        <f>$C752*O751</f>
        <v/>
      </c>
      <c r="P752">
        <f>$C752*P751</f>
        <v/>
      </c>
      <c r="Q752">
        <f>$C752*Q751</f>
        <v/>
      </c>
      <c r="R752">
        <f>$C752*R751</f>
        <v/>
      </c>
      <c r="S752">
        <f>$C752*S751</f>
        <v/>
      </c>
      <c r="T752">
        <f>$C752*T751</f>
        <v/>
      </c>
      <c r="U752">
        <f>$C752*U751</f>
        <v/>
      </c>
      <c r="V752">
        <f>$C752*V751</f>
        <v/>
      </c>
      <c r="W752">
        <f>$C752*W751</f>
        <v/>
      </c>
      <c r="X752">
        <f>$C752*X751</f>
        <v/>
      </c>
      <c r="Y752">
        <f>$C752*Y751</f>
        <v/>
      </c>
      <c r="Z752">
        <f>$C752*Z751</f>
        <v/>
      </c>
      <c r="AA752">
        <f>$C752*AA751</f>
        <v/>
      </c>
      <c r="AB752">
        <f>$C752*AB751</f>
        <v/>
      </c>
      <c r="AC752">
        <f>$C752*AC751</f>
        <v/>
      </c>
      <c r="AD752">
        <f>$C752*AD751</f>
        <v/>
      </c>
      <c r="AE752">
        <f>$C752*AE751</f>
        <v/>
      </c>
      <c r="AF752">
        <f>$C752*AF751</f>
        <v/>
      </c>
      <c r="AG752">
        <f>$C752*AG751</f>
        <v/>
      </c>
      <c r="AH752">
        <f>$C752*AH751</f>
        <v/>
      </c>
      <c r="AI752">
        <f>$C752*AI751</f>
        <v/>
      </c>
      <c r="AJ752">
        <f>$C752*AJ751</f>
        <v/>
      </c>
      <c r="AK752">
        <f>$C752*AK751</f>
        <v/>
      </c>
      <c r="AL752">
        <f>$C752*AL751</f>
        <v/>
      </c>
      <c r="AM752">
        <f>$C752*AM751</f>
        <v/>
      </c>
      <c r="AN752">
        <f>$C752*AN751</f>
        <v/>
      </c>
      <c r="AO752">
        <f>$C752*AO751</f>
        <v/>
      </c>
      <c r="AP752">
        <f>$C752*AP751</f>
        <v/>
      </c>
      <c r="AQ752">
        <f>$C752*AQ751</f>
        <v/>
      </c>
      <c r="AR752">
        <f>$C752*AR751</f>
        <v/>
      </c>
      <c r="AS752">
        <f>$C752*AS751</f>
        <v/>
      </c>
      <c r="AT752">
        <f>$C752*AT751</f>
        <v/>
      </c>
      <c r="AU752">
        <f>$C752*AU751</f>
        <v/>
      </c>
      <c r="AV752">
        <f>$C752*AV751</f>
        <v/>
      </c>
      <c r="AW752">
        <f>$C752*AW751</f>
        <v/>
      </c>
      <c r="AX752">
        <f>$C752*AX751</f>
        <v/>
      </c>
      <c r="AY752">
        <f>$C752*AY751</f>
        <v/>
      </c>
      <c r="AZ752">
        <f>$C752*AZ751</f>
        <v/>
      </c>
      <c r="BA752">
        <f>$C752*BA751</f>
        <v/>
      </c>
      <c r="BB752">
        <f>$C752*BB751</f>
        <v/>
      </c>
      <c r="BC752">
        <f>$C752*BC751</f>
        <v/>
      </c>
      <c r="BD752">
        <f>$C752*BD751</f>
        <v/>
      </c>
      <c r="BE752">
        <f>$C752*BE751</f>
        <v/>
      </c>
      <c r="BF752">
        <f>$C752*BF751</f>
        <v/>
      </c>
      <c r="BG752">
        <f>$C752*BG751</f>
        <v/>
      </c>
      <c r="BH752">
        <f>$C752*BH751</f>
        <v/>
      </c>
      <c r="BI752">
        <f>$C752*BI751</f>
        <v/>
      </c>
      <c r="BJ752">
        <f>$C752*BJ751</f>
        <v/>
      </c>
      <c r="BK752">
        <f>$C752*BK751</f>
        <v/>
      </c>
      <c r="BL752">
        <f>$C752*BL751</f>
        <v/>
      </c>
      <c r="BM752">
        <f>$C752*BM751</f>
        <v/>
      </c>
      <c r="BN752">
        <f>$C752*BN751</f>
        <v/>
      </c>
      <c r="BO752">
        <f>$C752*BO751</f>
        <v/>
      </c>
      <c r="BP752">
        <f>$C752*BP751</f>
        <v/>
      </c>
      <c r="BQ752">
        <f>$C752*BQ751</f>
        <v/>
      </c>
      <c r="BR752">
        <f>$C752*BR751</f>
        <v/>
      </c>
      <c r="BS752">
        <f>$C752*BS751</f>
        <v/>
      </c>
      <c r="BT752">
        <f>$C752*BT751</f>
        <v/>
      </c>
      <c r="BU752">
        <f>$C752*BU751</f>
        <v/>
      </c>
      <c r="BV752">
        <f>$C752*BV751</f>
        <v/>
      </c>
      <c r="BW752">
        <f>$C752*BW751</f>
        <v/>
      </c>
      <c r="BX752">
        <f>$C752*BX751</f>
        <v/>
      </c>
      <c r="BY752">
        <f>$C752*BY751</f>
        <v/>
      </c>
      <c r="BZ752">
        <f>$C752*BZ751</f>
        <v/>
      </c>
      <c r="CA752">
        <f>$C752*CA751</f>
        <v/>
      </c>
      <c r="CB752">
        <f>$C752*CB751</f>
        <v/>
      </c>
      <c r="CC752">
        <f>$C752*CC751</f>
        <v/>
      </c>
      <c r="CD752">
        <f>$C752*CD751</f>
        <v/>
      </c>
      <c r="CE752">
        <f>$C752*CE751</f>
        <v/>
      </c>
      <c r="CF752">
        <f>$C752*CF751</f>
        <v/>
      </c>
      <c r="CG752">
        <f>$C752*CG751</f>
        <v/>
      </c>
      <c r="CH752">
        <f>$C752*CH751</f>
        <v/>
      </c>
      <c r="CI752">
        <f>$C752*CI751</f>
        <v/>
      </c>
      <c r="CJ752">
        <f>$C752*CJ751</f>
        <v/>
      </c>
      <c r="CK752">
        <f>$C752*CK751</f>
        <v/>
      </c>
      <c r="CL752">
        <f>$C752*CL751</f>
        <v/>
      </c>
      <c r="CM752">
        <f>$C752*CM751</f>
        <v/>
      </c>
      <c r="CN752">
        <f>$C752*CN751</f>
        <v/>
      </c>
      <c r="CO752">
        <f>$C752*CO751</f>
        <v/>
      </c>
      <c r="CP752">
        <f>$C752*CP751</f>
        <v/>
      </c>
      <c r="CQ752">
        <f>$C752*CQ751</f>
        <v/>
      </c>
      <c r="CR752">
        <f>$C752*CR751</f>
        <v/>
      </c>
      <c r="CS752">
        <f>$C752*CS751</f>
        <v/>
      </c>
      <c r="CT752">
        <f>$C752*CT751</f>
        <v/>
      </c>
      <c r="CU752">
        <f>$C752*CU751</f>
        <v/>
      </c>
      <c r="CV752">
        <f>$C752*CV751</f>
        <v/>
      </c>
      <c r="CW752">
        <f>$C752*CW751</f>
        <v/>
      </c>
      <c r="CX752">
        <f>$C752*CX751</f>
        <v/>
      </c>
      <c r="CY752">
        <f>$C752*CY751</f>
        <v/>
      </c>
      <c r="CZ752">
        <f>$C752*CZ751</f>
        <v/>
      </c>
      <c r="DA752">
        <f>$C752*DA751</f>
        <v/>
      </c>
      <c r="DB752">
        <f>$C752*DB751</f>
        <v/>
      </c>
      <c r="DC752">
        <f>$C752*DC751</f>
        <v/>
      </c>
    </row>
    <row r="753">
      <c r="B753" s="4" t="inlineStr">
        <is>
          <t>合計使用量(kg)/週</t>
        </is>
      </c>
      <c r="D753">
        <f>'Grid_Requirement'!B6</f>
        <v/>
      </c>
      <c r="E753">
        <f>'Grid_Requirement'!C6</f>
        <v/>
      </c>
      <c r="F753">
        <f>'Grid_Requirement'!D6</f>
        <v/>
      </c>
      <c r="G753">
        <f>'Grid_Requirement'!E6</f>
        <v/>
      </c>
      <c r="H753">
        <f>'Grid_Requirement'!F6</f>
        <v/>
      </c>
      <c r="I753">
        <f>'Grid_Requirement'!G6</f>
        <v/>
      </c>
      <c r="J753">
        <f>'Grid_Requirement'!H6</f>
        <v/>
      </c>
      <c r="K753">
        <f>'Grid_Requirement'!I6</f>
        <v/>
      </c>
      <c r="L753">
        <f>'Grid_Requirement'!J6</f>
        <v/>
      </c>
      <c r="M753">
        <f>'Grid_Requirement'!K6</f>
        <v/>
      </c>
      <c r="N753">
        <f>'Grid_Requirement'!L6</f>
        <v/>
      </c>
      <c r="O753">
        <f>'Grid_Requirement'!M6</f>
        <v/>
      </c>
      <c r="P753">
        <f>'Grid_Requirement'!N6</f>
        <v/>
      </c>
      <c r="Q753">
        <f>'Grid_Requirement'!O6</f>
        <v/>
      </c>
      <c r="R753">
        <f>'Grid_Requirement'!P6</f>
        <v/>
      </c>
      <c r="S753">
        <f>'Grid_Requirement'!Q6</f>
        <v/>
      </c>
      <c r="T753">
        <f>'Grid_Requirement'!R6</f>
        <v/>
      </c>
      <c r="U753">
        <f>'Grid_Requirement'!S6</f>
        <v/>
      </c>
      <c r="V753">
        <f>'Grid_Requirement'!T6</f>
        <v/>
      </c>
      <c r="W753">
        <f>'Grid_Requirement'!U6</f>
        <v/>
      </c>
      <c r="X753">
        <f>'Grid_Requirement'!V6</f>
        <v/>
      </c>
      <c r="Y753">
        <f>'Grid_Requirement'!W6</f>
        <v/>
      </c>
      <c r="Z753">
        <f>'Grid_Requirement'!X6</f>
        <v/>
      </c>
      <c r="AA753">
        <f>'Grid_Requirement'!Y6</f>
        <v/>
      </c>
      <c r="AB753">
        <f>'Grid_Requirement'!Z6</f>
        <v/>
      </c>
      <c r="AC753">
        <f>'Grid_Requirement'!AA6</f>
        <v/>
      </c>
      <c r="AD753">
        <f>'Grid_Requirement'!AB6</f>
        <v/>
      </c>
      <c r="AE753">
        <f>'Grid_Requirement'!AC6</f>
        <v/>
      </c>
      <c r="AF753">
        <f>'Grid_Requirement'!AD6</f>
        <v/>
      </c>
      <c r="AG753">
        <f>'Grid_Requirement'!AE6</f>
        <v/>
      </c>
      <c r="AH753">
        <f>'Grid_Requirement'!AF6</f>
        <v/>
      </c>
      <c r="AI753">
        <f>'Grid_Requirement'!AG6</f>
        <v/>
      </c>
      <c r="AJ753">
        <f>'Grid_Requirement'!AH6</f>
        <v/>
      </c>
      <c r="AK753">
        <f>'Grid_Requirement'!AI6</f>
        <v/>
      </c>
      <c r="AL753">
        <f>'Grid_Requirement'!AJ6</f>
        <v/>
      </c>
      <c r="AM753">
        <f>'Grid_Requirement'!AK6</f>
        <v/>
      </c>
      <c r="AN753">
        <f>'Grid_Requirement'!AL6</f>
        <v/>
      </c>
      <c r="AO753">
        <f>'Grid_Requirement'!AM6</f>
        <v/>
      </c>
      <c r="AP753">
        <f>'Grid_Requirement'!AN6</f>
        <v/>
      </c>
      <c r="AQ753">
        <f>'Grid_Requirement'!AO6</f>
        <v/>
      </c>
      <c r="AR753">
        <f>'Grid_Requirement'!AP6</f>
        <v/>
      </c>
      <c r="AS753">
        <f>'Grid_Requirement'!AQ6</f>
        <v/>
      </c>
      <c r="AT753">
        <f>'Grid_Requirement'!AR6</f>
        <v/>
      </c>
      <c r="AU753">
        <f>'Grid_Requirement'!AS6</f>
        <v/>
      </c>
      <c r="AV753">
        <f>'Grid_Requirement'!AT6</f>
        <v/>
      </c>
      <c r="AW753">
        <f>'Grid_Requirement'!AU6</f>
        <v/>
      </c>
      <c r="AX753">
        <f>'Grid_Requirement'!AV6</f>
        <v/>
      </c>
      <c r="AY753">
        <f>'Grid_Requirement'!AW6</f>
        <v/>
      </c>
      <c r="AZ753">
        <f>'Grid_Requirement'!AX6</f>
        <v/>
      </c>
      <c r="BA753">
        <f>'Grid_Requirement'!AY6</f>
        <v/>
      </c>
      <c r="BB753">
        <f>'Grid_Requirement'!AZ6</f>
        <v/>
      </c>
      <c r="BC753">
        <f>'Grid_Requirement'!BA6</f>
        <v/>
      </c>
      <c r="BD753">
        <f>'Grid_Requirement'!BB6</f>
        <v/>
      </c>
      <c r="BE753">
        <f>'Grid_Requirement'!BC6</f>
        <v/>
      </c>
      <c r="BF753">
        <f>'Grid_Requirement'!BD6</f>
        <v/>
      </c>
      <c r="BG753">
        <f>'Grid_Requirement'!BE6</f>
        <v/>
      </c>
      <c r="BH753">
        <f>'Grid_Requirement'!BF6</f>
        <v/>
      </c>
      <c r="BI753">
        <f>'Grid_Requirement'!BG6</f>
        <v/>
      </c>
      <c r="BJ753">
        <f>'Grid_Requirement'!BH6</f>
        <v/>
      </c>
      <c r="BK753">
        <f>'Grid_Requirement'!BI6</f>
        <v/>
      </c>
      <c r="BL753">
        <f>'Grid_Requirement'!BJ6</f>
        <v/>
      </c>
      <c r="BM753">
        <f>'Grid_Requirement'!BK6</f>
        <v/>
      </c>
      <c r="BN753">
        <f>'Grid_Requirement'!BL6</f>
        <v/>
      </c>
      <c r="BO753">
        <f>'Grid_Requirement'!BM6</f>
        <v/>
      </c>
      <c r="BP753">
        <f>'Grid_Requirement'!BN6</f>
        <v/>
      </c>
      <c r="BQ753">
        <f>'Grid_Requirement'!BO6</f>
        <v/>
      </c>
      <c r="BR753">
        <f>'Grid_Requirement'!BP6</f>
        <v/>
      </c>
      <c r="BS753">
        <f>'Grid_Requirement'!BQ6</f>
        <v/>
      </c>
      <c r="BT753">
        <f>'Grid_Requirement'!BR6</f>
        <v/>
      </c>
      <c r="BU753">
        <f>'Grid_Requirement'!BS6</f>
        <v/>
      </c>
      <c r="BV753">
        <f>'Grid_Requirement'!BT6</f>
        <v/>
      </c>
      <c r="BW753">
        <f>'Grid_Requirement'!BU6</f>
        <v/>
      </c>
      <c r="BX753">
        <f>'Grid_Requirement'!BV6</f>
        <v/>
      </c>
      <c r="BY753">
        <f>'Grid_Requirement'!BW6</f>
        <v/>
      </c>
      <c r="BZ753">
        <f>'Grid_Requirement'!BX6</f>
        <v/>
      </c>
      <c r="CA753">
        <f>'Grid_Requirement'!BY6</f>
        <v/>
      </c>
      <c r="CB753">
        <f>'Grid_Requirement'!BZ6</f>
        <v/>
      </c>
      <c r="CC753">
        <f>'Grid_Requirement'!CA6</f>
        <v/>
      </c>
      <c r="CD753">
        <f>'Grid_Requirement'!CB6</f>
        <v/>
      </c>
      <c r="CE753">
        <f>'Grid_Requirement'!CC6</f>
        <v/>
      </c>
      <c r="CF753">
        <f>'Grid_Requirement'!CD6</f>
        <v/>
      </c>
      <c r="CG753">
        <f>'Grid_Requirement'!CE6</f>
        <v/>
      </c>
      <c r="CH753">
        <f>'Grid_Requirement'!CF6</f>
        <v/>
      </c>
      <c r="CI753">
        <f>'Grid_Requirement'!CG6</f>
        <v/>
      </c>
      <c r="CJ753">
        <f>'Grid_Requirement'!CH6</f>
        <v/>
      </c>
      <c r="CK753">
        <f>'Grid_Requirement'!CI6</f>
        <v/>
      </c>
      <c r="CL753">
        <f>'Grid_Requirement'!CJ6</f>
        <v/>
      </c>
      <c r="CM753">
        <f>'Grid_Requirement'!CK6</f>
        <v/>
      </c>
      <c r="CN753">
        <f>'Grid_Requirement'!CL6</f>
        <v/>
      </c>
      <c r="CO753">
        <f>'Grid_Requirement'!CM6</f>
        <v/>
      </c>
      <c r="CP753">
        <f>'Grid_Requirement'!CN6</f>
        <v/>
      </c>
      <c r="CQ753">
        <f>'Grid_Requirement'!CO6</f>
        <v/>
      </c>
      <c r="CR753">
        <f>'Grid_Requirement'!CP6</f>
        <v/>
      </c>
      <c r="CS753">
        <f>'Grid_Requirement'!CQ6</f>
        <v/>
      </c>
      <c r="CT753">
        <f>'Grid_Requirement'!CR6</f>
        <v/>
      </c>
      <c r="CU753">
        <f>'Grid_Requirement'!CS6</f>
        <v/>
      </c>
      <c r="CV753">
        <f>'Grid_Requirement'!CT6</f>
        <v/>
      </c>
      <c r="CW753">
        <f>'Grid_Requirement'!CU6</f>
        <v/>
      </c>
      <c r="CX753">
        <f>'Grid_Requirement'!CV6</f>
        <v/>
      </c>
      <c r="CY753">
        <f>'Grid_Requirement'!CW6</f>
        <v/>
      </c>
      <c r="CZ753">
        <f>'Grid_Requirement'!CX6</f>
        <v/>
      </c>
      <c r="DA753">
        <f>'Grid_Requirement'!CY6</f>
        <v/>
      </c>
      <c r="DB753">
        <f>'Grid_Requirement'!CZ6</f>
        <v/>
      </c>
      <c r="DC753">
        <f>'Grid_Requirement'!DA6</f>
        <v/>
      </c>
    </row>
    <row r="754">
      <c r="B754" t="inlineStr">
        <is>
          <t>TTAF在庫(実績,kg)</t>
        </is>
      </c>
      <c r="D754">
        <f>'T_TTAFStock'!B10</f>
        <v/>
      </c>
      <c r="E754">
        <f>'T_TTAFStock'!C10</f>
        <v/>
      </c>
      <c r="F754">
        <f>'T_TTAFStock'!D10</f>
        <v/>
      </c>
      <c r="G754">
        <f>'T_TTAFStock'!E10</f>
        <v/>
      </c>
      <c r="H754">
        <f>'T_TTAFStock'!F10</f>
        <v/>
      </c>
      <c r="I754">
        <f>'T_TTAFStock'!G10</f>
        <v/>
      </c>
      <c r="J754">
        <f>'T_TTAFStock'!H10</f>
        <v/>
      </c>
      <c r="K754">
        <f>'T_TTAFStock'!I10</f>
        <v/>
      </c>
      <c r="L754">
        <f>'T_TTAFStock'!J10</f>
        <v/>
      </c>
      <c r="M754">
        <f>'T_TTAFStock'!K10</f>
        <v/>
      </c>
      <c r="N754">
        <f>'T_TTAFStock'!L10</f>
        <v/>
      </c>
      <c r="O754">
        <f>'T_TTAFStock'!M10</f>
        <v/>
      </c>
      <c r="P754">
        <f>'T_TTAFStock'!N10</f>
        <v/>
      </c>
      <c r="Q754">
        <f>'T_TTAFStock'!O10</f>
        <v/>
      </c>
      <c r="R754">
        <f>'T_TTAFStock'!P10</f>
        <v/>
      </c>
      <c r="S754">
        <f>'T_TTAFStock'!Q10</f>
        <v/>
      </c>
      <c r="T754">
        <f>'T_TTAFStock'!R10</f>
        <v/>
      </c>
      <c r="U754">
        <f>'T_TTAFStock'!S10</f>
        <v/>
      </c>
      <c r="V754">
        <f>'T_TTAFStock'!T10</f>
        <v/>
      </c>
      <c r="W754">
        <f>'T_TTAFStock'!U10</f>
        <v/>
      </c>
      <c r="X754">
        <f>'T_TTAFStock'!V10</f>
        <v/>
      </c>
      <c r="Y754">
        <f>'T_TTAFStock'!W10</f>
        <v/>
      </c>
      <c r="Z754">
        <f>'T_TTAFStock'!X10</f>
        <v/>
      </c>
      <c r="AA754">
        <f>'T_TTAFStock'!Y10</f>
        <v/>
      </c>
      <c r="AB754">
        <f>'T_TTAFStock'!Z10</f>
        <v/>
      </c>
      <c r="AC754">
        <f>'T_TTAFStock'!AA10</f>
        <v/>
      </c>
      <c r="AD754">
        <f>'T_TTAFStock'!AB10</f>
        <v/>
      </c>
      <c r="AE754">
        <f>'T_TTAFStock'!AC10</f>
        <v/>
      </c>
      <c r="AF754">
        <f>'T_TTAFStock'!AD10</f>
        <v/>
      </c>
      <c r="AG754">
        <f>'T_TTAFStock'!AE10</f>
        <v/>
      </c>
      <c r="AH754">
        <f>'T_TTAFStock'!AF10</f>
        <v/>
      </c>
      <c r="AI754">
        <f>'T_TTAFStock'!AG10</f>
        <v/>
      </c>
      <c r="AJ754">
        <f>'T_TTAFStock'!AH10</f>
        <v/>
      </c>
      <c r="AK754">
        <f>'T_TTAFStock'!AI10</f>
        <v/>
      </c>
      <c r="AL754">
        <f>'T_TTAFStock'!AJ10</f>
        <v/>
      </c>
      <c r="AM754">
        <f>'T_TTAFStock'!AK10</f>
        <v/>
      </c>
      <c r="AN754">
        <f>'T_TTAFStock'!AL10</f>
        <v/>
      </c>
      <c r="AO754">
        <f>'T_TTAFStock'!AM10</f>
        <v/>
      </c>
      <c r="AP754">
        <f>'T_TTAFStock'!AN10</f>
        <v/>
      </c>
      <c r="AQ754">
        <f>'T_TTAFStock'!AO10</f>
        <v/>
      </c>
      <c r="AR754">
        <f>'T_TTAFStock'!AP10</f>
        <v/>
      </c>
      <c r="AS754">
        <f>'T_TTAFStock'!AQ10</f>
        <v/>
      </c>
      <c r="AT754">
        <f>'T_TTAFStock'!AR10</f>
        <v/>
      </c>
      <c r="AU754">
        <f>'T_TTAFStock'!AS10</f>
        <v/>
      </c>
      <c r="AV754">
        <f>'T_TTAFStock'!AT10</f>
        <v/>
      </c>
      <c r="AW754">
        <f>'T_TTAFStock'!AU10</f>
        <v/>
      </c>
      <c r="AX754">
        <f>'T_TTAFStock'!AV10</f>
        <v/>
      </c>
      <c r="AY754">
        <f>'T_TTAFStock'!AW10</f>
        <v/>
      </c>
      <c r="AZ754">
        <f>'T_TTAFStock'!AX10</f>
        <v/>
      </c>
      <c r="BA754">
        <f>'T_TTAFStock'!AY10</f>
        <v/>
      </c>
      <c r="BB754">
        <f>'T_TTAFStock'!AZ10</f>
        <v/>
      </c>
      <c r="BC754">
        <f>'T_TTAFStock'!BA10</f>
        <v/>
      </c>
      <c r="BD754">
        <f>'T_TTAFStock'!BB10</f>
        <v/>
      </c>
      <c r="BE754">
        <f>'T_TTAFStock'!BC10</f>
        <v/>
      </c>
      <c r="BF754">
        <f>'T_TTAFStock'!BD10</f>
        <v/>
      </c>
      <c r="BG754">
        <f>'T_TTAFStock'!BE10</f>
        <v/>
      </c>
      <c r="BH754">
        <f>'T_TTAFStock'!BF10</f>
        <v/>
      </c>
      <c r="BI754">
        <f>'T_TTAFStock'!BG10</f>
        <v/>
      </c>
      <c r="BJ754">
        <f>'T_TTAFStock'!BH10</f>
        <v/>
      </c>
      <c r="BK754">
        <f>'T_TTAFStock'!BI10</f>
        <v/>
      </c>
      <c r="BL754">
        <f>'T_TTAFStock'!BJ10</f>
        <v/>
      </c>
      <c r="BM754">
        <f>'T_TTAFStock'!BK10</f>
        <v/>
      </c>
      <c r="BN754">
        <f>'T_TTAFStock'!BL10</f>
        <v/>
      </c>
      <c r="BO754">
        <f>'T_TTAFStock'!BM10</f>
        <v/>
      </c>
      <c r="BP754">
        <f>'T_TTAFStock'!BN10</f>
        <v/>
      </c>
      <c r="BQ754">
        <f>'T_TTAFStock'!BO10</f>
        <v/>
      </c>
      <c r="BR754">
        <f>'T_TTAFStock'!BP10</f>
        <v/>
      </c>
      <c r="BS754">
        <f>'T_TTAFStock'!BQ10</f>
        <v/>
      </c>
      <c r="BT754">
        <f>'T_TTAFStock'!BR10</f>
        <v/>
      </c>
      <c r="BU754">
        <f>'T_TTAFStock'!BS10</f>
        <v/>
      </c>
      <c r="BV754">
        <f>'T_TTAFStock'!BT10</f>
        <v/>
      </c>
      <c r="BW754">
        <f>'T_TTAFStock'!BU10</f>
        <v/>
      </c>
      <c r="BX754">
        <f>'T_TTAFStock'!BV10</f>
        <v/>
      </c>
      <c r="BY754">
        <f>'T_TTAFStock'!BW10</f>
        <v/>
      </c>
      <c r="BZ754">
        <f>'T_TTAFStock'!BX10</f>
        <v/>
      </c>
      <c r="CA754">
        <f>'T_TTAFStock'!BY10</f>
        <v/>
      </c>
      <c r="CB754">
        <f>'T_TTAFStock'!BZ10</f>
        <v/>
      </c>
      <c r="CC754">
        <f>'T_TTAFStock'!CA10</f>
        <v/>
      </c>
      <c r="CD754">
        <f>'T_TTAFStock'!CB10</f>
        <v/>
      </c>
      <c r="CE754">
        <f>'T_TTAFStock'!CC10</f>
        <v/>
      </c>
      <c r="CF754">
        <f>'T_TTAFStock'!CD10</f>
        <v/>
      </c>
      <c r="CG754">
        <f>'T_TTAFStock'!CE10</f>
        <v/>
      </c>
      <c r="CH754">
        <f>'T_TTAFStock'!CF10</f>
        <v/>
      </c>
      <c r="CI754">
        <f>'T_TTAFStock'!CG10</f>
        <v/>
      </c>
      <c r="CJ754">
        <f>'T_TTAFStock'!CH10</f>
        <v/>
      </c>
      <c r="CK754">
        <f>'T_TTAFStock'!CI10</f>
        <v/>
      </c>
      <c r="CL754">
        <f>'T_TTAFStock'!CJ10</f>
        <v/>
      </c>
      <c r="CM754">
        <f>'T_TTAFStock'!CK10</f>
        <v/>
      </c>
      <c r="CN754">
        <f>'T_TTAFStock'!CL10</f>
        <v/>
      </c>
      <c r="CO754">
        <f>'T_TTAFStock'!CM10</f>
        <v/>
      </c>
      <c r="CP754">
        <f>'T_TTAFStock'!CN10</f>
        <v/>
      </c>
      <c r="CQ754">
        <f>'T_TTAFStock'!CO10</f>
        <v/>
      </c>
      <c r="CR754">
        <f>'T_TTAFStock'!CP10</f>
        <v/>
      </c>
      <c r="CS754">
        <f>'T_TTAFStock'!CQ10</f>
        <v/>
      </c>
      <c r="CT754">
        <f>'T_TTAFStock'!CR10</f>
        <v/>
      </c>
      <c r="CU754">
        <f>'T_TTAFStock'!CS10</f>
        <v/>
      </c>
      <c r="CV754">
        <f>'T_TTAFStock'!CT10</f>
        <v/>
      </c>
      <c r="CW754">
        <f>'T_TTAFStock'!CU10</f>
        <v/>
      </c>
      <c r="CX754">
        <f>'T_TTAFStock'!CV10</f>
        <v/>
      </c>
      <c r="CY754">
        <f>'T_TTAFStock'!CW10</f>
        <v/>
      </c>
      <c r="CZ754">
        <f>'T_TTAFStock'!CX10</f>
        <v/>
      </c>
      <c r="DA754">
        <f>'T_TTAFStock'!CY10</f>
        <v/>
      </c>
      <c r="DB754">
        <f>'T_TTAFStock'!CZ10</f>
        <v/>
      </c>
      <c r="DC754">
        <f>'T_TTAFStock'!DA10</f>
        <v/>
      </c>
    </row>
    <row r="755">
      <c r="B755" t="inlineStr">
        <is>
          <t>自社在庫(実績,kg)</t>
        </is>
      </c>
      <c r="D755">
        <f>'T_SelfStock'!B10</f>
        <v/>
      </c>
      <c r="E755">
        <f>'T_SelfStock'!C10</f>
        <v/>
      </c>
      <c r="F755">
        <f>'T_SelfStock'!D10</f>
        <v/>
      </c>
      <c r="G755">
        <f>'T_SelfStock'!E10</f>
        <v/>
      </c>
      <c r="H755">
        <f>'T_SelfStock'!F10</f>
        <v/>
      </c>
      <c r="I755">
        <f>'T_SelfStock'!G10</f>
        <v/>
      </c>
      <c r="J755">
        <f>'T_SelfStock'!H10</f>
        <v/>
      </c>
      <c r="K755">
        <f>'T_SelfStock'!I10</f>
        <v/>
      </c>
      <c r="L755">
        <f>'T_SelfStock'!J10</f>
        <v/>
      </c>
      <c r="M755">
        <f>'T_SelfStock'!K10</f>
        <v/>
      </c>
      <c r="N755">
        <f>'T_SelfStock'!L10</f>
        <v/>
      </c>
      <c r="O755">
        <f>'T_SelfStock'!M10</f>
        <v/>
      </c>
      <c r="P755">
        <f>'T_SelfStock'!N10</f>
        <v/>
      </c>
      <c r="Q755">
        <f>'T_SelfStock'!O10</f>
        <v/>
      </c>
      <c r="R755">
        <f>'T_SelfStock'!P10</f>
        <v/>
      </c>
      <c r="S755">
        <f>'T_SelfStock'!Q10</f>
        <v/>
      </c>
      <c r="T755">
        <f>'T_SelfStock'!R10</f>
        <v/>
      </c>
      <c r="U755">
        <f>'T_SelfStock'!S10</f>
        <v/>
      </c>
      <c r="V755">
        <f>'T_SelfStock'!T10</f>
        <v/>
      </c>
      <c r="W755">
        <f>'T_SelfStock'!U10</f>
        <v/>
      </c>
      <c r="X755">
        <f>'T_SelfStock'!V10</f>
        <v/>
      </c>
      <c r="Y755">
        <f>'T_SelfStock'!W10</f>
        <v/>
      </c>
      <c r="Z755">
        <f>'T_SelfStock'!X10</f>
        <v/>
      </c>
      <c r="AA755">
        <f>'T_SelfStock'!Y10</f>
        <v/>
      </c>
      <c r="AB755">
        <f>'T_SelfStock'!Z10</f>
        <v/>
      </c>
      <c r="AC755">
        <f>'T_SelfStock'!AA10</f>
        <v/>
      </c>
      <c r="AD755">
        <f>'T_SelfStock'!AB10</f>
        <v/>
      </c>
      <c r="AE755">
        <f>'T_SelfStock'!AC10</f>
        <v/>
      </c>
      <c r="AF755">
        <f>'T_SelfStock'!AD10</f>
        <v/>
      </c>
      <c r="AG755">
        <f>'T_SelfStock'!AE10</f>
        <v/>
      </c>
      <c r="AH755">
        <f>'T_SelfStock'!AF10</f>
        <v/>
      </c>
      <c r="AI755">
        <f>'T_SelfStock'!AG10</f>
        <v/>
      </c>
      <c r="AJ755">
        <f>'T_SelfStock'!AH10</f>
        <v/>
      </c>
      <c r="AK755">
        <f>'T_SelfStock'!AI10</f>
        <v/>
      </c>
      <c r="AL755">
        <f>'T_SelfStock'!AJ10</f>
        <v/>
      </c>
      <c r="AM755">
        <f>'T_SelfStock'!AK10</f>
        <v/>
      </c>
      <c r="AN755">
        <f>'T_SelfStock'!AL10</f>
        <v/>
      </c>
      <c r="AO755">
        <f>'T_SelfStock'!AM10</f>
        <v/>
      </c>
      <c r="AP755">
        <f>'T_SelfStock'!AN10</f>
        <v/>
      </c>
      <c r="AQ755">
        <f>'T_SelfStock'!AO10</f>
        <v/>
      </c>
      <c r="AR755">
        <f>'T_SelfStock'!AP10</f>
        <v/>
      </c>
      <c r="AS755">
        <f>'T_SelfStock'!AQ10</f>
        <v/>
      </c>
      <c r="AT755">
        <f>'T_SelfStock'!AR10</f>
        <v/>
      </c>
      <c r="AU755">
        <f>'T_SelfStock'!AS10</f>
        <v/>
      </c>
      <c r="AV755">
        <f>'T_SelfStock'!AT10</f>
        <v/>
      </c>
      <c r="AW755">
        <f>'T_SelfStock'!AU10</f>
        <v/>
      </c>
      <c r="AX755">
        <f>'T_SelfStock'!AV10</f>
        <v/>
      </c>
      <c r="AY755">
        <f>'T_SelfStock'!AW10</f>
        <v/>
      </c>
      <c r="AZ755">
        <f>'T_SelfStock'!AX10</f>
        <v/>
      </c>
      <c r="BA755">
        <f>'T_SelfStock'!AY10</f>
        <v/>
      </c>
      <c r="BB755">
        <f>'T_SelfStock'!AZ10</f>
        <v/>
      </c>
      <c r="BC755">
        <f>'T_SelfStock'!BA10</f>
        <v/>
      </c>
      <c r="BD755">
        <f>'T_SelfStock'!BB10</f>
        <v/>
      </c>
      <c r="BE755">
        <f>'T_SelfStock'!BC10</f>
        <v/>
      </c>
      <c r="BF755">
        <f>'T_SelfStock'!BD10</f>
        <v/>
      </c>
      <c r="BG755">
        <f>'T_SelfStock'!BE10</f>
        <v/>
      </c>
      <c r="BH755">
        <f>'T_SelfStock'!BF10</f>
        <v/>
      </c>
      <c r="BI755">
        <f>'T_SelfStock'!BG10</f>
        <v/>
      </c>
      <c r="BJ755">
        <f>'T_SelfStock'!BH10</f>
        <v/>
      </c>
      <c r="BK755">
        <f>'T_SelfStock'!BI10</f>
        <v/>
      </c>
      <c r="BL755">
        <f>'T_SelfStock'!BJ10</f>
        <v/>
      </c>
      <c r="BM755">
        <f>'T_SelfStock'!BK10</f>
        <v/>
      </c>
      <c r="BN755">
        <f>'T_SelfStock'!BL10</f>
        <v/>
      </c>
      <c r="BO755">
        <f>'T_SelfStock'!BM10</f>
        <v/>
      </c>
      <c r="BP755">
        <f>'T_SelfStock'!BN10</f>
        <v/>
      </c>
      <c r="BQ755">
        <f>'T_SelfStock'!BO10</f>
        <v/>
      </c>
      <c r="BR755">
        <f>'T_SelfStock'!BP10</f>
        <v/>
      </c>
      <c r="BS755">
        <f>'T_SelfStock'!BQ10</f>
        <v/>
      </c>
      <c r="BT755">
        <f>'T_SelfStock'!BR10</f>
        <v/>
      </c>
      <c r="BU755">
        <f>'T_SelfStock'!BS10</f>
        <v/>
      </c>
      <c r="BV755">
        <f>'T_SelfStock'!BT10</f>
        <v/>
      </c>
      <c r="BW755">
        <f>'T_SelfStock'!BU10</f>
        <v/>
      </c>
      <c r="BX755">
        <f>'T_SelfStock'!BV10</f>
        <v/>
      </c>
      <c r="BY755">
        <f>'T_SelfStock'!BW10</f>
        <v/>
      </c>
      <c r="BZ755">
        <f>'T_SelfStock'!BX10</f>
        <v/>
      </c>
      <c r="CA755">
        <f>'T_SelfStock'!BY10</f>
        <v/>
      </c>
      <c r="CB755">
        <f>'T_SelfStock'!BZ10</f>
        <v/>
      </c>
      <c r="CC755">
        <f>'T_SelfStock'!CA10</f>
        <v/>
      </c>
      <c r="CD755">
        <f>'T_SelfStock'!CB10</f>
        <v/>
      </c>
      <c r="CE755">
        <f>'T_SelfStock'!CC10</f>
        <v/>
      </c>
      <c r="CF755">
        <f>'T_SelfStock'!CD10</f>
        <v/>
      </c>
      <c r="CG755">
        <f>'T_SelfStock'!CE10</f>
        <v/>
      </c>
      <c r="CH755">
        <f>'T_SelfStock'!CF10</f>
        <v/>
      </c>
      <c r="CI755">
        <f>'T_SelfStock'!CG10</f>
        <v/>
      </c>
      <c r="CJ755">
        <f>'T_SelfStock'!CH10</f>
        <v/>
      </c>
      <c r="CK755">
        <f>'T_SelfStock'!CI10</f>
        <v/>
      </c>
      <c r="CL755">
        <f>'T_SelfStock'!CJ10</f>
        <v/>
      </c>
      <c r="CM755">
        <f>'T_SelfStock'!CK10</f>
        <v/>
      </c>
      <c r="CN755">
        <f>'T_SelfStock'!CL10</f>
        <v/>
      </c>
      <c r="CO755">
        <f>'T_SelfStock'!CM10</f>
        <v/>
      </c>
      <c r="CP755">
        <f>'T_SelfStock'!CN10</f>
        <v/>
      </c>
      <c r="CQ755">
        <f>'T_SelfStock'!CO10</f>
        <v/>
      </c>
      <c r="CR755">
        <f>'T_SelfStock'!CP10</f>
        <v/>
      </c>
      <c r="CS755">
        <f>'T_SelfStock'!CQ10</f>
        <v/>
      </c>
      <c r="CT755">
        <f>'T_SelfStock'!CR10</f>
        <v/>
      </c>
      <c r="CU755">
        <f>'T_SelfStock'!CS10</f>
        <v/>
      </c>
      <c r="CV755">
        <f>'T_SelfStock'!CT10</f>
        <v/>
      </c>
      <c r="CW755">
        <f>'T_SelfStock'!CU10</f>
        <v/>
      </c>
      <c r="CX755">
        <f>'T_SelfStock'!CV10</f>
        <v/>
      </c>
      <c r="CY755">
        <f>'T_SelfStock'!CW10</f>
        <v/>
      </c>
      <c r="CZ755">
        <f>'T_SelfStock'!CX10</f>
        <v/>
      </c>
      <c r="DA755">
        <f>'T_SelfStock'!CY10</f>
        <v/>
      </c>
      <c r="DB755">
        <f>'T_SelfStock'!CZ10</f>
        <v/>
      </c>
      <c r="DC755">
        <f>'T_SelfStock'!DA10</f>
        <v/>
      </c>
    </row>
    <row r="756">
      <c r="B756" s="4" t="inlineStr">
        <is>
          <t>合計在庫(週末時点,kg)</t>
        </is>
      </c>
      <c r="D756">
        <f>'Grid_Stock'!B6</f>
        <v/>
      </c>
      <c r="E756">
        <f>'Grid_Stock'!C6</f>
        <v/>
      </c>
      <c r="F756">
        <f>'Grid_Stock'!D6</f>
        <v/>
      </c>
      <c r="G756">
        <f>'Grid_Stock'!E6</f>
        <v/>
      </c>
      <c r="H756">
        <f>'Grid_Stock'!F6</f>
        <v/>
      </c>
      <c r="I756">
        <f>'Grid_Stock'!G6</f>
        <v/>
      </c>
      <c r="J756">
        <f>'Grid_Stock'!H6</f>
        <v/>
      </c>
      <c r="K756">
        <f>'Grid_Stock'!I6</f>
        <v/>
      </c>
      <c r="L756">
        <f>'Grid_Stock'!J6</f>
        <v/>
      </c>
      <c r="M756">
        <f>'Grid_Stock'!K6</f>
        <v/>
      </c>
      <c r="N756">
        <f>'Grid_Stock'!L6</f>
        <v/>
      </c>
      <c r="O756">
        <f>'Grid_Stock'!M6</f>
        <v/>
      </c>
      <c r="P756">
        <f>'Grid_Stock'!N6</f>
        <v/>
      </c>
      <c r="Q756">
        <f>'Grid_Stock'!O6</f>
        <v/>
      </c>
      <c r="R756">
        <f>'Grid_Stock'!P6</f>
        <v/>
      </c>
      <c r="S756">
        <f>'Grid_Stock'!Q6</f>
        <v/>
      </c>
      <c r="T756">
        <f>'Grid_Stock'!R6</f>
        <v/>
      </c>
      <c r="U756">
        <f>'Grid_Stock'!S6</f>
        <v/>
      </c>
      <c r="V756">
        <f>'Grid_Stock'!T6</f>
        <v/>
      </c>
      <c r="W756">
        <f>'Grid_Stock'!U6</f>
        <v/>
      </c>
      <c r="X756">
        <f>'Grid_Stock'!V6</f>
        <v/>
      </c>
      <c r="Y756">
        <f>'Grid_Stock'!W6</f>
        <v/>
      </c>
      <c r="Z756">
        <f>'Grid_Stock'!X6</f>
        <v/>
      </c>
      <c r="AA756">
        <f>'Grid_Stock'!Y6</f>
        <v/>
      </c>
      <c r="AB756">
        <f>'Grid_Stock'!Z6</f>
        <v/>
      </c>
      <c r="AC756">
        <f>'Grid_Stock'!AA6</f>
        <v/>
      </c>
      <c r="AD756">
        <f>'Grid_Stock'!AB6</f>
        <v/>
      </c>
      <c r="AE756">
        <f>'Grid_Stock'!AC6</f>
        <v/>
      </c>
      <c r="AF756">
        <f>'Grid_Stock'!AD6</f>
        <v/>
      </c>
      <c r="AG756">
        <f>'Grid_Stock'!AE6</f>
        <v/>
      </c>
      <c r="AH756">
        <f>'Grid_Stock'!AF6</f>
        <v/>
      </c>
      <c r="AI756">
        <f>'Grid_Stock'!AG6</f>
        <v/>
      </c>
      <c r="AJ756">
        <f>'Grid_Stock'!AH6</f>
        <v/>
      </c>
      <c r="AK756">
        <f>'Grid_Stock'!AI6</f>
        <v/>
      </c>
      <c r="AL756">
        <f>'Grid_Stock'!AJ6</f>
        <v/>
      </c>
      <c r="AM756">
        <f>'Grid_Stock'!AK6</f>
        <v/>
      </c>
      <c r="AN756">
        <f>'Grid_Stock'!AL6</f>
        <v/>
      </c>
      <c r="AO756">
        <f>'Grid_Stock'!AM6</f>
        <v/>
      </c>
      <c r="AP756">
        <f>'Grid_Stock'!AN6</f>
        <v/>
      </c>
      <c r="AQ756">
        <f>'Grid_Stock'!AO6</f>
        <v/>
      </c>
      <c r="AR756">
        <f>'Grid_Stock'!AP6</f>
        <v/>
      </c>
      <c r="AS756">
        <f>'Grid_Stock'!AQ6</f>
        <v/>
      </c>
      <c r="AT756">
        <f>'Grid_Stock'!AR6</f>
        <v/>
      </c>
      <c r="AU756">
        <f>'Grid_Stock'!AS6</f>
        <v/>
      </c>
      <c r="AV756">
        <f>'Grid_Stock'!AT6</f>
        <v/>
      </c>
      <c r="AW756">
        <f>'Grid_Stock'!AU6</f>
        <v/>
      </c>
      <c r="AX756">
        <f>'Grid_Stock'!AV6</f>
        <v/>
      </c>
      <c r="AY756">
        <f>'Grid_Stock'!AW6</f>
        <v/>
      </c>
      <c r="AZ756">
        <f>'Grid_Stock'!AX6</f>
        <v/>
      </c>
      <c r="BA756">
        <f>'Grid_Stock'!AY6</f>
        <v/>
      </c>
      <c r="BB756">
        <f>'Grid_Stock'!AZ6</f>
        <v/>
      </c>
      <c r="BC756">
        <f>'Grid_Stock'!BA6</f>
        <v/>
      </c>
      <c r="BD756">
        <f>'Grid_Stock'!BB6</f>
        <v/>
      </c>
      <c r="BE756">
        <f>'Grid_Stock'!BC6</f>
        <v/>
      </c>
      <c r="BF756">
        <f>'Grid_Stock'!BD6</f>
        <v/>
      </c>
      <c r="BG756">
        <f>'Grid_Stock'!BE6</f>
        <v/>
      </c>
      <c r="BH756">
        <f>'Grid_Stock'!BF6</f>
        <v/>
      </c>
      <c r="BI756">
        <f>'Grid_Stock'!BG6</f>
        <v/>
      </c>
      <c r="BJ756">
        <f>'Grid_Stock'!BH6</f>
        <v/>
      </c>
      <c r="BK756">
        <f>'Grid_Stock'!BI6</f>
        <v/>
      </c>
      <c r="BL756">
        <f>'Grid_Stock'!BJ6</f>
        <v/>
      </c>
      <c r="BM756">
        <f>'Grid_Stock'!BK6</f>
        <v/>
      </c>
      <c r="BN756">
        <f>'Grid_Stock'!BL6</f>
        <v/>
      </c>
      <c r="BO756">
        <f>'Grid_Stock'!BM6</f>
        <v/>
      </c>
      <c r="BP756">
        <f>'Grid_Stock'!BN6</f>
        <v/>
      </c>
      <c r="BQ756">
        <f>'Grid_Stock'!BO6</f>
        <v/>
      </c>
      <c r="BR756">
        <f>'Grid_Stock'!BP6</f>
        <v/>
      </c>
      <c r="BS756">
        <f>'Grid_Stock'!BQ6</f>
        <v/>
      </c>
      <c r="BT756">
        <f>'Grid_Stock'!BR6</f>
        <v/>
      </c>
      <c r="BU756">
        <f>'Grid_Stock'!BS6</f>
        <v/>
      </c>
      <c r="BV756">
        <f>'Grid_Stock'!BT6</f>
        <v/>
      </c>
      <c r="BW756">
        <f>'Grid_Stock'!BU6</f>
        <v/>
      </c>
      <c r="BX756">
        <f>'Grid_Stock'!BV6</f>
        <v/>
      </c>
      <c r="BY756">
        <f>'Grid_Stock'!BW6</f>
        <v/>
      </c>
      <c r="BZ756">
        <f>'Grid_Stock'!BX6</f>
        <v/>
      </c>
      <c r="CA756">
        <f>'Grid_Stock'!BY6</f>
        <v/>
      </c>
      <c r="CB756">
        <f>'Grid_Stock'!BZ6</f>
        <v/>
      </c>
      <c r="CC756">
        <f>'Grid_Stock'!CA6</f>
        <v/>
      </c>
      <c r="CD756">
        <f>'Grid_Stock'!CB6</f>
        <v/>
      </c>
      <c r="CE756">
        <f>'Grid_Stock'!CC6</f>
        <v/>
      </c>
      <c r="CF756">
        <f>'Grid_Stock'!CD6</f>
        <v/>
      </c>
      <c r="CG756">
        <f>'Grid_Stock'!CE6</f>
        <v/>
      </c>
      <c r="CH756">
        <f>'Grid_Stock'!CF6</f>
        <v/>
      </c>
      <c r="CI756">
        <f>'Grid_Stock'!CG6</f>
        <v/>
      </c>
      <c r="CJ756">
        <f>'Grid_Stock'!CH6</f>
        <v/>
      </c>
      <c r="CK756">
        <f>'Grid_Stock'!CI6</f>
        <v/>
      </c>
      <c r="CL756">
        <f>'Grid_Stock'!CJ6</f>
        <v/>
      </c>
      <c r="CM756">
        <f>'Grid_Stock'!CK6</f>
        <v/>
      </c>
      <c r="CN756">
        <f>'Grid_Stock'!CL6</f>
        <v/>
      </c>
      <c r="CO756">
        <f>'Grid_Stock'!CM6</f>
        <v/>
      </c>
      <c r="CP756">
        <f>'Grid_Stock'!CN6</f>
        <v/>
      </c>
      <c r="CQ756">
        <f>'Grid_Stock'!CO6</f>
        <v/>
      </c>
      <c r="CR756">
        <f>'Grid_Stock'!CP6</f>
        <v/>
      </c>
      <c r="CS756">
        <f>'Grid_Stock'!CQ6</f>
        <v/>
      </c>
      <c r="CT756">
        <f>'Grid_Stock'!CR6</f>
        <v/>
      </c>
      <c r="CU756">
        <f>'Grid_Stock'!CS6</f>
        <v/>
      </c>
      <c r="CV756">
        <f>'Grid_Stock'!CT6</f>
        <v/>
      </c>
      <c r="CW756">
        <f>'Grid_Stock'!CU6</f>
        <v/>
      </c>
      <c r="CX756">
        <f>'Grid_Stock'!CV6</f>
        <v/>
      </c>
      <c r="CY756">
        <f>'Grid_Stock'!CW6</f>
        <v/>
      </c>
      <c r="CZ756">
        <f>'Grid_Stock'!CX6</f>
        <v/>
      </c>
      <c r="DA756">
        <f>'Grid_Stock'!CY6</f>
        <v/>
      </c>
      <c r="DB756">
        <f>'Grid_Stock'!CZ6</f>
        <v/>
      </c>
      <c r="DC756">
        <f>'Grid_Stock'!DA6</f>
        <v/>
      </c>
    </row>
    <row r="757">
      <c r="B757" s="16" t="inlineStr">
        <is>
          <t>（発注の目安はDashboardの基準在庫[下限/上限]と色分けを参照）</t>
        </is>
      </c>
    </row>
    <row r="759">
      <c r="A759" s="14" t="inlineStr">
        <is>
          <t>CHEM-1650</t>
        </is>
      </c>
      <c r="B759" s="14" t="inlineStr">
        <is>
          <t>DUASYN ACID BLUE AE-SF 30 LIQUID-SN</t>
        </is>
      </c>
      <c r="C759" s="15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  <c r="BS759" s="14" t="n"/>
      <c r="BT759" s="14" t="n"/>
      <c r="BU759" s="14" t="n"/>
      <c r="BV759" s="14" t="n"/>
      <c r="BW759" s="14" t="n"/>
      <c r="BX759" s="14" t="n"/>
      <c r="BY759" s="14" t="n"/>
      <c r="BZ759" s="14" t="n"/>
      <c r="CA759" s="14" t="n"/>
      <c r="CB759" s="14" t="n"/>
      <c r="CC759" s="14" t="n"/>
      <c r="CD759" s="14" t="n"/>
      <c r="CE759" s="14" t="n"/>
      <c r="CF759" s="14" t="n"/>
      <c r="CG759" s="14" t="n"/>
      <c r="CH759" s="14" t="n"/>
      <c r="CI759" s="14" t="n"/>
      <c r="CJ759" s="14" t="n"/>
      <c r="CK759" s="14" t="n"/>
      <c r="CL759" s="14" t="n"/>
      <c r="CM759" s="14" t="n"/>
      <c r="CN759" s="14" t="n"/>
      <c r="CO759" s="14" t="n"/>
      <c r="CP759" s="14" t="n"/>
      <c r="CQ759" s="14" t="n"/>
      <c r="CR759" s="14" t="n"/>
      <c r="CS759" s="14" t="n"/>
      <c r="CT759" s="14" t="n"/>
      <c r="CU759" s="14" t="n"/>
      <c r="CV759" s="14" t="n"/>
      <c r="CW759" s="14" t="n"/>
      <c r="CX759" s="14" t="n"/>
      <c r="CY759" s="14" t="n"/>
      <c r="CZ759" s="14" t="n"/>
      <c r="DA759" s="14" t="n"/>
      <c r="DB759" s="14" t="n"/>
      <c r="DC759" s="14" t="n"/>
    </row>
    <row r="760">
      <c r="B760" t="inlineStr">
        <is>
          <t>TSP-402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TSP-403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TSP-404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TSP-405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TSP-620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TSP-623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Name],$A759)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TSP-655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Name],$A759)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TSP-903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Name],$A759)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TSP-934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Name],$A759)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TSP-935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Name],$A759)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TSP-936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Name],$A759)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TSP-937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Name],$A759)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TSP-959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Name],$A759)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TSP-1388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Name],$A759)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TSP-1448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Name],$A759)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VSP-567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Name],$A759)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Name],$A759)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VSP-605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Name],$A759)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VSP-607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Name],$A759)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VSP-738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Name],$A759)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VSP-740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Name],$A759)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VSP-746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Name],$A759)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VSP-822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Name],$A759)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VSP-870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Name],$A759)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VSP-990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Name],$A759)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VSZ-745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Name],$A759)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VSP-600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Name],$A759)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4" t="inlineStr">
        <is>
          <t>合計使用量(kg)/週</t>
        </is>
      </c>
      <c r="D814">
        <f>'Grid_Requirement'!B17</f>
        <v/>
      </c>
      <c r="E814">
        <f>'Grid_Requirement'!C17</f>
        <v/>
      </c>
      <c r="F814">
        <f>'Grid_Requirement'!D17</f>
        <v/>
      </c>
      <c r="G814">
        <f>'Grid_Requirement'!E17</f>
        <v/>
      </c>
      <c r="H814">
        <f>'Grid_Requirement'!F17</f>
        <v/>
      </c>
      <c r="I814">
        <f>'Grid_Requirement'!G17</f>
        <v/>
      </c>
      <c r="J814">
        <f>'Grid_Requirement'!H17</f>
        <v/>
      </c>
      <c r="K814">
        <f>'Grid_Requirement'!I17</f>
        <v/>
      </c>
      <c r="L814">
        <f>'Grid_Requirement'!J17</f>
        <v/>
      </c>
      <c r="M814">
        <f>'Grid_Requirement'!K17</f>
        <v/>
      </c>
      <c r="N814">
        <f>'Grid_Requirement'!L17</f>
        <v/>
      </c>
      <c r="O814">
        <f>'Grid_Requirement'!M17</f>
        <v/>
      </c>
      <c r="P814">
        <f>'Grid_Requirement'!N17</f>
        <v/>
      </c>
      <c r="Q814">
        <f>'Grid_Requirement'!O17</f>
        <v/>
      </c>
      <c r="R814">
        <f>'Grid_Requirement'!P17</f>
        <v/>
      </c>
      <c r="S814">
        <f>'Grid_Requirement'!Q17</f>
        <v/>
      </c>
      <c r="T814">
        <f>'Grid_Requirement'!R17</f>
        <v/>
      </c>
      <c r="U814">
        <f>'Grid_Requirement'!S17</f>
        <v/>
      </c>
      <c r="V814">
        <f>'Grid_Requirement'!T17</f>
        <v/>
      </c>
      <c r="W814">
        <f>'Grid_Requirement'!U17</f>
        <v/>
      </c>
      <c r="X814">
        <f>'Grid_Requirement'!V17</f>
        <v/>
      </c>
      <c r="Y814">
        <f>'Grid_Requirement'!W17</f>
        <v/>
      </c>
      <c r="Z814">
        <f>'Grid_Requirement'!X17</f>
        <v/>
      </c>
      <c r="AA814">
        <f>'Grid_Requirement'!Y17</f>
        <v/>
      </c>
      <c r="AB814">
        <f>'Grid_Requirement'!Z17</f>
        <v/>
      </c>
      <c r="AC814">
        <f>'Grid_Requirement'!AA17</f>
        <v/>
      </c>
      <c r="AD814">
        <f>'Grid_Requirement'!AB17</f>
        <v/>
      </c>
      <c r="AE814">
        <f>'Grid_Requirement'!AC17</f>
        <v/>
      </c>
      <c r="AF814">
        <f>'Grid_Requirement'!AD17</f>
        <v/>
      </c>
      <c r="AG814">
        <f>'Grid_Requirement'!AE17</f>
        <v/>
      </c>
      <c r="AH814">
        <f>'Grid_Requirement'!AF17</f>
        <v/>
      </c>
      <c r="AI814">
        <f>'Grid_Requirement'!AG17</f>
        <v/>
      </c>
      <c r="AJ814">
        <f>'Grid_Requirement'!AH17</f>
        <v/>
      </c>
      <c r="AK814">
        <f>'Grid_Requirement'!AI17</f>
        <v/>
      </c>
      <c r="AL814">
        <f>'Grid_Requirement'!AJ17</f>
        <v/>
      </c>
      <c r="AM814">
        <f>'Grid_Requirement'!AK17</f>
        <v/>
      </c>
      <c r="AN814">
        <f>'Grid_Requirement'!AL17</f>
        <v/>
      </c>
      <c r="AO814">
        <f>'Grid_Requirement'!AM17</f>
        <v/>
      </c>
      <c r="AP814">
        <f>'Grid_Requirement'!AN17</f>
        <v/>
      </c>
      <c r="AQ814">
        <f>'Grid_Requirement'!AO17</f>
        <v/>
      </c>
      <c r="AR814">
        <f>'Grid_Requirement'!AP17</f>
        <v/>
      </c>
      <c r="AS814">
        <f>'Grid_Requirement'!AQ17</f>
        <v/>
      </c>
      <c r="AT814">
        <f>'Grid_Requirement'!AR17</f>
        <v/>
      </c>
      <c r="AU814">
        <f>'Grid_Requirement'!AS17</f>
        <v/>
      </c>
      <c r="AV814">
        <f>'Grid_Requirement'!AT17</f>
        <v/>
      </c>
      <c r="AW814">
        <f>'Grid_Requirement'!AU17</f>
        <v/>
      </c>
      <c r="AX814">
        <f>'Grid_Requirement'!AV17</f>
        <v/>
      </c>
      <c r="AY814">
        <f>'Grid_Requirement'!AW17</f>
        <v/>
      </c>
      <c r="AZ814">
        <f>'Grid_Requirement'!AX17</f>
        <v/>
      </c>
      <c r="BA814">
        <f>'Grid_Requirement'!AY17</f>
        <v/>
      </c>
      <c r="BB814">
        <f>'Grid_Requirement'!AZ17</f>
        <v/>
      </c>
      <c r="BC814">
        <f>'Grid_Requirement'!BA17</f>
        <v/>
      </c>
      <c r="BD814">
        <f>'Grid_Requirement'!BB17</f>
        <v/>
      </c>
      <c r="BE814">
        <f>'Grid_Requirement'!BC17</f>
        <v/>
      </c>
      <c r="BF814">
        <f>'Grid_Requirement'!BD17</f>
        <v/>
      </c>
      <c r="BG814">
        <f>'Grid_Requirement'!BE17</f>
        <v/>
      </c>
      <c r="BH814">
        <f>'Grid_Requirement'!BF17</f>
        <v/>
      </c>
      <c r="BI814">
        <f>'Grid_Requirement'!BG17</f>
        <v/>
      </c>
      <c r="BJ814">
        <f>'Grid_Requirement'!BH17</f>
        <v/>
      </c>
      <c r="BK814">
        <f>'Grid_Requirement'!BI17</f>
        <v/>
      </c>
      <c r="BL814">
        <f>'Grid_Requirement'!BJ17</f>
        <v/>
      </c>
      <c r="BM814">
        <f>'Grid_Requirement'!BK17</f>
        <v/>
      </c>
      <c r="BN814">
        <f>'Grid_Requirement'!BL17</f>
        <v/>
      </c>
      <c r="BO814">
        <f>'Grid_Requirement'!BM17</f>
        <v/>
      </c>
      <c r="BP814">
        <f>'Grid_Requirement'!BN17</f>
        <v/>
      </c>
      <c r="BQ814">
        <f>'Grid_Requirement'!BO17</f>
        <v/>
      </c>
      <c r="BR814">
        <f>'Grid_Requirement'!BP17</f>
        <v/>
      </c>
      <c r="BS814">
        <f>'Grid_Requirement'!BQ17</f>
        <v/>
      </c>
      <c r="BT814">
        <f>'Grid_Requirement'!BR17</f>
        <v/>
      </c>
      <c r="BU814">
        <f>'Grid_Requirement'!BS17</f>
        <v/>
      </c>
      <c r="BV814">
        <f>'Grid_Requirement'!BT17</f>
        <v/>
      </c>
      <c r="BW814">
        <f>'Grid_Requirement'!BU17</f>
        <v/>
      </c>
      <c r="BX814">
        <f>'Grid_Requirement'!BV17</f>
        <v/>
      </c>
      <c r="BY814">
        <f>'Grid_Requirement'!BW17</f>
        <v/>
      </c>
      <c r="BZ814">
        <f>'Grid_Requirement'!BX17</f>
        <v/>
      </c>
      <c r="CA814">
        <f>'Grid_Requirement'!BY17</f>
        <v/>
      </c>
      <c r="CB814">
        <f>'Grid_Requirement'!BZ17</f>
        <v/>
      </c>
      <c r="CC814">
        <f>'Grid_Requirement'!CA17</f>
        <v/>
      </c>
      <c r="CD814">
        <f>'Grid_Requirement'!CB17</f>
        <v/>
      </c>
      <c r="CE814">
        <f>'Grid_Requirement'!CC17</f>
        <v/>
      </c>
      <c r="CF814">
        <f>'Grid_Requirement'!CD17</f>
        <v/>
      </c>
      <c r="CG814">
        <f>'Grid_Requirement'!CE17</f>
        <v/>
      </c>
      <c r="CH814">
        <f>'Grid_Requirement'!CF17</f>
        <v/>
      </c>
      <c r="CI814">
        <f>'Grid_Requirement'!CG17</f>
        <v/>
      </c>
      <c r="CJ814">
        <f>'Grid_Requirement'!CH17</f>
        <v/>
      </c>
      <c r="CK814">
        <f>'Grid_Requirement'!CI17</f>
        <v/>
      </c>
      <c r="CL814">
        <f>'Grid_Requirement'!CJ17</f>
        <v/>
      </c>
      <c r="CM814">
        <f>'Grid_Requirement'!CK17</f>
        <v/>
      </c>
      <c r="CN814">
        <f>'Grid_Requirement'!CL17</f>
        <v/>
      </c>
      <c r="CO814">
        <f>'Grid_Requirement'!CM17</f>
        <v/>
      </c>
      <c r="CP814">
        <f>'Grid_Requirement'!CN17</f>
        <v/>
      </c>
      <c r="CQ814">
        <f>'Grid_Requirement'!CO17</f>
        <v/>
      </c>
      <c r="CR814">
        <f>'Grid_Requirement'!CP17</f>
        <v/>
      </c>
      <c r="CS814">
        <f>'Grid_Requirement'!CQ17</f>
        <v/>
      </c>
      <c r="CT814">
        <f>'Grid_Requirement'!CR17</f>
        <v/>
      </c>
      <c r="CU814">
        <f>'Grid_Requirement'!CS17</f>
        <v/>
      </c>
      <c r="CV814">
        <f>'Grid_Requirement'!CT17</f>
        <v/>
      </c>
      <c r="CW814">
        <f>'Grid_Requirement'!CU17</f>
        <v/>
      </c>
      <c r="CX814">
        <f>'Grid_Requirement'!CV17</f>
        <v/>
      </c>
      <c r="CY814">
        <f>'Grid_Requirement'!CW17</f>
        <v/>
      </c>
      <c r="CZ814">
        <f>'Grid_Requirement'!CX17</f>
        <v/>
      </c>
      <c r="DA814">
        <f>'Grid_Requirement'!CY17</f>
        <v/>
      </c>
      <c r="DB814">
        <f>'Grid_Requirement'!CZ17</f>
        <v/>
      </c>
      <c r="DC814">
        <f>'Grid_Requirement'!DA17</f>
        <v/>
      </c>
    </row>
    <row r="815">
      <c r="B815" t="inlineStr">
        <is>
          <t>TTAF在庫(実績,kg)</t>
        </is>
      </c>
      <c r="D815">
        <f>'T_TTAFStock'!B21</f>
        <v/>
      </c>
      <c r="E815">
        <f>'T_TTAFStock'!C21</f>
        <v/>
      </c>
      <c r="F815">
        <f>'T_TTAFStock'!D21</f>
        <v/>
      </c>
      <c r="G815">
        <f>'T_TTAFStock'!E21</f>
        <v/>
      </c>
      <c r="H815">
        <f>'T_TTAFStock'!F21</f>
        <v/>
      </c>
      <c r="I815">
        <f>'T_TTAFStock'!G21</f>
        <v/>
      </c>
      <c r="J815">
        <f>'T_TTAFStock'!H21</f>
        <v/>
      </c>
      <c r="K815">
        <f>'T_TTAFStock'!I21</f>
        <v/>
      </c>
      <c r="L815">
        <f>'T_TTAFStock'!J21</f>
        <v/>
      </c>
      <c r="M815">
        <f>'T_TTAFStock'!K21</f>
        <v/>
      </c>
      <c r="N815">
        <f>'T_TTAFStock'!L21</f>
        <v/>
      </c>
      <c r="O815">
        <f>'T_TTAFStock'!M21</f>
        <v/>
      </c>
      <c r="P815">
        <f>'T_TTAFStock'!N21</f>
        <v/>
      </c>
      <c r="Q815">
        <f>'T_TTAFStock'!O21</f>
        <v/>
      </c>
      <c r="R815">
        <f>'T_TTAFStock'!P21</f>
        <v/>
      </c>
      <c r="S815">
        <f>'T_TTAFStock'!Q21</f>
        <v/>
      </c>
      <c r="T815">
        <f>'T_TTAFStock'!R21</f>
        <v/>
      </c>
      <c r="U815">
        <f>'T_TTAFStock'!S21</f>
        <v/>
      </c>
      <c r="V815">
        <f>'T_TTAFStock'!T21</f>
        <v/>
      </c>
      <c r="W815">
        <f>'T_TTAFStock'!U21</f>
        <v/>
      </c>
      <c r="X815">
        <f>'T_TTAFStock'!V21</f>
        <v/>
      </c>
      <c r="Y815">
        <f>'T_TTAFStock'!W21</f>
        <v/>
      </c>
      <c r="Z815">
        <f>'T_TTAFStock'!X21</f>
        <v/>
      </c>
      <c r="AA815">
        <f>'T_TTAFStock'!Y21</f>
        <v/>
      </c>
      <c r="AB815">
        <f>'T_TTAFStock'!Z21</f>
        <v/>
      </c>
      <c r="AC815">
        <f>'T_TTAFStock'!AA21</f>
        <v/>
      </c>
      <c r="AD815">
        <f>'T_TTAFStock'!AB21</f>
        <v/>
      </c>
      <c r="AE815">
        <f>'T_TTAFStock'!AC21</f>
        <v/>
      </c>
      <c r="AF815">
        <f>'T_TTAFStock'!AD21</f>
        <v/>
      </c>
      <c r="AG815">
        <f>'T_TTAFStock'!AE21</f>
        <v/>
      </c>
      <c r="AH815">
        <f>'T_TTAFStock'!AF21</f>
        <v/>
      </c>
      <c r="AI815">
        <f>'T_TTAFStock'!AG21</f>
        <v/>
      </c>
      <c r="AJ815">
        <f>'T_TTAFStock'!AH21</f>
        <v/>
      </c>
      <c r="AK815">
        <f>'T_TTAFStock'!AI21</f>
        <v/>
      </c>
      <c r="AL815">
        <f>'T_TTAFStock'!AJ21</f>
        <v/>
      </c>
      <c r="AM815">
        <f>'T_TTAFStock'!AK21</f>
        <v/>
      </c>
      <c r="AN815">
        <f>'T_TTAFStock'!AL21</f>
        <v/>
      </c>
      <c r="AO815">
        <f>'T_TTAFStock'!AM21</f>
        <v/>
      </c>
      <c r="AP815">
        <f>'T_TTAFStock'!AN21</f>
        <v/>
      </c>
      <c r="AQ815">
        <f>'T_TTAFStock'!AO21</f>
        <v/>
      </c>
      <c r="AR815">
        <f>'T_TTAFStock'!AP21</f>
        <v/>
      </c>
      <c r="AS815">
        <f>'T_TTAFStock'!AQ21</f>
        <v/>
      </c>
      <c r="AT815">
        <f>'T_TTAFStock'!AR21</f>
        <v/>
      </c>
      <c r="AU815">
        <f>'T_TTAFStock'!AS21</f>
        <v/>
      </c>
      <c r="AV815">
        <f>'T_TTAFStock'!AT21</f>
        <v/>
      </c>
      <c r="AW815">
        <f>'T_TTAFStock'!AU21</f>
        <v/>
      </c>
      <c r="AX815">
        <f>'T_TTAFStock'!AV21</f>
        <v/>
      </c>
      <c r="AY815">
        <f>'T_TTAFStock'!AW21</f>
        <v/>
      </c>
      <c r="AZ815">
        <f>'T_TTAFStock'!AX21</f>
        <v/>
      </c>
      <c r="BA815">
        <f>'T_TTAFStock'!AY21</f>
        <v/>
      </c>
      <c r="BB815">
        <f>'T_TTAFStock'!AZ21</f>
        <v/>
      </c>
      <c r="BC815">
        <f>'T_TTAFStock'!BA21</f>
        <v/>
      </c>
      <c r="BD815">
        <f>'T_TTAFStock'!BB21</f>
        <v/>
      </c>
      <c r="BE815">
        <f>'T_TTAFStock'!BC21</f>
        <v/>
      </c>
      <c r="BF815">
        <f>'T_TTAFStock'!BD21</f>
        <v/>
      </c>
      <c r="BG815">
        <f>'T_TTAFStock'!BE21</f>
        <v/>
      </c>
      <c r="BH815">
        <f>'T_TTAFStock'!BF21</f>
        <v/>
      </c>
      <c r="BI815">
        <f>'T_TTAFStock'!BG21</f>
        <v/>
      </c>
      <c r="BJ815">
        <f>'T_TTAFStock'!BH21</f>
        <v/>
      </c>
      <c r="BK815">
        <f>'T_TTAFStock'!BI21</f>
        <v/>
      </c>
      <c r="BL815">
        <f>'T_TTAFStock'!BJ21</f>
        <v/>
      </c>
      <c r="BM815">
        <f>'T_TTAFStock'!BK21</f>
        <v/>
      </c>
      <c r="BN815">
        <f>'T_TTAFStock'!BL21</f>
        <v/>
      </c>
      <c r="BO815">
        <f>'T_TTAFStock'!BM21</f>
        <v/>
      </c>
      <c r="BP815">
        <f>'T_TTAFStock'!BN21</f>
        <v/>
      </c>
      <c r="BQ815">
        <f>'T_TTAFStock'!BO21</f>
        <v/>
      </c>
      <c r="BR815">
        <f>'T_TTAFStock'!BP21</f>
        <v/>
      </c>
      <c r="BS815">
        <f>'T_TTAFStock'!BQ21</f>
        <v/>
      </c>
      <c r="BT815">
        <f>'T_TTAFStock'!BR21</f>
        <v/>
      </c>
      <c r="BU815">
        <f>'T_TTAFStock'!BS21</f>
        <v/>
      </c>
      <c r="BV815">
        <f>'T_TTAFStock'!BT21</f>
        <v/>
      </c>
      <c r="BW815">
        <f>'T_TTAFStock'!BU21</f>
        <v/>
      </c>
      <c r="BX815">
        <f>'T_TTAFStock'!BV21</f>
        <v/>
      </c>
      <c r="BY815">
        <f>'T_TTAFStock'!BW21</f>
        <v/>
      </c>
      <c r="BZ815">
        <f>'T_TTAFStock'!BX21</f>
        <v/>
      </c>
      <c r="CA815">
        <f>'T_TTAFStock'!BY21</f>
        <v/>
      </c>
      <c r="CB815">
        <f>'T_TTAFStock'!BZ21</f>
        <v/>
      </c>
      <c r="CC815">
        <f>'T_TTAFStock'!CA21</f>
        <v/>
      </c>
      <c r="CD815">
        <f>'T_TTAFStock'!CB21</f>
        <v/>
      </c>
      <c r="CE815">
        <f>'T_TTAFStock'!CC21</f>
        <v/>
      </c>
      <c r="CF815">
        <f>'T_TTAFStock'!CD21</f>
        <v/>
      </c>
      <c r="CG815">
        <f>'T_TTAFStock'!CE21</f>
        <v/>
      </c>
      <c r="CH815">
        <f>'T_TTAFStock'!CF21</f>
        <v/>
      </c>
      <c r="CI815">
        <f>'T_TTAFStock'!CG21</f>
        <v/>
      </c>
      <c r="CJ815">
        <f>'T_TTAFStock'!CH21</f>
        <v/>
      </c>
      <c r="CK815">
        <f>'T_TTAFStock'!CI21</f>
        <v/>
      </c>
      <c r="CL815">
        <f>'T_TTAFStock'!CJ21</f>
        <v/>
      </c>
      <c r="CM815">
        <f>'T_TTAFStock'!CK21</f>
        <v/>
      </c>
      <c r="CN815">
        <f>'T_TTAFStock'!CL21</f>
        <v/>
      </c>
      <c r="CO815">
        <f>'T_TTAFStock'!CM21</f>
        <v/>
      </c>
      <c r="CP815">
        <f>'T_TTAFStock'!CN21</f>
        <v/>
      </c>
      <c r="CQ815">
        <f>'T_TTAFStock'!CO21</f>
        <v/>
      </c>
      <c r="CR815">
        <f>'T_TTAFStock'!CP21</f>
        <v/>
      </c>
      <c r="CS815">
        <f>'T_TTAFStock'!CQ21</f>
        <v/>
      </c>
      <c r="CT815">
        <f>'T_TTAFStock'!CR21</f>
        <v/>
      </c>
      <c r="CU815">
        <f>'T_TTAFStock'!CS21</f>
        <v/>
      </c>
      <c r="CV815">
        <f>'T_TTAFStock'!CT21</f>
        <v/>
      </c>
      <c r="CW815">
        <f>'T_TTAFStock'!CU21</f>
        <v/>
      </c>
      <c r="CX815">
        <f>'T_TTAFStock'!CV21</f>
        <v/>
      </c>
      <c r="CY815">
        <f>'T_TTAFStock'!CW21</f>
        <v/>
      </c>
      <c r="CZ815">
        <f>'T_TTAFStock'!CX21</f>
        <v/>
      </c>
      <c r="DA815">
        <f>'T_TTAFStock'!CY21</f>
        <v/>
      </c>
      <c r="DB815">
        <f>'T_TTAFStock'!CZ21</f>
        <v/>
      </c>
      <c r="DC815">
        <f>'T_TTAFStock'!DA21</f>
        <v/>
      </c>
    </row>
    <row r="816">
      <c r="B816" t="inlineStr">
        <is>
          <t>自社在庫(実績,kg)</t>
        </is>
      </c>
      <c r="D816">
        <f>'T_SelfStock'!B21</f>
        <v/>
      </c>
      <c r="E816">
        <f>'T_SelfStock'!C21</f>
        <v/>
      </c>
      <c r="F816">
        <f>'T_SelfStock'!D21</f>
        <v/>
      </c>
      <c r="G816">
        <f>'T_SelfStock'!E21</f>
        <v/>
      </c>
      <c r="H816">
        <f>'T_SelfStock'!F21</f>
        <v/>
      </c>
      <c r="I816">
        <f>'T_SelfStock'!G21</f>
        <v/>
      </c>
      <c r="J816">
        <f>'T_SelfStock'!H21</f>
        <v/>
      </c>
      <c r="K816">
        <f>'T_SelfStock'!I21</f>
        <v/>
      </c>
      <c r="L816">
        <f>'T_SelfStock'!J21</f>
        <v/>
      </c>
      <c r="M816">
        <f>'T_SelfStock'!K21</f>
        <v/>
      </c>
      <c r="N816">
        <f>'T_SelfStock'!L21</f>
        <v/>
      </c>
      <c r="O816">
        <f>'T_SelfStock'!M21</f>
        <v/>
      </c>
      <c r="P816">
        <f>'T_SelfStock'!N21</f>
        <v/>
      </c>
      <c r="Q816">
        <f>'T_SelfStock'!O21</f>
        <v/>
      </c>
      <c r="R816">
        <f>'T_SelfStock'!P21</f>
        <v/>
      </c>
      <c r="S816">
        <f>'T_SelfStock'!Q21</f>
        <v/>
      </c>
      <c r="T816">
        <f>'T_SelfStock'!R21</f>
        <v/>
      </c>
      <c r="U816">
        <f>'T_SelfStock'!S21</f>
        <v/>
      </c>
      <c r="V816">
        <f>'T_SelfStock'!T21</f>
        <v/>
      </c>
      <c r="W816">
        <f>'T_SelfStock'!U21</f>
        <v/>
      </c>
      <c r="X816">
        <f>'T_SelfStock'!V21</f>
        <v/>
      </c>
      <c r="Y816">
        <f>'T_SelfStock'!W21</f>
        <v/>
      </c>
      <c r="Z816">
        <f>'T_SelfStock'!X21</f>
        <v/>
      </c>
      <c r="AA816">
        <f>'T_SelfStock'!Y21</f>
        <v/>
      </c>
      <c r="AB816">
        <f>'T_SelfStock'!Z21</f>
        <v/>
      </c>
      <c r="AC816">
        <f>'T_SelfStock'!AA21</f>
        <v/>
      </c>
      <c r="AD816">
        <f>'T_SelfStock'!AB21</f>
        <v/>
      </c>
      <c r="AE816">
        <f>'T_SelfStock'!AC21</f>
        <v/>
      </c>
      <c r="AF816">
        <f>'T_SelfStock'!AD21</f>
        <v/>
      </c>
      <c r="AG816">
        <f>'T_SelfStock'!AE21</f>
        <v/>
      </c>
      <c r="AH816">
        <f>'T_SelfStock'!AF21</f>
        <v/>
      </c>
      <c r="AI816">
        <f>'T_SelfStock'!AG21</f>
        <v/>
      </c>
      <c r="AJ816">
        <f>'T_SelfStock'!AH21</f>
        <v/>
      </c>
      <c r="AK816">
        <f>'T_SelfStock'!AI21</f>
        <v/>
      </c>
      <c r="AL816">
        <f>'T_SelfStock'!AJ21</f>
        <v/>
      </c>
      <c r="AM816">
        <f>'T_SelfStock'!AK21</f>
        <v/>
      </c>
      <c r="AN816">
        <f>'T_SelfStock'!AL21</f>
        <v/>
      </c>
      <c r="AO816">
        <f>'T_SelfStock'!AM21</f>
        <v/>
      </c>
      <c r="AP816">
        <f>'T_SelfStock'!AN21</f>
        <v/>
      </c>
      <c r="AQ816">
        <f>'T_SelfStock'!AO21</f>
        <v/>
      </c>
      <c r="AR816">
        <f>'T_SelfStock'!AP21</f>
        <v/>
      </c>
      <c r="AS816">
        <f>'T_SelfStock'!AQ21</f>
        <v/>
      </c>
      <c r="AT816">
        <f>'T_SelfStock'!AR21</f>
        <v/>
      </c>
      <c r="AU816">
        <f>'T_SelfStock'!AS21</f>
        <v/>
      </c>
      <c r="AV816">
        <f>'T_SelfStock'!AT21</f>
        <v/>
      </c>
      <c r="AW816">
        <f>'T_SelfStock'!AU21</f>
        <v/>
      </c>
      <c r="AX816">
        <f>'T_SelfStock'!AV21</f>
        <v/>
      </c>
      <c r="AY816">
        <f>'T_SelfStock'!AW21</f>
        <v/>
      </c>
      <c r="AZ816">
        <f>'T_SelfStock'!AX21</f>
        <v/>
      </c>
      <c r="BA816">
        <f>'T_SelfStock'!AY21</f>
        <v/>
      </c>
      <c r="BB816">
        <f>'T_SelfStock'!AZ21</f>
        <v/>
      </c>
      <c r="BC816">
        <f>'T_SelfStock'!BA21</f>
        <v/>
      </c>
      <c r="BD816">
        <f>'T_SelfStock'!BB21</f>
        <v/>
      </c>
      <c r="BE816">
        <f>'T_SelfStock'!BC21</f>
        <v/>
      </c>
      <c r="BF816">
        <f>'T_SelfStock'!BD21</f>
        <v/>
      </c>
      <c r="BG816">
        <f>'T_SelfStock'!BE21</f>
        <v/>
      </c>
      <c r="BH816">
        <f>'T_SelfStock'!BF21</f>
        <v/>
      </c>
      <c r="BI816">
        <f>'T_SelfStock'!BG21</f>
        <v/>
      </c>
      <c r="BJ816">
        <f>'T_SelfStock'!BH21</f>
        <v/>
      </c>
      <c r="BK816">
        <f>'T_SelfStock'!BI21</f>
        <v/>
      </c>
      <c r="BL816">
        <f>'T_SelfStock'!BJ21</f>
        <v/>
      </c>
      <c r="BM816">
        <f>'T_SelfStock'!BK21</f>
        <v/>
      </c>
      <c r="BN816">
        <f>'T_SelfStock'!BL21</f>
        <v/>
      </c>
      <c r="BO816">
        <f>'T_SelfStock'!BM21</f>
        <v/>
      </c>
      <c r="BP816">
        <f>'T_SelfStock'!BN21</f>
        <v/>
      </c>
      <c r="BQ816">
        <f>'T_SelfStock'!BO21</f>
        <v/>
      </c>
      <c r="BR816">
        <f>'T_SelfStock'!BP21</f>
        <v/>
      </c>
      <c r="BS816">
        <f>'T_SelfStock'!BQ21</f>
        <v/>
      </c>
      <c r="BT816">
        <f>'T_SelfStock'!BR21</f>
        <v/>
      </c>
      <c r="BU816">
        <f>'T_SelfStock'!BS21</f>
        <v/>
      </c>
      <c r="BV816">
        <f>'T_SelfStock'!BT21</f>
        <v/>
      </c>
      <c r="BW816">
        <f>'T_SelfStock'!BU21</f>
        <v/>
      </c>
      <c r="BX816">
        <f>'T_SelfStock'!BV21</f>
        <v/>
      </c>
      <c r="BY816">
        <f>'T_SelfStock'!BW21</f>
        <v/>
      </c>
      <c r="BZ816">
        <f>'T_SelfStock'!BX21</f>
        <v/>
      </c>
      <c r="CA816">
        <f>'T_SelfStock'!BY21</f>
        <v/>
      </c>
      <c r="CB816">
        <f>'T_SelfStock'!BZ21</f>
        <v/>
      </c>
      <c r="CC816">
        <f>'T_SelfStock'!CA21</f>
        <v/>
      </c>
      <c r="CD816">
        <f>'T_SelfStock'!CB21</f>
        <v/>
      </c>
      <c r="CE816">
        <f>'T_SelfStock'!CC21</f>
        <v/>
      </c>
      <c r="CF816">
        <f>'T_SelfStock'!CD21</f>
        <v/>
      </c>
      <c r="CG816">
        <f>'T_SelfStock'!CE21</f>
        <v/>
      </c>
      <c r="CH816">
        <f>'T_SelfStock'!CF21</f>
        <v/>
      </c>
      <c r="CI816">
        <f>'T_SelfStock'!CG21</f>
        <v/>
      </c>
      <c r="CJ816">
        <f>'T_SelfStock'!CH21</f>
        <v/>
      </c>
      <c r="CK816">
        <f>'T_SelfStock'!CI21</f>
        <v/>
      </c>
      <c r="CL816">
        <f>'T_SelfStock'!CJ21</f>
        <v/>
      </c>
      <c r="CM816">
        <f>'T_SelfStock'!CK21</f>
        <v/>
      </c>
      <c r="CN816">
        <f>'T_SelfStock'!CL21</f>
        <v/>
      </c>
      <c r="CO816">
        <f>'T_SelfStock'!CM21</f>
        <v/>
      </c>
      <c r="CP816">
        <f>'T_SelfStock'!CN21</f>
        <v/>
      </c>
      <c r="CQ816">
        <f>'T_SelfStock'!CO21</f>
        <v/>
      </c>
      <c r="CR816">
        <f>'T_SelfStock'!CP21</f>
        <v/>
      </c>
      <c r="CS816">
        <f>'T_SelfStock'!CQ21</f>
        <v/>
      </c>
      <c r="CT816">
        <f>'T_SelfStock'!CR21</f>
        <v/>
      </c>
      <c r="CU816">
        <f>'T_SelfStock'!CS21</f>
        <v/>
      </c>
      <c r="CV816">
        <f>'T_SelfStock'!CT21</f>
        <v/>
      </c>
      <c r="CW816">
        <f>'T_SelfStock'!CU21</f>
        <v/>
      </c>
      <c r="CX816">
        <f>'T_SelfStock'!CV21</f>
        <v/>
      </c>
      <c r="CY816">
        <f>'T_SelfStock'!CW21</f>
        <v/>
      </c>
      <c r="CZ816">
        <f>'T_SelfStock'!CX21</f>
        <v/>
      </c>
      <c r="DA816">
        <f>'T_SelfStock'!CY21</f>
        <v/>
      </c>
      <c r="DB816">
        <f>'T_SelfStock'!CZ21</f>
        <v/>
      </c>
      <c r="DC816">
        <f>'T_SelfStock'!DA21</f>
        <v/>
      </c>
    </row>
    <row r="817">
      <c r="B817" s="4" t="inlineStr">
        <is>
          <t>合計在庫(週末時点,kg)</t>
        </is>
      </c>
      <c r="D817">
        <f>'Grid_Stock'!B17</f>
        <v/>
      </c>
      <c r="E817">
        <f>'Grid_Stock'!C17</f>
        <v/>
      </c>
      <c r="F817">
        <f>'Grid_Stock'!D17</f>
        <v/>
      </c>
      <c r="G817">
        <f>'Grid_Stock'!E17</f>
        <v/>
      </c>
      <c r="H817">
        <f>'Grid_Stock'!F17</f>
        <v/>
      </c>
      <c r="I817">
        <f>'Grid_Stock'!G17</f>
        <v/>
      </c>
      <c r="J817">
        <f>'Grid_Stock'!H17</f>
        <v/>
      </c>
      <c r="K817">
        <f>'Grid_Stock'!I17</f>
        <v/>
      </c>
      <c r="L817">
        <f>'Grid_Stock'!J17</f>
        <v/>
      </c>
      <c r="M817">
        <f>'Grid_Stock'!K17</f>
        <v/>
      </c>
      <c r="N817">
        <f>'Grid_Stock'!L17</f>
        <v/>
      </c>
      <c r="O817">
        <f>'Grid_Stock'!M17</f>
        <v/>
      </c>
      <c r="P817">
        <f>'Grid_Stock'!N17</f>
        <v/>
      </c>
      <c r="Q817">
        <f>'Grid_Stock'!O17</f>
        <v/>
      </c>
      <c r="R817">
        <f>'Grid_Stock'!P17</f>
        <v/>
      </c>
      <c r="S817">
        <f>'Grid_Stock'!Q17</f>
        <v/>
      </c>
      <c r="T817">
        <f>'Grid_Stock'!R17</f>
        <v/>
      </c>
      <c r="U817">
        <f>'Grid_Stock'!S17</f>
        <v/>
      </c>
      <c r="V817">
        <f>'Grid_Stock'!T17</f>
        <v/>
      </c>
      <c r="W817">
        <f>'Grid_Stock'!U17</f>
        <v/>
      </c>
      <c r="X817">
        <f>'Grid_Stock'!V17</f>
        <v/>
      </c>
      <c r="Y817">
        <f>'Grid_Stock'!W17</f>
        <v/>
      </c>
      <c r="Z817">
        <f>'Grid_Stock'!X17</f>
        <v/>
      </c>
      <c r="AA817">
        <f>'Grid_Stock'!Y17</f>
        <v/>
      </c>
      <c r="AB817">
        <f>'Grid_Stock'!Z17</f>
        <v/>
      </c>
      <c r="AC817">
        <f>'Grid_Stock'!AA17</f>
        <v/>
      </c>
      <c r="AD817">
        <f>'Grid_Stock'!AB17</f>
        <v/>
      </c>
      <c r="AE817">
        <f>'Grid_Stock'!AC17</f>
        <v/>
      </c>
      <c r="AF817">
        <f>'Grid_Stock'!AD17</f>
        <v/>
      </c>
      <c r="AG817">
        <f>'Grid_Stock'!AE17</f>
        <v/>
      </c>
      <c r="AH817">
        <f>'Grid_Stock'!AF17</f>
        <v/>
      </c>
      <c r="AI817">
        <f>'Grid_Stock'!AG17</f>
        <v/>
      </c>
      <c r="AJ817">
        <f>'Grid_Stock'!AH17</f>
        <v/>
      </c>
      <c r="AK817">
        <f>'Grid_Stock'!AI17</f>
        <v/>
      </c>
      <c r="AL817">
        <f>'Grid_Stock'!AJ17</f>
        <v/>
      </c>
      <c r="AM817">
        <f>'Grid_Stock'!AK17</f>
        <v/>
      </c>
      <c r="AN817">
        <f>'Grid_Stock'!AL17</f>
        <v/>
      </c>
      <c r="AO817">
        <f>'Grid_Stock'!AM17</f>
        <v/>
      </c>
      <c r="AP817">
        <f>'Grid_Stock'!AN17</f>
        <v/>
      </c>
      <c r="AQ817">
        <f>'Grid_Stock'!AO17</f>
        <v/>
      </c>
      <c r="AR817">
        <f>'Grid_Stock'!AP17</f>
        <v/>
      </c>
      <c r="AS817">
        <f>'Grid_Stock'!AQ17</f>
        <v/>
      </c>
      <c r="AT817">
        <f>'Grid_Stock'!AR17</f>
        <v/>
      </c>
      <c r="AU817">
        <f>'Grid_Stock'!AS17</f>
        <v/>
      </c>
      <c r="AV817">
        <f>'Grid_Stock'!AT17</f>
        <v/>
      </c>
      <c r="AW817">
        <f>'Grid_Stock'!AU17</f>
        <v/>
      </c>
      <c r="AX817">
        <f>'Grid_Stock'!AV17</f>
        <v/>
      </c>
      <c r="AY817">
        <f>'Grid_Stock'!AW17</f>
        <v/>
      </c>
      <c r="AZ817">
        <f>'Grid_Stock'!AX17</f>
        <v/>
      </c>
      <c r="BA817">
        <f>'Grid_Stock'!AY17</f>
        <v/>
      </c>
      <c r="BB817">
        <f>'Grid_Stock'!AZ17</f>
        <v/>
      </c>
      <c r="BC817">
        <f>'Grid_Stock'!BA17</f>
        <v/>
      </c>
      <c r="BD817">
        <f>'Grid_Stock'!BB17</f>
        <v/>
      </c>
      <c r="BE817">
        <f>'Grid_Stock'!BC17</f>
        <v/>
      </c>
      <c r="BF817">
        <f>'Grid_Stock'!BD17</f>
        <v/>
      </c>
      <c r="BG817">
        <f>'Grid_Stock'!BE17</f>
        <v/>
      </c>
      <c r="BH817">
        <f>'Grid_Stock'!BF17</f>
        <v/>
      </c>
      <c r="BI817">
        <f>'Grid_Stock'!BG17</f>
        <v/>
      </c>
      <c r="BJ817">
        <f>'Grid_Stock'!BH17</f>
        <v/>
      </c>
      <c r="BK817">
        <f>'Grid_Stock'!BI17</f>
        <v/>
      </c>
      <c r="BL817">
        <f>'Grid_Stock'!BJ17</f>
        <v/>
      </c>
      <c r="BM817">
        <f>'Grid_Stock'!BK17</f>
        <v/>
      </c>
      <c r="BN817">
        <f>'Grid_Stock'!BL17</f>
        <v/>
      </c>
      <c r="BO817">
        <f>'Grid_Stock'!BM17</f>
        <v/>
      </c>
      <c r="BP817">
        <f>'Grid_Stock'!BN17</f>
        <v/>
      </c>
      <c r="BQ817">
        <f>'Grid_Stock'!BO17</f>
        <v/>
      </c>
      <c r="BR817">
        <f>'Grid_Stock'!BP17</f>
        <v/>
      </c>
      <c r="BS817">
        <f>'Grid_Stock'!BQ17</f>
        <v/>
      </c>
      <c r="BT817">
        <f>'Grid_Stock'!BR17</f>
        <v/>
      </c>
      <c r="BU817">
        <f>'Grid_Stock'!BS17</f>
        <v/>
      </c>
      <c r="BV817">
        <f>'Grid_Stock'!BT17</f>
        <v/>
      </c>
      <c r="BW817">
        <f>'Grid_Stock'!BU17</f>
        <v/>
      </c>
      <c r="BX817">
        <f>'Grid_Stock'!BV17</f>
        <v/>
      </c>
      <c r="BY817">
        <f>'Grid_Stock'!BW17</f>
        <v/>
      </c>
      <c r="BZ817">
        <f>'Grid_Stock'!BX17</f>
        <v/>
      </c>
      <c r="CA817">
        <f>'Grid_Stock'!BY17</f>
        <v/>
      </c>
      <c r="CB817">
        <f>'Grid_Stock'!BZ17</f>
        <v/>
      </c>
      <c r="CC817">
        <f>'Grid_Stock'!CA17</f>
        <v/>
      </c>
      <c r="CD817">
        <f>'Grid_Stock'!CB17</f>
        <v/>
      </c>
      <c r="CE817">
        <f>'Grid_Stock'!CC17</f>
        <v/>
      </c>
      <c r="CF817">
        <f>'Grid_Stock'!CD17</f>
        <v/>
      </c>
      <c r="CG817">
        <f>'Grid_Stock'!CE17</f>
        <v/>
      </c>
      <c r="CH817">
        <f>'Grid_Stock'!CF17</f>
        <v/>
      </c>
      <c r="CI817">
        <f>'Grid_Stock'!CG17</f>
        <v/>
      </c>
      <c r="CJ817">
        <f>'Grid_Stock'!CH17</f>
        <v/>
      </c>
      <c r="CK817">
        <f>'Grid_Stock'!CI17</f>
        <v/>
      </c>
      <c r="CL817">
        <f>'Grid_Stock'!CJ17</f>
        <v/>
      </c>
      <c r="CM817">
        <f>'Grid_Stock'!CK17</f>
        <v/>
      </c>
      <c r="CN817">
        <f>'Grid_Stock'!CL17</f>
        <v/>
      </c>
      <c r="CO817">
        <f>'Grid_Stock'!CM17</f>
        <v/>
      </c>
      <c r="CP817">
        <f>'Grid_Stock'!CN17</f>
        <v/>
      </c>
      <c r="CQ817">
        <f>'Grid_Stock'!CO17</f>
        <v/>
      </c>
      <c r="CR817">
        <f>'Grid_Stock'!CP17</f>
        <v/>
      </c>
      <c r="CS817">
        <f>'Grid_Stock'!CQ17</f>
        <v/>
      </c>
      <c r="CT817">
        <f>'Grid_Stock'!CR17</f>
        <v/>
      </c>
      <c r="CU817">
        <f>'Grid_Stock'!CS17</f>
        <v/>
      </c>
      <c r="CV817">
        <f>'Grid_Stock'!CT17</f>
        <v/>
      </c>
      <c r="CW817">
        <f>'Grid_Stock'!CU17</f>
        <v/>
      </c>
      <c r="CX817">
        <f>'Grid_Stock'!CV17</f>
        <v/>
      </c>
      <c r="CY817">
        <f>'Grid_Stock'!CW17</f>
        <v/>
      </c>
      <c r="CZ817">
        <f>'Grid_Stock'!CX17</f>
        <v/>
      </c>
      <c r="DA817">
        <f>'Grid_Stock'!CY17</f>
        <v/>
      </c>
      <c r="DB817">
        <f>'Grid_Stock'!CZ17</f>
        <v/>
      </c>
      <c r="DC817">
        <f>'Grid_Stock'!DA17</f>
        <v/>
      </c>
    </row>
    <row r="818">
      <c r="B818" s="16" t="inlineStr">
        <is>
          <t>（発注の目安はDashboardの基準在庫[下限/上限]と色分けを参照）</t>
        </is>
      </c>
    </row>
    <row r="820">
      <c r="A820" s="14" t="inlineStr">
        <is>
          <t>CHEM-1690</t>
        </is>
      </c>
      <c r="B820" s="14" t="inlineStr">
        <is>
          <t>TPZ-560</t>
        </is>
      </c>
      <c r="C820" s="15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  <c r="AO820" s="14" t="n"/>
      <c r="AP820" s="14" t="n"/>
      <c r="AQ820" s="14" t="n"/>
      <c r="AR820" s="14" t="n"/>
      <c r="AS820" s="14" t="n"/>
      <c r="AT820" s="14" t="n"/>
      <c r="AU820" s="14" t="n"/>
      <c r="AV820" s="14" t="n"/>
      <c r="AW820" s="14" t="n"/>
      <c r="AX820" s="14" t="n"/>
      <c r="AY820" s="14" t="n"/>
      <c r="AZ820" s="14" t="n"/>
      <c r="BA820" s="14" t="n"/>
      <c r="BB820" s="14" t="n"/>
      <c r="BC820" s="14" t="n"/>
      <c r="BD820" s="14" t="n"/>
      <c r="BE820" s="14" t="n"/>
      <c r="BF820" s="14" t="n"/>
      <c r="BG820" s="14" t="n"/>
      <c r="BH820" s="14" t="n"/>
      <c r="BI820" s="14" t="n"/>
      <c r="BJ820" s="14" t="n"/>
      <c r="BK820" s="14" t="n"/>
      <c r="BL820" s="14" t="n"/>
      <c r="BM820" s="14" t="n"/>
      <c r="BN820" s="14" t="n"/>
      <c r="BO820" s="14" t="n"/>
      <c r="BP820" s="14" t="n"/>
      <c r="BQ820" s="14" t="n"/>
      <c r="BR820" s="14" t="n"/>
      <c r="BS820" s="14" t="n"/>
      <c r="BT820" s="14" t="n"/>
      <c r="BU820" s="14" t="n"/>
      <c r="BV820" s="14" t="n"/>
      <c r="BW820" s="14" t="n"/>
      <c r="BX820" s="14" t="n"/>
      <c r="BY820" s="14" t="n"/>
      <c r="BZ820" s="14" t="n"/>
      <c r="CA820" s="14" t="n"/>
      <c r="CB820" s="14" t="n"/>
      <c r="CC820" s="14" t="n"/>
      <c r="CD820" s="14" t="n"/>
      <c r="CE820" s="14" t="n"/>
      <c r="CF820" s="14" t="n"/>
      <c r="CG820" s="14" t="n"/>
      <c r="CH820" s="14" t="n"/>
      <c r="CI820" s="14" t="n"/>
      <c r="CJ820" s="14" t="n"/>
      <c r="CK820" s="14" t="n"/>
      <c r="CL820" s="14" t="n"/>
      <c r="CM820" s="14" t="n"/>
      <c r="CN820" s="14" t="n"/>
      <c r="CO820" s="14" t="n"/>
      <c r="CP820" s="14" t="n"/>
      <c r="CQ820" s="14" t="n"/>
      <c r="CR820" s="14" t="n"/>
      <c r="CS820" s="14" t="n"/>
      <c r="CT820" s="14" t="n"/>
      <c r="CU820" s="14" t="n"/>
      <c r="CV820" s="14" t="n"/>
      <c r="CW820" s="14" t="n"/>
      <c r="CX820" s="14" t="n"/>
      <c r="CY820" s="14" t="n"/>
      <c r="CZ820" s="14" t="n"/>
      <c r="DA820" s="14" t="n"/>
      <c r="DB820" s="14" t="n"/>
      <c r="DC820" s="14" t="n"/>
    </row>
    <row r="821">
      <c r="B821" t="inlineStr">
        <is>
          <t>TSP-618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7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Name],$A820)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TSP-903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7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Name],$A820)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TSP-966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7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Name],$A820)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s="4" t="inlineStr">
        <is>
          <t>合計使用量(kg)/週</t>
        </is>
      </c>
      <c r="D827">
        <f>'Grid_Requirement'!B8</f>
        <v/>
      </c>
      <c r="E827">
        <f>'Grid_Requirement'!C8</f>
        <v/>
      </c>
      <c r="F827">
        <f>'Grid_Requirement'!D8</f>
        <v/>
      </c>
      <c r="G827">
        <f>'Grid_Requirement'!E8</f>
        <v/>
      </c>
      <c r="H827">
        <f>'Grid_Requirement'!F8</f>
        <v/>
      </c>
      <c r="I827">
        <f>'Grid_Requirement'!G8</f>
        <v/>
      </c>
      <c r="J827">
        <f>'Grid_Requirement'!H8</f>
        <v/>
      </c>
      <c r="K827">
        <f>'Grid_Requirement'!I8</f>
        <v/>
      </c>
      <c r="L827">
        <f>'Grid_Requirement'!J8</f>
        <v/>
      </c>
      <c r="M827">
        <f>'Grid_Requirement'!K8</f>
        <v/>
      </c>
      <c r="N827">
        <f>'Grid_Requirement'!L8</f>
        <v/>
      </c>
      <c r="O827">
        <f>'Grid_Requirement'!M8</f>
        <v/>
      </c>
      <c r="P827">
        <f>'Grid_Requirement'!N8</f>
        <v/>
      </c>
      <c r="Q827">
        <f>'Grid_Requirement'!O8</f>
        <v/>
      </c>
      <c r="R827">
        <f>'Grid_Requirement'!P8</f>
        <v/>
      </c>
      <c r="S827">
        <f>'Grid_Requirement'!Q8</f>
        <v/>
      </c>
      <c r="T827">
        <f>'Grid_Requirement'!R8</f>
        <v/>
      </c>
      <c r="U827">
        <f>'Grid_Requirement'!S8</f>
        <v/>
      </c>
      <c r="V827">
        <f>'Grid_Requirement'!T8</f>
        <v/>
      </c>
      <c r="W827">
        <f>'Grid_Requirement'!U8</f>
        <v/>
      </c>
      <c r="X827">
        <f>'Grid_Requirement'!V8</f>
        <v/>
      </c>
      <c r="Y827">
        <f>'Grid_Requirement'!W8</f>
        <v/>
      </c>
      <c r="Z827">
        <f>'Grid_Requirement'!X8</f>
        <v/>
      </c>
      <c r="AA827">
        <f>'Grid_Requirement'!Y8</f>
        <v/>
      </c>
      <c r="AB827">
        <f>'Grid_Requirement'!Z8</f>
        <v/>
      </c>
      <c r="AC827">
        <f>'Grid_Requirement'!AA8</f>
        <v/>
      </c>
      <c r="AD827">
        <f>'Grid_Requirement'!AB8</f>
        <v/>
      </c>
      <c r="AE827">
        <f>'Grid_Requirement'!AC8</f>
        <v/>
      </c>
      <c r="AF827">
        <f>'Grid_Requirement'!AD8</f>
        <v/>
      </c>
      <c r="AG827">
        <f>'Grid_Requirement'!AE8</f>
        <v/>
      </c>
      <c r="AH827">
        <f>'Grid_Requirement'!AF8</f>
        <v/>
      </c>
      <c r="AI827">
        <f>'Grid_Requirement'!AG8</f>
        <v/>
      </c>
      <c r="AJ827">
        <f>'Grid_Requirement'!AH8</f>
        <v/>
      </c>
      <c r="AK827">
        <f>'Grid_Requirement'!AI8</f>
        <v/>
      </c>
      <c r="AL827">
        <f>'Grid_Requirement'!AJ8</f>
        <v/>
      </c>
      <c r="AM827">
        <f>'Grid_Requirement'!AK8</f>
        <v/>
      </c>
      <c r="AN827">
        <f>'Grid_Requirement'!AL8</f>
        <v/>
      </c>
      <c r="AO827">
        <f>'Grid_Requirement'!AM8</f>
        <v/>
      </c>
      <c r="AP827">
        <f>'Grid_Requirement'!AN8</f>
        <v/>
      </c>
      <c r="AQ827">
        <f>'Grid_Requirement'!AO8</f>
        <v/>
      </c>
      <c r="AR827">
        <f>'Grid_Requirement'!AP8</f>
        <v/>
      </c>
      <c r="AS827">
        <f>'Grid_Requirement'!AQ8</f>
        <v/>
      </c>
      <c r="AT827">
        <f>'Grid_Requirement'!AR8</f>
        <v/>
      </c>
      <c r="AU827">
        <f>'Grid_Requirement'!AS8</f>
        <v/>
      </c>
      <c r="AV827">
        <f>'Grid_Requirement'!AT8</f>
        <v/>
      </c>
      <c r="AW827">
        <f>'Grid_Requirement'!AU8</f>
        <v/>
      </c>
      <c r="AX827">
        <f>'Grid_Requirement'!AV8</f>
        <v/>
      </c>
      <c r="AY827">
        <f>'Grid_Requirement'!AW8</f>
        <v/>
      </c>
      <c r="AZ827">
        <f>'Grid_Requirement'!AX8</f>
        <v/>
      </c>
      <c r="BA827">
        <f>'Grid_Requirement'!AY8</f>
        <v/>
      </c>
      <c r="BB827">
        <f>'Grid_Requirement'!AZ8</f>
        <v/>
      </c>
      <c r="BC827">
        <f>'Grid_Requirement'!BA8</f>
        <v/>
      </c>
      <c r="BD827">
        <f>'Grid_Requirement'!BB8</f>
        <v/>
      </c>
      <c r="BE827">
        <f>'Grid_Requirement'!BC8</f>
        <v/>
      </c>
      <c r="BF827">
        <f>'Grid_Requirement'!BD8</f>
        <v/>
      </c>
      <c r="BG827">
        <f>'Grid_Requirement'!BE8</f>
        <v/>
      </c>
      <c r="BH827">
        <f>'Grid_Requirement'!BF8</f>
        <v/>
      </c>
      <c r="BI827">
        <f>'Grid_Requirement'!BG8</f>
        <v/>
      </c>
      <c r="BJ827">
        <f>'Grid_Requirement'!BH8</f>
        <v/>
      </c>
      <c r="BK827">
        <f>'Grid_Requirement'!BI8</f>
        <v/>
      </c>
      <c r="BL827">
        <f>'Grid_Requirement'!BJ8</f>
        <v/>
      </c>
      <c r="BM827">
        <f>'Grid_Requirement'!BK8</f>
        <v/>
      </c>
      <c r="BN827">
        <f>'Grid_Requirement'!BL8</f>
        <v/>
      </c>
      <c r="BO827">
        <f>'Grid_Requirement'!BM8</f>
        <v/>
      </c>
      <c r="BP827">
        <f>'Grid_Requirement'!BN8</f>
        <v/>
      </c>
      <c r="BQ827">
        <f>'Grid_Requirement'!BO8</f>
        <v/>
      </c>
      <c r="BR827">
        <f>'Grid_Requirement'!BP8</f>
        <v/>
      </c>
      <c r="BS827">
        <f>'Grid_Requirement'!BQ8</f>
        <v/>
      </c>
      <c r="BT827">
        <f>'Grid_Requirement'!BR8</f>
        <v/>
      </c>
      <c r="BU827">
        <f>'Grid_Requirement'!BS8</f>
        <v/>
      </c>
      <c r="BV827">
        <f>'Grid_Requirement'!BT8</f>
        <v/>
      </c>
      <c r="BW827">
        <f>'Grid_Requirement'!BU8</f>
        <v/>
      </c>
      <c r="BX827">
        <f>'Grid_Requirement'!BV8</f>
        <v/>
      </c>
      <c r="BY827">
        <f>'Grid_Requirement'!BW8</f>
        <v/>
      </c>
      <c r="BZ827">
        <f>'Grid_Requirement'!BX8</f>
        <v/>
      </c>
      <c r="CA827">
        <f>'Grid_Requirement'!BY8</f>
        <v/>
      </c>
      <c r="CB827">
        <f>'Grid_Requirement'!BZ8</f>
        <v/>
      </c>
      <c r="CC827">
        <f>'Grid_Requirement'!CA8</f>
        <v/>
      </c>
      <c r="CD827">
        <f>'Grid_Requirement'!CB8</f>
        <v/>
      </c>
      <c r="CE827">
        <f>'Grid_Requirement'!CC8</f>
        <v/>
      </c>
      <c r="CF827">
        <f>'Grid_Requirement'!CD8</f>
        <v/>
      </c>
      <c r="CG827">
        <f>'Grid_Requirement'!CE8</f>
        <v/>
      </c>
      <c r="CH827">
        <f>'Grid_Requirement'!CF8</f>
        <v/>
      </c>
      <c r="CI827">
        <f>'Grid_Requirement'!CG8</f>
        <v/>
      </c>
      <c r="CJ827">
        <f>'Grid_Requirement'!CH8</f>
        <v/>
      </c>
      <c r="CK827">
        <f>'Grid_Requirement'!CI8</f>
        <v/>
      </c>
      <c r="CL827">
        <f>'Grid_Requirement'!CJ8</f>
        <v/>
      </c>
      <c r="CM827">
        <f>'Grid_Requirement'!CK8</f>
        <v/>
      </c>
      <c r="CN827">
        <f>'Grid_Requirement'!CL8</f>
        <v/>
      </c>
      <c r="CO827">
        <f>'Grid_Requirement'!CM8</f>
        <v/>
      </c>
      <c r="CP827">
        <f>'Grid_Requirement'!CN8</f>
        <v/>
      </c>
      <c r="CQ827">
        <f>'Grid_Requirement'!CO8</f>
        <v/>
      </c>
      <c r="CR827">
        <f>'Grid_Requirement'!CP8</f>
        <v/>
      </c>
      <c r="CS827">
        <f>'Grid_Requirement'!CQ8</f>
        <v/>
      </c>
      <c r="CT827">
        <f>'Grid_Requirement'!CR8</f>
        <v/>
      </c>
      <c r="CU827">
        <f>'Grid_Requirement'!CS8</f>
        <v/>
      </c>
      <c r="CV827">
        <f>'Grid_Requirement'!CT8</f>
        <v/>
      </c>
      <c r="CW827">
        <f>'Grid_Requirement'!CU8</f>
        <v/>
      </c>
      <c r="CX827">
        <f>'Grid_Requirement'!CV8</f>
        <v/>
      </c>
      <c r="CY827">
        <f>'Grid_Requirement'!CW8</f>
        <v/>
      </c>
      <c r="CZ827">
        <f>'Grid_Requirement'!CX8</f>
        <v/>
      </c>
      <c r="DA827">
        <f>'Grid_Requirement'!CY8</f>
        <v/>
      </c>
      <c r="DB827">
        <f>'Grid_Requirement'!CZ8</f>
        <v/>
      </c>
      <c r="DC827">
        <f>'Grid_Requirement'!DA8</f>
        <v/>
      </c>
    </row>
    <row r="828">
      <c r="B828" t="inlineStr">
        <is>
          <t>TTAF在庫(実績,kg)</t>
        </is>
      </c>
      <c r="D828">
        <f>'T_TTAFStock'!B12</f>
        <v/>
      </c>
      <c r="E828">
        <f>'T_TTAFStock'!C12</f>
        <v/>
      </c>
      <c r="F828">
        <f>'T_TTAFStock'!D12</f>
        <v/>
      </c>
      <c r="G828">
        <f>'T_TTAFStock'!E12</f>
        <v/>
      </c>
      <c r="H828">
        <f>'T_TTAFStock'!F12</f>
        <v/>
      </c>
      <c r="I828">
        <f>'T_TTAFStock'!G12</f>
        <v/>
      </c>
      <c r="J828">
        <f>'T_TTAFStock'!H12</f>
        <v/>
      </c>
      <c r="K828">
        <f>'T_TTAFStock'!I12</f>
        <v/>
      </c>
      <c r="L828">
        <f>'T_TTAFStock'!J12</f>
        <v/>
      </c>
      <c r="M828">
        <f>'T_TTAFStock'!K12</f>
        <v/>
      </c>
      <c r="N828">
        <f>'T_TTAFStock'!L12</f>
        <v/>
      </c>
      <c r="O828">
        <f>'T_TTAFStock'!M12</f>
        <v/>
      </c>
      <c r="P828">
        <f>'T_TTAFStock'!N12</f>
        <v/>
      </c>
      <c r="Q828">
        <f>'T_TTAFStock'!O12</f>
        <v/>
      </c>
      <c r="R828">
        <f>'T_TTAFStock'!P12</f>
        <v/>
      </c>
      <c r="S828">
        <f>'T_TTAFStock'!Q12</f>
        <v/>
      </c>
      <c r="T828">
        <f>'T_TTAFStock'!R12</f>
        <v/>
      </c>
      <c r="U828">
        <f>'T_TTAFStock'!S12</f>
        <v/>
      </c>
      <c r="V828">
        <f>'T_TTAFStock'!T12</f>
        <v/>
      </c>
      <c r="W828">
        <f>'T_TTAFStock'!U12</f>
        <v/>
      </c>
      <c r="X828">
        <f>'T_TTAFStock'!V12</f>
        <v/>
      </c>
      <c r="Y828">
        <f>'T_TTAFStock'!W12</f>
        <v/>
      </c>
      <c r="Z828">
        <f>'T_TTAFStock'!X12</f>
        <v/>
      </c>
      <c r="AA828">
        <f>'T_TTAFStock'!Y12</f>
        <v/>
      </c>
      <c r="AB828">
        <f>'T_TTAFStock'!Z12</f>
        <v/>
      </c>
      <c r="AC828">
        <f>'T_TTAFStock'!AA12</f>
        <v/>
      </c>
      <c r="AD828">
        <f>'T_TTAFStock'!AB12</f>
        <v/>
      </c>
      <c r="AE828">
        <f>'T_TTAFStock'!AC12</f>
        <v/>
      </c>
      <c r="AF828">
        <f>'T_TTAFStock'!AD12</f>
        <v/>
      </c>
      <c r="AG828">
        <f>'T_TTAFStock'!AE12</f>
        <v/>
      </c>
      <c r="AH828">
        <f>'T_TTAFStock'!AF12</f>
        <v/>
      </c>
      <c r="AI828">
        <f>'T_TTAFStock'!AG12</f>
        <v/>
      </c>
      <c r="AJ828">
        <f>'T_TTAFStock'!AH12</f>
        <v/>
      </c>
      <c r="AK828">
        <f>'T_TTAFStock'!AI12</f>
        <v/>
      </c>
      <c r="AL828">
        <f>'T_TTAFStock'!AJ12</f>
        <v/>
      </c>
      <c r="AM828">
        <f>'T_TTAFStock'!AK12</f>
        <v/>
      </c>
      <c r="AN828">
        <f>'T_TTAFStock'!AL12</f>
        <v/>
      </c>
      <c r="AO828">
        <f>'T_TTAFStock'!AM12</f>
        <v/>
      </c>
      <c r="AP828">
        <f>'T_TTAFStock'!AN12</f>
        <v/>
      </c>
      <c r="AQ828">
        <f>'T_TTAFStock'!AO12</f>
        <v/>
      </c>
      <c r="AR828">
        <f>'T_TTAFStock'!AP12</f>
        <v/>
      </c>
      <c r="AS828">
        <f>'T_TTAFStock'!AQ12</f>
        <v/>
      </c>
      <c r="AT828">
        <f>'T_TTAFStock'!AR12</f>
        <v/>
      </c>
      <c r="AU828">
        <f>'T_TTAFStock'!AS12</f>
        <v/>
      </c>
      <c r="AV828">
        <f>'T_TTAFStock'!AT12</f>
        <v/>
      </c>
      <c r="AW828">
        <f>'T_TTAFStock'!AU12</f>
        <v/>
      </c>
      <c r="AX828">
        <f>'T_TTAFStock'!AV12</f>
        <v/>
      </c>
      <c r="AY828">
        <f>'T_TTAFStock'!AW12</f>
        <v/>
      </c>
      <c r="AZ828">
        <f>'T_TTAFStock'!AX12</f>
        <v/>
      </c>
      <c r="BA828">
        <f>'T_TTAFStock'!AY12</f>
        <v/>
      </c>
      <c r="BB828">
        <f>'T_TTAFStock'!AZ12</f>
        <v/>
      </c>
      <c r="BC828">
        <f>'T_TTAFStock'!BA12</f>
        <v/>
      </c>
      <c r="BD828">
        <f>'T_TTAFStock'!BB12</f>
        <v/>
      </c>
      <c r="BE828">
        <f>'T_TTAFStock'!BC12</f>
        <v/>
      </c>
      <c r="BF828">
        <f>'T_TTAFStock'!BD12</f>
        <v/>
      </c>
      <c r="BG828">
        <f>'T_TTAFStock'!BE12</f>
        <v/>
      </c>
      <c r="BH828">
        <f>'T_TTAFStock'!BF12</f>
        <v/>
      </c>
      <c r="BI828">
        <f>'T_TTAFStock'!BG12</f>
        <v/>
      </c>
      <c r="BJ828">
        <f>'T_TTAFStock'!BH12</f>
        <v/>
      </c>
      <c r="BK828">
        <f>'T_TTAFStock'!BI12</f>
        <v/>
      </c>
      <c r="BL828">
        <f>'T_TTAFStock'!BJ12</f>
        <v/>
      </c>
      <c r="BM828">
        <f>'T_TTAFStock'!BK12</f>
        <v/>
      </c>
      <c r="BN828">
        <f>'T_TTAFStock'!BL12</f>
        <v/>
      </c>
      <c r="BO828">
        <f>'T_TTAFStock'!BM12</f>
        <v/>
      </c>
      <c r="BP828">
        <f>'T_TTAFStock'!BN12</f>
        <v/>
      </c>
      <c r="BQ828">
        <f>'T_TTAFStock'!BO12</f>
        <v/>
      </c>
      <c r="BR828">
        <f>'T_TTAFStock'!BP12</f>
        <v/>
      </c>
      <c r="BS828">
        <f>'T_TTAFStock'!BQ12</f>
        <v/>
      </c>
      <c r="BT828">
        <f>'T_TTAFStock'!BR12</f>
        <v/>
      </c>
      <c r="BU828">
        <f>'T_TTAFStock'!BS12</f>
        <v/>
      </c>
      <c r="BV828">
        <f>'T_TTAFStock'!BT12</f>
        <v/>
      </c>
      <c r="BW828">
        <f>'T_TTAFStock'!BU12</f>
        <v/>
      </c>
      <c r="BX828">
        <f>'T_TTAFStock'!BV12</f>
        <v/>
      </c>
      <c r="BY828">
        <f>'T_TTAFStock'!BW12</f>
        <v/>
      </c>
      <c r="BZ828">
        <f>'T_TTAFStock'!BX12</f>
        <v/>
      </c>
      <c r="CA828">
        <f>'T_TTAFStock'!BY12</f>
        <v/>
      </c>
      <c r="CB828">
        <f>'T_TTAFStock'!BZ12</f>
        <v/>
      </c>
      <c r="CC828">
        <f>'T_TTAFStock'!CA12</f>
        <v/>
      </c>
      <c r="CD828">
        <f>'T_TTAFStock'!CB12</f>
        <v/>
      </c>
      <c r="CE828">
        <f>'T_TTAFStock'!CC12</f>
        <v/>
      </c>
      <c r="CF828">
        <f>'T_TTAFStock'!CD12</f>
        <v/>
      </c>
      <c r="CG828">
        <f>'T_TTAFStock'!CE12</f>
        <v/>
      </c>
      <c r="CH828">
        <f>'T_TTAFStock'!CF12</f>
        <v/>
      </c>
      <c r="CI828">
        <f>'T_TTAFStock'!CG12</f>
        <v/>
      </c>
      <c r="CJ828">
        <f>'T_TTAFStock'!CH12</f>
        <v/>
      </c>
      <c r="CK828">
        <f>'T_TTAFStock'!CI12</f>
        <v/>
      </c>
      <c r="CL828">
        <f>'T_TTAFStock'!CJ12</f>
        <v/>
      </c>
      <c r="CM828">
        <f>'T_TTAFStock'!CK12</f>
        <v/>
      </c>
      <c r="CN828">
        <f>'T_TTAFStock'!CL12</f>
        <v/>
      </c>
      <c r="CO828">
        <f>'T_TTAFStock'!CM12</f>
        <v/>
      </c>
      <c r="CP828">
        <f>'T_TTAFStock'!CN12</f>
        <v/>
      </c>
      <c r="CQ828">
        <f>'T_TTAFStock'!CO12</f>
        <v/>
      </c>
      <c r="CR828">
        <f>'T_TTAFStock'!CP12</f>
        <v/>
      </c>
      <c r="CS828">
        <f>'T_TTAFStock'!CQ12</f>
        <v/>
      </c>
      <c r="CT828">
        <f>'T_TTAFStock'!CR12</f>
        <v/>
      </c>
      <c r="CU828">
        <f>'T_TTAFStock'!CS12</f>
        <v/>
      </c>
      <c r="CV828">
        <f>'T_TTAFStock'!CT12</f>
        <v/>
      </c>
      <c r="CW828">
        <f>'T_TTAFStock'!CU12</f>
        <v/>
      </c>
      <c r="CX828">
        <f>'T_TTAFStock'!CV12</f>
        <v/>
      </c>
      <c r="CY828">
        <f>'T_TTAFStock'!CW12</f>
        <v/>
      </c>
      <c r="CZ828">
        <f>'T_TTAFStock'!CX12</f>
        <v/>
      </c>
      <c r="DA828">
        <f>'T_TTAFStock'!CY12</f>
        <v/>
      </c>
      <c r="DB828">
        <f>'T_TTAFStock'!CZ12</f>
        <v/>
      </c>
      <c r="DC828">
        <f>'T_TTAFStock'!DA12</f>
        <v/>
      </c>
    </row>
    <row r="829">
      <c r="B829" t="inlineStr">
        <is>
          <t>自社在庫(実績,kg)</t>
        </is>
      </c>
      <c r="D829">
        <f>'T_SelfStock'!B12</f>
        <v/>
      </c>
      <c r="E829">
        <f>'T_SelfStock'!C12</f>
        <v/>
      </c>
      <c r="F829">
        <f>'T_SelfStock'!D12</f>
        <v/>
      </c>
      <c r="G829">
        <f>'T_SelfStock'!E12</f>
        <v/>
      </c>
      <c r="H829">
        <f>'T_SelfStock'!F12</f>
        <v/>
      </c>
      <c r="I829">
        <f>'T_SelfStock'!G12</f>
        <v/>
      </c>
      <c r="J829">
        <f>'T_SelfStock'!H12</f>
        <v/>
      </c>
      <c r="K829">
        <f>'T_SelfStock'!I12</f>
        <v/>
      </c>
      <c r="L829">
        <f>'T_SelfStock'!J12</f>
        <v/>
      </c>
      <c r="M829">
        <f>'T_SelfStock'!K12</f>
        <v/>
      </c>
      <c r="N829">
        <f>'T_SelfStock'!L12</f>
        <v/>
      </c>
      <c r="O829">
        <f>'T_SelfStock'!M12</f>
        <v/>
      </c>
      <c r="P829">
        <f>'T_SelfStock'!N12</f>
        <v/>
      </c>
      <c r="Q829">
        <f>'T_SelfStock'!O12</f>
        <v/>
      </c>
      <c r="R829">
        <f>'T_SelfStock'!P12</f>
        <v/>
      </c>
      <c r="S829">
        <f>'T_SelfStock'!Q12</f>
        <v/>
      </c>
      <c r="T829">
        <f>'T_SelfStock'!R12</f>
        <v/>
      </c>
      <c r="U829">
        <f>'T_SelfStock'!S12</f>
        <v/>
      </c>
      <c r="V829">
        <f>'T_SelfStock'!T12</f>
        <v/>
      </c>
      <c r="W829">
        <f>'T_SelfStock'!U12</f>
        <v/>
      </c>
      <c r="X829">
        <f>'T_SelfStock'!V12</f>
        <v/>
      </c>
      <c r="Y829">
        <f>'T_SelfStock'!W12</f>
        <v/>
      </c>
      <c r="Z829">
        <f>'T_SelfStock'!X12</f>
        <v/>
      </c>
      <c r="AA829">
        <f>'T_SelfStock'!Y12</f>
        <v/>
      </c>
      <c r="AB829">
        <f>'T_SelfStock'!Z12</f>
        <v/>
      </c>
      <c r="AC829">
        <f>'T_SelfStock'!AA12</f>
        <v/>
      </c>
      <c r="AD829">
        <f>'T_SelfStock'!AB12</f>
        <v/>
      </c>
      <c r="AE829">
        <f>'T_SelfStock'!AC12</f>
        <v/>
      </c>
      <c r="AF829">
        <f>'T_SelfStock'!AD12</f>
        <v/>
      </c>
      <c r="AG829">
        <f>'T_SelfStock'!AE12</f>
        <v/>
      </c>
      <c r="AH829">
        <f>'T_SelfStock'!AF12</f>
        <v/>
      </c>
      <c r="AI829">
        <f>'T_SelfStock'!AG12</f>
        <v/>
      </c>
      <c r="AJ829">
        <f>'T_SelfStock'!AH12</f>
        <v/>
      </c>
      <c r="AK829">
        <f>'T_SelfStock'!AI12</f>
        <v/>
      </c>
      <c r="AL829">
        <f>'T_SelfStock'!AJ12</f>
        <v/>
      </c>
      <c r="AM829">
        <f>'T_SelfStock'!AK12</f>
        <v/>
      </c>
      <c r="AN829">
        <f>'T_SelfStock'!AL12</f>
        <v/>
      </c>
      <c r="AO829">
        <f>'T_SelfStock'!AM12</f>
        <v/>
      </c>
      <c r="AP829">
        <f>'T_SelfStock'!AN12</f>
        <v/>
      </c>
      <c r="AQ829">
        <f>'T_SelfStock'!AO12</f>
        <v/>
      </c>
      <c r="AR829">
        <f>'T_SelfStock'!AP12</f>
        <v/>
      </c>
      <c r="AS829">
        <f>'T_SelfStock'!AQ12</f>
        <v/>
      </c>
      <c r="AT829">
        <f>'T_SelfStock'!AR12</f>
        <v/>
      </c>
      <c r="AU829">
        <f>'T_SelfStock'!AS12</f>
        <v/>
      </c>
      <c r="AV829">
        <f>'T_SelfStock'!AT12</f>
        <v/>
      </c>
      <c r="AW829">
        <f>'T_SelfStock'!AU12</f>
        <v/>
      </c>
      <c r="AX829">
        <f>'T_SelfStock'!AV12</f>
        <v/>
      </c>
      <c r="AY829">
        <f>'T_SelfStock'!AW12</f>
        <v/>
      </c>
      <c r="AZ829">
        <f>'T_SelfStock'!AX12</f>
        <v/>
      </c>
      <c r="BA829">
        <f>'T_SelfStock'!AY12</f>
        <v/>
      </c>
      <c r="BB829">
        <f>'T_SelfStock'!AZ12</f>
        <v/>
      </c>
      <c r="BC829">
        <f>'T_SelfStock'!BA12</f>
        <v/>
      </c>
      <c r="BD829">
        <f>'T_SelfStock'!BB12</f>
        <v/>
      </c>
      <c r="BE829">
        <f>'T_SelfStock'!BC12</f>
        <v/>
      </c>
      <c r="BF829">
        <f>'T_SelfStock'!BD12</f>
        <v/>
      </c>
      <c r="BG829">
        <f>'T_SelfStock'!BE12</f>
        <v/>
      </c>
      <c r="BH829">
        <f>'T_SelfStock'!BF12</f>
        <v/>
      </c>
      <c r="BI829">
        <f>'T_SelfStock'!BG12</f>
        <v/>
      </c>
      <c r="BJ829">
        <f>'T_SelfStock'!BH12</f>
        <v/>
      </c>
      <c r="BK829">
        <f>'T_SelfStock'!BI12</f>
        <v/>
      </c>
      <c r="BL829">
        <f>'T_SelfStock'!BJ12</f>
        <v/>
      </c>
      <c r="BM829">
        <f>'T_SelfStock'!BK12</f>
        <v/>
      </c>
      <c r="BN829">
        <f>'T_SelfStock'!BL12</f>
        <v/>
      </c>
      <c r="BO829">
        <f>'T_SelfStock'!BM12</f>
        <v/>
      </c>
      <c r="BP829">
        <f>'T_SelfStock'!BN12</f>
        <v/>
      </c>
      <c r="BQ829">
        <f>'T_SelfStock'!BO12</f>
        <v/>
      </c>
      <c r="BR829">
        <f>'T_SelfStock'!BP12</f>
        <v/>
      </c>
      <c r="BS829">
        <f>'T_SelfStock'!BQ12</f>
        <v/>
      </c>
      <c r="BT829">
        <f>'T_SelfStock'!BR12</f>
        <v/>
      </c>
      <c r="BU829">
        <f>'T_SelfStock'!BS12</f>
        <v/>
      </c>
      <c r="BV829">
        <f>'T_SelfStock'!BT12</f>
        <v/>
      </c>
      <c r="BW829">
        <f>'T_SelfStock'!BU12</f>
        <v/>
      </c>
      <c r="BX829">
        <f>'T_SelfStock'!BV12</f>
        <v/>
      </c>
      <c r="BY829">
        <f>'T_SelfStock'!BW12</f>
        <v/>
      </c>
      <c r="BZ829">
        <f>'T_SelfStock'!BX12</f>
        <v/>
      </c>
      <c r="CA829">
        <f>'T_SelfStock'!BY12</f>
        <v/>
      </c>
      <c r="CB829">
        <f>'T_SelfStock'!BZ12</f>
        <v/>
      </c>
      <c r="CC829">
        <f>'T_SelfStock'!CA12</f>
        <v/>
      </c>
      <c r="CD829">
        <f>'T_SelfStock'!CB12</f>
        <v/>
      </c>
      <c r="CE829">
        <f>'T_SelfStock'!CC12</f>
        <v/>
      </c>
      <c r="CF829">
        <f>'T_SelfStock'!CD12</f>
        <v/>
      </c>
      <c r="CG829">
        <f>'T_SelfStock'!CE12</f>
        <v/>
      </c>
      <c r="CH829">
        <f>'T_SelfStock'!CF12</f>
        <v/>
      </c>
      <c r="CI829">
        <f>'T_SelfStock'!CG12</f>
        <v/>
      </c>
      <c r="CJ829">
        <f>'T_SelfStock'!CH12</f>
        <v/>
      </c>
      <c r="CK829">
        <f>'T_SelfStock'!CI12</f>
        <v/>
      </c>
      <c r="CL829">
        <f>'T_SelfStock'!CJ12</f>
        <v/>
      </c>
      <c r="CM829">
        <f>'T_SelfStock'!CK12</f>
        <v/>
      </c>
      <c r="CN829">
        <f>'T_SelfStock'!CL12</f>
        <v/>
      </c>
      <c r="CO829">
        <f>'T_SelfStock'!CM12</f>
        <v/>
      </c>
      <c r="CP829">
        <f>'T_SelfStock'!CN12</f>
        <v/>
      </c>
      <c r="CQ829">
        <f>'T_SelfStock'!CO12</f>
        <v/>
      </c>
      <c r="CR829">
        <f>'T_SelfStock'!CP12</f>
        <v/>
      </c>
      <c r="CS829">
        <f>'T_SelfStock'!CQ12</f>
        <v/>
      </c>
      <c r="CT829">
        <f>'T_SelfStock'!CR12</f>
        <v/>
      </c>
      <c r="CU829">
        <f>'T_SelfStock'!CS12</f>
        <v/>
      </c>
      <c r="CV829">
        <f>'T_SelfStock'!CT12</f>
        <v/>
      </c>
      <c r="CW829">
        <f>'T_SelfStock'!CU12</f>
        <v/>
      </c>
      <c r="CX829">
        <f>'T_SelfStock'!CV12</f>
        <v/>
      </c>
      <c r="CY829">
        <f>'T_SelfStock'!CW12</f>
        <v/>
      </c>
      <c r="CZ829">
        <f>'T_SelfStock'!CX12</f>
        <v/>
      </c>
      <c r="DA829">
        <f>'T_SelfStock'!CY12</f>
        <v/>
      </c>
      <c r="DB829">
        <f>'T_SelfStock'!CZ12</f>
        <v/>
      </c>
      <c r="DC829">
        <f>'T_SelfStock'!DA12</f>
        <v/>
      </c>
    </row>
    <row r="830">
      <c r="B830" s="4" t="inlineStr">
        <is>
          <t>合計在庫(週末時点,kg)</t>
        </is>
      </c>
      <c r="D830">
        <f>'Grid_Stock'!B8</f>
        <v/>
      </c>
      <c r="E830">
        <f>'Grid_Stock'!C8</f>
        <v/>
      </c>
      <c r="F830">
        <f>'Grid_Stock'!D8</f>
        <v/>
      </c>
      <c r="G830">
        <f>'Grid_Stock'!E8</f>
        <v/>
      </c>
      <c r="H830">
        <f>'Grid_Stock'!F8</f>
        <v/>
      </c>
      <c r="I830">
        <f>'Grid_Stock'!G8</f>
        <v/>
      </c>
      <c r="J830">
        <f>'Grid_Stock'!H8</f>
        <v/>
      </c>
      <c r="K830">
        <f>'Grid_Stock'!I8</f>
        <v/>
      </c>
      <c r="L830">
        <f>'Grid_Stock'!J8</f>
        <v/>
      </c>
      <c r="M830">
        <f>'Grid_Stock'!K8</f>
        <v/>
      </c>
      <c r="N830">
        <f>'Grid_Stock'!L8</f>
        <v/>
      </c>
      <c r="O830">
        <f>'Grid_Stock'!M8</f>
        <v/>
      </c>
      <c r="P830">
        <f>'Grid_Stock'!N8</f>
        <v/>
      </c>
      <c r="Q830">
        <f>'Grid_Stock'!O8</f>
        <v/>
      </c>
      <c r="R830">
        <f>'Grid_Stock'!P8</f>
        <v/>
      </c>
      <c r="S830">
        <f>'Grid_Stock'!Q8</f>
        <v/>
      </c>
      <c r="T830">
        <f>'Grid_Stock'!R8</f>
        <v/>
      </c>
      <c r="U830">
        <f>'Grid_Stock'!S8</f>
        <v/>
      </c>
      <c r="V830">
        <f>'Grid_Stock'!T8</f>
        <v/>
      </c>
      <c r="W830">
        <f>'Grid_Stock'!U8</f>
        <v/>
      </c>
      <c r="X830">
        <f>'Grid_Stock'!V8</f>
        <v/>
      </c>
      <c r="Y830">
        <f>'Grid_Stock'!W8</f>
        <v/>
      </c>
      <c r="Z830">
        <f>'Grid_Stock'!X8</f>
        <v/>
      </c>
      <c r="AA830">
        <f>'Grid_Stock'!Y8</f>
        <v/>
      </c>
      <c r="AB830">
        <f>'Grid_Stock'!Z8</f>
        <v/>
      </c>
      <c r="AC830">
        <f>'Grid_Stock'!AA8</f>
        <v/>
      </c>
      <c r="AD830">
        <f>'Grid_Stock'!AB8</f>
        <v/>
      </c>
      <c r="AE830">
        <f>'Grid_Stock'!AC8</f>
        <v/>
      </c>
      <c r="AF830">
        <f>'Grid_Stock'!AD8</f>
        <v/>
      </c>
      <c r="AG830">
        <f>'Grid_Stock'!AE8</f>
        <v/>
      </c>
      <c r="AH830">
        <f>'Grid_Stock'!AF8</f>
        <v/>
      </c>
      <c r="AI830">
        <f>'Grid_Stock'!AG8</f>
        <v/>
      </c>
      <c r="AJ830">
        <f>'Grid_Stock'!AH8</f>
        <v/>
      </c>
      <c r="AK830">
        <f>'Grid_Stock'!AI8</f>
        <v/>
      </c>
      <c r="AL830">
        <f>'Grid_Stock'!AJ8</f>
        <v/>
      </c>
      <c r="AM830">
        <f>'Grid_Stock'!AK8</f>
        <v/>
      </c>
      <c r="AN830">
        <f>'Grid_Stock'!AL8</f>
        <v/>
      </c>
      <c r="AO830">
        <f>'Grid_Stock'!AM8</f>
        <v/>
      </c>
      <c r="AP830">
        <f>'Grid_Stock'!AN8</f>
        <v/>
      </c>
      <c r="AQ830">
        <f>'Grid_Stock'!AO8</f>
        <v/>
      </c>
      <c r="AR830">
        <f>'Grid_Stock'!AP8</f>
        <v/>
      </c>
      <c r="AS830">
        <f>'Grid_Stock'!AQ8</f>
        <v/>
      </c>
      <c r="AT830">
        <f>'Grid_Stock'!AR8</f>
        <v/>
      </c>
      <c r="AU830">
        <f>'Grid_Stock'!AS8</f>
        <v/>
      </c>
      <c r="AV830">
        <f>'Grid_Stock'!AT8</f>
        <v/>
      </c>
      <c r="AW830">
        <f>'Grid_Stock'!AU8</f>
        <v/>
      </c>
      <c r="AX830">
        <f>'Grid_Stock'!AV8</f>
        <v/>
      </c>
      <c r="AY830">
        <f>'Grid_Stock'!AW8</f>
        <v/>
      </c>
      <c r="AZ830">
        <f>'Grid_Stock'!AX8</f>
        <v/>
      </c>
      <c r="BA830">
        <f>'Grid_Stock'!AY8</f>
        <v/>
      </c>
      <c r="BB830">
        <f>'Grid_Stock'!AZ8</f>
        <v/>
      </c>
      <c r="BC830">
        <f>'Grid_Stock'!BA8</f>
        <v/>
      </c>
      <c r="BD830">
        <f>'Grid_Stock'!BB8</f>
        <v/>
      </c>
      <c r="BE830">
        <f>'Grid_Stock'!BC8</f>
        <v/>
      </c>
      <c r="BF830">
        <f>'Grid_Stock'!BD8</f>
        <v/>
      </c>
      <c r="BG830">
        <f>'Grid_Stock'!BE8</f>
        <v/>
      </c>
      <c r="BH830">
        <f>'Grid_Stock'!BF8</f>
        <v/>
      </c>
      <c r="BI830">
        <f>'Grid_Stock'!BG8</f>
        <v/>
      </c>
      <c r="BJ830">
        <f>'Grid_Stock'!BH8</f>
        <v/>
      </c>
      <c r="BK830">
        <f>'Grid_Stock'!BI8</f>
        <v/>
      </c>
      <c r="BL830">
        <f>'Grid_Stock'!BJ8</f>
        <v/>
      </c>
      <c r="BM830">
        <f>'Grid_Stock'!BK8</f>
        <v/>
      </c>
      <c r="BN830">
        <f>'Grid_Stock'!BL8</f>
        <v/>
      </c>
      <c r="BO830">
        <f>'Grid_Stock'!BM8</f>
        <v/>
      </c>
      <c r="BP830">
        <f>'Grid_Stock'!BN8</f>
        <v/>
      </c>
      <c r="BQ830">
        <f>'Grid_Stock'!BO8</f>
        <v/>
      </c>
      <c r="BR830">
        <f>'Grid_Stock'!BP8</f>
        <v/>
      </c>
      <c r="BS830">
        <f>'Grid_Stock'!BQ8</f>
        <v/>
      </c>
      <c r="BT830">
        <f>'Grid_Stock'!BR8</f>
        <v/>
      </c>
      <c r="BU830">
        <f>'Grid_Stock'!BS8</f>
        <v/>
      </c>
      <c r="BV830">
        <f>'Grid_Stock'!BT8</f>
        <v/>
      </c>
      <c r="BW830">
        <f>'Grid_Stock'!BU8</f>
        <v/>
      </c>
      <c r="BX830">
        <f>'Grid_Stock'!BV8</f>
        <v/>
      </c>
      <c r="BY830">
        <f>'Grid_Stock'!BW8</f>
        <v/>
      </c>
      <c r="BZ830">
        <f>'Grid_Stock'!BX8</f>
        <v/>
      </c>
      <c r="CA830">
        <f>'Grid_Stock'!BY8</f>
        <v/>
      </c>
      <c r="CB830">
        <f>'Grid_Stock'!BZ8</f>
        <v/>
      </c>
      <c r="CC830">
        <f>'Grid_Stock'!CA8</f>
        <v/>
      </c>
      <c r="CD830">
        <f>'Grid_Stock'!CB8</f>
        <v/>
      </c>
      <c r="CE830">
        <f>'Grid_Stock'!CC8</f>
        <v/>
      </c>
      <c r="CF830">
        <f>'Grid_Stock'!CD8</f>
        <v/>
      </c>
      <c r="CG830">
        <f>'Grid_Stock'!CE8</f>
        <v/>
      </c>
      <c r="CH830">
        <f>'Grid_Stock'!CF8</f>
        <v/>
      </c>
      <c r="CI830">
        <f>'Grid_Stock'!CG8</f>
        <v/>
      </c>
      <c r="CJ830">
        <f>'Grid_Stock'!CH8</f>
        <v/>
      </c>
      <c r="CK830">
        <f>'Grid_Stock'!CI8</f>
        <v/>
      </c>
      <c r="CL830">
        <f>'Grid_Stock'!CJ8</f>
        <v/>
      </c>
      <c r="CM830">
        <f>'Grid_Stock'!CK8</f>
        <v/>
      </c>
      <c r="CN830">
        <f>'Grid_Stock'!CL8</f>
        <v/>
      </c>
      <c r="CO830">
        <f>'Grid_Stock'!CM8</f>
        <v/>
      </c>
      <c r="CP830">
        <f>'Grid_Stock'!CN8</f>
        <v/>
      </c>
      <c r="CQ830">
        <f>'Grid_Stock'!CO8</f>
        <v/>
      </c>
      <c r="CR830">
        <f>'Grid_Stock'!CP8</f>
        <v/>
      </c>
      <c r="CS830">
        <f>'Grid_Stock'!CQ8</f>
        <v/>
      </c>
      <c r="CT830">
        <f>'Grid_Stock'!CR8</f>
        <v/>
      </c>
      <c r="CU830">
        <f>'Grid_Stock'!CS8</f>
        <v/>
      </c>
      <c r="CV830">
        <f>'Grid_Stock'!CT8</f>
        <v/>
      </c>
      <c r="CW830">
        <f>'Grid_Stock'!CU8</f>
        <v/>
      </c>
      <c r="CX830">
        <f>'Grid_Stock'!CV8</f>
        <v/>
      </c>
      <c r="CY830">
        <f>'Grid_Stock'!CW8</f>
        <v/>
      </c>
      <c r="CZ830">
        <f>'Grid_Stock'!CX8</f>
        <v/>
      </c>
      <c r="DA830">
        <f>'Grid_Stock'!CY8</f>
        <v/>
      </c>
      <c r="DB830">
        <f>'Grid_Stock'!CZ8</f>
        <v/>
      </c>
      <c r="DC830">
        <f>'Grid_Stock'!DA8</f>
        <v/>
      </c>
    </row>
    <row r="831">
      <c r="B831" s="16" t="inlineStr">
        <is>
          <t>（発注の目安はDashboardの基準在庫[下限/上限]と色分けを参照）</t>
        </is>
      </c>
    </row>
    <row r="833">
      <c r="A833" s="14" t="inlineStr">
        <is>
          <t>CHEM-1540</t>
        </is>
      </c>
      <c r="B833" s="14" t="inlineStr">
        <is>
          <t>NAT35</t>
        </is>
      </c>
      <c r="C833" s="15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  <c r="BS833" s="14" t="n"/>
      <c r="BT833" s="14" t="n"/>
      <c r="BU833" s="14" t="n"/>
      <c r="BV833" s="14" t="n"/>
      <c r="BW833" s="14" t="n"/>
      <c r="BX833" s="14" t="n"/>
      <c r="BY833" s="14" t="n"/>
      <c r="BZ833" s="14" t="n"/>
      <c r="CA833" s="14" t="n"/>
      <c r="CB833" s="14" t="n"/>
      <c r="CC833" s="14" t="n"/>
      <c r="CD833" s="14" t="n"/>
      <c r="CE833" s="14" t="n"/>
      <c r="CF833" s="14" t="n"/>
      <c r="CG833" s="14" t="n"/>
      <c r="CH833" s="14" t="n"/>
      <c r="CI833" s="14" t="n"/>
      <c r="CJ833" s="14" t="n"/>
      <c r="CK833" s="14" t="n"/>
      <c r="CL833" s="14" t="n"/>
      <c r="CM833" s="14" t="n"/>
      <c r="CN833" s="14" t="n"/>
      <c r="CO833" s="14" t="n"/>
      <c r="CP833" s="14" t="n"/>
      <c r="CQ833" s="14" t="n"/>
      <c r="CR833" s="14" t="n"/>
      <c r="CS833" s="14" t="n"/>
      <c r="CT833" s="14" t="n"/>
      <c r="CU833" s="14" t="n"/>
      <c r="CV833" s="14" t="n"/>
      <c r="CW833" s="14" t="n"/>
      <c r="CX833" s="14" t="n"/>
      <c r="CY833" s="14" t="n"/>
      <c r="CZ833" s="14" t="n"/>
      <c r="DA833" s="14" t="n"/>
      <c r="DB833" s="14" t="n"/>
      <c r="DC833" s="14" t="n"/>
    </row>
    <row r="834">
      <c r="B834" t="inlineStr">
        <is>
          <t>TSP-620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Name],$A833)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TSP-623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Name],$A833)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TSP-927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Name],$A833)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TSP-928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Name],$A833)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TSP-929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Name],$A833)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TSP-930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Name],$A833)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TSP-934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7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Name],$A833)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TSP-935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Name],$A833)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TSP-936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Name],$A833)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TSP-937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Name],$A833)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TSP-1444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Name],$A833)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TSP-1448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Name],$A833)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TSP-1445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Name],$A833)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TSP-1446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Name],$A833)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TPP-358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Name],$A833)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TPP-533(98%)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Name],$A833)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TPP-533(A)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Name],$A833)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No of times used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Name],$A833)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TSP-1449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Name],$A833)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s="4" t="inlineStr">
        <is>
          <t>合計使用量(kg)/週</t>
        </is>
      </c>
      <c r="D872">
        <f>'Grid_Requirement'!B7</f>
        <v/>
      </c>
      <c r="E872">
        <f>'Grid_Requirement'!C7</f>
        <v/>
      </c>
      <c r="F872">
        <f>'Grid_Requirement'!D7</f>
        <v/>
      </c>
      <c r="G872">
        <f>'Grid_Requirement'!E7</f>
        <v/>
      </c>
      <c r="H872">
        <f>'Grid_Requirement'!F7</f>
        <v/>
      </c>
      <c r="I872">
        <f>'Grid_Requirement'!G7</f>
        <v/>
      </c>
      <c r="J872">
        <f>'Grid_Requirement'!H7</f>
        <v/>
      </c>
      <c r="K872">
        <f>'Grid_Requirement'!I7</f>
        <v/>
      </c>
      <c r="L872">
        <f>'Grid_Requirement'!J7</f>
        <v/>
      </c>
      <c r="M872">
        <f>'Grid_Requirement'!K7</f>
        <v/>
      </c>
      <c r="N872">
        <f>'Grid_Requirement'!L7</f>
        <v/>
      </c>
      <c r="O872">
        <f>'Grid_Requirement'!M7</f>
        <v/>
      </c>
      <c r="P872">
        <f>'Grid_Requirement'!N7</f>
        <v/>
      </c>
      <c r="Q872">
        <f>'Grid_Requirement'!O7</f>
        <v/>
      </c>
      <c r="R872">
        <f>'Grid_Requirement'!P7</f>
        <v/>
      </c>
      <c r="S872">
        <f>'Grid_Requirement'!Q7</f>
        <v/>
      </c>
      <c r="T872">
        <f>'Grid_Requirement'!R7</f>
        <v/>
      </c>
      <c r="U872">
        <f>'Grid_Requirement'!S7</f>
        <v/>
      </c>
      <c r="V872">
        <f>'Grid_Requirement'!T7</f>
        <v/>
      </c>
      <c r="W872">
        <f>'Grid_Requirement'!U7</f>
        <v/>
      </c>
      <c r="X872">
        <f>'Grid_Requirement'!V7</f>
        <v/>
      </c>
      <c r="Y872">
        <f>'Grid_Requirement'!W7</f>
        <v/>
      </c>
      <c r="Z872">
        <f>'Grid_Requirement'!X7</f>
        <v/>
      </c>
      <c r="AA872">
        <f>'Grid_Requirement'!Y7</f>
        <v/>
      </c>
      <c r="AB872">
        <f>'Grid_Requirement'!Z7</f>
        <v/>
      </c>
      <c r="AC872">
        <f>'Grid_Requirement'!AA7</f>
        <v/>
      </c>
      <c r="AD872">
        <f>'Grid_Requirement'!AB7</f>
        <v/>
      </c>
      <c r="AE872">
        <f>'Grid_Requirement'!AC7</f>
        <v/>
      </c>
      <c r="AF872">
        <f>'Grid_Requirement'!AD7</f>
        <v/>
      </c>
      <c r="AG872">
        <f>'Grid_Requirement'!AE7</f>
        <v/>
      </c>
      <c r="AH872">
        <f>'Grid_Requirement'!AF7</f>
        <v/>
      </c>
      <c r="AI872">
        <f>'Grid_Requirement'!AG7</f>
        <v/>
      </c>
      <c r="AJ872">
        <f>'Grid_Requirement'!AH7</f>
        <v/>
      </c>
      <c r="AK872">
        <f>'Grid_Requirement'!AI7</f>
        <v/>
      </c>
      <c r="AL872">
        <f>'Grid_Requirement'!AJ7</f>
        <v/>
      </c>
      <c r="AM872">
        <f>'Grid_Requirement'!AK7</f>
        <v/>
      </c>
      <c r="AN872">
        <f>'Grid_Requirement'!AL7</f>
        <v/>
      </c>
      <c r="AO872">
        <f>'Grid_Requirement'!AM7</f>
        <v/>
      </c>
      <c r="AP872">
        <f>'Grid_Requirement'!AN7</f>
        <v/>
      </c>
      <c r="AQ872">
        <f>'Grid_Requirement'!AO7</f>
        <v/>
      </c>
      <c r="AR872">
        <f>'Grid_Requirement'!AP7</f>
        <v/>
      </c>
      <c r="AS872">
        <f>'Grid_Requirement'!AQ7</f>
        <v/>
      </c>
      <c r="AT872">
        <f>'Grid_Requirement'!AR7</f>
        <v/>
      </c>
      <c r="AU872">
        <f>'Grid_Requirement'!AS7</f>
        <v/>
      </c>
      <c r="AV872">
        <f>'Grid_Requirement'!AT7</f>
        <v/>
      </c>
      <c r="AW872">
        <f>'Grid_Requirement'!AU7</f>
        <v/>
      </c>
      <c r="AX872">
        <f>'Grid_Requirement'!AV7</f>
        <v/>
      </c>
      <c r="AY872">
        <f>'Grid_Requirement'!AW7</f>
        <v/>
      </c>
      <c r="AZ872">
        <f>'Grid_Requirement'!AX7</f>
        <v/>
      </c>
      <c r="BA872">
        <f>'Grid_Requirement'!AY7</f>
        <v/>
      </c>
      <c r="BB872">
        <f>'Grid_Requirement'!AZ7</f>
        <v/>
      </c>
      <c r="BC872">
        <f>'Grid_Requirement'!BA7</f>
        <v/>
      </c>
      <c r="BD872">
        <f>'Grid_Requirement'!BB7</f>
        <v/>
      </c>
      <c r="BE872">
        <f>'Grid_Requirement'!BC7</f>
        <v/>
      </c>
      <c r="BF872">
        <f>'Grid_Requirement'!BD7</f>
        <v/>
      </c>
      <c r="BG872">
        <f>'Grid_Requirement'!BE7</f>
        <v/>
      </c>
      <c r="BH872">
        <f>'Grid_Requirement'!BF7</f>
        <v/>
      </c>
      <c r="BI872">
        <f>'Grid_Requirement'!BG7</f>
        <v/>
      </c>
      <c r="BJ872">
        <f>'Grid_Requirement'!BH7</f>
        <v/>
      </c>
      <c r="BK872">
        <f>'Grid_Requirement'!BI7</f>
        <v/>
      </c>
      <c r="BL872">
        <f>'Grid_Requirement'!BJ7</f>
        <v/>
      </c>
      <c r="BM872">
        <f>'Grid_Requirement'!BK7</f>
        <v/>
      </c>
      <c r="BN872">
        <f>'Grid_Requirement'!BL7</f>
        <v/>
      </c>
      <c r="BO872">
        <f>'Grid_Requirement'!BM7</f>
        <v/>
      </c>
      <c r="BP872">
        <f>'Grid_Requirement'!BN7</f>
        <v/>
      </c>
      <c r="BQ872">
        <f>'Grid_Requirement'!BO7</f>
        <v/>
      </c>
      <c r="BR872">
        <f>'Grid_Requirement'!BP7</f>
        <v/>
      </c>
      <c r="BS872">
        <f>'Grid_Requirement'!BQ7</f>
        <v/>
      </c>
      <c r="BT872">
        <f>'Grid_Requirement'!BR7</f>
        <v/>
      </c>
      <c r="BU872">
        <f>'Grid_Requirement'!BS7</f>
        <v/>
      </c>
      <c r="BV872">
        <f>'Grid_Requirement'!BT7</f>
        <v/>
      </c>
      <c r="BW872">
        <f>'Grid_Requirement'!BU7</f>
        <v/>
      </c>
      <c r="BX872">
        <f>'Grid_Requirement'!BV7</f>
        <v/>
      </c>
      <c r="BY872">
        <f>'Grid_Requirement'!BW7</f>
        <v/>
      </c>
      <c r="BZ872">
        <f>'Grid_Requirement'!BX7</f>
        <v/>
      </c>
      <c r="CA872">
        <f>'Grid_Requirement'!BY7</f>
        <v/>
      </c>
      <c r="CB872">
        <f>'Grid_Requirement'!BZ7</f>
        <v/>
      </c>
      <c r="CC872">
        <f>'Grid_Requirement'!CA7</f>
        <v/>
      </c>
      <c r="CD872">
        <f>'Grid_Requirement'!CB7</f>
        <v/>
      </c>
      <c r="CE872">
        <f>'Grid_Requirement'!CC7</f>
        <v/>
      </c>
      <c r="CF872">
        <f>'Grid_Requirement'!CD7</f>
        <v/>
      </c>
      <c r="CG872">
        <f>'Grid_Requirement'!CE7</f>
        <v/>
      </c>
      <c r="CH872">
        <f>'Grid_Requirement'!CF7</f>
        <v/>
      </c>
      <c r="CI872">
        <f>'Grid_Requirement'!CG7</f>
        <v/>
      </c>
      <c r="CJ872">
        <f>'Grid_Requirement'!CH7</f>
        <v/>
      </c>
      <c r="CK872">
        <f>'Grid_Requirement'!CI7</f>
        <v/>
      </c>
      <c r="CL872">
        <f>'Grid_Requirement'!CJ7</f>
        <v/>
      </c>
      <c r="CM872">
        <f>'Grid_Requirement'!CK7</f>
        <v/>
      </c>
      <c r="CN872">
        <f>'Grid_Requirement'!CL7</f>
        <v/>
      </c>
      <c r="CO872">
        <f>'Grid_Requirement'!CM7</f>
        <v/>
      </c>
      <c r="CP872">
        <f>'Grid_Requirement'!CN7</f>
        <v/>
      </c>
      <c r="CQ872">
        <f>'Grid_Requirement'!CO7</f>
        <v/>
      </c>
      <c r="CR872">
        <f>'Grid_Requirement'!CP7</f>
        <v/>
      </c>
      <c r="CS872">
        <f>'Grid_Requirement'!CQ7</f>
        <v/>
      </c>
      <c r="CT872">
        <f>'Grid_Requirement'!CR7</f>
        <v/>
      </c>
      <c r="CU872">
        <f>'Grid_Requirement'!CS7</f>
        <v/>
      </c>
      <c r="CV872">
        <f>'Grid_Requirement'!CT7</f>
        <v/>
      </c>
      <c r="CW872">
        <f>'Grid_Requirement'!CU7</f>
        <v/>
      </c>
      <c r="CX872">
        <f>'Grid_Requirement'!CV7</f>
        <v/>
      </c>
      <c r="CY872">
        <f>'Grid_Requirement'!CW7</f>
        <v/>
      </c>
      <c r="CZ872">
        <f>'Grid_Requirement'!CX7</f>
        <v/>
      </c>
      <c r="DA872">
        <f>'Grid_Requirement'!CY7</f>
        <v/>
      </c>
      <c r="DB872">
        <f>'Grid_Requirement'!CZ7</f>
        <v/>
      </c>
      <c r="DC872">
        <f>'Grid_Requirement'!DA7</f>
        <v/>
      </c>
    </row>
    <row r="873">
      <c r="B873" t="inlineStr">
        <is>
          <t>TTAF在庫(実績,kg)</t>
        </is>
      </c>
      <c r="D873">
        <f>'T_TTAFStock'!B11</f>
        <v/>
      </c>
      <c r="E873">
        <f>'T_TTAFStock'!C11</f>
        <v/>
      </c>
      <c r="F873">
        <f>'T_TTAFStock'!D11</f>
        <v/>
      </c>
      <c r="G873">
        <f>'T_TTAFStock'!E11</f>
        <v/>
      </c>
      <c r="H873">
        <f>'T_TTAFStock'!F11</f>
        <v/>
      </c>
      <c r="I873">
        <f>'T_TTAFStock'!G11</f>
        <v/>
      </c>
      <c r="J873">
        <f>'T_TTAFStock'!H11</f>
        <v/>
      </c>
      <c r="K873">
        <f>'T_TTAFStock'!I11</f>
        <v/>
      </c>
      <c r="L873">
        <f>'T_TTAFStock'!J11</f>
        <v/>
      </c>
      <c r="M873">
        <f>'T_TTAFStock'!K11</f>
        <v/>
      </c>
      <c r="N873">
        <f>'T_TTAFStock'!L11</f>
        <v/>
      </c>
      <c r="O873">
        <f>'T_TTAFStock'!M11</f>
        <v/>
      </c>
      <c r="P873">
        <f>'T_TTAFStock'!N11</f>
        <v/>
      </c>
      <c r="Q873">
        <f>'T_TTAFStock'!O11</f>
        <v/>
      </c>
      <c r="R873">
        <f>'T_TTAFStock'!P11</f>
        <v/>
      </c>
      <c r="S873">
        <f>'T_TTAFStock'!Q11</f>
        <v/>
      </c>
      <c r="T873">
        <f>'T_TTAFStock'!R11</f>
        <v/>
      </c>
      <c r="U873">
        <f>'T_TTAFStock'!S11</f>
        <v/>
      </c>
      <c r="V873">
        <f>'T_TTAFStock'!T11</f>
        <v/>
      </c>
      <c r="W873">
        <f>'T_TTAFStock'!U11</f>
        <v/>
      </c>
      <c r="X873">
        <f>'T_TTAFStock'!V11</f>
        <v/>
      </c>
      <c r="Y873">
        <f>'T_TTAFStock'!W11</f>
        <v/>
      </c>
      <c r="Z873">
        <f>'T_TTAFStock'!X11</f>
        <v/>
      </c>
      <c r="AA873">
        <f>'T_TTAFStock'!Y11</f>
        <v/>
      </c>
      <c r="AB873">
        <f>'T_TTAFStock'!Z11</f>
        <v/>
      </c>
      <c r="AC873">
        <f>'T_TTAFStock'!AA11</f>
        <v/>
      </c>
      <c r="AD873">
        <f>'T_TTAFStock'!AB11</f>
        <v/>
      </c>
      <c r="AE873">
        <f>'T_TTAFStock'!AC11</f>
        <v/>
      </c>
      <c r="AF873">
        <f>'T_TTAFStock'!AD11</f>
        <v/>
      </c>
      <c r="AG873">
        <f>'T_TTAFStock'!AE11</f>
        <v/>
      </c>
      <c r="AH873">
        <f>'T_TTAFStock'!AF11</f>
        <v/>
      </c>
      <c r="AI873">
        <f>'T_TTAFStock'!AG11</f>
        <v/>
      </c>
      <c r="AJ873">
        <f>'T_TTAFStock'!AH11</f>
        <v/>
      </c>
      <c r="AK873">
        <f>'T_TTAFStock'!AI11</f>
        <v/>
      </c>
      <c r="AL873">
        <f>'T_TTAFStock'!AJ11</f>
        <v/>
      </c>
      <c r="AM873">
        <f>'T_TTAFStock'!AK11</f>
        <v/>
      </c>
      <c r="AN873">
        <f>'T_TTAFStock'!AL11</f>
        <v/>
      </c>
      <c r="AO873">
        <f>'T_TTAFStock'!AM11</f>
        <v/>
      </c>
      <c r="AP873">
        <f>'T_TTAFStock'!AN11</f>
        <v/>
      </c>
      <c r="AQ873">
        <f>'T_TTAFStock'!AO11</f>
        <v/>
      </c>
      <c r="AR873">
        <f>'T_TTAFStock'!AP11</f>
        <v/>
      </c>
      <c r="AS873">
        <f>'T_TTAFStock'!AQ11</f>
        <v/>
      </c>
      <c r="AT873">
        <f>'T_TTAFStock'!AR11</f>
        <v/>
      </c>
      <c r="AU873">
        <f>'T_TTAFStock'!AS11</f>
        <v/>
      </c>
      <c r="AV873">
        <f>'T_TTAFStock'!AT11</f>
        <v/>
      </c>
      <c r="AW873">
        <f>'T_TTAFStock'!AU11</f>
        <v/>
      </c>
      <c r="AX873">
        <f>'T_TTAFStock'!AV11</f>
        <v/>
      </c>
      <c r="AY873">
        <f>'T_TTAFStock'!AW11</f>
        <v/>
      </c>
      <c r="AZ873">
        <f>'T_TTAFStock'!AX11</f>
        <v/>
      </c>
      <c r="BA873">
        <f>'T_TTAFStock'!AY11</f>
        <v/>
      </c>
      <c r="BB873">
        <f>'T_TTAFStock'!AZ11</f>
        <v/>
      </c>
      <c r="BC873">
        <f>'T_TTAFStock'!BA11</f>
        <v/>
      </c>
      <c r="BD873">
        <f>'T_TTAFStock'!BB11</f>
        <v/>
      </c>
      <c r="BE873">
        <f>'T_TTAFStock'!BC11</f>
        <v/>
      </c>
      <c r="BF873">
        <f>'T_TTAFStock'!BD11</f>
        <v/>
      </c>
      <c r="BG873">
        <f>'T_TTAFStock'!BE11</f>
        <v/>
      </c>
      <c r="BH873">
        <f>'T_TTAFStock'!BF11</f>
        <v/>
      </c>
      <c r="BI873">
        <f>'T_TTAFStock'!BG11</f>
        <v/>
      </c>
      <c r="BJ873">
        <f>'T_TTAFStock'!BH11</f>
        <v/>
      </c>
      <c r="BK873">
        <f>'T_TTAFStock'!BI11</f>
        <v/>
      </c>
      <c r="BL873">
        <f>'T_TTAFStock'!BJ11</f>
        <v/>
      </c>
      <c r="BM873">
        <f>'T_TTAFStock'!BK11</f>
        <v/>
      </c>
      <c r="BN873">
        <f>'T_TTAFStock'!BL11</f>
        <v/>
      </c>
      <c r="BO873">
        <f>'T_TTAFStock'!BM11</f>
        <v/>
      </c>
      <c r="BP873">
        <f>'T_TTAFStock'!BN11</f>
        <v/>
      </c>
      <c r="BQ873">
        <f>'T_TTAFStock'!BO11</f>
        <v/>
      </c>
      <c r="BR873">
        <f>'T_TTAFStock'!BP11</f>
        <v/>
      </c>
      <c r="BS873">
        <f>'T_TTAFStock'!BQ11</f>
        <v/>
      </c>
      <c r="BT873">
        <f>'T_TTAFStock'!BR11</f>
        <v/>
      </c>
      <c r="BU873">
        <f>'T_TTAFStock'!BS11</f>
        <v/>
      </c>
      <c r="BV873">
        <f>'T_TTAFStock'!BT11</f>
        <v/>
      </c>
      <c r="BW873">
        <f>'T_TTAFStock'!BU11</f>
        <v/>
      </c>
      <c r="BX873">
        <f>'T_TTAFStock'!BV11</f>
        <v/>
      </c>
      <c r="BY873">
        <f>'T_TTAFStock'!BW11</f>
        <v/>
      </c>
      <c r="BZ873">
        <f>'T_TTAFStock'!BX11</f>
        <v/>
      </c>
      <c r="CA873">
        <f>'T_TTAFStock'!BY11</f>
        <v/>
      </c>
      <c r="CB873">
        <f>'T_TTAFStock'!BZ11</f>
        <v/>
      </c>
      <c r="CC873">
        <f>'T_TTAFStock'!CA11</f>
        <v/>
      </c>
      <c r="CD873">
        <f>'T_TTAFStock'!CB11</f>
        <v/>
      </c>
      <c r="CE873">
        <f>'T_TTAFStock'!CC11</f>
        <v/>
      </c>
      <c r="CF873">
        <f>'T_TTAFStock'!CD11</f>
        <v/>
      </c>
      <c r="CG873">
        <f>'T_TTAFStock'!CE11</f>
        <v/>
      </c>
      <c r="CH873">
        <f>'T_TTAFStock'!CF11</f>
        <v/>
      </c>
      <c r="CI873">
        <f>'T_TTAFStock'!CG11</f>
        <v/>
      </c>
      <c r="CJ873">
        <f>'T_TTAFStock'!CH11</f>
        <v/>
      </c>
      <c r="CK873">
        <f>'T_TTAFStock'!CI11</f>
        <v/>
      </c>
      <c r="CL873">
        <f>'T_TTAFStock'!CJ11</f>
        <v/>
      </c>
      <c r="CM873">
        <f>'T_TTAFStock'!CK11</f>
        <v/>
      </c>
      <c r="CN873">
        <f>'T_TTAFStock'!CL11</f>
        <v/>
      </c>
      <c r="CO873">
        <f>'T_TTAFStock'!CM11</f>
        <v/>
      </c>
      <c r="CP873">
        <f>'T_TTAFStock'!CN11</f>
        <v/>
      </c>
      <c r="CQ873">
        <f>'T_TTAFStock'!CO11</f>
        <v/>
      </c>
      <c r="CR873">
        <f>'T_TTAFStock'!CP11</f>
        <v/>
      </c>
      <c r="CS873">
        <f>'T_TTAFStock'!CQ11</f>
        <v/>
      </c>
      <c r="CT873">
        <f>'T_TTAFStock'!CR11</f>
        <v/>
      </c>
      <c r="CU873">
        <f>'T_TTAFStock'!CS11</f>
        <v/>
      </c>
      <c r="CV873">
        <f>'T_TTAFStock'!CT11</f>
        <v/>
      </c>
      <c r="CW873">
        <f>'T_TTAFStock'!CU11</f>
        <v/>
      </c>
      <c r="CX873">
        <f>'T_TTAFStock'!CV11</f>
        <v/>
      </c>
      <c r="CY873">
        <f>'T_TTAFStock'!CW11</f>
        <v/>
      </c>
      <c r="CZ873">
        <f>'T_TTAFStock'!CX11</f>
        <v/>
      </c>
      <c r="DA873">
        <f>'T_TTAFStock'!CY11</f>
        <v/>
      </c>
      <c r="DB873">
        <f>'T_TTAFStock'!CZ11</f>
        <v/>
      </c>
      <c r="DC873">
        <f>'T_TTAFStock'!DA11</f>
        <v/>
      </c>
    </row>
    <row r="874">
      <c r="B874" t="inlineStr">
        <is>
          <t>自社在庫(実績,kg)</t>
        </is>
      </c>
      <c r="D874">
        <f>'T_SelfStock'!B11</f>
        <v/>
      </c>
      <c r="E874">
        <f>'T_SelfStock'!C11</f>
        <v/>
      </c>
      <c r="F874">
        <f>'T_SelfStock'!D11</f>
        <v/>
      </c>
      <c r="G874">
        <f>'T_SelfStock'!E11</f>
        <v/>
      </c>
      <c r="H874">
        <f>'T_SelfStock'!F11</f>
        <v/>
      </c>
      <c r="I874">
        <f>'T_SelfStock'!G11</f>
        <v/>
      </c>
      <c r="J874">
        <f>'T_SelfStock'!H11</f>
        <v/>
      </c>
      <c r="K874">
        <f>'T_SelfStock'!I11</f>
        <v/>
      </c>
      <c r="L874">
        <f>'T_SelfStock'!J11</f>
        <v/>
      </c>
      <c r="M874">
        <f>'T_SelfStock'!K11</f>
        <v/>
      </c>
      <c r="N874">
        <f>'T_SelfStock'!L11</f>
        <v/>
      </c>
      <c r="O874">
        <f>'T_SelfStock'!M11</f>
        <v/>
      </c>
      <c r="P874">
        <f>'T_SelfStock'!N11</f>
        <v/>
      </c>
      <c r="Q874">
        <f>'T_SelfStock'!O11</f>
        <v/>
      </c>
      <c r="R874">
        <f>'T_SelfStock'!P11</f>
        <v/>
      </c>
      <c r="S874">
        <f>'T_SelfStock'!Q11</f>
        <v/>
      </c>
      <c r="T874">
        <f>'T_SelfStock'!R11</f>
        <v/>
      </c>
      <c r="U874">
        <f>'T_SelfStock'!S11</f>
        <v/>
      </c>
      <c r="V874">
        <f>'T_SelfStock'!T11</f>
        <v/>
      </c>
      <c r="W874">
        <f>'T_SelfStock'!U11</f>
        <v/>
      </c>
      <c r="X874">
        <f>'T_SelfStock'!V11</f>
        <v/>
      </c>
      <c r="Y874">
        <f>'T_SelfStock'!W11</f>
        <v/>
      </c>
      <c r="Z874">
        <f>'T_SelfStock'!X11</f>
        <v/>
      </c>
      <c r="AA874">
        <f>'T_SelfStock'!Y11</f>
        <v/>
      </c>
      <c r="AB874">
        <f>'T_SelfStock'!Z11</f>
        <v/>
      </c>
      <c r="AC874">
        <f>'T_SelfStock'!AA11</f>
        <v/>
      </c>
      <c r="AD874">
        <f>'T_SelfStock'!AB11</f>
        <v/>
      </c>
      <c r="AE874">
        <f>'T_SelfStock'!AC11</f>
        <v/>
      </c>
      <c r="AF874">
        <f>'T_SelfStock'!AD11</f>
        <v/>
      </c>
      <c r="AG874">
        <f>'T_SelfStock'!AE11</f>
        <v/>
      </c>
      <c r="AH874">
        <f>'T_SelfStock'!AF11</f>
        <v/>
      </c>
      <c r="AI874">
        <f>'T_SelfStock'!AG11</f>
        <v/>
      </c>
      <c r="AJ874">
        <f>'T_SelfStock'!AH11</f>
        <v/>
      </c>
      <c r="AK874">
        <f>'T_SelfStock'!AI11</f>
        <v/>
      </c>
      <c r="AL874">
        <f>'T_SelfStock'!AJ11</f>
        <v/>
      </c>
      <c r="AM874">
        <f>'T_SelfStock'!AK11</f>
        <v/>
      </c>
      <c r="AN874">
        <f>'T_SelfStock'!AL11</f>
        <v/>
      </c>
      <c r="AO874">
        <f>'T_SelfStock'!AM11</f>
        <v/>
      </c>
      <c r="AP874">
        <f>'T_SelfStock'!AN11</f>
        <v/>
      </c>
      <c r="AQ874">
        <f>'T_SelfStock'!AO11</f>
        <v/>
      </c>
      <c r="AR874">
        <f>'T_SelfStock'!AP11</f>
        <v/>
      </c>
      <c r="AS874">
        <f>'T_SelfStock'!AQ11</f>
        <v/>
      </c>
      <c r="AT874">
        <f>'T_SelfStock'!AR11</f>
        <v/>
      </c>
      <c r="AU874">
        <f>'T_SelfStock'!AS11</f>
        <v/>
      </c>
      <c r="AV874">
        <f>'T_SelfStock'!AT11</f>
        <v/>
      </c>
      <c r="AW874">
        <f>'T_SelfStock'!AU11</f>
        <v/>
      </c>
      <c r="AX874">
        <f>'T_SelfStock'!AV11</f>
        <v/>
      </c>
      <c r="AY874">
        <f>'T_SelfStock'!AW11</f>
        <v/>
      </c>
      <c r="AZ874">
        <f>'T_SelfStock'!AX11</f>
        <v/>
      </c>
      <c r="BA874">
        <f>'T_SelfStock'!AY11</f>
        <v/>
      </c>
      <c r="BB874">
        <f>'T_SelfStock'!AZ11</f>
        <v/>
      </c>
      <c r="BC874">
        <f>'T_SelfStock'!BA11</f>
        <v/>
      </c>
      <c r="BD874">
        <f>'T_SelfStock'!BB11</f>
        <v/>
      </c>
      <c r="BE874">
        <f>'T_SelfStock'!BC11</f>
        <v/>
      </c>
      <c r="BF874">
        <f>'T_SelfStock'!BD11</f>
        <v/>
      </c>
      <c r="BG874">
        <f>'T_SelfStock'!BE11</f>
        <v/>
      </c>
      <c r="BH874">
        <f>'T_SelfStock'!BF11</f>
        <v/>
      </c>
      <c r="BI874">
        <f>'T_SelfStock'!BG11</f>
        <v/>
      </c>
      <c r="BJ874">
        <f>'T_SelfStock'!BH11</f>
        <v/>
      </c>
      <c r="BK874">
        <f>'T_SelfStock'!BI11</f>
        <v/>
      </c>
      <c r="BL874">
        <f>'T_SelfStock'!BJ11</f>
        <v/>
      </c>
      <c r="BM874">
        <f>'T_SelfStock'!BK11</f>
        <v/>
      </c>
      <c r="BN874">
        <f>'T_SelfStock'!BL11</f>
        <v/>
      </c>
      <c r="BO874">
        <f>'T_SelfStock'!BM11</f>
        <v/>
      </c>
      <c r="BP874">
        <f>'T_SelfStock'!BN11</f>
        <v/>
      </c>
      <c r="BQ874">
        <f>'T_SelfStock'!BO11</f>
        <v/>
      </c>
      <c r="BR874">
        <f>'T_SelfStock'!BP11</f>
        <v/>
      </c>
      <c r="BS874">
        <f>'T_SelfStock'!BQ11</f>
        <v/>
      </c>
      <c r="BT874">
        <f>'T_SelfStock'!BR11</f>
        <v/>
      </c>
      <c r="BU874">
        <f>'T_SelfStock'!BS11</f>
        <v/>
      </c>
      <c r="BV874">
        <f>'T_SelfStock'!BT11</f>
        <v/>
      </c>
      <c r="BW874">
        <f>'T_SelfStock'!BU11</f>
        <v/>
      </c>
      <c r="BX874">
        <f>'T_SelfStock'!BV11</f>
        <v/>
      </c>
      <c r="BY874">
        <f>'T_SelfStock'!BW11</f>
        <v/>
      </c>
      <c r="BZ874">
        <f>'T_SelfStock'!BX11</f>
        <v/>
      </c>
      <c r="CA874">
        <f>'T_SelfStock'!BY11</f>
        <v/>
      </c>
      <c r="CB874">
        <f>'T_SelfStock'!BZ11</f>
        <v/>
      </c>
      <c r="CC874">
        <f>'T_SelfStock'!CA11</f>
        <v/>
      </c>
      <c r="CD874">
        <f>'T_SelfStock'!CB11</f>
        <v/>
      </c>
      <c r="CE874">
        <f>'T_SelfStock'!CC11</f>
        <v/>
      </c>
      <c r="CF874">
        <f>'T_SelfStock'!CD11</f>
        <v/>
      </c>
      <c r="CG874">
        <f>'T_SelfStock'!CE11</f>
        <v/>
      </c>
      <c r="CH874">
        <f>'T_SelfStock'!CF11</f>
        <v/>
      </c>
      <c r="CI874">
        <f>'T_SelfStock'!CG11</f>
        <v/>
      </c>
      <c r="CJ874">
        <f>'T_SelfStock'!CH11</f>
        <v/>
      </c>
      <c r="CK874">
        <f>'T_SelfStock'!CI11</f>
        <v/>
      </c>
      <c r="CL874">
        <f>'T_SelfStock'!CJ11</f>
        <v/>
      </c>
      <c r="CM874">
        <f>'T_SelfStock'!CK11</f>
        <v/>
      </c>
      <c r="CN874">
        <f>'T_SelfStock'!CL11</f>
        <v/>
      </c>
      <c r="CO874">
        <f>'T_SelfStock'!CM11</f>
        <v/>
      </c>
      <c r="CP874">
        <f>'T_SelfStock'!CN11</f>
        <v/>
      </c>
      <c r="CQ874">
        <f>'T_SelfStock'!CO11</f>
        <v/>
      </c>
      <c r="CR874">
        <f>'T_SelfStock'!CP11</f>
        <v/>
      </c>
      <c r="CS874">
        <f>'T_SelfStock'!CQ11</f>
        <v/>
      </c>
      <c r="CT874">
        <f>'T_SelfStock'!CR11</f>
        <v/>
      </c>
      <c r="CU874">
        <f>'T_SelfStock'!CS11</f>
        <v/>
      </c>
      <c r="CV874">
        <f>'T_SelfStock'!CT11</f>
        <v/>
      </c>
      <c r="CW874">
        <f>'T_SelfStock'!CU11</f>
        <v/>
      </c>
      <c r="CX874">
        <f>'T_SelfStock'!CV11</f>
        <v/>
      </c>
      <c r="CY874">
        <f>'T_SelfStock'!CW11</f>
        <v/>
      </c>
      <c r="CZ874">
        <f>'T_SelfStock'!CX11</f>
        <v/>
      </c>
      <c r="DA874">
        <f>'T_SelfStock'!CY11</f>
        <v/>
      </c>
      <c r="DB874">
        <f>'T_SelfStock'!CZ11</f>
        <v/>
      </c>
      <c r="DC874">
        <f>'T_SelfStock'!DA11</f>
        <v/>
      </c>
    </row>
    <row r="875">
      <c r="B875" s="4" t="inlineStr">
        <is>
          <t>合計在庫(週末時点,kg)</t>
        </is>
      </c>
      <c r="D875">
        <f>'Grid_Stock'!B7</f>
        <v/>
      </c>
      <c r="E875">
        <f>'Grid_Stock'!C7</f>
        <v/>
      </c>
      <c r="F875">
        <f>'Grid_Stock'!D7</f>
        <v/>
      </c>
      <c r="G875">
        <f>'Grid_Stock'!E7</f>
        <v/>
      </c>
      <c r="H875">
        <f>'Grid_Stock'!F7</f>
        <v/>
      </c>
      <c r="I875">
        <f>'Grid_Stock'!G7</f>
        <v/>
      </c>
      <c r="J875">
        <f>'Grid_Stock'!H7</f>
        <v/>
      </c>
      <c r="K875">
        <f>'Grid_Stock'!I7</f>
        <v/>
      </c>
      <c r="L875">
        <f>'Grid_Stock'!J7</f>
        <v/>
      </c>
      <c r="M875">
        <f>'Grid_Stock'!K7</f>
        <v/>
      </c>
      <c r="N875">
        <f>'Grid_Stock'!L7</f>
        <v/>
      </c>
      <c r="O875">
        <f>'Grid_Stock'!M7</f>
        <v/>
      </c>
      <c r="P875">
        <f>'Grid_Stock'!N7</f>
        <v/>
      </c>
      <c r="Q875">
        <f>'Grid_Stock'!O7</f>
        <v/>
      </c>
      <c r="R875">
        <f>'Grid_Stock'!P7</f>
        <v/>
      </c>
      <c r="S875">
        <f>'Grid_Stock'!Q7</f>
        <v/>
      </c>
      <c r="T875">
        <f>'Grid_Stock'!R7</f>
        <v/>
      </c>
      <c r="U875">
        <f>'Grid_Stock'!S7</f>
        <v/>
      </c>
      <c r="V875">
        <f>'Grid_Stock'!T7</f>
        <v/>
      </c>
      <c r="W875">
        <f>'Grid_Stock'!U7</f>
        <v/>
      </c>
      <c r="X875">
        <f>'Grid_Stock'!V7</f>
        <v/>
      </c>
      <c r="Y875">
        <f>'Grid_Stock'!W7</f>
        <v/>
      </c>
      <c r="Z875">
        <f>'Grid_Stock'!X7</f>
        <v/>
      </c>
      <c r="AA875">
        <f>'Grid_Stock'!Y7</f>
        <v/>
      </c>
      <c r="AB875">
        <f>'Grid_Stock'!Z7</f>
        <v/>
      </c>
      <c r="AC875">
        <f>'Grid_Stock'!AA7</f>
        <v/>
      </c>
      <c r="AD875">
        <f>'Grid_Stock'!AB7</f>
        <v/>
      </c>
      <c r="AE875">
        <f>'Grid_Stock'!AC7</f>
        <v/>
      </c>
      <c r="AF875">
        <f>'Grid_Stock'!AD7</f>
        <v/>
      </c>
      <c r="AG875">
        <f>'Grid_Stock'!AE7</f>
        <v/>
      </c>
      <c r="AH875">
        <f>'Grid_Stock'!AF7</f>
        <v/>
      </c>
      <c r="AI875">
        <f>'Grid_Stock'!AG7</f>
        <v/>
      </c>
      <c r="AJ875">
        <f>'Grid_Stock'!AH7</f>
        <v/>
      </c>
      <c r="AK875">
        <f>'Grid_Stock'!AI7</f>
        <v/>
      </c>
      <c r="AL875">
        <f>'Grid_Stock'!AJ7</f>
        <v/>
      </c>
      <c r="AM875">
        <f>'Grid_Stock'!AK7</f>
        <v/>
      </c>
      <c r="AN875">
        <f>'Grid_Stock'!AL7</f>
        <v/>
      </c>
      <c r="AO875">
        <f>'Grid_Stock'!AM7</f>
        <v/>
      </c>
      <c r="AP875">
        <f>'Grid_Stock'!AN7</f>
        <v/>
      </c>
      <c r="AQ875">
        <f>'Grid_Stock'!AO7</f>
        <v/>
      </c>
      <c r="AR875">
        <f>'Grid_Stock'!AP7</f>
        <v/>
      </c>
      <c r="AS875">
        <f>'Grid_Stock'!AQ7</f>
        <v/>
      </c>
      <c r="AT875">
        <f>'Grid_Stock'!AR7</f>
        <v/>
      </c>
      <c r="AU875">
        <f>'Grid_Stock'!AS7</f>
        <v/>
      </c>
      <c r="AV875">
        <f>'Grid_Stock'!AT7</f>
        <v/>
      </c>
      <c r="AW875">
        <f>'Grid_Stock'!AU7</f>
        <v/>
      </c>
      <c r="AX875">
        <f>'Grid_Stock'!AV7</f>
        <v/>
      </c>
      <c r="AY875">
        <f>'Grid_Stock'!AW7</f>
        <v/>
      </c>
      <c r="AZ875">
        <f>'Grid_Stock'!AX7</f>
        <v/>
      </c>
      <c r="BA875">
        <f>'Grid_Stock'!AY7</f>
        <v/>
      </c>
      <c r="BB875">
        <f>'Grid_Stock'!AZ7</f>
        <v/>
      </c>
      <c r="BC875">
        <f>'Grid_Stock'!BA7</f>
        <v/>
      </c>
      <c r="BD875">
        <f>'Grid_Stock'!BB7</f>
        <v/>
      </c>
      <c r="BE875">
        <f>'Grid_Stock'!BC7</f>
        <v/>
      </c>
      <c r="BF875">
        <f>'Grid_Stock'!BD7</f>
        <v/>
      </c>
      <c r="BG875">
        <f>'Grid_Stock'!BE7</f>
        <v/>
      </c>
      <c r="BH875">
        <f>'Grid_Stock'!BF7</f>
        <v/>
      </c>
      <c r="BI875">
        <f>'Grid_Stock'!BG7</f>
        <v/>
      </c>
      <c r="BJ875">
        <f>'Grid_Stock'!BH7</f>
        <v/>
      </c>
      <c r="BK875">
        <f>'Grid_Stock'!BI7</f>
        <v/>
      </c>
      <c r="BL875">
        <f>'Grid_Stock'!BJ7</f>
        <v/>
      </c>
      <c r="BM875">
        <f>'Grid_Stock'!BK7</f>
        <v/>
      </c>
      <c r="BN875">
        <f>'Grid_Stock'!BL7</f>
        <v/>
      </c>
      <c r="BO875">
        <f>'Grid_Stock'!BM7</f>
        <v/>
      </c>
      <c r="BP875">
        <f>'Grid_Stock'!BN7</f>
        <v/>
      </c>
      <c r="BQ875">
        <f>'Grid_Stock'!BO7</f>
        <v/>
      </c>
      <c r="BR875">
        <f>'Grid_Stock'!BP7</f>
        <v/>
      </c>
      <c r="BS875">
        <f>'Grid_Stock'!BQ7</f>
        <v/>
      </c>
      <c r="BT875">
        <f>'Grid_Stock'!BR7</f>
        <v/>
      </c>
      <c r="BU875">
        <f>'Grid_Stock'!BS7</f>
        <v/>
      </c>
      <c r="BV875">
        <f>'Grid_Stock'!BT7</f>
        <v/>
      </c>
      <c r="BW875">
        <f>'Grid_Stock'!BU7</f>
        <v/>
      </c>
      <c r="BX875">
        <f>'Grid_Stock'!BV7</f>
        <v/>
      </c>
      <c r="BY875">
        <f>'Grid_Stock'!BW7</f>
        <v/>
      </c>
      <c r="BZ875">
        <f>'Grid_Stock'!BX7</f>
        <v/>
      </c>
      <c r="CA875">
        <f>'Grid_Stock'!BY7</f>
        <v/>
      </c>
      <c r="CB875">
        <f>'Grid_Stock'!BZ7</f>
        <v/>
      </c>
      <c r="CC875">
        <f>'Grid_Stock'!CA7</f>
        <v/>
      </c>
      <c r="CD875">
        <f>'Grid_Stock'!CB7</f>
        <v/>
      </c>
      <c r="CE875">
        <f>'Grid_Stock'!CC7</f>
        <v/>
      </c>
      <c r="CF875">
        <f>'Grid_Stock'!CD7</f>
        <v/>
      </c>
      <c r="CG875">
        <f>'Grid_Stock'!CE7</f>
        <v/>
      </c>
      <c r="CH875">
        <f>'Grid_Stock'!CF7</f>
        <v/>
      </c>
      <c r="CI875">
        <f>'Grid_Stock'!CG7</f>
        <v/>
      </c>
      <c r="CJ875">
        <f>'Grid_Stock'!CH7</f>
        <v/>
      </c>
      <c r="CK875">
        <f>'Grid_Stock'!CI7</f>
        <v/>
      </c>
      <c r="CL875">
        <f>'Grid_Stock'!CJ7</f>
        <v/>
      </c>
      <c r="CM875">
        <f>'Grid_Stock'!CK7</f>
        <v/>
      </c>
      <c r="CN875">
        <f>'Grid_Stock'!CL7</f>
        <v/>
      </c>
      <c r="CO875">
        <f>'Grid_Stock'!CM7</f>
        <v/>
      </c>
      <c r="CP875">
        <f>'Grid_Stock'!CN7</f>
        <v/>
      </c>
      <c r="CQ875">
        <f>'Grid_Stock'!CO7</f>
        <v/>
      </c>
      <c r="CR875">
        <f>'Grid_Stock'!CP7</f>
        <v/>
      </c>
      <c r="CS875">
        <f>'Grid_Stock'!CQ7</f>
        <v/>
      </c>
      <c r="CT875">
        <f>'Grid_Stock'!CR7</f>
        <v/>
      </c>
      <c r="CU875">
        <f>'Grid_Stock'!CS7</f>
        <v/>
      </c>
      <c r="CV875">
        <f>'Grid_Stock'!CT7</f>
        <v/>
      </c>
      <c r="CW875">
        <f>'Grid_Stock'!CU7</f>
        <v/>
      </c>
      <c r="CX875">
        <f>'Grid_Stock'!CV7</f>
        <v/>
      </c>
      <c r="CY875">
        <f>'Grid_Stock'!CW7</f>
        <v/>
      </c>
      <c r="CZ875">
        <f>'Grid_Stock'!CX7</f>
        <v/>
      </c>
      <c r="DA875">
        <f>'Grid_Stock'!CY7</f>
        <v/>
      </c>
      <c r="DB875">
        <f>'Grid_Stock'!CZ7</f>
        <v/>
      </c>
      <c r="DC875">
        <f>'Grid_Stock'!DA7</f>
        <v/>
      </c>
    </row>
    <row r="876">
      <c r="B876" s="16" t="inlineStr">
        <is>
          <t>（発注の目安はDashboardの基準在庫[下限/上限]と色分けを参照）</t>
        </is>
      </c>
    </row>
    <row r="878">
      <c r="A878" s="14" t="inlineStr">
        <is>
          <t>CHEM-1700</t>
        </is>
      </c>
      <c r="B878" s="14" t="inlineStr">
        <is>
          <t>TepyrusCT38</t>
        </is>
      </c>
      <c r="C878" s="15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4" t="n"/>
      <c r="AB878" s="14" t="n"/>
      <c r="AC878" s="14" t="n"/>
      <c r="AD878" s="14" t="n"/>
      <c r="AE878" s="14" t="n"/>
      <c r="AF878" s="14" t="n"/>
      <c r="AG878" s="14" t="n"/>
      <c r="AH878" s="14" t="n"/>
      <c r="AI878" s="14" t="n"/>
      <c r="AJ878" s="14" t="n"/>
      <c r="AK878" s="14" t="n"/>
      <c r="AL878" s="14" t="n"/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  <c r="BS878" s="14" t="n"/>
      <c r="BT878" s="14" t="n"/>
      <c r="BU878" s="14" t="n"/>
      <c r="BV878" s="14" t="n"/>
      <c r="BW878" s="14" t="n"/>
      <c r="BX878" s="14" t="n"/>
      <c r="BY878" s="14" t="n"/>
      <c r="BZ878" s="14" t="n"/>
      <c r="CA878" s="14" t="n"/>
      <c r="CB878" s="14" t="n"/>
      <c r="CC878" s="14" t="n"/>
      <c r="CD878" s="14" t="n"/>
      <c r="CE878" s="14" t="n"/>
      <c r="CF878" s="14" t="n"/>
      <c r="CG878" s="14" t="n"/>
      <c r="CH878" s="14" t="n"/>
      <c r="CI878" s="14" t="n"/>
      <c r="CJ878" s="14" t="n"/>
      <c r="CK878" s="14" t="n"/>
      <c r="CL878" s="14" t="n"/>
      <c r="CM878" s="14" t="n"/>
      <c r="CN878" s="14" t="n"/>
      <c r="CO878" s="14" t="n"/>
      <c r="CP878" s="14" t="n"/>
      <c r="CQ878" s="14" t="n"/>
      <c r="CR878" s="14" t="n"/>
      <c r="CS878" s="14" t="n"/>
      <c r="CT878" s="14" t="n"/>
      <c r="CU878" s="14" t="n"/>
      <c r="CV878" s="14" t="n"/>
      <c r="CW878" s="14" t="n"/>
      <c r="CX878" s="14" t="n"/>
      <c r="CY878" s="14" t="n"/>
      <c r="CZ878" s="14" t="n"/>
      <c r="DA878" s="14" t="n"/>
      <c r="DB878" s="14" t="n"/>
      <c r="DC878" s="14" t="n"/>
    </row>
    <row r="879">
      <c r="B879" t="inlineStr">
        <is>
          <t>TSP-620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Name],$A878)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TSP-623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Name],$A878)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TSP-934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Name],$A878)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TSP-935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7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Name],$A878)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TSP-936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7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Name],$A878)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TSP-937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7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Name],$A878)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TSP-1388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7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Name],$A878)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TSP-1448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7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Name],$A878)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TSP-1449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7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Name],$A878)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TSP-1499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7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Name],$A878)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s="4" t="inlineStr">
        <is>
          <t>合計使用量(kg)/週</t>
        </is>
      </c>
      <c r="D899">
        <f>'Grid_Requirement'!B4</f>
        <v/>
      </c>
      <c r="E899">
        <f>'Grid_Requirement'!C4</f>
        <v/>
      </c>
      <c r="F899">
        <f>'Grid_Requirement'!D4</f>
        <v/>
      </c>
      <c r="G899">
        <f>'Grid_Requirement'!E4</f>
        <v/>
      </c>
      <c r="H899">
        <f>'Grid_Requirement'!F4</f>
        <v/>
      </c>
      <c r="I899">
        <f>'Grid_Requirement'!G4</f>
        <v/>
      </c>
      <c r="J899">
        <f>'Grid_Requirement'!H4</f>
        <v/>
      </c>
      <c r="K899">
        <f>'Grid_Requirement'!I4</f>
        <v/>
      </c>
      <c r="L899">
        <f>'Grid_Requirement'!J4</f>
        <v/>
      </c>
      <c r="M899">
        <f>'Grid_Requirement'!K4</f>
        <v/>
      </c>
      <c r="N899">
        <f>'Grid_Requirement'!L4</f>
        <v/>
      </c>
      <c r="O899">
        <f>'Grid_Requirement'!M4</f>
        <v/>
      </c>
      <c r="P899">
        <f>'Grid_Requirement'!N4</f>
        <v/>
      </c>
      <c r="Q899">
        <f>'Grid_Requirement'!O4</f>
        <v/>
      </c>
      <c r="R899">
        <f>'Grid_Requirement'!P4</f>
        <v/>
      </c>
      <c r="S899">
        <f>'Grid_Requirement'!Q4</f>
        <v/>
      </c>
      <c r="T899">
        <f>'Grid_Requirement'!R4</f>
        <v/>
      </c>
      <c r="U899">
        <f>'Grid_Requirement'!S4</f>
        <v/>
      </c>
      <c r="V899">
        <f>'Grid_Requirement'!T4</f>
        <v/>
      </c>
      <c r="W899">
        <f>'Grid_Requirement'!U4</f>
        <v/>
      </c>
      <c r="X899">
        <f>'Grid_Requirement'!V4</f>
        <v/>
      </c>
      <c r="Y899">
        <f>'Grid_Requirement'!W4</f>
        <v/>
      </c>
      <c r="Z899">
        <f>'Grid_Requirement'!X4</f>
        <v/>
      </c>
      <c r="AA899">
        <f>'Grid_Requirement'!Y4</f>
        <v/>
      </c>
      <c r="AB899">
        <f>'Grid_Requirement'!Z4</f>
        <v/>
      </c>
      <c r="AC899">
        <f>'Grid_Requirement'!AA4</f>
        <v/>
      </c>
      <c r="AD899">
        <f>'Grid_Requirement'!AB4</f>
        <v/>
      </c>
      <c r="AE899">
        <f>'Grid_Requirement'!AC4</f>
        <v/>
      </c>
      <c r="AF899">
        <f>'Grid_Requirement'!AD4</f>
        <v/>
      </c>
      <c r="AG899">
        <f>'Grid_Requirement'!AE4</f>
        <v/>
      </c>
      <c r="AH899">
        <f>'Grid_Requirement'!AF4</f>
        <v/>
      </c>
      <c r="AI899">
        <f>'Grid_Requirement'!AG4</f>
        <v/>
      </c>
      <c r="AJ899">
        <f>'Grid_Requirement'!AH4</f>
        <v/>
      </c>
      <c r="AK899">
        <f>'Grid_Requirement'!AI4</f>
        <v/>
      </c>
      <c r="AL899">
        <f>'Grid_Requirement'!AJ4</f>
        <v/>
      </c>
      <c r="AM899">
        <f>'Grid_Requirement'!AK4</f>
        <v/>
      </c>
      <c r="AN899">
        <f>'Grid_Requirement'!AL4</f>
        <v/>
      </c>
      <c r="AO899">
        <f>'Grid_Requirement'!AM4</f>
        <v/>
      </c>
      <c r="AP899">
        <f>'Grid_Requirement'!AN4</f>
        <v/>
      </c>
      <c r="AQ899">
        <f>'Grid_Requirement'!AO4</f>
        <v/>
      </c>
      <c r="AR899">
        <f>'Grid_Requirement'!AP4</f>
        <v/>
      </c>
      <c r="AS899">
        <f>'Grid_Requirement'!AQ4</f>
        <v/>
      </c>
      <c r="AT899">
        <f>'Grid_Requirement'!AR4</f>
        <v/>
      </c>
      <c r="AU899">
        <f>'Grid_Requirement'!AS4</f>
        <v/>
      </c>
      <c r="AV899">
        <f>'Grid_Requirement'!AT4</f>
        <v/>
      </c>
      <c r="AW899">
        <f>'Grid_Requirement'!AU4</f>
        <v/>
      </c>
      <c r="AX899">
        <f>'Grid_Requirement'!AV4</f>
        <v/>
      </c>
      <c r="AY899">
        <f>'Grid_Requirement'!AW4</f>
        <v/>
      </c>
      <c r="AZ899">
        <f>'Grid_Requirement'!AX4</f>
        <v/>
      </c>
      <c r="BA899">
        <f>'Grid_Requirement'!AY4</f>
        <v/>
      </c>
      <c r="BB899">
        <f>'Grid_Requirement'!AZ4</f>
        <v/>
      </c>
      <c r="BC899">
        <f>'Grid_Requirement'!BA4</f>
        <v/>
      </c>
      <c r="BD899">
        <f>'Grid_Requirement'!BB4</f>
        <v/>
      </c>
      <c r="BE899">
        <f>'Grid_Requirement'!BC4</f>
        <v/>
      </c>
      <c r="BF899">
        <f>'Grid_Requirement'!BD4</f>
        <v/>
      </c>
      <c r="BG899">
        <f>'Grid_Requirement'!BE4</f>
        <v/>
      </c>
      <c r="BH899">
        <f>'Grid_Requirement'!BF4</f>
        <v/>
      </c>
      <c r="BI899">
        <f>'Grid_Requirement'!BG4</f>
        <v/>
      </c>
      <c r="BJ899">
        <f>'Grid_Requirement'!BH4</f>
        <v/>
      </c>
      <c r="BK899">
        <f>'Grid_Requirement'!BI4</f>
        <v/>
      </c>
      <c r="BL899">
        <f>'Grid_Requirement'!BJ4</f>
        <v/>
      </c>
      <c r="BM899">
        <f>'Grid_Requirement'!BK4</f>
        <v/>
      </c>
      <c r="BN899">
        <f>'Grid_Requirement'!BL4</f>
        <v/>
      </c>
      <c r="BO899">
        <f>'Grid_Requirement'!BM4</f>
        <v/>
      </c>
      <c r="BP899">
        <f>'Grid_Requirement'!BN4</f>
        <v/>
      </c>
      <c r="BQ899">
        <f>'Grid_Requirement'!BO4</f>
        <v/>
      </c>
      <c r="BR899">
        <f>'Grid_Requirement'!BP4</f>
        <v/>
      </c>
      <c r="BS899">
        <f>'Grid_Requirement'!BQ4</f>
        <v/>
      </c>
      <c r="BT899">
        <f>'Grid_Requirement'!BR4</f>
        <v/>
      </c>
      <c r="BU899">
        <f>'Grid_Requirement'!BS4</f>
        <v/>
      </c>
      <c r="BV899">
        <f>'Grid_Requirement'!BT4</f>
        <v/>
      </c>
      <c r="BW899">
        <f>'Grid_Requirement'!BU4</f>
        <v/>
      </c>
      <c r="BX899">
        <f>'Grid_Requirement'!BV4</f>
        <v/>
      </c>
      <c r="BY899">
        <f>'Grid_Requirement'!BW4</f>
        <v/>
      </c>
      <c r="BZ899">
        <f>'Grid_Requirement'!BX4</f>
        <v/>
      </c>
      <c r="CA899">
        <f>'Grid_Requirement'!BY4</f>
        <v/>
      </c>
      <c r="CB899">
        <f>'Grid_Requirement'!BZ4</f>
        <v/>
      </c>
      <c r="CC899">
        <f>'Grid_Requirement'!CA4</f>
        <v/>
      </c>
      <c r="CD899">
        <f>'Grid_Requirement'!CB4</f>
        <v/>
      </c>
      <c r="CE899">
        <f>'Grid_Requirement'!CC4</f>
        <v/>
      </c>
      <c r="CF899">
        <f>'Grid_Requirement'!CD4</f>
        <v/>
      </c>
      <c r="CG899">
        <f>'Grid_Requirement'!CE4</f>
        <v/>
      </c>
      <c r="CH899">
        <f>'Grid_Requirement'!CF4</f>
        <v/>
      </c>
      <c r="CI899">
        <f>'Grid_Requirement'!CG4</f>
        <v/>
      </c>
      <c r="CJ899">
        <f>'Grid_Requirement'!CH4</f>
        <v/>
      </c>
      <c r="CK899">
        <f>'Grid_Requirement'!CI4</f>
        <v/>
      </c>
      <c r="CL899">
        <f>'Grid_Requirement'!CJ4</f>
        <v/>
      </c>
      <c r="CM899">
        <f>'Grid_Requirement'!CK4</f>
        <v/>
      </c>
      <c r="CN899">
        <f>'Grid_Requirement'!CL4</f>
        <v/>
      </c>
      <c r="CO899">
        <f>'Grid_Requirement'!CM4</f>
        <v/>
      </c>
      <c r="CP899">
        <f>'Grid_Requirement'!CN4</f>
        <v/>
      </c>
      <c r="CQ899">
        <f>'Grid_Requirement'!CO4</f>
        <v/>
      </c>
      <c r="CR899">
        <f>'Grid_Requirement'!CP4</f>
        <v/>
      </c>
      <c r="CS899">
        <f>'Grid_Requirement'!CQ4</f>
        <v/>
      </c>
      <c r="CT899">
        <f>'Grid_Requirement'!CR4</f>
        <v/>
      </c>
      <c r="CU899">
        <f>'Grid_Requirement'!CS4</f>
        <v/>
      </c>
      <c r="CV899">
        <f>'Grid_Requirement'!CT4</f>
        <v/>
      </c>
      <c r="CW899">
        <f>'Grid_Requirement'!CU4</f>
        <v/>
      </c>
      <c r="CX899">
        <f>'Grid_Requirement'!CV4</f>
        <v/>
      </c>
      <c r="CY899">
        <f>'Grid_Requirement'!CW4</f>
        <v/>
      </c>
      <c r="CZ899">
        <f>'Grid_Requirement'!CX4</f>
        <v/>
      </c>
      <c r="DA899">
        <f>'Grid_Requirement'!CY4</f>
        <v/>
      </c>
      <c r="DB899">
        <f>'Grid_Requirement'!CZ4</f>
        <v/>
      </c>
      <c r="DC899">
        <f>'Grid_Requirement'!DA4</f>
        <v/>
      </c>
    </row>
    <row r="900">
      <c r="B900" t="inlineStr">
        <is>
          <t>TTAF在庫(実績,kg)</t>
        </is>
      </c>
      <c r="D900">
        <f>'T_TTAFStock'!B8</f>
        <v/>
      </c>
      <c r="E900">
        <f>'T_TTAFStock'!C8</f>
        <v/>
      </c>
      <c r="F900">
        <f>'T_TTAFStock'!D8</f>
        <v/>
      </c>
      <c r="G900">
        <f>'T_TTAFStock'!E8</f>
        <v/>
      </c>
      <c r="H900">
        <f>'T_TTAFStock'!F8</f>
        <v/>
      </c>
      <c r="I900">
        <f>'T_TTAFStock'!G8</f>
        <v/>
      </c>
      <c r="J900">
        <f>'T_TTAFStock'!H8</f>
        <v/>
      </c>
      <c r="K900">
        <f>'T_TTAFStock'!I8</f>
        <v/>
      </c>
      <c r="L900">
        <f>'T_TTAFStock'!J8</f>
        <v/>
      </c>
      <c r="M900">
        <f>'T_TTAFStock'!K8</f>
        <v/>
      </c>
      <c r="N900">
        <f>'T_TTAFStock'!L8</f>
        <v/>
      </c>
      <c r="O900">
        <f>'T_TTAFStock'!M8</f>
        <v/>
      </c>
      <c r="P900">
        <f>'T_TTAFStock'!N8</f>
        <v/>
      </c>
      <c r="Q900">
        <f>'T_TTAFStock'!O8</f>
        <v/>
      </c>
      <c r="R900">
        <f>'T_TTAFStock'!P8</f>
        <v/>
      </c>
      <c r="S900">
        <f>'T_TTAFStock'!Q8</f>
        <v/>
      </c>
      <c r="T900">
        <f>'T_TTAFStock'!R8</f>
        <v/>
      </c>
      <c r="U900">
        <f>'T_TTAFStock'!S8</f>
        <v/>
      </c>
      <c r="V900">
        <f>'T_TTAFStock'!T8</f>
        <v/>
      </c>
      <c r="W900">
        <f>'T_TTAFStock'!U8</f>
        <v/>
      </c>
      <c r="X900">
        <f>'T_TTAFStock'!V8</f>
        <v/>
      </c>
      <c r="Y900">
        <f>'T_TTAFStock'!W8</f>
        <v/>
      </c>
      <c r="Z900">
        <f>'T_TTAFStock'!X8</f>
        <v/>
      </c>
      <c r="AA900">
        <f>'T_TTAFStock'!Y8</f>
        <v/>
      </c>
      <c r="AB900">
        <f>'T_TTAFStock'!Z8</f>
        <v/>
      </c>
      <c r="AC900">
        <f>'T_TTAFStock'!AA8</f>
        <v/>
      </c>
      <c r="AD900">
        <f>'T_TTAFStock'!AB8</f>
        <v/>
      </c>
      <c r="AE900">
        <f>'T_TTAFStock'!AC8</f>
        <v/>
      </c>
      <c r="AF900">
        <f>'T_TTAFStock'!AD8</f>
        <v/>
      </c>
      <c r="AG900">
        <f>'T_TTAFStock'!AE8</f>
        <v/>
      </c>
      <c r="AH900">
        <f>'T_TTAFStock'!AF8</f>
        <v/>
      </c>
      <c r="AI900">
        <f>'T_TTAFStock'!AG8</f>
        <v/>
      </c>
      <c r="AJ900">
        <f>'T_TTAFStock'!AH8</f>
        <v/>
      </c>
      <c r="AK900">
        <f>'T_TTAFStock'!AI8</f>
        <v/>
      </c>
      <c r="AL900">
        <f>'T_TTAFStock'!AJ8</f>
        <v/>
      </c>
      <c r="AM900">
        <f>'T_TTAFStock'!AK8</f>
        <v/>
      </c>
      <c r="AN900">
        <f>'T_TTAFStock'!AL8</f>
        <v/>
      </c>
      <c r="AO900">
        <f>'T_TTAFStock'!AM8</f>
        <v/>
      </c>
      <c r="AP900">
        <f>'T_TTAFStock'!AN8</f>
        <v/>
      </c>
      <c r="AQ900">
        <f>'T_TTAFStock'!AO8</f>
        <v/>
      </c>
      <c r="AR900">
        <f>'T_TTAFStock'!AP8</f>
        <v/>
      </c>
      <c r="AS900">
        <f>'T_TTAFStock'!AQ8</f>
        <v/>
      </c>
      <c r="AT900">
        <f>'T_TTAFStock'!AR8</f>
        <v/>
      </c>
      <c r="AU900">
        <f>'T_TTAFStock'!AS8</f>
        <v/>
      </c>
      <c r="AV900">
        <f>'T_TTAFStock'!AT8</f>
        <v/>
      </c>
      <c r="AW900">
        <f>'T_TTAFStock'!AU8</f>
        <v/>
      </c>
      <c r="AX900">
        <f>'T_TTAFStock'!AV8</f>
        <v/>
      </c>
      <c r="AY900">
        <f>'T_TTAFStock'!AW8</f>
        <v/>
      </c>
      <c r="AZ900">
        <f>'T_TTAFStock'!AX8</f>
        <v/>
      </c>
      <c r="BA900">
        <f>'T_TTAFStock'!AY8</f>
        <v/>
      </c>
      <c r="BB900">
        <f>'T_TTAFStock'!AZ8</f>
        <v/>
      </c>
      <c r="BC900">
        <f>'T_TTAFStock'!BA8</f>
        <v/>
      </c>
      <c r="BD900">
        <f>'T_TTAFStock'!BB8</f>
        <v/>
      </c>
      <c r="BE900">
        <f>'T_TTAFStock'!BC8</f>
        <v/>
      </c>
      <c r="BF900">
        <f>'T_TTAFStock'!BD8</f>
        <v/>
      </c>
      <c r="BG900">
        <f>'T_TTAFStock'!BE8</f>
        <v/>
      </c>
      <c r="BH900">
        <f>'T_TTAFStock'!BF8</f>
        <v/>
      </c>
      <c r="BI900">
        <f>'T_TTAFStock'!BG8</f>
        <v/>
      </c>
      <c r="BJ900">
        <f>'T_TTAFStock'!BH8</f>
        <v/>
      </c>
      <c r="BK900">
        <f>'T_TTAFStock'!BI8</f>
        <v/>
      </c>
      <c r="BL900">
        <f>'T_TTAFStock'!BJ8</f>
        <v/>
      </c>
      <c r="BM900">
        <f>'T_TTAFStock'!BK8</f>
        <v/>
      </c>
      <c r="BN900">
        <f>'T_TTAFStock'!BL8</f>
        <v/>
      </c>
      <c r="BO900">
        <f>'T_TTAFStock'!BM8</f>
        <v/>
      </c>
      <c r="BP900">
        <f>'T_TTAFStock'!BN8</f>
        <v/>
      </c>
      <c r="BQ900">
        <f>'T_TTAFStock'!BO8</f>
        <v/>
      </c>
      <c r="BR900">
        <f>'T_TTAFStock'!BP8</f>
        <v/>
      </c>
      <c r="BS900">
        <f>'T_TTAFStock'!BQ8</f>
        <v/>
      </c>
      <c r="BT900">
        <f>'T_TTAFStock'!BR8</f>
        <v/>
      </c>
      <c r="BU900">
        <f>'T_TTAFStock'!BS8</f>
        <v/>
      </c>
      <c r="BV900">
        <f>'T_TTAFStock'!BT8</f>
        <v/>
      </c>
      <c r="BW900">
        <f>'T_TTAFStock'!BU8</f>
        <v/>
      </c>
      <c r="BX900">
        <f>'T_TTAFStock'!BV8</f>
        <v/>
      </c>
      <c r="BY900">
        <f>'T_TTAFStock'!BW8</f>
        <v/>
      </c>
      <c r="BZ900">
        <f>'T_TTAFStock'!BX8</f>
        <v/>
      </c>
      <c r="CA900">
        <f>'T_TTAFStock'!BY8</f>
        <v/>
      </c>
      <c r="CB900">
        <f>'T_TTAFStock'!BZ8</f>
        <v/>
      </c>
      <c r="CC900">
        <f>'T_TTAFStock'!CA8</f>
        <v/>
      </c>
      <c r="CD900">
        <f>'T_TTAFStock'!CB8</f>
        <v/>
      </c>
      <c r="CE900">
        <f>'T_TTAFStock'!CC8</f>
        <v/>
      </c>
      <c r="CF900">
        <f>'T_TTAFStock'!CD8</f>
        <v/>
      </c>
      <c r="CG900">
        <f>'T_TTAFStock'!CE8</f>
        <v/>
      </c>
      <c r="CH900">
        <f>'T_TTAFStock'!CF8</f>
        <v/>
      </c>
      <c r="CI900">
        <f>'T_TTAFStock'!CG8</f>
        <v/>
      </c>
      <c r="CJ900">
        <f>'T_TTAFStock'!CH8</f>
        <v/>
      </c>
      <c r="CK900">
        <f>'T_TTAFStock'!CI8</f>
        <v/>
      </c>
      <c r="CL900">
        <f>'T_TTAFStock'!CJ8</f>
        <v/>
      </c>
      <c r="CM900">
        <f>'T_TTAFStock'!CK8</f>
        <v/>
      </c>
      <c r="CN900">
        <f>'T_TTAFStock'!CL8</f>
        <v/>
      </c>
      <c r="CO900">
        <f>'T_TTAFStock'!CM8</f>
        <v/>
      </c>
      <c r="CP900">
        <f>'T_TTAFStock'!CN8</f>
        <v/>
      </c>
      <c r="CQ900">
        <f>'T_TTAFStock'!CO8</f>
        <v/>
      </c>
      <c r="CR900">
        <f>'T_TTAFStock'!CP8</f>
        <v/>
      </c>
      <c r="CS900">
        <f>'T_TTAFStock'!CQ8</f>
        <v/>
      </c>
      <c r="CT900">
        <f>'T_TTAFStock'!CR8</f>
        <v/>
      </c>
      <c r="CU900">
        <f>'T_TTAFStock'!CS8</f>
        <v/>
      </c>
      <c r="CV900">
        <f>'T_TTAFStock'!CT8</f>
        <v/>
      </c>
      <c r="CW900">
        <f>'T_TTAFStock'!CU8</f>
        <v/>
      </c>
      <c r="CX900">
        <f>'T_TTAFStock'!CV8</f>
        <v/>
      </c>
      <c r="CY900">
        <f>'T_TTAFStock'!CW8</f>
        <v/>
      </c>
      <c r="CZ900">
        <f>'T_TTAFStock'!CX8</f>
        <v/>
      </c>
      <c r="DA900">
        <f>'T_TTAFStock'!CY8</f>
        <v/>
      </c>
      <c r="DB900">
        <f>'T_TTAFStock'!CZ8</f>
        <v/>
      </c>
      <c r="DC900">
        <f>'T_TTAFStock'!DA8</f>
        <v/>
      </c>
    </row>
    <row r="901">
      <c r="B901" t="inlineStr">
        <is>
          <t>自社在庫(実績,kg)</t>
        </is>
      </c>
      <c r="D901">
        <f>'T_SelfStock'!B8</f>
        <v/>
      </c>
      <c r="E901">
        <f>'T_SelfStock'!C8</f>
        <v/>
      </c>
      <c r="F901">
        <f>'T_SelfStock'!D8</f>
        <v/>
      </c>
      <c r="G901">
        <f>'T_SelfStock'!E8</f>
        <v/>
      </c>
      <c r="H901">
        <f>'T_SelfStock'!F8</f>
        <v/>
      </c>
      <c r="I901">
        <f>'T_SelfStock'!G8</f>
        <v/>
      </c>
      <c r="J901">
        <f>'T_SelfStock'!H8</f>
        <v/>
      </c>
      <c r="K901">
        <f>'T_SelfStock'!I8</f>
        <v/>
      </c>
      <c r="L901">
        <f>'T_SelfStock'!J8</f>
        <v/>
      </c>
      <c r="M901">
        <f>'T_SelfStock'!K8</f>
        <v/>
      </c>
      <c r="N901">
        <f>'T_SelfStock'!L8</f>
        <v/>
      </c>
      <c r="O901">
        <f>'T_SelfStock'!M8</f>
        <v/>
      </c>
      <c r="P901">
        <f>'T_SelfStock'!N8</f>
        <v/>
      </c>
      <c r="Q901">
        <f>'T_SelfStock'!O8</f>
        <v/>
      </c>
      <c r="R901">
        <f>'T_SelfStock'!P8</f>
        <v/>
      </c>
      <c r="S901">
        <f>'T_SelfStock'!Q8</f>
        <v/>
      </c>
      <c r="T901">
        <f>'T_SelfStock'!R8</f>
        <v/>
      </c>
      <c r="U901">
        <f>'T_SelfStock'!S8</f>
        <v/>
      </c>
      <c r="V901">
        <f>'T_SelfStock'!T8</f>
        <v/>
      </c>
      <c r="W901">
        <f>'T_SelfStock'!U8</f>
        <v/>
      </c>
      <c r="X901">
        <f>'T_SelfStock'!V8</f>
        <v/>
      </c>
      <c r="Y901">
        <f>'T_SelfStock'!W8</f>
        <v/>
      </c>
      <c r="Z901">
        <f>'T_SelfStock'!X8</f>
        <v/>
      </c>
      <c r="AA901">
        <f>'T_SelfStock'!Y8</f>
        <v/>
      </c>
      <c r="AB901">
        <f>'T_SelfStock'!Z8</f>
        <v/>
      </c>
      <c r="AC901">
        <f>'T_SelfStock'!AA8</f>
        <v/>
      </c>
      <c r="AD901">
        <f>'T_SelfStock'!AB8</f>
        <v/>
      </c>
      <c r="AE901">
        <f>'T_SelfStock'!AC8</f>
        <v/>
      </c>
      <c r="AF901">
        <f>'T_SelfStock'!AD8</f>
        <v/>
      </c>
      <c r="AG901">
        <f>'T_SelfStock'!AE8</f>
        <v/>
      </c>
      <c r="AH901">
        <f>'T_SelfStock'!AF8</f>
        <v/>
      </c>
      <c r="AI901">
        <f>'T_SelfStock'!AG8</f>
        <v/>
      </c>
      <c r="AJ901">
        <f>'T_SelfStock'!AH8</f>
        <v/>
      </c>
      <c r="AK901">
        <f>'T_SelfStock'!AI8</f>
        <v/>
      </c>
      <c r="AL901">
        <f>'T_SelfStock'!AJ8</f>
        <v/>
      </c>
      <c r="AM901">
        <f>'T_SelfStock'!AK8</f>
        <v/>
      </c>
      <c r="AN901">
        <f>'T_SelfStock'!AL8</f>
        <v/>
      </c>
      <c r="AO901">
        <f>'T_SelfStock'!AM8</f>
        <v/>
      </c>
      <c r="AP901">
        <f>'T_SelfStock'!AN8</f>
        <v/>
      </c>
      <c r="AQ901">
        <f>'T_SelfStock'!AO8</f>
        <v/>
      </c>
      <c r="AR901">
        <f>'T_SelfStock'!AP8</f>
        <v/>
      </c>
      <c r="AS901">
        <f>'T_SelfStock'!AQ8</f>
        <v/>
      </c>
      <c r="AT901">
        <f>'T_SelfStock'!AR8</f>
        <v/>
      </c>
      <c r="AU901">
        <f>'T_SelfStock'!AS8</f>
        <v/>
      </c>
      <c r="AV901">
        <f>'T_SelfStock'!AT8</f>
        <v/>
      </c>
      <c r="AW901">
        <f>'T_SelfStock'!AU8</f>
        <v/>
      </c>
      <c r="AX901">
        <f>'T_SelfStock'!AV8</f>
        <v/>
      </c>
      <c r="AY901">
        <f>'T_SelfStock'!AW8</f>
        <v/>
      </c>
      <c r="AZ901">
        <f>'T_SelfStock'!AX8</f>
        <v/>
      </c>
      <c r="BA901">
        <f>'T_SelfStock'!AY8</f>
        <v/>
      </c>
      <c r="BB901">
        <f>'T_SelfStock'!AZ8</f>
        <v/>
      </c>
      <c r="BC901">
        <f>'T_SelfStock'!BA8</f>
        <v/>
      </c>
      <c r="BD901">
        <f>'T_SelfStock'!BB8</f>
        <v/>
      </c>
      <c r="BE901">
        <f>'T_SelfStock'!BC8</f>
        <v/>
      </c>
      <c r="BF901">
        <f>'T_SelfStock'!BD8</f>
        <v/>
      </c>
      <c r="BG901">
        <f>'T_SelfStock'!BE8</f>
        <v/>
      </c>
      <c r="BH901">
        <f>'T_SelfStock'!BF8</f>
        <v/>
      </c>
      <c r="BI901">
        <f>'T_SelfStock'!BG8</f>
        <v/>
      </c>
      <c r="BJ901">
        <f>'T_SelfStock'!BH8</f>
        <v/>
      </c>
      <c r="BK901">
        <f>'T_SelfStock'!BI8</f>
        <v/>
      </c>
      <c r="BL901">
        <f>'T_SelfStock'!BJ8</f>
        <v/>
      </c>
      <c r="BM901">
        <f>'T_SelfStock'!BK8</f>
        <v/>
      </c>
      <c r="BN901">
        <f>'T_SelfStock'!BL8</f>
        <v/>
      </c>
      <c r="BO901">
        <f>'T_SelfStock'!BM8</f>
        <v/>
      </c>
      <c r="BP901">
        <f>'T_SelfStock'!BN8</f>
        <v/>
      </c>
      <c r="BQ901">
        <f>'T_SelfStock'!BO8</f>
        <v/>
      </c>
      <c r="BR901">
        <f>'T_SelfStock'!BP8</f>
        <v/>
      </c>
      <c r="BS901">
        <f>'T_SelfStock'!BQ8</f>
        <v/>
      </c>
      <c r="BT901">
        <f>'T_SelfStock'!BR8</f>
        <v/>
      </c>
      <c r="BU901">
        <f>'T_SelfStock'!BS8</f>
        <v/>
      </c>
      <c r="BV901">
        <f>'T_SelfStock'!BT8</f>
        <v/>
      </c>
      <c r="BW901">
        <f>'T_SelfStock'!BU8</f>
        <v/>
      </c>
      <c r="BX901">
        <f>'T_SelfStock'!BV8</f>
        <v/>
      </c>
      <c r="BY901">
        <f>'T_SelfStock'!BW8</f>
        <v/>
      </c>
      <c r="BZ901">
        <f>'T_SelfStock'!BX8</f>
        <v/>
      </c>
      <c r="CA901">
        <f>'T_SelfStock'!BY8</f>
        <v/>
      </c>
      <c r="CB901">
        <f>'T_SelfStock'!BZ8</f>
        <v/>
      </c>
      <c r="CC901">
        <f>'T_SelfStock'!CA8</f>
        <v/>
      </c>
      <c r="CD901">
        <f>'T_SelfStock'!CB8</f>
        <v/>
      </c>
      <c r="CE901">
        <f>'T_SelfStock'!CC8</f>
        <v/>
      </c>
      <c r="CF901">
        <f>'T_SelfStock'!CD8</f>
        <v/>
      </c>
      <c r="CG901">
        <f>'T_SelfStock'!CE8</f>
        <v/>
      </c>
      <c r="CH901">
        <f>'T_SelfStock'!CF8</f>
        <v/>
      </c>
      <c r="CI901">
        <f>'T_SelfStock'!CG8</f>
        <v/>
      </c>
      <c r="CJ901">
        <f>'T_SelfStock'!CH8</f>
        <v/>
      </c>
      <c r="CK901">
        <f>'T_SelfStock'!CI8</f>
        <v/>
      </c>
      <c r="CL901">
        <f>'T_SelfStock'!CJ8</f>
        <v/>
      </c>
      <c r="CM901">
        <f>'T_SelfStock'!CK8</f>
        <v/>
      </c>
      <c r="CN901">
        <f>'T_SelfStock'!CL8</f>
        <v/>
      </c>
      <c r="CO901">
        <f>'T_SelfStock'!CM8</f>
        <v/>
      </c>
      <c r="CP901">
        <f>'T_SelfStock'!CN8</f>
        <v/>
      </c>
      <c r="CQ901">
        <f>'T_SelfStock'!CO8</f>
        <v/>
      </c>
      <c r="CR901">
        <f>'T_SelfStock'!CP8</f>
        <v/>
      </c>
      <c r="CS901">
        <f>'T_SelfStock'!CQ8</f>
        <v/>
      </c>
      <c r="CT901">
        <f>'T_SelfStock'!CR8</f>
        <v/>
      </c>
      <c r="CU901">
        <f>'T_SelfStock'!CS8</f>
        <v/>
      </c>
      <c r="CV901">
        <f>'T_SelfStock'!CT8</f>
        <v/>
      </c>
      <c r="CW901">
        <f>'T_SelfStock'!CU8</f>
        <v/>
      </c>
      <c r="CX901">
        <f>'T_SelfStock'!CV8</f>
        <v/>
      </c>
      <c r="CY901">
        <f>'T_SelfStock'!CW8</f>
        <v/>
      </c>
      <c r="CZ901">
        <f>'T_SelfStock'!CX8</f>
        <v/>
      </c>
      <c r="DA901">
        <f>'T_SelfStock'!CY8</f>
        <v/>
      </c>
      <c r="DB901">
        <f>'T_SelfStock'!CZ8</f>
        <v/>
      </c>
      <c r="DC901">
        <f>'T_SelfStock'!DA8</f>
        <v/>
      </c>
    </row>
    <row r="902">
      <c r="B902" s="4" t="inlineStr">
        <is>
          <t>合計在庫(週末時点,kg)</t>
        </is>
      </c>
      <c r="D902">
        <f>'Grid_Stock'!B4</f>
        <v/>
      </c>
      <c r="E902">
        <f>'Grid_Stock'!C4</f>
        <v/>
      </c>
      <c r="F902">
        <f>'Grid_Stock'!D4</f>
        <v/>
      </c>
      <c r="G902">
        <f>'Grid_Stock'!E4</f>
        <v/>
      </c>
      <c r="H902">
        <f>'Grid_Stock'!F4</f>
        <v/>
      </c>
      <c r="I902">
        <f>'Grid_Stock'!G4</f>
        <v/>
      </c>
      <c r="J902">
        <f>'Grid_Stock'!H4</f>
        <v/>
      </c>
      <c r="K902">
        <f>'Grid_Stock'!I4</f>
        <v/>
      </c>
      <c r="L902">
        <f>'Grid_Stock'!J4</f>
        <v/>
      </c>
      <c r="M902">
        <f>'Grid_Stock'!K4</f>
        <v/>
      </c>
      <c r="N902">
        <f>'Grid_Stock'!L4</f>
        <v/>
      </c>
      <c r="O902">
        <f>'Grid_Stock'!M4</f>
        <v/>
      </c>
      <c r="P902">
        <f>'Grid_Stock'!N4</f>
        <v/>
      </c>
      <c r="Q902">
        <f>'Grid_Stock'!O4</f>
        <v/>
      </c>
      <c r="R902">
        <f>'Grid_Stock'!P4</f>
        <v/>
      </c>
      <c r="S902">
        <f>'Grid_Stock'!Q4</f>
        <v/>
      </c>
      <c r="T902">
        <f>'Grid_Stock'!R4</f>
        <v/>
      </c>
      <c r="U902">
        <f>'Grid_Stock'!S4</f>
        <v/>
      </c>
      <c r="V902">
        <f>'Grid_Stock'!T4</f>
        <v/>
      </c>
      <c r="W902">
        <f>'Grid_Stock'!U4</f>
        <v/>
      </c>
      <c r="X902">
        <f>'Grid_Stock'!V4</f>
        <v/>
      </c>
      <c r="Y902">
        <f>'Grid_Stock'!W4</f>
        <v/>
      </c>
      <c r="Z902">
        <f>'Grid_Stock'!X4</f>
        <v/>
      </c>
      <c r="AA902">
        <f>'Grid_Stock'!Y4</f>
        <v/>
      </c>
      <c r="AB902">
        <f>'Grid_Stock'!Z4</f>
        <v/>
      </c>
      <c r="AC902">
        <f>'Grid_Stock'!AA4</f>
        <v/>
      </c>
      <c r="AD902">
        <f>'Grid_Stock'!AB4</f>
        <v/>
      </c>
      <c r="AE902">
        <f>'Grid_Stock'!AC4</f>
        <v/>
      </c>
      <c r="AF902">
        <f>'Grid_Stock'!AD4</f>
        <v/>
      </c>
      <c r="AG902">
        <f>'Grid_Stock'!AE4</f>
        <v/>
      </c>
      <c r="AH902">
        <f>'Grid_Stock'!AF4</f>
        <v/>
      </c>
      <c r="AI902">
        <f>'Grid_Stock'!AG4</f>
        <v/>
      </c>
      <c r="AJ902">
        <f>'Grid_Stock'!AH4</f>
        <v/>
      </c>
      <c r="AK902">
        <f>'Grid_Stock'!AI4</f>
        <v/>
      </c>
      <c r="AL902">
        <f>'Grid_Stock'!AJ4</f>
        <v/>
      </c>
      <c r="AM902">
        <f>'Grid_Stock'!AK4</f>
        <v/>
      </c>
      <c r="AN902">
        <f>'Grid_Stock'!AL4</f>
        <v/>
      </c>
      <c r="AO902">
        <f>'Grid_Stock'!AM4</f>
        <v/>
      </c>
      <c r="AP902">
        <f>'Grid_Stock'!AN4</f>
        <v/>
      </c>
      <c r="AQ902">
        <f>'Grid_Stock'!AO4</f>
        <v/>
      </c>
      <c r="AR902">
        <f>'Grid_Stock'!AP4</f>
        <v/>
      </c>
      <c r="AS902">
        <f>'Grid_Stock'!AQ4</f>
        <v/>
      </c>
      <c r="AT902">
        <f>'Grid_Stock'!AR4</f>
        <v/>
      </c>
      <c r="AU902">
        <f>'Grid_Stock'!AS4</f>
        <v/>
      </c>
      <c r="AV902">
        <f>'Grid_Stock'!AT4</f>
        <v/>
      </c>
      <c r="AW902">
        <f>'Grid_Stock'!AU4</f>
        <v/>
      </c>
      <c r="AX902">
        <f>'Grid_Stock'!AV4</f>
        <v/>
      </c>
      <c r="AY902">
        <f>'Grid_Stock'!AW4</f>
        <v/>
      </c>
      <c r="AZ902">
        <f>'Grid_Stock'!AX4</f>
        <v/>
      </c>
      <c r="BA902">
        <f>'Grid_Stock'!AY4</f>
        <v/>
      </c>
      <c r="BB902">
        <f>'Grid_Stock'!AZ4</f>
        <v/>
      </c>
      <c r="BC902">
        <f>'Grid_Stock'!BA4</f>
        <v/>
      </c>
      <c r="BD902">
        <f>'Grid_Stock'!BB4</f>
        <v/>
      </c>
      <c r="BE902">
        <f>'Grid_Stock'!BC4</f>
        <v/>
      </c>
      <c r="BF902">
        <f>'Grid_Stock'!BD4</f>
        <v/>
      </c>
      <c r="BG902">
        <f>'Grid_Stock'!BE4</f>
        <v/>
      </c>
      <c r="BH902">
        <f>'Grid_Stock'!BF4</f>
        <v/>
      </c>
      <c r="BI902">
        <f>'Grid_Stock'!BG4</f>
        <v/>
      </c>
      <c r="BJ902">
        <f>'Grid_Stock'!BH4</f>
        <v/>
      </c>
      <c r="BK902">
        <f>'Grid_Stock'!BI4</f>
        <v/>
      </c>
      <c r="BL902">
        <f>'Grid_Stock'!BJ4</f>
        <v/>
      </c>
      <c r="BM902">
        <f>'Grid_Stock'!BK4</f>
        <v/>
      </c>
      <c r="BN902">
        <f>'Grid_Stock'!BL4</f>
        <v/>
      </c>
      <c r="BO902">
        <f>'Grid_Stock'!BM4</f>
        <v/>
      </c>
      <c r="BP902">
        <f>'Grid_Stock'!BN4</f>
        <v/>
      </c>
      <c r="BQ902">
        <f>'Grid_Stock'!BO4</f>
        <v/>
      </c>
      <c r="BR902">
        <f>'Grid_Stock'!BP4</f>
        <v/>
      </c>
      <c r="BS902">
        <f>'Grid_Stock'!BQ4</f>
        <v/>
      </c>
      <c r="BT902">
        <f>'Grid_Stock'!BR4</f>
        <v/>
      </c>
      <c r="BU902">
        <f>'Grid_Stock'!BS4</f>
        <v/>
      </c>
      <c r="BV902">
        <f>'Grid_Stock'!BT4</f>
        <v/>
      </c>
      <c r="BW902">
        <f>'Grid_Stock'!BU4</f>
        <v/>
      </c>
      <c r="BX902">
        <f>'Grid_Stock'!BV4</f>
        <v/>
      </c>
      <c r="BY902">
        <f>'Grid_Stock'!BW4</f>
        <v/>
      </c>
      <c r="BZ902">
        <f>'Grid_Stock'!BX4</f>
        <v/>
      </c>
      <c r="CA902">
        <f>'Grid_Stock'!BY4</f>
        <v/>
      </c>
      <c r="CB902">
        <f>'Grid_Stock'!BZ4</f>
        <v/>
      </c>
      <c r="CC902">
        <f>'Grid_Stock'!CA4</f>
        <v/>
      </c>
      <c r="CD902">
        <f>'Grid_Stock'!CB4</f>
        <v/>
      </c>
      <c r="CE902">
        <f>'Grid_Stock'!CC4</f>
        <v/>
      </c>
      <c r="CF902">
        <f>'Grid_Stock'!CD4</f>
        <v/>
      </c>
      <c r="CG902">
        <f>'Grid_Stock'!CE4</f>
        <v/>
      </c>
      <c r="CH902">
        <f>'Grid_Stock'!CF4</f>
        <v/>
      </c>
      <c r="CI902">
        <f>'Grid_Stock'!CG4</f>
        <v/>
      </c>
      <c r="CJ902">
        <f>'Grid_Stock'!CH4</f>
        <v/>
      </c>
      <c r="CK902">
        <f>'Grid_Stock'!CI4</f>
        <v/>
      </c>
      <c r="CL902">
        <f>'Grid_Stock'!CJ4</f>
        <v/>
      </c>
      <c r="CM902">
        <f>'Grid_Stock'!CK4</f>
        <v/>
      </c>
      <c r="CN902">
        <f>'Grid_Stock'!CL4</f>
        <v/>
      </c>
      <c r="CO902">
        <f>'Grid_Stock'!CM4</f>
        <v/>
      </c>
      <c r="CP902">
        <f>'Grid_Stock'!CN4</f>
        <v/>
      </c>
      <c r="CQ902">
        <f>'Grid_Stock'!CO4</f>
        <v/>
      </c>
      <c r="CR902">
        <f>'Grid_Stock'!CP4</f>
        <v/>
      </c>
      <c r="CS902">
        <f>'Grid_Stock'!CQ4</f>
        <v/>
      </c>
      <c r="CT902">
        <f>'Grid_Stock'!CR4</f>
        <v/>
      </c>
      <c r="CU902">
        <f>'Grid_Stock'!CS4</f>
        <v/>
      </c>
      <c r="CV902">
        <f>'Grid_Stock'!CT4</f>
        <v/>
      </c>
      <c r="CW902">
        <f>'Grid_Stock'!CU4</f>
        <v/>
      </c>
      <c r="CX902">
        <f>'Grid_Stock'!CV4</f>
        <v/>
      </c>
      <c r="CY902">
        <f>'Grid_Stock'!CW4</f>
        <v/>
      </c>
      <c r="CZ902">
        <f>'Grid_Stock'!CX4</f>
        <v/>
      </c>
      <c r="DA902">
        <f>'Grid_Stock'!CY4</f>
        <v/>
      </c>
      <c r="DB902">
        <f>'Grid_Stock'!CZ4</f>
        <v/>
      </c>
      <c r="DC902">
        <f>'Grid_Stock'!DA4</f>
        <v/>
      </c>
    </row>
    <row r="903">
      <c r="B903" s="16" t="inlineStr">
        <is>
          <t>（発注の目安はDashboardの基準在庫[下限/上限]と色分けを参照）</t>
        </is>
      </c>
    </row>
    <row r="905">
      <c r="A905" s="14" t="inlineStr">
        <is>
          <t>CHEM-1720</t>
        </is>
      </c>
      <c r="B905" s="14" t="inlineStr">
        <is>
          <t>CeZr oxide(TPZ-868)</t>
        </is>
      </c>
      <c r="C905" s="15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4" t="n"/>
      <c r="AO905" s="14" t="n"/>
      <c r="AP905" s="14" t="n"/>
      <c r="AQ905" s="14" t="n"/>
      <c r="AR905" s="14" t="n"/>
      <c r="AS905" s="14" t="n"/>
      <c r="AT905" s="14" t="n"/>
      <c r="AU905" s="14" t="n"/>
      <c r="AV905" s="14" t="n"/>
      <c r="AW905" s="14" t="n"/>
      <c r="AX905" s="14" t="n"/>
      <c r="AY905" s="14" t="n"/>
      <c r="AZ905" s="14" t="n"/>
      <c r="BA905" s="14" t="n"/>
      <c r="BB905" s="14" t="n"/>
      <c r="BC905" s="14" t="n"/>
      <c r="BD905" s="14" t="n"/>
      <c r="BE905" s="14" t="n"/>
      <c r="BF905" s="14" t="n"/>
      <c r="BG905" s="14" t="n"/>
      <c r="BH905" s="14" t="n"/>
      <c r="BI905" s="14" t="n"/>
      <c r="BJ905" s="14" t="n"/>
      <c r="BK905" s="14" t="n"/>
      <c r="BL905" s="14" t="n"/>
      <c r="BM905" s="14" t="n"/>
      <c r="BN905" s="14" t="n"/>
      <c r="BO905" s="14" t="n"/>
      <c r="BP905" s="14" t="n"/>
      <c r="BQ905" s="14" t="n"/>
      <c r="BR905" s="14" t="n"/>
      <c r="BS905" s="14" t="n"/>
      <c r="BT905" s="14" t="n"/>
      <c r="BU905" s="14" t="n"/>
      <c r="BV905" s="14" t="n"/>
      <c r="BW905" s="14" t="n"/>
      <c r="BX905" s="14" t="n"/>
      <c r="BY905" s="14" t="n"/>
      <c r="BZ905" s="14" t="n"/>
      <c r="CA905" s="14" t="n"/>
      <c r="CB905" s="14" t="n"/>
      <c r="CC905" s="14" t="n"/>
      <c r="CD905" s="14" t="n"/>
      <c r="CE905" s="14" t="n"/>
      <c r="CF905" s="14" t="n"/>
      <c r="CG905" s="14" t="n"/>
      <c r="CH905" s="14" t="n"/>
      <c r="CI905" s="14" t="n"/>
      <c r="CJ905" s="14" t="n"/>
      <c r="CK905" s="14" t="n"/>
      <c r="CL905" s="14" t="n"/>
      <c r="CM905" s="14" t="n"/>
      <c r="CN905" s="14" t="n"/>
      <c r="CO905" s="14" t="n"/>
      <c r="CP905" s="14" t="n"/>
      <c r="CQ905" s="14" t="n"/>
      <c r="CR905" s="14" t="n"/>
      <c r="CS905" s="14" t="n"/>
      <c r="CT905" s="14" t="n"/>
      <c r="CU905" s="14" t="n"/>
      <c r="CV905" s="14" t="n"/>
      <c r="CW905" s="14" t="n"/>
      <c r="CX905" s="14" t="n"/>
      <c r="CY905" s="14" t="n"/>
      <c r="CZ905" s="14" t="n"/>
      <c r="DA905" s="14" t="n"/>
      <c r="DB905" s="14" t="n"/>
      <c r="DC905" s="14" t="n"/>
    </row>
    <row r="906">
      <c r="B906" t="inlineStr">
        <is>
          <t>TSP-927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TSP-928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TSP-929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TSP-930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Name],$A905)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TSP-936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Name],$A905)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TSP-937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Name],$A905)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TSP-1444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Name],$A905)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TSP-1448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Name],$A905)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TSP-1445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TSP-1446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TSP-1449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TSP-1499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4" t="inlineStr">
        <is>
          <t>合計使用量(kg)/週</t>
        </is>
      </c>
      <c r="D934">
        <f>'Grid_Requirement'!B9</f>
        <v/>
      </c>
      <c r="E934">
        <f>'Grid_Requirement'!C9</f>
        <v/>
      </c>
      <c r="F934">
        <f>'Grid_Requirement'!D9</f>
        <v/>
      </c>
      <c r="G934">
        <f>'Grid_Requirement'!E9</f>
        <v/>
      </c>
      <c r="H934">
        <f>'Grid_Requirement'!F9</f>
        <v/>
      </c>
      <c r="I934">
        <f>'Grid_Requirement'!G9</f>
        <v/>
      </c>
      <c r="J934">
        <f>'Grid_Requirement'!H9</f>
        <v/>
      </c>
      <c r="K934">
        <f>'Grid_Requirement'!I9</f>
        <v/>
      </c>
      <c r="L934">
        <f>'Grid_Requirement'!J9</f>
        <v/>
      </c>
      <c r="M934">
        <f>'Grid_Requirement'!K9</f>
        <v/>
      </c>
      <c r="N934">
        <f>'Grid_Requirement'!L9</f>
        <v/>
      </c>
      <c r="O934">
        <f>'Grid_Requirement'!M9</f>
        <v/>
      </c>
      <c r="P934">
        <f>'Grid_Requirement'!N9</f>
        <v/>
      </c>
      <c r="Q934">
        <f>'Grid_Requirement'!O9</f>
        <v/>
      </c>
      <c r="R934">
        <f>'Grid_Requirement'!P9</f>
        <v/>
      </c>
      <c r="S934">
        <f>'Grid_Requirement'!Q9</f>
        <v/>
      </c>
      <c r="T934">
        <f>'Grid_Requirement'!R9</f>
        <v/>
      </c>
      <c r="U934">
        <f>'Grid_Requirement'!S9</f>
        <v/>
      </c>
      <c r="V934">
        <f>'Grid_Requirement'!T9</f>
        <v/>
      </c>
      <c r="W934">
        <f>'Grid_Requirement'!U9</f>
        <v/>
      </c>
      <c r="X934">
        <f>'Grid_Requirement'!V9</f>
        <v/>
      </c>
      <c r="Y934">
        <f>'Grid_Requirement'!W9</f>
        <v/>
      </c>
      <c r="Z934">
        <f>'Grid_Requirement'!X9</f>
        <v/>
      </c>
      <c r="AA934">
        <f>'Grid_Requirement'!Y9</f>
        <v/>
      </c>
      <c r="AB934">
        <f>'Grid_Requirement'!Z9</f>
        <v/>
      </c>
      <c r="AC934">
        <f>'Grid_Requirement'!AA9</f>
        <v/>
      </c>
      <c r="AD934">
        <f>'Grid_Requirement'!AB9</f>
        <v/>
      </c>
      <c r="AE934">
        <f>'Grid_Requirement'!AC9</f>
        <v/>
      </c>
      <c r="AF934">
        <f>'Grid_Requirement'!AD9</f>
        <v/>
      </c>
      <c r="AG934">
        <f>'Grid_Requirement'!AE9</f>
        <v/>
      </c>
      <c r="AH934">
        <f>'Grid_Requirement'!AF9</f>
        <v/>
      </c>
      <c r="AI934">
        <f>'Grid_Requirement'!AG9</f>
        <v/>
      </c>
      <c r="AJ934">
        <f>'Grid_Requirement'!AH9</f>
        <v/>
      </c>
      <c r="AK934">
        <f>'Grid_Requirement'!AI9</f>
        <v/>
      </c>
      <c r="AL934">
        <f>'Grid_Requirement'!AJ9</f>
        <v/>
      </c>
      <c r="AM934">
        <f>'Grid_Requirement'!AK9</f>
        <v/>
      </c>
      <c r="AN934">
        <f>'Grid_Requirement'!AL9</f>
        <v/>
      </c>
      <c r="AO934">
        <f>'Grid_Requirement'!AM9</f>
        <v/>
      </c>
      <c r="AP934">
        <f>'Grid_Requirement'!AN9</f>
        <v/>
      </c>
      <c r="AQ934">
        <f>'Grid_Requirement'!AO9</f>
        <v/>
      </c>
      <c r="AR934">
        <f>'Grid_Requirement'!AP9</f>
        <v/>
      </c>
      <c r="AS934">
        <f>'Grid_Requirement'!AQ9</f>
        <v/>
      </c>
      <c r="AT934">
        <f>'Grid_Requirement'!AR9</f>
        <v/>
      </c>
      <c r="AU934">
        <f>'Grid_Requirement'!AS9</f>
        <v/>
      </c>
      <c r="AV934">
        <f>'Grid_Requirement'!AT9</f>
        <v/>
      </c>
      <c r="AW934">
        <f>'Grid_Requirement'!AU9</f>
        <v/>
      </c>
      <c r="AX934">
        <f>'Grid_Requirement'!AV9</f>
        <v/>
      </c>
      <c r="AY934">
        <f>'Grid_Requirement'!AW9</f>
        <v/>
      </c>
      <c r="AZ934">
        <f>'Grid_Requirement'!AX9</f>
        <v/>
      </c>
      <c r="BA934">
        <f>'Grid_Requirement'!AY9</f>
        <v/>
      </c>
      <c r="BB934">
        <f>'Grid_Requirement'!AZ9</f>
        <v/>
      </c>
      <c r="BC934">
        <f>'Grid_Requirement'!BA9</f>
        <v/>
      </c>
      <c r="BD934">
        <f>'Grid_Requirement'!BB9</f>
        <v/>
      </c>
      <c r="BE934">
        <f>'Grid_Requirement'!BC9</f>
        <v/>
      </c>
      <c r="BF934">
        <f>'Grid_Requirement'!BD9</f>
        <v/>
      </c>
      <c r="BG934">
        <f>'Grid_Requirement'!BE9</f>
        <v/>
      </c>
      <c r="BH934">
        <f>'Grid_Requirement'!BF9</f>
        <v/>
      </c>
      <c r="BI934">
        <f>'Grid_Requirement'!BG9</f>
        <v/>
      </c>
      <c r="BJ934">
        <f>'Grid_Requirement'!BH9</f>
        <v/>
      </c>
      <c r="BK934">
        <f>'Grid_Requirement'!BI9</f>
        <v/>
      </c>
      <c r="BL934">
        <f>'Grid_Requirement'!BJ9</f>
        <v/>
      </c>
      <c r="BM934">
        <f>'Grid_Requirement'!BK9</f>
        <v/>
      </c>
      <c r="BN934">
        <f>'Grid_Requirement'!BL9</f>
        <v/>
      </c>
      <c r="BO934">
        <f>'Grid_Requirement'!BM9</f>
        <v/>
      </c>
      <c r="BP934">
        <f>'Grid_Requirement'!BN9</f>
        <v/>
      </c>
      <c r="BQ934">
        <f>'Grid_Requirement'!BO9</f>
        <v/>
      </c>
      <c r="BR934">
        <f>'Grid_Requirement'!BP9</f>
        <v/>
      </c>
      <c r="BS934">
        <f>'Grid_Requirement'!BQ9</f>
        <v/>
      </c>
      <c r="BT934">
        <f>'Grid_Requirement'!BR9</f>
        <v/>
      </c>
      <c r="BU934">
        <f>'Grid_Requirement'!BS9</f>
        <v/>
      </c>
      <c r="BV934">
        <f>'Grid_Requirement'!BT9</f>
        <v/>
      </c>
      <c r="BW934">
        <f>'Grid_Requirement'!BU9</f>
        <v/>
      </c>
      <c r="BX934">
        <f>'Grid_Requirement'!BV9</f>
        <v/>
      </c>
      <c r="BY934">
        <f>'Grid_Requirement'!BW9</f>
        <v/>
      </c>
      <c r="BZ934">
        <f>'Grid_Requirement'!BX9</f>
        <v/>
      </c>
      <c r="CA934">
        <f>'Grid_Requirement'!BY9</f>
        <v/>
      </c>
      <c r="CB934">
        <f>'Grid_Requirement'!BZ9</f>
        <v/>
      </c>
      <c r="CC934">
        <f>'Grid_Requirement'!CA9</f>
        <v/>
      </c>
      <c r="CD934">
        <f>'Grid_Requirement'!CB9</f>
        <v/>
      </c>
      <c r="CE934">
        <f>'Grid_Requirement'!CC9</f>
        <v/>
      </c>
      <c r="CF934">
        <f>'Grid_Requirement'!CD9</f>
        <v/>
      </c>
      <c r="CG934">
        <f>'Grid_Requirement'!CE9</f>
        <v/>
      </c>
      <c r="CH934">
        <f>'Grid_Requirement'!CF9</f>
        <v/>
      </c>
      <c r="CI934">
        <f>'Grid_Requirement'!CG9</f>
        <v/>
      </c>
      <c r="CJ934">
        <f>'Grid_Requirement'!CH9</f>
        <v/>
      </c>
      <c r="CK934">
        <f>'Grid_Requirement'!CI9</f>
        <v/>
      </c>
      <c r="CL934">
        <f>'Grid_Requirement'!CJ9</f>
        <v/>
      </c>
      <c r="CM934">
        <f>'Grid_Requirement'!CK9</f>
        <v/>
      </c>
      <c r="CN934">
        <f>'Grid_Requirement'!CL9</f>
        <v/>
      </c>
      <c r="CO934">
        <f>'Grid_Requirement'!CM9</f>
        <v/>
      </c>
      <c r="CP934">
        <f>'Grid_Requirement'!CN9</f>
        <v/>
      </c>
      <c r="CQ934">
        <f>'Grid_Requirement'!CO9</f>
        <v/>
      </c>
      <c r="CR934">
        <f>'Grid_Requirement'!CP9</f>
        <v/>
      </c>
      <c r="CS934">
        <f>'Grid_Requirement'!CQ9</f>
        <v/>
      </c>
      <c r="CT934">
        <f>'Grid_Requirement'!CR9</f>
        <v/>
      </c>
      <c r="CU934">
        <f>'Grid_Requirement'!CS9</f>
        <v/>
      </c>
      <c r="CV934">
        <f>'Grid_Requirement'!CT9</f>
        <v/>
      </c>
      <c r="CW934">
        <f>'Grid_Requirement'!CU9</f>
        <v/>
      </c>
      <c r="CX934">
        <f>'Grid_Requirement'!CV9</f>
        <v/>
      </c>
      <c r="CY934">
        <f>'Grid_Requirement'!CW9</f>
        <v/>
      </c>
      <c r="CZ934">
        <f>'Grid_Requirement'!CX9</f>
        <v/>
      </c>
      <c r="DA934">
        <f>'Grid_Requirement'!CY9</f>
        <v/>
      </c>
      <c r="DB934">
        <f>'Grid_Requirement'!CZ9</f>
        <v/>
      </c>
      <c r="DC934">
        <f>'Grid_Requirement'!DA9</f>
        <v/>
      </c>
    </row>
    <row r="935">
      <c r="B935" t="inlineStr">
        <is>
          <t>TTAF在庫(実績,kg)</t>
        </is>
      </c>
      <c r="D935">
        <f>'T_TTAFStock'!B13</f>
        <v/>
      </c>
      <c r="E935">
        <f>'T_TTAFStock'!C13</f>
        <v/>
      </c>
      <c r="F935">
        <f>'T_TTAFStock'!D13</f>
        <v/>
      </c>
      <c r="G935">
        <f>'T_TTAFStock'!E13</f>
        <v/>
      </c>
      <c r="H935">
        <f>'T_TTAFStock'!F13</f>
        <v/>
      </c>
      <c r="I935">
        <f>'T_TTAFStock'!G13</f>
        <v/>
      </c>
      <c r="J935">
        <f>'T_TTAFStock'!H13</f>
        <v/>
      </c>
      <c r="K935">
        <f>'T_TTAFStock'!I13</f>
        <v/>
      </c>
      <c r="L935">
        <f>'T_TTAFStock'!J13</f>
        <v/>
      </c>
      <c r="M935">
        <f>'T_TTAFStock'!K13</f>
        <v/>
      </c>
      <c r="N935">
        <f>'T_TTAFStock'!L13</f>
        <v/>
      </c>
      <c r="O935">
        <f>'T_TTAFStock'!M13</f>
        <v/>
      </c>
      <c r="P935">
        <f>'T_TTAFStock'!N13</f>
        <v/>
      </c>
      <c r="Q935">
        <f>'T_TTAFStock'!O13</f>
        <v/>
      </c>
      <c r="R935">
        <f>'T_TTAFStock'!P13</f>
        <v/>
      </c>
      <c r="S935">
        <f>'T_TTAFStock'!Q13</f>
        <v/>
      </c>
      <c r="T935">
        <f>'T_TTAFStock'!R13</f>
        <v/>
      </c>
      <c r="U935">
        <f>'T_TTAFStock'!S13</f>
        <v/>
      </c>
      <c r="V935">
        <f>'T_TTAFStock'!T13</f>
        <v/>
      </c>
      <c r="W935">
        <f>'T_TTAFStock'!U13</f>
        <v/>
      </c>
      <c r="X935">
        <f>'T_TTAFStock'!V13</f>
        <v/>
      </c>
      <c r="Y935">
        <f>'T_TTAFStock'!W13</f>
        <v/>
      </c>
      <c r="Z935">
        <f>'T_TTAFStock'!X13</f>
        <v/>
      </c>
      <c r="AA935">
        <f>'T_TTAFStock'!Y13</f>
        <v/>
      </c>
      <c r="AB935">
        <f>'T_TTAFStock'!Z13</f>
        <v/>
      </c>
      <c r="AC935">
        <f>'T_TTAFStock'!AA13</f>
        <v/>
      </c>
      <c r="AD935">
        <f>'T_TTAFStock'!AB13</f>
        <v/>
      </c>
      <c r="AE935">
        <f>'T_TTAFStock'!AC13</f>
        <v/>
      </c>
      <c r="AF935">
        <f>'T_TTAFStock'!AD13</f>
        <v/>
      </c>
      <c r="AG935">
        <f>'T_TTAFStock'!AE13</f>
        <v/>
      </c>
      <c r="AH935">
        <f>'T_TTAFStock'!AF13</f>
        <v/>
      </c>
      <c r="AI935">
        <f>'T_TTAFStock'!AG13</f>
        <v/>
      </c>
      <c r="AJ935">
        <f>'T_TTAFStock'!AH13</f>
        <v/>
      </c>
      <c r="AK935">
        <f>'T_TTAFStock'!AI13</f>
        <v/>
      </c>
      <c r="AL935">
        <f>'T_TTAFStock'!AJ13</f>
        <v/>
      </c>
      <c r="AM935">
        <f>'T_TTAFStock'!AK13</f>
        <v/>
      </c>
      <c r="AN935">
        <f>'T_TTAFStock'!AL13</f>
        <v/>
      </c>
      <c r="AO935">
        <f>'T_TTAFStock'!AM13</f>
        <v/>
      </c>
      <c r="AP935">
        <f>'T_TTAFStock'!AN13</f>
        <v/>
      </c>
      <c r="AQ935">
        <f>'T_TTAFStock'!AO13</f>
        <v/>
      </c>
      <c r="AR935">
        <f>'T_TTAFStock'!AP13</f>
        <v/>
      </c>
      <c r="AS935">
        <f>'T_TTAFStock'!AQ13</f>
        <v/>
      </c>
      <c r="AT935">
        <f>'T_TTAFStock'!AR13</f>
        <v/>
      </c>
      <c r="AU935">
        <f>'T_TTAFStock'!AS13</f>
        <v/>
      </c>
      <c r="AV935">
        <f>'T_TTAFStock'!AT13</f>
        <v/>
      </c>
      <c r="AW935">
        <f>'T_TTAFStock'!AU13</f>
        <v/>
      </c>
      <c r="AX935">
        <f>'T_TTAFStock'!AV13</f>
        <v/>
      </c>
      <c r="AY935">
        <f>'T_TTAFStock'!AW13</f>
        <v/>
      </c>
      <c r="AZ935">
        <f>'T_TTAFStock'!AX13</f>
        <v/>
      </c>
      <c r="BA935">
        <f>'T_TTAFStock'!AY13</f>
        <v/>
      </c>
      <c r="BB935">
        <f>'T_TTAFStock'!AZ13</f>
        <v/>
      </c>
      <c r="BC935">
        <f>'T_TTAFStock'!BA13</f>
        <v/>
      </c>
      <c r="BD935">
        <f>'T_TTAFStock'!BB13</f>
        <v/>
      </c>
      <c r="BE935">
        <f>'T_TTAFStock'!BC13</f>
        <v/>
      </c>
      <c r="BF935">
        <f>'T_TTAFStock'!BD13</f>
        <v/>
      </c>
      <c r="BG935">
        <f>'T_TTAFStock'!BE13</f>
        <v/>
      </c>
      <c r="BH935">
        <f>'T_TTAFStock'!BF13</f>
        <v/>
      </c>
      <c r="BI935">
        <f>'T_TTAFStock'!BG13</f>
        <v/>
      </c>
      <c r="BJ935">
        <f>'T_TTAFStock'!BH13</f>
        <v/>
      </c>
      <c r="BK935">
        <f>'T_TTAFStock'!BI13</f>
        <v/>
      </c>
      <c r="BL935">
        <f>'T_TTAFStock'!BJ13</f>
        <v/>
      </c>
      <c r="BM935">
        <f>'T_TTAFStock'!BK13</f>
        <v/>
      </c>
      <c r="BN935">
        <f>'T_TTAFStock'!BL13</f>
        <v/>
      </c>
      <c r="BO935">
        <f>'T_TTAFStock'!BM13</f>
        <v/>
      </c>
      <c r="BP935">
        <f>'T_TTAFStock'!BN13</f>
        <v/>
      </c>
      <c r="BQ935">
        <f>'T_TTAFStock'!BO13</f>
        <v/>
      </c>
      <c r="BR935">
        <f>'T_TTAFStock'!BP13</f>
        <v/>
      </c>
      <c r="BS935">
        <f>'T_TTAFStock'!BQ13</f>
        <v/>
      </c>
      <c r="BT935">
        <f>'T_TTAFStock'!BR13</f>
        <v/>
      </c>
      <c r="BU935">
        <f>'T_TTAFStock'!BS13</f>
        <v/>
      </c>
      <c r="BV935">
        <f>'T_TTAFStock'!BT13</f>
        <v/>
      </c>
      <c r="BW935">
        <f>'T_TTAFStock'!BU13</f>
        <v/>
      </c>
      <c r="BX935">
        <f>'T_TTAFStock'!BV13</f>
        <v/>
      </c>
      <c r="BY935">
        <f>'T_TTAFStock'!BW13</f>
        <v/>
      </c>
      <c r="BZ935">
        <f>'T_TTAFStock'!BX13</f>
        <v/>
      </c>
      <c r="CA935">
        <f>'T_TTAFStock'!BY13</f>
        <v/>
      </c>
      <c r="CB935">
        <f>'T_TTAFStock'!BZ13</f>
        <v/>
      </c>
      <c r="CC935">
        <f>'T_TTAFStock'!CA13</f>
        <v/>
      </c>
      <c r="CD935">
        <f>'T_TTAFStock'!CB13</f>
        <v/>
      </c>
      <c r="CE935">
        <f>'T_TTAFStock'!CC13</f>
        <v/>
      </c>
      <c r="CF935">
        <f>'T_TTAFStock'!CD13</f>
        <v/>
      </c>
      <c r="CG935">
        <f>'T_TTAFStock'!CE13</f>
        <v/>
      </c>
      <c r="CH935">
        <f>'T_TTAFStock'!CF13</f>
        <v/>
      </c>
      <c r="CI935">
        <f>'T_TTAFStock'!CG13</f>
        <v/>
      </c>
      <c r="CJ935">
        <f>'T_TTAFStock'!CH13</f>
        <v/>
      </c>
      <c r="CK935">
        <f>'T_TTAFStock'!CI13</f>
        <v/>
      </c>
      <c r="CL935">
        <f>'T_TTAFStock'!CJ13</f>
        <v/>
      </c>
      <c r="CM935">
        <f>'T_TTAFStock'!CK13</f>
        <v/>
      </c>
      <c r="CN935">
        <f>'T_TTAFStock'!CL13</f>
        <v/>
      </c>
      <c r="CO935">
        <f>'T_TTAFStock'!CM13</f>
        <v/>
      </c>
      <c r="CP935">
        <f>'T_TTAFStock'!CN13</f>
        <v/>
      </c>
      <c r="CQ935">
        <f>'T_TTAFStock'!CO13</f>
        <v/>
      </c>
      <c r="CR935">
        <f>'T_TTAFStock'!CP13</f>
        <v/>
      </c>
      <c r="CS935">
        <f>'T_TTAFStock'!CQ13</f>
        <v/>
      </c>
      <c r="CT935">
        <f>'T_TTAFStock'!CR13</f>
        <v/>
      </c>
      <c r="CU935">
        <f>'T_TTAFStock'!CS13</f>
        <v/>
      </c>
      <c r="CV935">
        <f>'T_TTAFStock'!CT13</f>
        <v/>
      </c>
      <c r="CW935">
        <f>'T_TTAFStock'!CU13</f>
        <v/>
      </c>
      <c r="CX935">
        <f>'T_TTAFStock'!CV13</f>
        <v/>
      </c>
      <c r="CY935">
        <f>'T_TTAFStock'!CW13</f>
        <v/>
      </c>
      <c r="CZ935">
        <f>'T_TTAFStock'!CX13</f>
        <v/>
      </c>
      <c r="DA935">
        <f>'T_TTAFStock'!CY13</f>
        <v/>
      </c>
      <c r="DB935">
        <f>'T_TTAFStock'!CZ13</f>
        <v/>
      </c>
      <c r="DC935">
        <f>'T_TTAFStock'!DA13</f>
        <v/>
      </c>
    </row>
    <row r="936">
      <c r="B936" t="inlineStr">
        <is>
          <t>自社在庫(実績,kg)</t>
        </is>
      </c>
      <c r="D936">
        <f>'T_SelfStock'!B13</f>
        <v/>
      </c>
      <c r="E936">
        <f>'T_SelfStock'!C13</f>
        <v/>
      </c>
      <c r="F936">
        <f>'T_SelfStock'!D13</f>
        <v/>
      </c>
      <c r="G936">
        <f>'T_SelfStock'!E13</f>
        <v/>
      </c>
      <c r="H936">
        <f>'T_SelfStock'!F13</f>
        <v/>
      </c>
      <c r="I936">
        <f>'T_SelfStock'!G13</f>
        <v/>
      </c>
      <c r="J936">
        <f>'T_SelfStock'!H13</f>
        <v/>
      </c>
      <c r="K936">
        <f>'T_SelfStock'!I13</f>
        <v/>
      </c>
      <c r="L936">
        <f>'T_SelfStock'!J13</f>
        <v/>
      </c>
      <c r="M936">
        <f>'T_SelfStock'!K13</f>
        <v/>
      </c>
      <c r="N936">
        <f>'T_SelfStock'!L13</f>
        <v/>
      </c>
      <c r="O936">
        <f>'T_SelfStock'!M13</f>
        <v/>
      </c>
      <c r="P936">
        <f>'T_SelfStock'!N13</f>
        <v/>
      </c>
      <c r="Q936">
        <f>'T_SelfStock'!O13</f>
        <v/>
      </c>
      <c r="R936">
        <f>'T_SelfStock'!P13</f>
        <v/>
      </c>
      <c r="S936">
        <f>'T_SelfStock'!Q13</f>
        <v/>
      </c>
      <c r="T936">
        <f>'T_SelfStock'!R13</f>
        <v/>
      </c>
      <c r="U936">
        <f>'T_SelfStock'!S13</f>
        <v/>
      </c>
      <c r="V936">
        <f>'T_SelfStock'!T13</f>
        <v/>
      </c>
      <c r="W936">
        <f>'T_SelfStock'!U13</f>
        <v/>
      </c>
      <c r="X936">
        <f>'T_SelfStock'!V13</f>
        <v/>
      </c>
      <c r="Y936">
        <f>'T_SelfStock'!W13</f>
        <v/>
      </c>
      <c r="Z936">
        <f>'T_SelfStock'!X13</f>
        <v/>
      </c>
      <c r="AA936">
        <f>'T_SelfStock'!Y13</f>
        <v/>
      </c>
      <c r="AB936">
        <f>'T_SelfStock'!Z13</f>
        <v/>
      </c>
      <c r="AC936">
        <f>'T_SelfStock'!AA13</f>
        <v/>
      </c>
      <c r="AD936">
        <f>'T_SelfStock'!AB13</f>
        <v/>
      </c>
      <c r="AE936">
        <f>'T_SelfStock'!AC13</f>
        <v/>
      </c>
      <c r="AF936">
        <f>'T_SelfStock'!AD13</f>
        <v/>
      </c>
      <c r="AG936">
        <f>'T_SelfStock'!AE13</f>
        <v/>
      </c>
      <c r="AH936">
        <f>'T_SelfStock'!AF13</f>
        <v/>
      </c>
      <c r="AI936">
        <f>'T_SelfStock'!AG13</f>
        <v/>
      </c>
      <c r="AJ936">
        <f>'T_SelfStock'!AH13</f>
        <v/>
      </c>
      <c r="AK936">
        <f>'T_SelfStock'!AI13</f>
        <v/>
      </c>
      <c r="AL936">
        <f>'T_SelfStock'!AJ13</f>
        <v/>
      </c>
      <c r="AM936">
        <f>'T_SelfStock'!AK13</f>
        <v/>
      </c>
      <c r="AN936">
        <f>'T_SelfStock'!AL13</f>
        <v/>
      </c>
      <c r="AO936">
        <f>'T_SelfStock'!AM13</f>
        <v/>
      </c>
      <c r="AP936">
        <f>'T_SelfStock'!AN13</f>
        <v/>
      </c>
      <c r="AQ936">
        <f>'T_SelfStock'!AO13</f>
        <v/>
      </c>
      <c r="AR936">
        <f>'T_SelfStock'!AP13</f>
        <v/>
      </c>
      <c r="AS936">
        <f>'T_SelfStock'!AQ13</f>
        <v/>
      </c>
      <c r="AT936">
        <f>'T_SelfStock'!AR13</f>
        <v/>
      </c>
      <c r="AU936">
        <f>'T_SelfStock'!AS13</f>
        <v/>
      </c>
      <c r="AV936">
        <f>'T_SelfStock'!AT13</f>
        <v/>
      </c>
      <c r="AW936">
        <f>'T_SelfStock'!AU13</f>
        <v/>
      </c>
      <c r="AX936">
        <f>'T_SelfStock'!AV13</f>
        <v/>
      </c>
      <c r="AY936">
        <f>'T_SelfStock'!AW13</f>
        <v/>
      </c>
      <c r="AZ936">
        <f>'T_SelfStock'!AX13</f>
        <v/>
      </c>
      <c r="BA936">
        <f>'T_SelfStock'!AY13</f>
        <v/>
      </c>
      <c r="BB936">
        <f>'T_SelfStock'!AZ13</f>
        <v/>
      </c>
      <c r="BC936">
        <f>'T_SelfStock'!BA13</f>
        <v/>
      </c>
      <c r="BD936">
        <f>'T_SelfStock'!BB13</f>
        <v/>
      </c>
      <c r="BE936">
        <f>'T_SelfStock'!BC13</f>
        <v/>
      </c>
      <c r="BF936">
        <f>'T_SelfStock'!BD13</f>
        <v/>
      </c>
      <c r="BG936">
        <f>'T_SelfStock'!BE13</f>
        <v/>
      </c>
      <c r="BH936">
        <f>'T_SelfStock'!BF13</f>
        <v/>
      </c>
      <c r="BI936">
        <f>'T_SelfStock'!BG13</f>
        <v/>
      </c>
      <c r="BJ936">
        <f>'T_SelfStock'!BH13</f>
        <v/>
      </c>
      <c r="BK936">
        <f>'T_SelfStock'!BI13</f>
        <v/>
      </c>
      <c r="BL936">
        <f>'T_SelfStock'!BJ13</f>
        <v/>
      </c>
      <c r="BM936">
        <f>'T_SelfStock'!BK13</f>
        <v/>
      </c>
      <c r="BN936">
        <f>'T_SelfStock'!BL13</f>
        <v/>
      </c>
      <c r="BO936">
        <f>'T_SelfStock'!BM13</f>
        <v/>
      </c>
      <c r="BP936">
        <f>'T_SelfStock'!BN13</f>
        <v/>
      </c>
      <c r="BQ936">
        <f>'T_SelfStock'!BO13</f>
        <v/>
      </c>
      <c r="BR936">
        <f>'T_SelfStock'!BP13</f>
        <v/>
      </c>
      <c r="BS936">
        <f>'T_SelfStock'!BQ13</f>
        <v/>
      </c>
      <c r="BT936">
        <f>'T_SelfStock'!BR13</f>
        <v/>
      </c>
      <c r="BU936">
        <f>'T_SelfStock'!BS13</f>
        <v/>
      </c>
      <c r="BV936">
        <f>'T_SelfStock'!BT13</f>
        <v/>
      </c>
      <c r="BW936">
        <f>'T_SelfStock'!BU13</f>
        <v/>
      </c>
      <c r="BX936">
        <f>'T_SelfStock'!BV13</f>
        <v/>
      </c>
      <c r="BY936">
        <f>'T_SelfStock'!BW13</f>
        <v/>
      </c>
      <c r="BZ936">
        <f>'T_SelfStock'!BX13</f>
        <v/>
      </c>
      <c r="CA936">
        <f>'T_SelfStock'!BY13</f>
        <v/>
      </c>
      <c r="CB936">
        <f>'T_SelfStock'!BZ13</f>
        <v/>
      </c>
      <c r="CC936">
        <f>'T_SelfStock'!CA13</f>
        <v/>
      </c>
      <c r="CD936">
        <f>'T_SelfStock'!CB13</f>
        <v/>
      </c>
      <c r="CE936">
        <f>'T_SelfStock'!CC13</f>
        <v/>
      </c>
      <c r="CF936">
        <f>'T_SelfStock'!CD13</f>
        <v/>
      </c>
      <c r="CG936">
        <f>'T_SelfStock'!CE13</f>
        <v/>
      </c>
      <c r="CH936">
        <f>'T_SelfStock'!CF13</f>
        <v/>
      </c>
      <c r="CI936">
        <f>'T_SelfStock'!CG13</f>
        <v/>
      </c>
      <c r="CJ936">
        <f>'T_SelfStock'!CH13</f>
        <v/>
      </c>
      <c r="CK936">
        <f>'T_SelfStock'!CI13</f>
        <v/>
      </c>
      <c r="CL936">
        <f>'T_SelfStock'!CJ13</f>
        <v/>
      </c>
      <c r="CM936">
        <f>'T_SelfStock'!CK13</f>
        <v/>
      </c>
      <c r="CN936">
        <f>'T_SelfStock'!CL13</f>
        <v/>
      </c>
      <c r="CO936">
        <f>'T_SelfStock'!CM13</f>
        <v/>
      </c>
      <c r="CP936">
        <f>'T_SelfStock'!CN13</f>
        <v/>
      </c>
      <c r="CQ936">
        <f>'T_SelfStock'!CO13</f>
        <v/>
      </c>
      <c r="CR936">
        <f>'T_SelfStock'!CP13</f>
        <v/>
      </c>
      <c r="CS936">
        <f>'T_SelfStock'!CQ13</f>
        <v/>
      </c>
      <c r="CT936">
        <f>'T_SelfStock'!CR13</f>
        <v/>
      </c>
      <c r="CU936">
        <f>'T_SelfStock'!CS13</f>
        <v/>
      </c>
      <c r="CV936">
        <f>'T_SelfStock'!CT13</f>
        <v/>
      </c>
      <c r="CW936">
        <f>'T_SelfStock'!CU13</f>
        <v/>
      </c>
      <c r="CX936">
        <f>'T_SelfStock'!CV13</f>
        <v/>
      </c>
      <c r="CY936">
        <f>'T_SelfStock'!CW13</f>
        <v/>
      </c>
      <c r="CZ936">
        <f>'T_SelfStock'!CX13</f>
        <v/>
      </c>
      <c r="DA936">
        <f>'T_SelfStock'!CY13</f>
        <v/>
      </c>
      <c r="DB936">
        <f>'T_SelfStock'!CZ13</f>
        <v/>
      </c>
      <c r="DC936">
        <f>'T_SelfStock'!DA13</f>
        <v/>
      </c>
    </row>
    <row r="937">
      <c r="B937" s="4" t="inlineStr">
        <is>
          <t>合計在庫(週末時点,kg)</t>
        </is>
      </c>
      <c r="D937">
        <f>'Grid_Stock'!B9</f>
        <v/>
      </c>
      <c r="E937">
        <f>'Grid_Stock'!C9</f>
        <v/>
      </c>
      <c r="F937">
        <f>'Grid_Stock'!D9</f>
        <v/>
      </c>
      <c r="G937">
        <f>'Grid_Stock'!E9</f>
        <v/>
      </c>
      <c r="H937">
        <f>'Grid_Stock'!F9</f>
        <v/>
      </c>
      <c r="I937">
        <f>'Grid_Stock'!G9</f>
        <v/>
      </c>
      <c r="J937">
        <f>'Grid_Stock'!H9</f>
        <v/>
      </c>
      <c r="K937">
        <f>'Grid_Stock'!I9</f>
        <v/>
      </c>
      <c r="L937">
        <f>'Grid_Stock'!J9</f>
        <v/>
      </c>
      <c r="M937">
        <f>'Grid_Stock'!K9</f>
        <v/>
      </c>
      <c r="N937">
        <f>'Grid_Stock'!L9</f>
        <v/>
      </c>
      <c r="O937">
        <f>'Grid_Stock'!M9</f>
        <v/>
      </c>
      <c r="P937">
        <f>'Grid_Stock'!N9</f>
        <v/>
      </c>
      <c r="Q937">
        <f>'Grid_Stock'!O9</f>
        <v/>
      </c>
      <c r="R937">
        <f>'Grid_Stock'!P9</f>
        <v/>
      </c>
      <c r="S937">
        <f>'Grid_Stock'!Q9</f>
        <v/>
      </c>
      <c r="T937">
        <f>'Grid_Stock'!R9</f>
        <v/>
      </c>
      <c r="U937">
        <f>'Grid_Stock'!S9</f>
        <v/>
      </c>
      <c r="V937">
        <f>'Grid_Stock'!T9</f>
        <v/>
      </c>
      <c r="W937">
        <f>'Grid_Stock'!U9</f>
        <v/>
      </c>
      <c r="X937">
        <f>'Grid_Stock'!V9</f>
        <v/>
      </c>
      <c r="Y937">
        <f>'Grid_Stock'!W9</f>
        <v/>
      </c>
      <c r="Z937">
        <f>'Grid_Stock'!X9</f>
        <v/>
      </c>
      <c r="AA937">
        <f>'Grid_Stock'!Y9</f>
        <v/>
      </c>
      <c r="AB937">
        <f>'Grid_Stock'!Z9</f>
        <v/>
      </c>
      <c r="AC937">
        <f>'Grid_Stock'!AA9</f>
        <v/>
      </c>
      <c r="AD937">
        <f>'Grid_Stock'!AB9</f>
        <v/>
      </c>
      <c r="AE937">
        <f>'Grid_Stock'!AC9</f>
        <v/>
      </c>
      <c r="AF937">
        <f>'Grid_Stock'!AD9</f>
        <v/>
      </c>
      <c r="AG937">
        <f>'Grid_Stock'!AE9</f>
        <v/>
      </c>
      <c r="AH937">
        <f>'Grid_Stock'!AF9</f>
        <v/>
      </c>
      <c r="AI937">
        <f>'Grid_Stock'!AG9</f>
        <v/>
      </c>
      <c r="AJ937">
        <f>'Grid_Stock'!AH9</f>
        <v/>
      </c>
      <c r="AK937">
        <f>'Grid_Stock'!AI9</f>
        <v/>
      </c>
      <c r="AL937">
        <f>'Grid_Stock'!AJ9</f>
        <v/>
      </c>
      <c r="AM937">
        <f>'Grid_Stock'!AK9</f>
        <v/>
      </c>
      <c r="AN937">
        <f>'Grid_Stock'!AL9</f>
        <v/>
      </c>
      <c r="AO937">
        <f>'Grid_Stock'!AM9</f>
        <v/>
      </c>
      <c r="AP937">
        <f>'Grid_Stock'!AN9</f>
        <v/>
      </c>
      <c r="AQ937">
        <f>'Grid_Stock'!AO9</f>
        <v/>
      </c>
      <c r="AR937">
        <f>'Grid_Stock'!AP9</f>
        <v/>
      </c>
      <c r="AS937">
        <f>'Grid_Stock'!AQ9</f>
        <v/>
      </c>
      <c r="AT937">
        <f>'Grid_Stock'!AR9</f>
        <v/>
      </c>
      <c r="AU937">
        <f>'Grid_Stock'!AS9</f>
        <v/>
      </c>
      <c r="AV937">
        <f>'Grid_Stock'!AT9</f>
        <v/>
      </c>
      <c r="AW937">
        <f>'Grid_Stock'!AU9</f>
        <v/>
      </c>
      <c r="AX937">
        <f>'Grid_Stock'!AV9</f>
        <v/>
      </c>
      <c r="AY937">
        <f>'Grid_Stock'!AW9</f>
        <v/>
      </c>
      <c r="AZ937">
        <f>'Grid_Stock'!AX9</f>
        <v/>
      </c>
      <c r="BA937">
        <f>'Grid_Stock'!AY9</f>
        <v/>
      </c>
      <c r="BB937">
        <f>'Grid_Stock'!AZ9</f>
        <v/>
      </c>
      <c r="BC937">
        <f>'Grid_Stock'!BA9</f>
        <v/>
      </c>
      <c r="BD937">
        <f>'Grid_Stock'!BB9</f>
        <v/>
      </c>
      <c r="BE937">
        <f>'Grid_Stock'!BC9</f>
        <v/>
      </c>
      <c r="BF937">
        <f>'Grid_Stock'!BD9</f>
        <v/>
      </c>
      <c r="BG937">
        <f>'Grid_Stock'!BE9</f>
        <v/>
      </c>
      <c r="BH937">
        <f>'Grid_Stock'!BF9</f>
        <v/>
      </c>
      <c r="BI937">
        <f>'Grid_Stock'!BG9</f>
        <v/>
      </c>
      <c r="BJ937">
        <f>'Grid_Stock'!BH9</f>
        <v/>
      </c>
      <c r="BK937">
        <f>'Grid_Stock'!BI9</f>
        <v/>
      </c>
      <c r="BL937">
        <f>'Grid_Stock'!BJ9</f>
        <v/>
      </c>
      <c r="BM937">
        <f>'Grid_Stock'!BK9</f>
        <v/>
      </c>
      <c r="BN937">
        <f>'Grid_Stock'!BL9</f>
        <v/>
      </c>
      <c r="BO937">
        <f>'Grid_Stock'!BM9</f>
        <v/>
      </c>
      <c r="BP937">
        <f>'Grid_Stock'!BN9</f>
        <v/>
      </c>
      <c r="BQ937">
        <f>'Grid_Stock'!BO9</f>
        <v/>
      </c>
      <c r="BR937">
        <f>'Grid_Stock'!BP9</f>
        <v/>
      </c>
      <c r="BS937">
        <f>'Grid_Stock'!BQ9</f>
        <v/>
      </c>
      <c r="BT937">
        <f>'Grid_Stock'!BR9</f>
        <v/>
      </c>
      <c r="BU937">
        <f>'Grid_Stock'!BS9</f>
        <v/>
      </c>
      <c r="BV937">
        <f>'Grid_Stock'!BT9</f>
        <v/>
      </c>
      <c r="BW937">
        <f>'Grid_Stock'!BU9</f>
        <v/>
      </c>
      <c r="BX937">
        <f>'Grid_Stock'!BV9</f>
        <v/>
      </c>
      <c r="BY937">
        <f>'Grid_Stock'!BW9</f>
        <v/>
      </c>
      <c r="BZ937">
        <f>'Grid_Stock'!BX9</f>
        <v/>
      </c>
      <c r="CA937">
        <f>'Grid_Stock'!BY9</f>
        <v/>
      </c>
      <c r="CB937">
        <f>'Grid_Stock'!BZ9</f>
        <v/>
      </c>
      <c r="CC937">
        <f>'Grid_Stock'!CA9</f>
        <v/>
      </c>
      <c r="CD937">
        <f>'Grid_Stock'!CB9</f>
        <v/>
      </c>
      <c r="CE937">
        <f>'Grid_Stock'!CC9</f>
        <v/>
      </c>
      <c r="CF937">
        <f>'Grid_Stock'!CD9</f>
        <v/>
      </c>
      <c r="CG937">
        <f>'Grid_Stock'!CE9</f>
        <v/>
      </c>
      <c r="CH937">
        <f>'Grid_Stock'!CF9</f>
        <v/>
      </c>
      <c r="CI937">
        <f>'Grid_Stock'!CG9</f>
        <v/>
      </c>
      <c r="CJ937">
        <f>'Grid_Stock'!CH9</f>
        <v/>
      </c>
      <c r="CK937">
        <f>'Grid_Stock'!CI9</f>
        <v/>
      </c>
      <c r="CL937">
        <f>'Grid_Stock'!CJ9</f>
        <v/>
      </c>
      <c r="CM937">
        <f>'Grid_Stock'!CK9</f>
        <v/>
      </c>
      <c r="CN937">
        <f>'Grid_Stock'!CL9</f>
        <v/>
      </c>
      <c r="CO937">
        <f>'Grid_Stock'!CM9</f>
        <v/>
      </c>
      <c r="CP937">
        <f>'Grid_Stock'!CN9</f>
        <v/>
      </c>
      <c r="CQ937">
        <f>'Grid_Stock'!CO9</f>
        <v/>
      </c>
      <c r="CR937">
        <f>'Grid_Stock'!CP9</f>
        <v/>
      </c>
      <c r="CS937">
        <f>'Grid_Stock'!CQ9</f>
        <v/>
      </c>
      <c r="CT937">
        <f>'Grid_Stock'!CR9</f>
        <v/>
      </c>
      <c r="CU937">
        <f>'Grid_Stock'!CS9</f>
        <v/>
      </c>
      <c r="CV937">
        <f>'Grid_Stock'!CT9</f>
        <v/>
      </c>
      <c r="CW937">
        <f>'Grid_Stock'!CU9</f>
        <v/>
      </c>
      <c r="CX937">
        <f>'Grid_Stock'!CV9</f>
        <v/>
      </c>
      <c r="CY937">
        <f>'Grid_Stock'!CW9</f>
        <v/>
      </c>
      <c r="CZ937">
        <f>'Grid_Stock'!CX9</f>
        <v/>
      </c>
      <c r="DA937">
        <f>'Grid_Stock'!CY9</f>
        <v/>
      </c>
      <c r="DB937">
        <f>'Grid_Stock'!CZ9</f>
        <v/>
      </c>
      <c r="DC937">
        <f>'Grid_Stock'!DA9</f>
        <v/>
      </c>
    </row>
    <row r="938">
      <c r="B938" s="16" t="inlineStr">
        <is>
          <t>（発注の目安はDashboardの基準在庫[下限/上限]と色分けを参照）</t>
        </is>
      </c>
    </row>
    <row r="940">
      <c r="A940" s="14" t="inlineStr">
        <is>
          <t>CHEM-1760</t>
        </is>
      </c>
      <c r="B940" s="14" t="inlineStr">
        <is>
          <t>Pigment(TC RED FD(A))</t>
        </is>
      </c>
      <c r="C940" s="15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  <c r="AA940" s="14" t="n"/>
      <c r="AB940" s="14" t="n"/>
      <c r="AC940" s="14" t="n"/>
      <c r="AD940" s="14" t="n"/>
      <c r="AE940" s="14" t="n"/>
      <c r="AF940" s="14" t="n"/>
      <c r="AG940" s="14" t="n"/>
      <c r="AH940" s="14" t="n"/>
      <c r="AI940" s="14" t="n"/>
      <c r="AJ940" s="14" t="n"/>
      <c r="AK940" s="14" t="n"/>
      <c r="AL940" s="14" t="n"/>
      <c r="AM940" s="14" t="n"/>
      <c r="AN940" s="14" t="n"/>
      <c r="AO940" s="14" t="n"/>
      <c r="AP940" s="14" t="n"/>
      <c r="AQ940" s="14" t="n"/>
      <c r="AR940" s="14" t="n"/>
      <c r="AS940" s="14" t="n"/>
      <c r="AT940" s="14" t="n"/>
      <c r="AU940" s="14" t="n"/>
      <c r="AV940" s="14" t="n"/>
      <c r="AW940" s="14" t="n"/>
      <c r="AX940" s="14" t="n"/>
      <c r="AY940" s="14" t="n"/>
      <c r="AZ940" s="14" t="n"/>
      <c r="BA940" s="14" t="n"/>
      <c r="BB940" s="14" t="n"/>
      <c r="BC940" s="14" t="n"/>
      <c r="BD940" s="14" t="n"/>
      <c r="BE940" s="14" t="n"/>
      <c r="BF940" s="14" t="n"/>
      <c r="BG940" s="14" t="n"/>
      <c r="BH940" s="14" t="n"/>
      <c r="BI940" s="14" t="n"/>
      <c r="BJ940" s="14" t="n"/>
      <c r="BK940" s="14" t="n"/>
      <c r="BL940" s="14" t="n"/>
      <c r="BM940" s="14" t="n"/>
      <c r="BN940" s="14" t="n"/>
      <c r="BO940" s="14" t="n"/>
      <c r="BP940" s="14" t="n"/>
      <c r="BQ940" s="14" t="n"/>
      <c r="BR940" s="14" t="n"/>
      <c r="BS940" s="14" t="n"/>
      <c r="BT940" s="14" t="n"/>
      <c r="BU940" s="14" t="n"/>
      <c r="BV940" s="14" t="n"/>
      <c r="BW940" s="14" t="n"/>
      <c r="BX940" s="14" t="n"/>
      <c r="BY940" s="14" t="n"/>
      <c r="BZ940" s="14" t="n"/>
      <c r="CA940" s="14" t="n"/>
      <c r="CB940" s="14" t="n"/>
      <c r="CC940" s="14" t="n"/>
      <c r="CD940" s="14" t="n"/>
      <c r="CE940" s="14" t="n"/>
      <c r="CF940" s="14" t="n"/>
      <c r="CG940" s="14" t="n"/>
      <c r="CH940" s="14" t="n"/>
      <c r="CI940" s="14" t="n"/>
      <c r="CJ940" s="14" t="n"/>
      <c r="CK940" s="14" t="n"/>
      <c r="CL940" s="14" t="n"/>
      <c r="CM940" s="14" t="n"/>
      <c r="CN940" s="14" t="n"/>
      <c r="CO940" s="14" t="n"/>
      <c r="CP940" s="14" t="n"/>
      <c r="CQ940" s="14" t="n"/>
      <c r="CR940" s="14" t="n"/>
      <c r="CS940" s="14" t="n"/>
      <c r="CT940" s="14" t="n"/>
      <c r="CU940" s="14" t="n"/>
      <c r="CV940" s="14" t="n"/>
      <c r="CW940" s="14" t="n"/>
      <c r="CX940" s="14" t="n"/>
      <c r="CY940" s="14" t="n"/>
      <c r="CZ940" s="14" t="n"/>
      <c r="DA940" s="14" t="n"/>
      <c r="DB940" s="14" t="n"/>
      <c r="DC940" s="14" t="n"/>
    </row>
    <row r="941">
      <c r="B941" t="inlineStr">
        <is>
          <t>TVS-833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SUMIFS(M_BOM[RM_Qty_Per_Batch],M_BOM[Intermediate],$B941,M_BOM[Part Name],$A940)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TVS-267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SUMIFS(M_BOM[RM_Qty_Per_Batch],M_BOM[Intermediate],$B943,M_BOM[Part Name],$A940)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TVS-500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SUMIFS(M_BOM[RM_Qty_Per_Batch],M_BOM[Intermediate],$B945,M_BOM[Part Name],$A940)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s="4" t="inlineStr">
        <is>
          <t>合計使用量(kg)/週</t>
        </is>
      </c>
      <c r="D947">
        <f>'Grid_Requirement'!B23</f>
        <v/>
      </c>
      <c r="E947">
        <f>'Grid_Requirement'!C23</f>
        <v/>
      </c>
      <c r="F947">
        <f>'Grid_Requirement'!D23</f>
        <v/>
      </c>
      <c r="G947">
        <f>'Grid_Requirement'!E23</f>
        <v/>
      </c>
      <c r="H947">
        <f>'Grid_Requirement'!F23</f>
        <v/>
      </c>
      <c r="I947">
        <f>'Grid_Requirement'!G23</f>
        <v/>
      </c>
      <c r="J947">
        <f>'Grid_Requirement'!H23</f>
        <v/>
      </c>
      <c r="K947">
        <f>'Grid_Requirement'!I23</f>
        <v/>
      </c>
      <c r="L947">
        <f>'Grid_Requirement'!J23</f>
        <v/>
      </c>
      <c r="M947">
        <f>'Grid_Requirement'!K23</f>
        <v/>
      </c>
      <c r="N947">
        <f>'Grid_Requirement'!L23</f>
        <v/>
      </c>
      <c r="O947">
        <f>'Grid_Requirement'!M23</f>
        <v/>
      </c>
      <c r="P947">
        <f>'Grid_Requirement'!N23</f>
        <v/>
      </c>
      <c r="Q947">
        <f>'Grid_Requirement'!O23</f>
        <v/>
      </c>
      <c r="R947">
        <f>'Grid_Requirement'!P23</f>
        <v/>
      </c>
      <c r="S947">
        <f>'Grid_Requirement'!Q23</f>
        <v/>
      </c>
      <c r="T947">
        <f>'Grid_Requirement'!R23</f>
        <v/>
      </c>
      <c r="U947">
        <f>'Grid_Requirement'!S23</f>
        <v/>
      </c>
      <c r="V947">
        <f>'Grid_Requirement'!T23</f>
        <v/>
      </c>
      <c r="W947">
        <f>'Grid_Requirement'!U23</f>
        <v/>
      </c>
      <c r="X947">
        <f>'Grid_Requirement'!V23</f>
        <v/>
      </c>
      <c r="Y947">
        <f>'Grid_Requirement'!W23</f>
        <v/>
      </c>
      <c r="Z947">
        <f>'Grid_Requirement'!X23</f>
        <v/>
      </c>
      <c r="AA947">
        <f>'Grid_Requirement'!Y23</f>
        <v/>
      </c>
      <c r="AB947">
        <f>'Grid_Requirement'!Z23</f>
        <v/>
      </c>
      <c r="AC947">
        <f>'Grid_Requirement'!AA23</f>
        <v/>
      </c>
      <c r="AD947">
        <f>'Grid_Requirement'!AB23</f>
        <v/>
      </c>
      <c r="AE947">
        <f>'Grid_Requirement'!AC23</f>
        <v/>
      </c>
      <c r="AF947">
        <f>'Grid_Requirement'!AD23</f>
        <v/>
      </c>
      <c r="AG947">
        <f>'Grid_Requirement'!AE23</f>
        <v/>
      </c>
      <c r="AH947">
        <f>'Grid_Requirement'!AF23</f>
        <v/>
      </c>
      <c r="AI947">
        <f>'Grid_Requirement'!AG23</f>
        <v/>
      </c>
      <c r="AJ947">
        <f>'Grid_Requirement'!AH23</f>
        <v/>
      </c>
      <c r="AK947">
        <f>'Grid_Requirement'!AI23</f>
        <v/>
      </c>
      <c r="AL947">
        <f>'Grid_Requirement'!AJ23</f>
        <v/>
      </c>
      <c r="AM947">
        <f>'Grid_Requirement'!AK23</f>
        <v/>
      </c>
      <c r="AN947">
        <f>'Grid_Requirement'!AL23</f>
        <v/>
      </c>
      <c r="AO947">
        <f>'Grid_Requirement'!AM23</f>
        <v/>
      </c>
      <c r="AP947">
        <f>'Grid_Requirement'!AN23</f>
        <v/>
      </c>
      <c r="AQ947">
        <f>'Grid_Requirement'!AO23</f>
        <v/>
      </c>
      <c r="AR947">
        <f>'Grid_Requirement'!AP23</f>
        <v/>
      </c>
      <c r="AS947">
        <f>'Grid_Requirement'!AQ23</f>
        <v/>
      </c>
      <c r="AT947">
        <f>'Grid_Requirement'!AR23</f>
        <v/>
      </c>
      <c r="AU947">
        <f>'Grid_Requirement'!AS23</f>
        <v/>
      </c>
      <c r="AV947">
        <f>'Grid_Requirement'!AT23</f>
        <v/>
      </c>
      <c r="AW947">
        <f>'Grid_Requirement'!AU23</f>
        <v/>
      </c>
      <c r="AX947">
        <f>'Grid_Requirement'!AV23</f>
        <v/>
      </c>
      <c r="AY947">
        <f>'Grid_Requirement'!AW23</f>
        <v/>
      </c>
      <c r="AZ947">
        <f>'Grid_Requirement'!AX23</f>
        <v/>
      </c>
      <c r="BA947">
        <f>'Grid_Requirement'!AY23</f>
        <v/>
      </c>
      <c r="BB947">
        <f>'Grid_Requirement'!AZ23</f>
        <v/>
      </c>
      <c r="BC947">
        <f>'Grid_Requirement'!BA23</f>
        <v/>
      </c>
      <c r="BD947">
        <f>'Grid_Requirement'!BB23</f>
        <v/>
      </c>
      <c r="BE947">
        <f>'Grid_Requirement'!BC23</f>
        <v/>
      </c>
      <c r="BF947">
        <f>'Grid_Requirement'!BD23</f>
        <v/>
      </c>
      <c r="BG947">
        <f>'Grid_Requirement'!BE23</f>
        <v/>
      </c>
      <c r="BH947">
        <f>'Grid_Requirement'!BF23</f>
        <v/>
      </c>
      <c r="BI947">
        <f>'Grid_Requirement'!BG23</f>
        <v/>
      </c>
      <c r="BJ947">
        <f>'Grid_Requirement'!BH23</f>
        <v/>
      </c>
      <c r="BK947">
        <f>'Grid_Requirement'!BI23</f>
        <v/>
      </c>
      <c r="BL947">
        <f>'Grid_Requirement'!BJ23</f>
        <v/>
      </c>
      <c r="BM947">
        <f>'Grid_Requirement'!BK23</f>
        <v/>
      </c>
      <c r="BN947">
        <f>'Grid_Requirement'!BL23</f>
        <v/>
      </c>
      <c r="BO947">
        <f>'Grid_Requirement'!BM23</f>
        <v/>
      </c>
      <c r="BP947">
        <f>'Grid_Requirement'!BN23</f>
        <v/>
      </c>
      <c r="BQ947">
        <f>'Grid_Requirement'!BO23</f>
        <v/>
      </c>
      <c r="BR947">
        <f>'Grid_Requirement'!BP23</f>
        <v/>
      </c>
      <c r="BS947">
        <f>'Grid_Requirement'!BQ23</f>
        <v/>
      </c>
      <c r="BT947">
        <f>'Grid_Requirement'!BR23</f>
        <v/>
      </c>
      <c r="BU947">
        <f>'Grid_Requirement'!BS23</f>
        <v/>
      </c>
      <c r="BV947">
        <f>'Grid_Requirement'!BT23</f>
        <v/>
      </c>
      <c r="BW947">
        <f>'Grid_Requirement'!BU23</f>
        <v/>
      </c>
      <c r="BX947">
        <f>'Grid_Requirement'!BV23</f>
        <v/>
      </c>
      <c r="BY947">
        <f>'Grid_Requirement'!BW23</f>
        <v/>
      </c>
      <c r="BZ947">
        <f>'Grid_Requirement'!BX23</f>
        <v/>
      </c>
      <c r="CA947">
        <f>'Grid_Requirement'!BY23</f>
        <v/>
      </c>
      <c r="CB947">
        <f>'Grid_Requirement'!BZ23</f>
        <v/>
      </c>
      <c r="CC947">
        <f>'Grid_Requirement'!CA23</f>
        <v/>
      </c>
      <c r="CD947">
        <f>'Grid_Requirement'!CB23</f>
        <v/>
      </c>
      <c r="CE947">
        <f>'Grid_Requirement'!CC23</f>
        <v/>
      </c>
      <c r="CF947">
        <f>'Grid_Requirement'!CD23</f>
        <v/>
      </c>
      <c r="CG947">
        <f>'Grid_Requirement'!CE23</f>
        <v/>
      </c>
      <c r="CH947">
        <f>'Grid_Requirement'!CF23</f>
        <v/>
      </c>
      <c r="CI947">
        <f>'Grid_Requirement'!CG23</f>
        <v/>
      </c>
      <c r="CJ947">
        <f>'Grid_Requirement'!CH23</f>
        <v/>
      </c>
      <c r="CK947">
        <f>'Grid_Requirement'!CI23</f>
        <v/>
      </c>
      <c r="CL947">
        <f>'Grid_Requirement'!CJ23</f>
        <v/>
      </c>
      <c r="CM947">
        <f>'Grid_Requirement'!CK23</f>
        <v/>
      </c>
      <c r="CN947">
        <f>'Grid_Requirement'!CL23</f>
        <v/>
      </c>
      <c r="CO947">
        <f>'Grid_Requirement'!CM23</f>
        <v/>
      </c>
      <c r="CP947">
        <f>'Grid_Requirement'!CN23</f>
        <v/>
      </c>
      <c r="CQ947">
        <f>'Grid_Requirement'!CO23</f>
        <v/>
      </c>
      <c r="CR947">
        <f>'Grid_Requirement'!CP23</f>
        <v/>
      </c>
      <c r="CS947">
        <f>'Grid_Requirement'!CQ23</f>
        <v/>
      </c>
      <c r="CT947">
        <f>'Grid_Requirement'!CR23</f>
        <v/>
      </c>
      <c r="CU947">
        <f>'Grid_Requirement'!CS23</f>
        <v/>
      </c>
      <c r="CV947">
        <f>'Grid_Requirement'!CT23</f>
        <v/>
      </c>
      <c r="CW947">
        <f>'Grid_Requirement'!CU23</f>
        <v/>
      </c>
      <c r="CX947">
        <f>'Grid_Requirement'!CV23</f>
        <v/>
      </c>
      <c r="CY947">
        <f>'Grid_Requirement'!CW23</f>
        <v/>
      </c>
      <c r="CZ947">
        <f>'Grid_Requirement'!CX23</f>
        <v/>
      </c>
      <c r="DA947">
        <f>'Grid_Requirement'!CY23</f>
        <v/>
      </c>
      <c r="DB947">
        <f>'Grid_Requirement'!CZ23</f>
        <v/>
      </c>
      <c r="DC947">
        <f>'Grid_Requirement'!DA23</f>
        <v/>
      </c>
    </row>
    <row r="948">
      <c r="B948" t="inlineStr">
        <is>
          <t>TTAF在庫(実績,kg)</t>
        </is>
      </c>
      <c r="D948">
        <f>'T_TTAFStock'!B27</f>
        <v/>
      </c>
      <c r="E948">
        <f>'T_TTAFStock'!C27</f>
        <v/>
      </c>
      <c r="F948">
        <f>'T_TTAFStock'!D27</f>
        <v/>
      </c>
      <c r="G948">
        <f>'T_TTAFStock'!E27</f>
        <v/>
      </c>
      <c r="H948">
        <f>'T_TTAFStock'!F27</f>
        <v/>
      </c>
      <c r="I948">
        <f>'T_TTAFStock'!G27</f>
        <v/>
      </c>
      <c r="J948">
        <f>'T_TTAFStock'!H27</f>
        <v/>
      </c>
      <c r="K948">
        <f>'T_TTAFStock'!I27</f>
        <v/>
      </c>
      <c r="L948">
        <f>'T_TTAFStock'!J27</f>
        <v/>
      </c>
      <c r="M948">
        <f>'T_TTAFStock'!K27</f>
        <v/>
      </c>
      <c r="N948">
        <f>'T_TTAFStock'!L27</f>
        <v/>
      </c>
      <c r="O948">
        <f>'T_TTAFStock'!M27</f>
        <v/>
      </c>
      <c r="P948">
        <f>'T_TTAFStock'!N27</f>
        <v/>
      </c>
      <c r="Q948">
        <f>'T_TTAFStock'!O27</f>
        <v/>
      </c>
      <c r="R948">
        <f>'T_TTAFStock'!P27</f>
        <v/>
      </c>
      <c r="S948">
        <f>'T_TTAFStock'!Q27</f>
        <v/>
      </c>
      <c r="T948">
        <f>'T_TTAFStock'!R27</f>
        <v/>
      </c>
      <c r="U948">
        <f>'T_TTAFStock'!S27</f>
        <v/>
      </c>
      <c r="V948">
        <f>'T_TTAFStock'!T27</f>
        <v/>
      </c>
      <c r="W948">
        <f>'T_TTAFStock'!U27</f>
        <v/>
      </c>
      <c r="X948">
        <f>'T_TTAFStock'!V27</f>
        <v/>
      </c>
      <c r="Y948">
        <f>'T_TTAFStock'!W27</f>
        <v/>
      </c>
      <c r="Z948">
        <f>'T_TTAFStock'!X27</f>
        <v/>
      </c>
      <c r="AA948">
        <f>'T_TTAFStock'!Y27</f>
        <v/>
      </c>
      <c r="AB948">
        <f>'T_TTAFStock'!Z27</f>
        <v/>
      </c>
      <c r="AC948">
        <f>'T_TTAFStock'!AA27</f>
        <v/>
      </c>
      <c r="AD948">
        <f>'T_TTAFStock'!AB27</f>
        <v/>
      </c>
      <c r="AE948">
        <f>'T_TTAFStock'!AC27</f>
        <v/>
      </c>
      <c r="AF948">
        <f>'T_TTAFStock'!AD27</f>
        <v/>
      </c>
      <c r="AG948">
        <f>'T_TTAFStock'!AE27</f>
        <v/>
      </c>
      <c r="AH948">
        <f>'T_TTAFStock'!AF27</f>
        <v/>
      </c>
      <c r="AI948">
        <f>'T_TTAFStock'!AG27</f>
        <v/>
      </c>
      <c r="AJ948">
        <f>'T_TTAFStock'!AH27</f>
        <v/>
      </c>
      <c r="AK948">
        <f>'T_TTAFStock'!AI27</f>
        <v/>
      </c>
      <c r="AL948">
        <f>'T_TTAFStock'!AJ27</f>
        <v/>
      </c>
      <c r="AM948">
        <f>'T_TTAFStock'!AK27</f>
        <v/>
      </c>
      <c r="AN948">
        <f>'T_TTAFStock'!AL27</f>
        <v/>
      </c>
      <c r="AO948">
        <f>'T_TTAFStock'!AM27</f>
        <v/>
      </c>
      <c r="AP948">
        <f>'T_TTAFStock'!AN27</f>
        <v/>
      </c>
      <c r="AQ948">
        <f>'T_TTAFStock'!AO27</f>
        <v/>
      </c>
      <c r="AR948">
        <f>'T_TTAFStock'!AP27</f>
        <v/>
      </c>
      <c r="AS948">
        <f>'T_TTAFStock'!AQ27</f>
        <v/>
      </c>
      <c r="AT948">
        <f>'T_TTAFStock'!AR27</f>
        <v/>
      </c>
      <c r="AU948">
        <f>'T_TTAFStock'!AS27</f>
        <v/>
      </c>
      <c r="AV948">
        <f>'T_TTAFStock'!AT27</f>
        <v/>
      </c>
      <c r="AW948">
        <f>'T_TTAFStock'!AU27</f>
        <v/>
      </c>
      <c r="AX948">
        <f>'T_TTAFStock'!AV27</f>
        <v/>
      </c>
      <c r="AY948">
        <f>'T_TTAFStock'!AW27</f>
        <v/>
      </c>
      <c r="AZ948">
        <f>'T_TTAFStock'!AX27</f>
        <v/>
      </c>
      <c r="BA948">
        <f>'T_TTAFStock'!AY27</f>
        <v/>
      </c>
      <c r="BB948">
        <f>'T_TTAFStock'!AZ27</f>
        <v/>
      </c>
      <c r="BC948">
        <f>'T_TTAFStock'!BA27</f>
        <v/>
      </c>
      <c r="BD948">
        <f>'T_TTAFStock'!BB27</f>
        <v/>
      </c>
      <c r="BE948">
        <f>'T_TTAFStock'!BC27</f>
        <v/>
      </c>
      <c r="BF948">
        <f>'T_TTAFStock'!BD27</f>
        <v/>
      </c>
      <c r="BG948">
        <f>'T_TTAFStock'!BE27</f>
        <v/>
      </c>
      <c r="BH948">
        <f>'T_TTAFStock'!BF27</f>
        <v/>
      </c>
      <c r="BI948">
        <f>'T_TTAFStock'!BG27</f>
        <v/>
      </c>
      <c r="BJ948">
        <f>'T_TTAFStock'!BH27</f>
        <v/>
      </c>
      <c r="BK948">
        <f>'T_TTAFStock'!BI27</f>
        <v/>
      </c>
      <c r="BL948">
        <f>'T_TTAFStock'!BJ27</f>
        <v/>
      </c>
      <c r="BM948">
        <f>'T_TTAFStock'!BK27</f>
        <v/>
      </c>
      <c r="BN948">
        <f>'T_TTAFStock'!BL27</f>
        <v/>
      </c>
      <c r="BO948">
        <f>'T_TTAFStock'!BM27</f>
        <v/>
      </c>
      <c r="BP948">
        <f>'T_TTAFStock'!BN27</f>
        <v/>
      </c>
      <c r="BQ948">
        <f>'T_TTAFStock'!BO27</f>
        <v/>
      </c>
      <c r="BR948">
        <f>'T_TTAFStock'!BP27</f>
        <v/>
      </c>
      <c r="BS948">
        <f>'T_TTAFStock'!BQ27</f>
        <v/>
      </c>
      <c r="BT948">
        <f>'T_TTAFStock'!BR27</f>
        <v/>
      </c>
      <c r="BU948">
        <f>'T_TTAFStock'!BS27</f>
        <v/>
      </c>
      <c r="BV948">
        <f>'T_TTAFStock'!BT27</f>
        <v/>
      </c>
      <c r="BW948">
        <f>'T_TTAFStock'!BU27</f>
        <v/>
      </c>
      <c r="BX948">
        <f>'T_TTAFStock'!BV27</f>
        <v/>
      </c>
      <c r="BY948">
        <f>'T_TTAFStock'!BW27</f>
        <v/>
      </c>
      <c r="BZ948">
        <f>'T_TTAFStock'!BX27</f>
        <v/>
      </c>
      <c r="CA948">
        <f>'T_TTAFStock'!BY27</f>
        <v/>
      </c>
      <c r="CB948">
        <f>'T_TTAFStock'!BZ27</f>
        <v/>
      </c>
      <c r="CC948">
        <f>'T_TTAFStock'!CA27</f>
        <v/>
      </c>
      <c r="CD948">
        <f>'T_TTAFStock'!CB27</f>
        <v/>
      </c>
      <c r="CE948">
        <f>'T_TTAFStock'!CC27</f>
        <v/>
      </c>
      <c r="CF948">
        <f>'T_TTAFStock'!CD27</f>
        <v/>
      </c>
      <c r="CG948">
        <f>'T_TTAFStock'!CE27</f>
        <v/>
      </c>
      <c r="CH948">
        <f>'T_TTAFStock'!CF27</f>
        <v/>
      </c>
      <c r="CI948">
        <f>'T_TTAFStock'!CG27</f>
        <v/>
      </c>
      <c r="CJ948">
        <f>'T_TTAFStock'!CH27</f>
        <v/>
      </c>
      <c r="CK948">
        <f>'T_TTAFStock'!CI27</f>
        <v/>
      </c>
      <c r="CL948">
        <f>'T_TTAFStock'!CJ27</f>
        <v/>
      </c>
      <c r="CM948">
        <f>'T_TTAFStock'!CK27</f>
        <v/>
      </c>
      <c r="CN948">
        <f>'T_TTAFStock'!CL27</f>
        <v/>
      </c>
      <c r="CO948">
        <f>'T_TTAFStock'!CM27</f>
        <v/>
      </c>
      <c r="CP948">
        <f>'T_TTAFStock'!CN27</f>
        <v/>
      </c>
      <c r="CQ948">
        <f>'T_TTAFStock'!CO27</f>
        <v/>
      </c>
      <c r="CR948">
        <f>'T_TTAFStock'!CP27</f>
        <v/>
      </c>
      <c r="CS948">
        <f>'T_TTAFStock'!CQ27</f>
        <v/>
      </c>
      <c r="CT948">
        <f>'T_TTAFStock'!CR27</f>
        <v/>
      </c>
      <c r="CU948">
        <f>'T_TTAFStock'!CS27</f>
        <v/>
      </c>
      <c r="CV948">
        <f>'T_TTAFStock'!CT27</f>
        <v/>
      </c>
      <c r="CW948">
        <f>'T_TTAFStock'!CU27</f>
        <v/>
      </c>
      <c r="CX948">
        <f>'T_TTAFStock'!CV27</f>
        <v/>
      </c>
      <c r="CY948">
        <f>'T_TTAFStock'!CW27</f>
        <v/>
      </c>
      <c r="CZ948">
        <f>'T_TTAFStock'!CX27</f>
        <v/>
      </c>
      <c r="DA948">
        <f>'T_TTAFStock'!CY27</f>
        <v/>
      </c>
      <c r="DB948">
        <f>'T_TTAFStock'!CZ27</f>
        <v/>
      </c>
      <c r="DC948">
        <f>'T_TTAFStock'!DA27</f>
        <v/>
      </c>
    </row>
    <row r="949">
      <c r="B949" t="inlineStr">
        <is>
          <t>自社在庫(実績,kg)</t>
        </is>
      </c>
      <c r="D949">
        <f>'T_SelfStock'!B27</f>
        <v/>
      </c>
      <c r="E949">
        <f>'T_SelfStock'!C27</f>
        <v/>
      </c>
      <c r="F949">
        <f>'T_SelfStock'!D27</f>
        <v/>
      </c>
      <c r="G949">
        <f>'T_SelfStock'!E27</f>
        <v/>
      </c>
      <c r="H949">
        <f>'T_SelfStock'!F27</f>
        <v/>
      </c>
      <c r="I949">
        <f>'T_SelfStock'!G27</f>
        <v/>
      </c>
      <c r="J949">
        <f>'T_SelfStock'!H27</f>
        <v/>
      </c>
      <c r="K949">
        <f>'T_SelfStock'!I27</f>
        <v/>
      </c>
      <c r="L949">
        <f>'T_SelfStock'!J27</f>
        <v/>
      </c>
      <c r="M949">
        <f>'T_SelfStock'!K27</f>
        <v/>
      </c>
      <c r="N949">
        <f>'T_SelfStock'!L27</f>
        <v/>
      </c>
      <c r="O949">
        <f>'T_SelfStock'!M27</f>
        <v/>
      </c>
      <c r="P949">
        <f>'T_SelfStock'!N27</f>
        <v/>
      </c>
      <c r="Q949">
        <f>'T_SelfStock'!O27</f>
        <v/>
      </c>
      <c r="R949">
        <f>'T_SelfStock'!P27</f>
        <v/>
      </c>
      <c r="S949">
        <f>'T_SelfStock'!Q27</f>
        <v/>
      </c>
      <c r="T949">
        <f>'T_SelfStock'!R27</f>
        <v/>
      </c>
      <c r="U949">
        <f>'T_SelfStock'!S27</f>
        <v/>
      </c>
      <c r="V949">
        <f>'T_SelfStock'!T27</f>
        <v/>
      </c>
      <c r="W949">
        <f>'T_SelfStock'!U27</f>
        <v/>
      </c>
      <c r="X949">
        <f>'T_SelfStock'!V27</f>
        <v/>
      </c>
      <c r="Y949">
        <f>'T_SelfStock'!W27</f>
        <v/>
      </c>
      <c r="Z949">
        <f>'T_SelfStock'!X27</f>
        <v/>
      </c>
      <c r="AA949">
        <f>'T_SelfStock'!Y27</f>
        <v/>
      </c>
      <c r="AB949">
        <f>'T_SelfStock'!Z27</f>
        <v/>
      </c>
      <c r="AC949">
        <f>'T_SelfStock'!AA27</f>
        <v/>
      </c>
      <c r="AD949">
        <f>'T_SelfStock'!AB27</f>
        <v/>
      </c>
      <c r="AE949">
        <f>'T_SelfStock'!AC27</f>
        <v/>
      </c>
      <c r="AF949">
        <f>'T_SelfStock'!AD27</f>
        <v/>
      </c>
      <c r="AG949">
        <f>'T_SelfStock'!AE27</f>
        <v/>
      </c>
      <c r="AH949">
        <f>'T_SelfStock'!AF27</f>
        <v/>
      </c>
      <c r="AI949">
        <f>'T_SelfStock'!AG27</f>
        <v/>
      </c>
      <c r="AJ949">
        <f>'T_SelfStock'!AH27</f>
        <v/>
      </c>
      <c r="AK949">
        <f>'T_SelfStock'!AI27</f>
        <v/>
      </c>
      <c r="AL949">
        <f>'T_SelfStock'!AJ27</f>
        <v/>
      </c>
      <c r="AM949">
        <f>'T_SelfStock'!AK27</f>
        <v/>
      </c>
      <c r="AN949">
        <f>'T_SelfStock'!AL27</f>
        <v/>
      </c>
      <c r="AO949">
        <f>'T_SelfStock'!AM27</f>
        <v/>
      </c>
      <c r="AP949">
        <f>'T_SelfStock'!AN27</f>
        <v/>
      </c>
      <c r="AQ949">
        <f>'T_SelfStock'!AO27</f>
        <v/>
      </c>
      <c r="AR949">
        <f>'T_SelfStock'!AP27</f>
        <v/>
      </c>
      <c r="AS949">
        <f>'T_SelfStock'!AQ27</f>
        <v/>
      </c>
      <c r="AT949">
        <f>'T_SelfStock'!AR27</f>
        <v/>
      </c>
      <c r="AU949">
        <f>'T_SelfStock'!AS27</f>
        <v/>
      </c>
      <c r="AV949">
        <f>'T_SelfStock'!AT27</f>
        <v/>
      </c>
      <c r="AW949">
        <f>'T_SelfStock'!AU27</f>
        <v/>
      </c>
      <c r="AX949">
        <f>'T_SelfStock'!AV27</f>
        <v/>
      </c>
      <c r="AY949">
        <f>'T_SelfStock'!AW27</f>
        <v/>
      </c>
      <c r="AZ949">
        <f>'T_SelfStock'!AX27</f>
        <v/>
      </c>
      <c r="BA949">
        <f>'T_SelfStock'!AY27</f>
        <v/>
      </c>
      <c r="BB949">
        <f>'T_SelfStock'!AZ27</f>
        <v/>
      </c>
      <c r="BC949">
        <f>'T_SelfStock'!BA27</f>
        <v/>
      </c>
      <c r="BD949">
        <f>'T_SelfStock'!BB27</f>
        <v/>
      </c>
      <c r="BE949">
        <f>'T_SelfStock'!BC27</f>
        <v/>
      </c>
      <c r="BF949">
        <f>'T_SelfStock'!BD27</f>
        <v/>
      </c>
      <c r="BG949">
        <f>'T_SelfStock'!BE27</f>
        <v/>
      </c>
      <c r="BH949">
        <f>'T_SelfStock'!BF27</f>
        <v/>
      </c>
      <c r="BI949">
        <f>'T_SelfStock'!BG27</f>
        <v/>
      </c>
      <c r="BJ949">
        <f>'T_SelfStock'!BH27</f>
        <v/>
      </c>
      <c r="BK949">
        <f>'T_SelfStock'!BI27</f>
        <v/>
      </c>
      <c r="BL949">
        <f>'T_SelfStock'!BJ27</f>
        <v/>
      </c>
      <c r="BM949">
        <f>'T_SelfStock'!BK27</f>
        <v/>
      </c>
      <c r="BN949">
        <f>'T_SelfStock'!BL27</f>
        <v/>
      </c>
      <c r="BO949">
        <f>'T_SelfStock'!BM27</f>
        <v/>
      </c>
      <c r="BP949">
        <f>'T_SelfStock'!BN27</f>
        <v/>
      </c>
      <c r="BQ949">
        <f>'T_SelfStock'!BO27</f>
        <v/>
      </c>
      <c r="BR949">
        <f>'T_SelfStock'!BP27</f>
        <v/>
      </c>
      <c r="BS949">
        <f>'T_SelfStock'!BQ27</f>
        <v/>
      </c>
      <c r="BT949">
        <f>'T_SelfStock'!BR27</f>
        <v/>
      </c>
      <c r="BU949">
        <f>'T_SelfStock'!BS27</f>
        <v/>
      </c>
      <c r="BV949">
        <f>'T_SelfStock'!BT27</f>
        <v/>
      </c>
      <c r="BW949">
        <f>'T_SelfStock'!BU27</f>
        <v/>
      </c>
      <c r="BX949">
        <f>'T_SelfStock'!BV27</f>
        <v/>
      </c>
      <c r="BY949">
        <f>'T_SelfStock'!BW27</f>
        <v/>
      </c>
      <c r="BZ949">
        <f>'T_SelfStock'!BX27</f>
        <v/>
      </c>
      <c r="CA949">
        <f>'T_SelfStock'!BY27</f>
        <v/>
      </c>
      <c r="CB949">
        <f>'T_SelfStock'!BZ27</f>
        <v/>
      </c>
      <c r="CC949">
        <f>'T_SelfStock'!CA27</f>
        <v/>
      </c>
      <c r="CD949">
        <f>'T_SelfStock'!CB27</f>
        <v/>
      </c>
      <c r="CE949">
        <f>'T_SelfStock'!CC27</f>
        <v/>
      </c>
      <c r="CF949">
        <f>'T_SelfStock'!CD27</f>
        <v/>
      </c>
      <c r="CG949">
        <f>'T_SelfStock'!CE27</f>
        <v/>
      </c>
      <c r="CH949">
        <f>'T_SelfStock'!CF27</f>
        <v/>
      </c>
      <c r="CI949">
        <f>'T_SelfStock'!CG27</f>
        <v/>
      </c>
      <c r="CJ949">
        <f>'T_SelfStock'!CH27</f>
        <v/>
      </c>
      <c r="CK949">
        <f>'T_SelfStock'!CI27</f>
        <v/>
      </c>
      <c r="CL949">
        <f>'T_SelfStock'!CJ27</f>
        <v/>
      </c>
      <c r="CM949">
        <f>'T_SelfStock'!CK27</f>
        <v/>
      </c>
      <c r="CN949">
        <f>'T_SelfStock'!CL27</f>
        <v/>
      </c>
      <c r="CO949">
        <f>'T_SelfStock'!CM27</f>
        <v/>
      </c>
      <c r="CP949">
        <f>'T_SelfStock'!CN27</f>
        <v/>
      </c>
      <c r="CQ949">
        <f>'T_SelfStock'!CO27</f>
        <v/>
      </c>
      <c r="CR949">
        <f>'T_SelfStock'!CP27</f>
        <v/>
      </c>
      <c r="CS949">
        <f>'T_SelfStock'!CQ27</f>
        <v/>
      </c>
      <c r="CT949">
        <f>'T_SelfStock'!CR27</f>
        <v/>
      </c>
      <c r="CU949">
        <f>'T_SelfStock'!CS27</f>
        <v/>
      </c>
      <c r="CV949">
        <f>'T_SelfStock'!CT27</f>
        <v/>
      </c>
      <c r="CW949">
        <f>'T_SelfStock'!CU27</f>
        <v/>
      </c>
      <c r="CX949">
        <f>'T_SelfStock'!CV27</f>
        <v/>
      </c>
      <c r="CY949">
        <f>'T_SelfStock'!CW27</f>
        <v/>
      </c>
      <c r="CZ949">
        <f>'T_SelfStock'!CX27</f>
        <v/>
      </c>
      <c r="DA949">
        <f>'T_SelfStock'!CY27</f>
        <v/>
      </c>
      <c r="DB949">
        <f>'T_SelfStock'!CZ27</f>
        <v/>
      </c>
      <c r="DC949">
        <f>'T_SelfStock'!DA27</f>
        <v/>
      </c>
    </row>
    <row r="950">
      <c r="B950" s="4" t="inlineStr">
        <is>
          <t>合計在庫(週末時点,kg)</t>
        </is>
      </c>
      <c r="D950">
        <f>'Grid_Stock'!B23</f>
        <v/>
      </c>
      <c r="E950">
        <f>'Grid_Stock'!C23</f>
        <v/>
      </c>
      <c r="F950">
        <f>'Grid_Stock'!D23</f>
        <v/>
      </c>
      <c r="G950">
        <f>'Grid_Stock'!E23</f>
        <v/>
      </c>
      <c r="H950">
        <f>'Grid_Stock'!F23</f>
        <v/>
      </c>
      <c r="I950">
        <f>'Grid_Stock'!G23</f>
        <v/>
      </c>
      <c r="J950">
        <f>'Grid_Stock'!H23</f>
        <v/>
      </c>
      <c r="K950">
        <f>'Grid_Stock'!I23</f>
        <v/>
      </c>
      <c r="L950">
        <f>'Grid_Stock'!J23</f>
        <v/>
      </c>
      <c r="M950">
        <f>'Grid_Stock'!K23</f>
        <v/>
      </c>
      <c r="N950">
        <f>'Grid_Stock'!L23</f>
        <v/>
      </c>
      <c r="O950">
        <f>'Grid_Stock'!M23</f>
        <v/>
      </c>
      <c r="P950">
        <f>'Grid_Stock'!N23</f>
        <v/>
      </c>
      <c r="Q950">
        <f>'Grid_Stock'!O23</f>
        <v/>
      </c>
      <c r="R950">
        <f>'Grid_Stock'!P23</f>
        <v/>
      </c>
      <c r="S950">
        <f>'Grid_Stock'!Q23</f>
        <v/>
      </c>
      <c r="T950">
        <f>'Grid_Stock'!R23</f>
        <v/>
      </c>
      <c r="U950">
        <f>'Grid_Stock'!S23</f>
        <v/>
      </c>
      <c r="V950">
        <f>'Grid_Stock'!T23</f>
        <v/>
      </c>
      <c r="W950">
        <f>'Grid_Stock'!U23</f>
        <v/>
      </c>
      <c r="X950">
        <f>'Grid_Stock'!V23</f>
        <v/>
      </c>
      <c r="Y950">
        <f>'Grid_Stock'!W23</f>
        <v/>
      </c>
      <c r="Z950">
        <f>'Grid_Stock'!X23</f>
        <v/>
      </c>
      <c r="AA950">
        <f>'Grid_Stock'!Y23</f>
        <v/>
      </c>
      <c r="AB950">
        <f>'Grid_Stock'!Z23</f>
        <v/>
      </c>
      <c r="AC950">
        <f>'Grid_Stock'!AA23</f>
        <v/>
      </c>
      <c r="AD950">
        <f>'Grid_Stock'!AB23</f>
        <v/>
      </c>
      <c r="AE950">
        <f>'Grid_Stock'!AC23</f>
        <v/>
      </c>
      <c r="AF950">
        <f>'Grid_Stock'!AD23</f>
        <v/>
      </c>
      <c r="AG950">
        <f>'Grid_Stock'!AE23</f>
        <v/>
      </c>
      <c r="AH950">
        <f>'Grid_Stock'!AF23</f>
        <v/>
      </c>
      <c r="AI950">
        <f>'Grid_Stock'!AG23</f>
        <v/>
      </c>
      <c r="AJ950">
        <f>'Grid_Stock'!AH23</f>
        <v/>
      </c>
      <c r="AK950">
        <f>'Grid_Stock'!AI23</f>
        <v/>
      </c>
      <c r="AL950">
        <f>'Grid_Stock'!AJ23</f>
        <v/>
      </c>
      <c r="AM950">
        <f>'Grid_Stock'!AK23</f>
        <v/>
      </c>
      <c r="AN950">
        <f>'Grid_Stock'!AL23</f>
        <v/>
      </c>
      <c r="AO950">
        <f>'Grid_Stock'!AM23</f>
        <v/>
      </c>
      <c r="AP950">
        <f>'Grid_Stock'!AN23</f>
        <v/>
      </c>
      <c r="AQ950">
        <f>'Grid_Stock'!AO23</f>
        <v/>
      </c>
      <c r="AR950">
        <f>'Grid_Stock'!AP23</f>
        <v/>
      </c>
      <c r="AS950">
        <f>'Grid_Stock'!AQ23</f>
        <v/>
      </c>
      <c r="AT950">
        <f>'Grid_Stock'!AR23</f>
        <v/>
      </c>
      <c r="AU950">
        <f>'Grid_Stock'!AS23</f>
        <v/>
      </c>
      <c r="AV950">
        <f>'Grid_Stock'!AT23</f>
        <v/>
      </c>
      <c r="AW950">
        <f>'Grid_Stock'!AU23</f>
        <v/>
      </c>
      <c r="AX950">
        <f>'Grid_Stock'!AV23</f>
        <v/>
      </c>
      <c r="AY950">
        <f>'Grid_Stock'!AW23</f>
        <v/>
      </c>
      <c r="AZ950">
        <f>'Grid_Stock'!AX23</f>
        <v/>
      </c>
      <c r="BA950">
        <f>'Grid_Stock'!AY23</f>
        <v/>
      </c>
      <c r="BB950">
        <f>'Grid_Stock'!AZ23</f>
        <v/>
      </c>
      <c r="BC950">
        <f>'Grid_Stock'!BA23</f>
        <v/>
      </c>
      <c r="BD950">
        <f>'Grid_Stock'!BB23</f>
        <v/>
      </c>
      <c r="BE950">
        <f>'Grid_Stock'!BC23</f>
        <v/>
      </c>
      <c r="BF950">
        <f>'Grid_Stock'!BD23</f>
        <v/>
      </c>
      <c r="BG950">
        <f>'Grid_Stock'!BE23</f>
        <v/>
      </c>
      <c r="BH950">
        <f>'Grid_Stock'!BF23</f>
        <v/>
      </c>
      <c r="BI950">
        <f>'Grid_Stock'!BG23</f>
        <v/>
      </c>
      <c r="BJ950">
        <f>'Grid_Stock'!BH23</f>
        <v/>
      </c>
      <c r="BK950">
        <f>'Grid_Stock'!BI23</f>
        <v/>
      </c>
      <c r="BL950">
        <f>'Grid_Stock'!BJ23</f>
        <v/>
      </c>
      <c r="BM950">
        <f>'Grid_Stock'!BK23</f>
        <v/>
      </c>
      <c r="BN950">
        <f>'Grid_Stock'!BL23</f>
        <v/>
      </c>
      <c r="BO950">
        <f>'Grid_Stock'!BM23</f>
        <v/>
      </c>
      <c r="BP950">
        <f>'Grid_Stock'!BN23</f>
        <v/>
      </c>
      <c r="BQ950">
        <f>'Grid_Stock'!BO23</f>
        <v/>
      </c>
      <c r="BR950">
        <f>'Grid_Stock'!BP23</f>
        <v/>
      </c>
      <c r="BS950">
        <f>'Grid_Stock'!BQ23</f>
        <v/>
      </c>
      <c r="BT950">
        <f>'Grid_Stock'!BR23</f>
        <v/>
      </c>
      <c r="BU950">
        <f>'Grid_Stock'!BS23</f>
        <v/>
      </c>
      <c r="BV950">
        <f>'Grid_Stock'!BT23</f>
        <v/>
      </c>
      <c r="BW950">
        <f>'Grid_Stock'!BU23</f>
        <v/>
      </c>
      <c r="BX950">
        <f>'Grid_Stock'!BV23</f>
        <v/>
      </c>
      <c r="BY950">
        <f>'Grid_Stock'!BW23</f>
        <v/>
      </c>
      <c r="BZ950">
        <f>'Grid_Stock'!BX23</f>
        <v/>
      </c>
      <c r="CA950">
        <f>'Grid_Stock'!BY23</f>
        <v/>
      </c>
      <c r="CB950">
        <f>'Grid_Stock'!BZ23</f>
        <v/>
      </c>
      <c r="CC950">
        <f>'Grid_Stock'!CA23</f>
        <v/>
      </c>
      <c r="CD950">
        <f>'Grid_Stock'!CB23</f>
        <v/>
      </c>
      <c r="CE950">
        <f>'Grid_Stock'!CC23</f>
        <v/>
      </c>
      <c r="CF950">
        <f>'Grid_Stock'!CD23</f>
        <v/>
      </c>
      <c r="CG950">
        <f>'Grid_Stock'!CE23</f>
        <v/>
      </c>
      <c r="CH950">
        <f>'Grid_Stock'!CF23</f>
        <v/>
      </c>
      <c r="CI950">
        <f>'Grid_Stock'!CG23</f>
        <v/>
      </c>
      <c r="CJ950">
        <f>'Grid_Stock'!CH23</f>
        <v/>
      </c>
      <c r="CK950">
        <f>'Grid_Stock'!CI23</f>
        <v/>
      </c>
      <c r="CL950">
        <f>'Grid_Stock'!CJ23</f>
        <v/>
      </c>
      <c r="CM950">
        <f>'Grid_Stock'!CK23</f>
        <v/>
      </c>
      <c r="CN950">
        <f>'Grid_Stock'!CL23</f>
        <v/>
      </c>
      <c r="CO950">
        <f>'Grid_Stock'!CM23</f>
        <v/>
      </c>
      <c r="CP950">
        <f>'Grid_Stock'!CN23</f>
        <v/>
      </c>
      <c r="CQ950">
        <f>'Grid_Stock'!CO23</f>
        <v/>
      </c>
      <c r="CR950">
        <f>'Grid_Stock'!CP23</f>
        <v/>
      </c>
      <c r="CS950">
        <f>'Grid_Stock'!CQ23</f>
        <v/>
      </c>
      <c r="CT950">
        <f>'Grid_Stock'!CR23</f>
        <v/>
      </c>
      <c r="CU950">
        <f>'Grid_Stock'!CS23</f>
        <v/>
      </c>
      <c r="CV950">
        <f>'Grid_Stock'!CT23</f>
        <v/>
      </c>
      <c r="CW950">
        <f>'Grid_Stock'!CU23</f>
        <v/>
      </c>
      <c r="CX950">
        <f>'Grid_Stock'!CV23</f>
        <v/>
      </c>
      <c r="CY950">
        <f>'Grid_Stock'!CW23</f>
        <v/>
      </c>
      <c r="CZ950">
        <f>'Grid_Stock'!CX23</f>
        <v/>
      </c>
      <c r="DA950">
        <f>'Grid_Stock'!CY23</f>
        <v/>
      </c>
      <c r="DB950">
        <f>'Grid_Stock'!CZ23</f>
        <v/>
      </c>
      <c r="DC950">
        <f>'Grid_Stock'!DA23</f>
        <v/>
      </c>
    </row>
    <row r="951">
      <c r="B951" s="16" t="inlineStr">
        <is>
          <t>（発注の目安はDashboardの基準在庫[下限/上限]と色分けを参照）</t>
        </is>
      </c>
    </row>
    <row r="953">
      <c r="A953" s="14" t="inlineStr">
        <is>
          <t>CHEM-1680</t>
        </is>
      </c>
      <c r="B953" s="14" t="inlineStr">
        <is>
          <t>NAT38</t>
        </is>
      </c>
      <c r="C953" s="15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4" t="n"/>
      <c r="AO953" s="14" t="n"/>
      <c r="AP953" s="14" t="n"/>
      <c r="AQ953" s="14" t="n"/>
      <c r="AR953" s="14" t="n"/>
      <c r="AS953" s="14" t="n"/>
      <c r="AT953" s="14" t="n"/>
      <c r="AU953" s="14" t="n"/>
      <c r="AV953" s="14" t="n"/>
      <c r="AW953" s="14" t="n"/>
      <c r="AX953" s="14" t="n"/>
      <c r="AY953" s="14" t="n"/>
      <c r="AZ953" s="14" t="n"/>
      <c r="BA953" s="14" t="n"/>
      <c r="BB953" s="14" t="n"/>
      <c r="BC953" s="14" t="n"/>
      <c r="BD953" s="14" t="n"/>
      <c r="BE953" s="14" t="n"/>
      <c r="BF953" s="14" t="n"/>
      <c r="BG953" s="14" t="n"/>
      <c r="BH953" s="14" t="n"/>
      <c r="BI953" s="14" t="n"/>
      <c r="BJ953" s="14" t="n"/>
      <c r="BK953" s="14" t="n"/>
      <c r="BL953" s="14" t="n"/>
      <c r="BM953" s="14" t="n"/>
      <c r="BN953" s="14" t="n"/>
      <c r="BO953" s="14" t="n"/>
      <c r="BP953" s="14" t="n"/>
      <c r="BQ953" s="14" t="n"/>
      <c r="BR953" s="14" t="n"/>
      <c r="BS953" s="14" t="n"/>
      <c r="BT953" s="14" t="n"/>
      <c r="BU953" s="14" t="n"/>
      <c r="BV953" s="14" t="n"/>
      <c r="BW953" s="14" t="n"/>
      <c r="BX953" s="14" t="n"/>
      <c r="BY953" s="14" t="n"/>
      <c r="BZ953" s="14" t="n"/>
      <c r="CA953" s="14" t="n"/>
      <c r="CB953" s="14" t="n"/>
      <c r="CC953" s="14" t="n"/>
      <c r="CD953" s="14" t="n"/>
      <c r="CE953" s="14" t="n"/>
      <c r="CF953" s="14" t="n"/>
      <c r="CG953" s="14" t="n"/>
      <c r="CH953" s="14" t="n"/>
      <c r="CI953" s="14" t="n"/>
      <c r="CJ953" s="14" t="n"/>
      <c r="CK953" s="14" t="n"/>
      <c r="CL953" s="14" t="n"/>
      <c r="CM953" s="14" t="n"/>
      <c r="CN953" s="14" t="n"/>
      <c r="CO953" s="14" t="n"/>
      <c r="CP953" s="14" t="n"/>
      <c r="CQ953" s="14" t="n"/>
      <c r="CR953" s="14" t="n"/>
      <c r="CS953" s="14" t="n"/>
      <c r="CT953" s="14" t="n"/>
      <c r="CU953" s="14" t="n"/>
      <c r="CV953" s="14" t="n"/>
      <c r="CW953" s="14" t="n"/>
      <c r="CX953" s="14" t="n"/>
      <c r="CY953" s="14" t="n"/>
      <c r="CZ953" s="14" t="n"/>
      <c r="DA953" s="14" t="n"/>
      <c r="DB953" s="14" t="n"/>
      <c r="DC953" s="14" t="n"/>
    </row>
    <row r="954">
      <c r="B954" t="inlineStr">
        <is>
          <t>TPP-611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TPP-613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TPP-915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TPP-920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TPP-914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TPP-919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TPP-916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TPP-917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TPP-922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TPP-923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No of times used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s="4" t="inlineStr">
        <is>
          <t>合計使用量(kg)/週</t>
        </is>
      </c>
      <c r="D976">
        <f>'Grid_Requirement'!B27</f>
        <v/>
      </c>
      <c r="E976">
        <f>'Grid_Requirement'!C27</f>
        <v/>
      </c>
      <c r="F976">
        <f>'Grid_Requirement'!D27</f>
        <v/>
      </c>
      <c r="G976">
        <f>'Grid_Requirement'!E27</f>
        <v/>
      </c>
      <c r="H976">
        <f>'Grid_Requirement'!F27</f>
        <v/>
      </c>
      <c r="I976">
        <f>'Grid_Requirement'!G27</f>
        <v/>
      </c>
      <c r="J976">
        <f>'Grid_Requirement'!H27</f>
        <v/>
      </c>
      <c r="K976">
        <f>'Grid_Requirement'!I27</f>
        <v/>
      </c>
      <c r="L976">
        <f>'Grid_Requirement'!J27</f>
        <v/>
      </c>
      <c r="M976">
        <f>'Grid_Requirement'!K27</f>
        <v/>
      </c>
      <c r="N976">
        <f>'Grid_Requirement'!L27</f>
        <v/>
      </c>
      <c r="O976">
        <f>'Grid_Requirement'!M27</f>
        <v/>
      </c>
      <c r="P976">
        <f>'Grid_Requirement'!N27</f>
        <v/>
      </c>
      <c r="Q976">
        <f>'Grid_Requirement'!O27</f>
        <v/>
      </c>
      <c r="R976">
        <f>'Grid_Requirement'!P27</f>
        <v/>
      </c>
      <c r="S976">
        <f>'Grid_Requirement'!Q27</f>
        <v/>
      </c>
      <c r="T976">
        <f>'Grid_Requirement'!R27</f>
        <v/>
      </c>
      <c r="U976">
        <f>'Grid_Requirement'!S27</f>
        <v/>
      </c>
      <c r="V976">
        <f>'Grid_Requirement'!T27</f>
        <v/>
      </c>
      <c r="W976">
        <f>'Grid_Requirement'!U27</f>
        <v/>
      </c>
      <c r="X976">
        <f>'Grid_Requirement'!V27</f>
        <v/>
      </c>
      <c r="Y976">
        <f>'Grid_Requirement'!W27</f>
        <v/>
      </c>
      <c r="Z976">
        <f>'Grid_Requirement'!X27</f>
        <v/>
      </c>
      <c r="AA976">
        <f>'Grid_Requirement'!Y27</f>
        <v/>
      </c>
      <c r="AB976">
        <f>'Grid_Requirement'!Z27</f>
        <v/>
      </c>
      <c r="AC976">
        <f>'Grid_Requirement'!AA27</f>
        <v/>
      </c>
      <c r="AD976">
        <f>'Grid_Requirement'!AB27</f>
        <v/>
      </c>
      <c r="AE976">
        <f>'Grid_Requirement'!AC27</f>
        <v/>
      </c>
      <c r="AF976">
        <f>'Grid_Requirement'!AD27</f>
        <v/>
      </c>
      <c r="AG976">
        <f>'Grid_Requirement'!AE27</f>
        <v/>
      </c>
      <c r="AH976">
        <f>'Grid_Requirement'!AF27</f>
        <v/>
      </c>
      <c r="AI976">
        <f>'Grid_Requirement'!AG27</f>
        <v/>
      </c>
      <c r="AJ976">
        <f>'Grid_Requirement'!AH27</f>
        <v/>
      </c>
      <c r="AK976">
        <f>'Grid_Requirement'!AI27</f>
        <v/>
      </c>
      <c r="AL976">
        <f>'Grid_Requirement'!AJ27</f>
        <v/>
      </c>
      <c r="AM976">
        <f>'Grid_Requirement'!AK27</f>
        <v/>
      </c>
      <c r="AN976">
        <f>'Grid_Requirement'!AL27</f>
        <v/>
      </c>
      <c r="AO976">
        <f>'Grid_Requirement'!AM27</f>
        <v/>
      </c>
      <c r="AP976">
        <f>'Grid_Requirement'!AN27</f>
        <v/>
      </c>
      <c r="AQ976">
        <f>'Grid_Requirement'!AO27</f>
        <v/>
      </c>
      <c r="AR976">
        <f>'Grid_Requirement'!AP27</f>
        <v/>
      </c>
      <c r="AS976">
        <f>'Grid_Requirement'!AQ27</f>
        <v/>
      </c>
      <c r="AT976">
        <f>'Grid_Requirement'!AR27</f>
        <v/>
      </c>
      <c r="AU976">
        <f>'Grid_Requirement'!AS27</f>
        <v/>
      </c>
      <c r="AV976">
        <f>'Grid_Requirement'!AT27</f>
        <v/>
      </c>
      <c r="AW976">
        <f>'Grid_Requirement'!AU27</f>
        <v/>
      </c>
      <c r="AX976">
        <f>'Grid_Requirement'!AV27</f>
        <v/>
      </c>
      <c r="AY976">
        <f>'Grid_Requirement'!AW27</f>
        <v/>
      </c>
      <c r="AZ976">
        <f>'Grid_Requirement'!AX27</f>
        <v/>
      </c>
      <c r="BA976">
        <f>'Grid_Requirement'!AY27</f>
        <v/>
      </c>
      <c r="BB976">
        <f>'Grid_Requirement'!AZ27</f>
        <v/>
      </c>
      <c r="BC976">
        <f>'Grid_Requirement'!BA27</f>
        <v/>
      </c>
      <c r="BD976">
        <f>'Grid_Requirement'!BB27</f>
        <v/>
      </c>
      <c r="BE976">
        <f>'Grid_Requirement'!BC27</f>
        <v/>
      </c>
      <c r="BF976">
        <f>'Grid_Requirement'!BD27</f>
        <v/>
      </c>
      <c r="BG976">
        <f>'Grid_Requirement'!BE27</f>
        <v/>
      </c>
      <c r="BH976">
        <f>'Grid_Requirement'!BF27</f>
        <v/>
      </c>
      <c r="BI976">
        <f>'Grid_Requirement'!BG27</f>
        <v/>
      </c>
      <c r="BJ976">
        <f>'Grid_Requirement'!BH27</f>
        <v/>
      </c>
      <c r="BK976">
        <f>'Grid_Requirement'!BI27</f>
        <v/>
      </c>
      <c r="BL976">
        <f>'Grid_Requirement'!BJ27</f>
        <v/>
      </c>
      <c r="BM976">
        <f>'Grid_Requirement'!BK27</f>
        <v/>
      </c>
      <c r="BN976">
        <f>'Grid_Requirement'!BL27</f>
        <v/>
      </c>
      <c r="BO976">
        <f>'Grid_Requirement'!BM27</f>
        <v/>
      </c>
      <c r="BP976">
        <f>'Grid_Requirement'!BN27</f>
        <v/>
      </c>
      <c r="BQ976">
        <f>'Grid_Requirement'!BO27</f>
        <v/>
      </c>
      <c r="BR976">
        <f>'Grid_Requirement'!BP27</f>
        <v/>
      </c>
      <c r="BS976">
        <f>'Grid_Requirement'!BQ27</f>
        <v/>
      </c>
      <c r="BT976">
        <f>'Grid_Requirement'!BR27</f>
        <v/>
      </c>
      <c r="BU976">
        <f>'Grid_Requirement'!BS27</f>
        <v/>
      </c>
      <c r="BV976">
        <f>'Grid_Requirement'!BT27</f>
        <v/>
      </c>
      <c r="BW976">
        <f>'Grid_Requirement'!BU27</f>
        <v/>
      </c>
      <c r="BX976">
        <f>'Grid_Requirement'!BV27</f>
        <v/>
      </c>
      <c r="BY976">
        <f>'Grid_Requirement'!BW27</f>
        <v/>
      </c>
      <c r="BZ976">
        <f>'Grid_Requirement'!BX27</f>
        <v/>
      </c>
      <c r="CA976">
        <f>'Grid_Requirement'!BY27</f>
        <v/>
      </c>
      <c r="CB976">
        <f>'Grid_Requirement'!BZ27</f>
        <v/>
      </c>
      <c r="CC976">
        <f>'Grid_Requirement'!CA27</f>
        <v/>
      </c>
      <c r="CD976">
        <f>'Grid_Requirement'!CB27</f>
        <v/>
      </c>
      <c r="CE976">
        <f>'Grid_Requirement'!CC27</f>
        <v/>
      </c>
      <c r="CF976">
        <f>'Grid_Requirement'!CD27</f>
        <v/>
      </c>
      <c r="CG976">
        <f>'Grid_Requirement'!CE27</f>
        <v/>
      </c>
      <c r="CH976">
        <f>'Grid_Requirement'!CF27</f>
        <v/>
      </c>
      <c r="CI976">
        <f>'Grid_Requirement'!CG27</f>
        <v/>
      </c>
      <c r="CJ976">
        <f>'Grid_Requirement'!CH27</f>
        <v/>
      </c>
      <c r="CK976">
        <f>'Grid_Requirement'!CI27</f>
        <v/>
      </c>
      <c r="CL976">
        <f>'Grid_Requirement'!CJ27</f>
        <v/>
      </c>
      <c r="CM976">
        <f>'Grid_Requirement'!CK27</f>
        <v/>
      </c>
      <c r="CN976">
        <f>'Grid_Requirement'!CL27</f>
        <v/>
      </c>
      <c r="CO976">
        <f>'Grid_Requirement'!CM27</f>
        <v/>
      </c>
      <c r="CP976">
        <f>'Grid_Requirement'!CN27</f>
        <v/>
      </c>
      <c r="CQ976">
        <f>'Grid_Requirement'!CO27</f>
        <v/>
      </c>
      <c r="CR976">
        <f>'Grid_Requirement'!CP27</f>
        <v/>
      </c>
      <c r="CS976">
        <f>'Grid_Requirement'!CQ27</f>
        <v/>
      </c>
      <c r="CT976">
        <f>'Grid_Requirement'!CR27</f>
        <v/>
      </c>
      <c r="CU976">
        <f>'Grid_Requirement'!CS27</f>
        <v/>
      </c>
      <c r="CV976">
        <f>'Grid_Requirement'!CT27</f>
        <v/>
      </c>
      <c r="CW976">
        <f>'Grid_Requirement'!CU27</f>
        <v/>
      </c>
      <c r="CX976">
        <f>'Grid_Requirement'!CV27</f>
        <v/>
      </c>
      <c r="CY976">
        <f>'Grid_Requirement'!CW27</f>
        <v/>
      </c>
      <c r="CZ976">
        <f>'Grid_Requirement'!CX27</f>
        <v/>
      </c>
      <c r="DA976">
        <f>'Grid_Requirement'!CY27</f>
        <v/>
      </c>
      <c r="DB976">
        <f>'Grid_Requirement'!CZ27</f>
        <v/>
      </c>
      <c r="DC976">
        <f>'Grid_Requirement'!DA27</f>
        <v/>
      </c>
    </row>
    <row r="977">
      <c r="B977" t="inlineStr">
        <is>
          <t>TTAF在庫(実績,kg)</t>
        </is>
      </c>
      <c r="D977">
        <f>'T_TTAFStock'!B31</f>
        <v/>
      </c>
      <c r="E977">
        <f>'T_TTAFStock'!C31</f>
        <v/>
      </c>
      <c r="F977">
        <f>'T_TTAFStock'!D31</f>
        <v/>
      </c>
      <c r="G977">
        <f>'T_TTAFStock'!E31</f>
        <v/>
      </c>
      <c r="H977">
        <f>'T_TTAFStock'!F31</f>
        <v/>
      </c>
      <c r="I977">
        <f>'T_TTAFStock'!G31</f>
        <v/>
      </c>
      <c r="J977">
        <f>'T_TTAFStock'!H31</f>
        <v/>
      </c>
      <c r="K977">
        <f>'T_TTAFStock'!I31</f>
        <v/>
      </c>
      <c r="L977">
        <f>'T_TTAFStock'!J31</f>
        <v/>
      </c>
      <c r="M977">
        <f>'T_TTAFStock'!K31</f>
        <v/>
      </c>
      <c r="N977">
        <f>'T_TTAFStock'!L31</f>
        <v/>
      </c>
      <c r="O977">
        <f>'T_TTAFStock'!M31</f>
        <v/>
      </c>
      <c r="P977">
        <f>'T_TTAFStock'!N31</f>
        <v/>
      </c>
      <c r="Q977">
        <f>'T_TTAFStock'!O31</f>
        <v/>
      </c>
      <c r="R977">
        <f>'T_TTAFStock'!P31</f>
        <v/>
      </c>
      <c r="S977">
        <f>'T_TTAFStock'!Q31</f>
        <v/>
      </c>
      <c r="T977">
        <f>'T_TTAFStock'!R31</f>
        <v/>
      </c>
      <c r="U977">
        <f>'T_TTAFStock'!S31</f>
        <v/>
      </c>
      <c r="V977">
        <f>'T_TTAFStock'!T31</f>
        <v/>
      </c>
      <c r="W977">
        <f>'T_TTAFStock'!U31</f>
        <v/>
      </c>
      <c r="X977">
        <f>'T_TTAFStock'!V31</f>
        <v/>
      </c>
      <c r="Y977">
        <f>'T_TTAFStock'!W31</f>
        <v/>
      </c>
      <c r="Z977">
        <f>'T_TTAFStock'!X31</f>
        <v/>
      </c>
      <c r="AA977">
        <f>'T_TTAFStock'!Y31</f>
        <v/>
      </c>
      <c r="AB977">
        <f>'T_TTAFStock'!Z31</f>
        <v/>
      </c>
      <c r="AC977">
        <f>'T_TTAFStock'!AA31</f>
        <v/>
      </c>
      <c r="AD977">
        <f>'T_TTAFStock'!AB31</f>
        <v/>
      </c>
      <c r="AE977">
        <f>'T_TTAFStock'!AC31</f>
        <v/>
      </c>
      <c r="AF977">
        <f>'T_TTAFStock'!AD31</f>
        <v/>
      </c>
      <c r="AG977">
        <f>'T_TTAFStock'!AE31</f>
        <v/>
      </c>
      <c r="AH977">
        <f>'T_TTAFStock'!AF31</f>
        <v/>
      </c>
      <c r="AI977">
        <f>'T_TTAFStock'!AG31</f>
        <v/>
      </c>
      <c r="AJ977">
        <f>'T_TTAFStock'!AH31</f>
        <v/>
      </c>
      <c r="AK977">
        <f>'T_TTAFStock'!AI31</f>
        <v/>
      </c>
      <c r="AL977">
        <f>'T_TTAFStock'!AJ31</f>
        <v/>
      </c>
      <c r="AM977">
        <f>'T_TTAFStock'!AK31</f>
        <v/>
      </c>
      <c r="AN977">
        <f>'T_TTAFStock'!AL31</f>
        <v/>
      </c>
      <c r="AO977">
        <f>'T_TTAFStock'!AM31</f>
        <v/>
      </c>
      <c r="AP977">
        <f>'T_TTAFStock'!AN31</f>
        <v/>
      </c>
      <c r="AQ977">
        <f>'T_TTAFStock'!AO31</f>
        <v/>
      </c>
      <c r="AR977">
        <f>'T_TTAFStock'!AP31</f>
        <v/>
      </c>
      <c r="AS977">
        <f>'T_TTAFStock'!AQ31</f>
        <v/>
      </c>
      <c r="AT977">
        <f>'T_TTAFStock'!AR31</f>
        <v/>
      </c>
      <c r="AU977">
        <f>'T_TTAFStock'!AS31</f>
        <v/>
      </c>
      <c r="AV977">
        <f>'T_TTAFStock'!AT31</f>
        <v/>
      </c>
      <c r="AW977">
        <f>'T_TTAFStock'!AU31</f>
        <v/>
      </c>
      <c r="AX977">
        <f>'T_TTAFStock'!AV31</f>
        <v/>
      </c>
      <c r="AY977">
        <f>'T_TTAFStock'!AW31</f>
        <v/>
      </c>
      <c r="AZ977">
        <f>'T_TTAFStock'!AX31</f>
        <v/>
      </c>
      <c r="BA977">
        <f>'T_TTAFStock'!AY31</f>
        <v/>
      </c>
      <c r="BB977">
        <f>'T_TTAFStock'!AZ31</f>
        <v/>
      </c>
      <c r="BC977">
        <f>'T_TTAFStock'!BA31</f>
        <v/>
      </c>
      <c r="BD977">
        <f>'T_TTAFStock'!BB31</f>
        <v/>
      </c>
      <c r="BE977">
        <f>'T_TTAFStock'!BC31</f>
        <v/>
      </c>
      <c r="BF977">
        <f>'T_TTAFStock'!BD31</f>
        <v/>
      </c>
      <c r="BG977">
        <f>'T_TTAFStock'!BE31</f>
        <v/>
      </c>
      <c r="BH977">
        <f>'T_TTAFStock'!BF31</f>
        <v/>
      </c>
      <c r="BI977">
        <f>'T_TTAFStock'!BG31</f>
        <v/>
      </c>
      <c r="BJ977">
        <f>'T_TTAFStock'!BH31</f>
        <v/>
      </c>
      <c r="BK977">
        <f>'T_TTAFStock'!BI31</f>
        <v/>
      </c>
      <c r="BL977">
        <f>'T_TTAFStock'!BJ31</f>
        <v/>
      </c>
      <c r="BM977">
        <f>'T_TTAFStock'!BK31</f>
        <v/>
      </c>
      <c r="BN977">
        <f>'T_TTAFStock'!BL31</f>
        <v/>
      </c>
      <c r="BO977">
        <f>'T_TTAFStock'!BM31</f>
        <v/>
      </c>
      <c r="BP977">
        <f>'T_TTAFStock'!BN31</f>
        <v/>
      </c>
      <c r="BQ977">
        <f>'T_TTAFStock'!BO31</f>
        <v/>
      </c>
      <c r="BR977">
        <f>'T_TTAFStock'!BP31</f>
        <v/>
      </c>
      <c r="BS977">
        <f>'T_TTAFStock'!BQ31</f>
        <v/>
      </c>
      <c r="BT977">
        <f>'T_TTAFStock'!BR31</f>
        <v/>
      </c>
      <c r="BU977">
        <f>'T_TTAFStock'!BS31</f>
        <v/>
      </c>
      <c r="BV977">
        <f>'T_TTAFStock'!BT31</f>
        <v/>
      </c>
      <c r="BW977">
        <f>'T_TTAFStock'!BU31</f>
        <v/>
      </c>
      <c r="BX977">
        <f>'T_TTAFStock'!BV31</f>
        <v/>
      </c>
      <c r="BY977">
        <f>'T_TTAFStock'!BW31</f>
        <v/>
      </c>
      <c r="BZ977">
        <f>'T_TTAFStock'!BX31</f>
        <v/>
      </c>
      <c r="CA977">
        <f>'T_TTAFStock'!BY31</f>
        <v/>
      </c>
      <c r="CB977">
        <f>'T_TTAFStock'!BZ31</f>
        <v/>
      </c>
      <c r="CC977">
        <f>'T_TTAFStock'!CA31</f>
        <v/>
      </c>
      <c r="CD977">
        <f>'T_TTAFStock'!CB31</f>
        <v/>
      </c>
      <c r="CE977">
        <f>'T_TTAFStock'!CC31</f>
        <v/>
      </c>
      <c r="CF977">
        <f>'T_TTAFStock'!CD31</f>
        <v/>
      </c>
      <c r="CG977">
        <f>'T_TTAFStock'!CE31</f>
        <v/>
      </c>
      <c r="CH977">
        <f>'T_TTAFStock'!CF31</f>
        <v/>
      </c>
      <c r="CI977">
        <f>'T_TTAFStock'!CG31</f>
        <v/>
      </c>
      <c r="CJ977">
        <f>'T_TTAFStock'!CH31</f>
        <v/>
      </c>
      <c r="CK977">
        <f>'T_TTAFStock'!CI31</f>
        <v/>
      </c>
      <c r="CL977">
        <f>'T_TTAFStock'!CJ31</f>
        <v/>
      </c>
      <c r="CM977">
        <f>'T_TTAFStock'!CK31</f>
        <v/>
      </c>
      <c r="CN977">
        <f>'T_TTAFStock'!CL31</f>
        <v/>
      </c>
      <c r="CO977">
        <f>'T_TTAFStock'!CM31</f>
        <v/>
      </c>
      <c r="CP977">
        <f>'T_TTAFStock'!CN31</f>
        <v/>
      </c>
      <c r="CQ977">
        <f>'T_TTAFStock'!CO31</f>
        <v/>
      </c>
      <c r="CR977">
        <f>'T_TTAFStock'!CP31</f>
        <v/>
      </c>
      <c r="CS977">
        <f>'T_TTAFStock'!CQ31</f>
        <v/>
      </c>
      <c r="CT977">
        <f>'T_TTAFStock'!CR31</f>
        <v/>
      </c>
      <c r="CU977">
        <f>'T_TTAFStock'!CS31</f>
        <v/>
      </c>
      <c r="CV977">
        <f>'T_TTAFStock'!CT31</f>
        <v/>
      </c>
      <c r="CW977">
        <f>'T_TTAFStock'!CU31</f>
        <v/>
      </c>
      <c r="CX977">
        <f>'T_TTAFStock'!CV31</f>
        <v/>
      </c>
      <c r="CY977">
        <f>'T_TTAFStock'!CW31</f>
        <v/>
      </c>
      <c r="CZ977">
        <f>'T_TTAFStock'!CX31</f>
        <v/>
      </c>
      <c r="DA977">
        <f>'T_TTAFStock'!CY31</f>
        <v/>
      </c>
      <c r="DB977">
        <f>'T_TTAFStock'!CZ31</f>
        <v/>
      </c>
      <c r="DC977">
        <f>'T_TTAFStock'!DA31</f>
        <v/>
      </c>
    </row>
    <row r="978">
      <c r="B978" t="inlineStr">
        <is>
          <t>自社在庫(実績,kg)</t>
        </is>
      </c>
      <c r="D978">
        <f>'T_SelfStock'!B31</f>
        <v/>
      </c>
      <c r="E978">
        <f>'T_SelfStock'!C31</f>
        <v/>
      </c>
      <c r="F978">
        <f>'T_SelfStock'!D31</f>
        <v/>
      </c>
      <c r="G978">
        <f>'T_SelfStock'!E31</f>
        <v/>
      </c>
      <c r="H978">
        <f>'T_SelfStock'!F31</f>
        <v/>
      </c>
      <c r="I978">
        <f>'T_SelfStock'!G31</f>
        <v/>
      </c>
      <c r="J978">
        <f>'T_SelfStock'!H31</f>
        <v/>
      </c>
      <c r="K978">
        <f>'T_SelfStock'!I31</f>
        <v/>
      </c>
      <c r="L978">
        <f>'T_SelfStock'!J31</f>
        <v/>
      </c>
      <c r="M978">
        <f>'T_SelfStock'!K31</f>
        <v/>
      </c>
      <c r="N978">
        <f>'T_SelfStock'!L31</f>
        <v/>
      </c>
      <c r="O978">
        <f>'T_SelfStock'!M31</f>
        <v/>
      </c>
      <c r="P978">
        <f>'T_SelfStock'!N31</f>
        <v/>
      </c>
      <c r="Q978">
        <f>'T_SelfStock'!O31</f>
        <v/>
      </c>
      <c r="R978">
        <f>'T_SelfStock'!P31</f>
        <v/>
      </c>
      <c r="S978">
        <f>'T_SelfStock'!Q31</f>
        <v/>
      </c>
      <c r="T978">
        <f>'T_SelfStock'!R31</f>
        <v/>
      </c>
      <c r="U978">
        <f>'T_SelfStock'!S31</f>
        <v/>
      </c>
      <c r="V978">
        <f>'T_SelfStock'!T31</f>
        <v/>
      </c>
      <c r="W978">
        <f>'T_SelfStock'!U31</f>
        <v/>
      </c>
      <c r="X978">
        <f>'T_SelfStock'!V31</f>
        <v/>
      </c>
      <c r="Y978">
        <f>'T_SelfStock'!W31</f>
        <v/>
      </c>
      <c r="Z978">
        <f>'T_SelfStock'!X31</f>
        <v/>
      </c>
      <c r="AA978">
        <f>'T_SelfStock'!Y31</f>
        <v/>
      </c>
      <c r="AB978">
        <f>'T_SelfStock'!Z31</f>
        <v/>
      </c>
      <c r="AC978">
        <f>'T_SelfStock'!AA31</f>
        <v/>
      </c>
      <c r="AD978">
        <f>'T_SelfStock'!AB31</f>
        <v/>
      </c>
      <c r="AE978">
        <f>'T_SelfStock'!AC31</f>
        <v/>
      </c>
      <c r="AF978">
        <f>'T_SelfStock'!AD31</f>
        <v/>
      </c>
      <c r="AG978">
        <f>'T_SelfStock'!AE31</f>
        <v/>
      </c>
      <c r="AH978">
        <f>'T_SelfStock'!AF31</f>
        <v/>
      </c>
      <c r="AI978">
        <f>'T_SelfStock'!AG31</f>
        <v/>
      </c>
      <c r="AJ978">
        <f>'T_SelfStock'!AH31</f>
        <v/>
      </c>
      <c r="AK978">
        <f>'T_SelfStock'!AI31</f>
        <v/>
      </c>
      <c r="AL978">
        <f>'T_SelfStock'!AJ31</f>
        <v/>
      </c>
      <c r="AM978">
        <f>'T_SelfStock'!AK31</f>
        <v/>
      </c>
      <c r="AN978">
        <f>'T_SelfStock'!AL31</f>
        <v/>
      </c>
      <c r="AO978">
        <f>'T_SelfStock'!AM31</f>
        <v/>
      </c>
      <c r="AP978">
        <f>'T_SelfStock'!AN31</f>
        <v/>
      </c>
      <c r="AQ978">
        <f>'T_SelfStock'!AO31</f>
        <v/>
      </c>
      <c r="AR978">
        <f>'T_SelfStock'!AP31</f>
        <v/>
      </c>
      <c r="AS978">
        <f>'T_SelfStock'!AQ31</f>
        <v/>
      </c>
      <c r="AT978">
        <f>'T_SelfStock'!AR31</f>
        <v/>
      </c>
      <c r="AU978">
        <f>'T_SelfStock'!AS31</f>
        <v/>
      </c>
      <c r="AV978">
        <f>'T_SelfStock'!AT31</f>
        <v/>
      </c>
      <c r="AW978">
        <f>'T_SelfStock'!AU31</f>
        <v/>
      </c>
      <c r="AX978">
        <f>'T_SelfStock'!AV31</f>
        <v/>
      </c>
      <c r="AY978">
        <f>'T_SelfStock'!AW31</f>
        <v/>
      </c>
      <c r="AZ978">
        <f>'T_SelfStock'!AX31</f>
        <v/>
      </c>
      <c r="BA978">
        <f>'T_SelfStock'!AY31</f>
        <v/>
      </c>
      <c r="BB978">
        <f>'T_SelfStock'!AZ31</f>
        <v/>
      </c>
      <c r="BC978">
        <f>'T_SelfStock'!BA31</f>
        <v/>
      </c>
      <c r="BD978">
        <f>'T_SelfStock'!BB31</f>
        <v/>
      </c>
      <c r="BE978">
        <f>'T_SelfStock'!BC31</f>
        <v/>
      </c>
      <c r="BF978">
        <f>'T_SelfStock'!BD31</f>
        <v/>
      </c>
      <c r="BG978">
        <f>'T_SelfStock'!BE31</f>
        <v/>
      </c>
      <c r="BH978">
        <f>'T_SelfStock'!BF31</f>
        <v/>
      </c>
      <c r="BI978">
        <f>'T_SelfStock'!BG31</f>
        <v/>
      </c>
      <c r="BJ978">
        <f>'T_SelfStock'!BH31</f>
        <v/>
      </c>
      <c r="BK978">
        <f>'T_SelfStock'!BI31</f>
        <v/>
      </c>
      <c r="BL978">
        <f>'T_SelfStock'!BJ31</f>
        <v/>
      </c>
      <c r="BM978">
        <f>'T_SelfStock'!BK31</f>
        <v/>
      </c>
      <c r="BN978">
        <f>'T_SelfStock'!BL31</f>
        <v/>
      </c>
      <c r="BO978">
        <f>'T_SelfStock'!BM31</f>
        <v/>
      </c>
      <c r="BP978">
        <f>'T_SelfStock'!BN31</f>
        <v/>
      </c>
      <c r="BQ978">
        <f>'T_SelfStock'!BO31</f>
        <v/>
      </c>
      <c r="BR978">
        <f>'T_SelfStock'!BP31</f>
        <v/>
      </c>
      <c r="BS978">
        <f>'T_SelfStock'!BQ31</f>
        <v/>
      </c>
      <c r="BT978">
        <f>'T_SelfStock'!BR31</f>
        <v/>
      </c>
      <c r="BU978">
        <f>'T_SelfStock'!BS31</f>
        <v/>
      </c>
      <c r="BV978">
        <f>'T_SelfStock'!BT31</f>
        <v/>
      </c>
      <c r="BW978">
        <f>'T_SelfStock'!BU31</f>
        <v/>
      </c>
      <c r="BX978">
        <f>'T_SelfStock'!BV31</f>
        <v/>
      </c>
      <c r="BY978">
        <f>'T_SelfStock'!BW31</f>
        <v/>
      </c>
      <c r="BZ978">
        <f>'T_SelfStock'!BX31</f>
        <v/>
      </c>
      <c r="CA978">
        <f>'T_SelfStock'!BY31</f>
        <v/>
      </c>
      <c r="CB978">
        <f>'T_SelfStock'!BZ31</f>
        <v/>
      </c>
      <c r="CC978">
        <f>'T_SelfStock'!CA31</f>
        <v/>
      </c>
      <c r="CD978">
        <f>'T_SelfStock'!CB31</f>
        <v/>
      </c>
      <c r="CE978">
        <f>'T_SelfStock'!CC31</f>
        <v/>
      </c>
      <c r="CF978">
        <f>'T_SelfStock'!CD31</f>
        <v/>
      </c>
      <c r="CG978">
        <f>'T_SelfStock'!CE31</f>
        <v/>
      </c>
      <c r="CH978">
        <f>'T_SelfStock'!CF31</f>
        <v/>
      </c>
      <c r="CI978">
        <f>'T_SelfStock'!CG31</f>
        <v/>
      </c>
      <c r="CJ978">
        <f>'T_SelfStock'!CH31</f>
        <v/>
      </c>
      <c r="CK978">
        <f>'T_SelfStock'!CI31</f>
        <v/>
      </c>
      <c r="CL978">
        <f>'T_SelfStock'!CJ31</f>
        <v/>
      </c>
      <c r="CM978">
        <f>'T_SelfStock'!CK31</f>
        <v/>
      </c>
      <c r="CN978">
        <f>'T_SelfStock'!CL31</f>
        <v/>
      </c>
      <c r="CO978">
        <f>'T_SelfStock'!CM31</f>
        <v/>
      </c>
      <c r="CP978">
        <f>'T_SelfStock'!CN31</f>
        <v/>
      </c>
      <c r="CQ978">
        <f>'T_SelfStock'!CO31</f>
        <v/>
      </c>
      <c r="CR978">
        <f>'T_SelfStock'!CP31</f>
        <v/>
      </c>
      <c r="CS978">
        <f>'T_SelfStock'!CQ31</f>
        <v/>
      </c>
      <c r="CT978">
        <f>'T_SelfStock'!CR31</f>
        <v/>
      </c>
      <c r="CU978">
        <f>'T_SelfStock'!CS31</f>
        <v/>
      </c>
      <c r="CV978">
        <f>'T_SelfStock'!CT31</f>
        <v/>
      </c>
      <c r="CW978">
        <f>'T_SelfStock'!CU31</f>
        <v/>
      </c>
      <c r="CX978">
        <f>'T_SelfStock'!CV31</f>
        <v/>
      </c>
      <c r="CY978">
        <f>'T_SelfStock'!CW31</f>
        <v/>
      </c>
      <c r="CZ978">
        <f>'T_SelfStock'!CX31</f>
        <v/>
      </c>
      <c r="DA978">
        <f>'T_SelfStock'!CY31</f>
        <v/>
      </c>
      <c r="DB978">
        <f>'T_SelfStock'!CZ31</f>
        <v/>
      </c>
      <c r="DC978">
        <f>'T_SelfStock'!DA31</f>
        <v/>
      </c>
    </row>
    <row r="979">
      <c r="B979" s="4" t="inlineStr">
        <is>
          <t>合計在庫(週末時点,kg)</t>
        </is>
      </c>
      <c r="D979">
        <f>'Grid_Stock'!B27</f>
        <v/>
      </c>
      <c r="E979">
        <f>'Grid_Stock'!C27</f>
        <v/>
      </c>
      <c r="F979">
        <f>'Grid_Stock'!D27</f>
        <v/>
      </c>
      <c r="G979">
        <f>'Grid_Stock'!E27</f>
        <v/>
      </c>
      <c r="H979">
        <f>'Grid_Stock'!F27</f>
        <v/>
      </c>
      <c r="I979">
        <f>'Grid_Stock'!G27</f>
        <v/>
      </c>
      <c r="J979">
        <f>'Grid_Stock'!H27</f>
        <v/>
      </c>
      <c r="K979">
        <f>'Grid_Stock'!I27</f>
        <v/>
      </c>
      <c r="L979">
        <f>'Grid_Stock'!J27</f>
        <v/>
      </c>
      <c r="M979">
        <f>'Grid_Stock'!K27</f>
        <v/>
      </c>
      <c r="N979">
        <f>'Grid_Stock'!L27</f>
        <v/>
      </c>
      <c r="O979">
        <f>'Grid_Stock'!M27</f>
        <v/>
      </c>
      <c r="P979">
        <f>'Grid_Stock'!N27</f>
        <v/>
      </c>
      <c r="Q979">
        <f>'Grid_Stock'!O27</f>
        <v/>
      </c>
      <c r="R979">
        <f>'Grid_Stock'!P27</f>
        <v/>
      </c>
      <c r="S979">
        <f>'Grid_Stock'!Q27</f>
        <v/>
      </c>
      <c r="T979">
        <f>'Grid_Stock'!R27</f>
        <v/>
      </c>
      <c r="U979">
        <f>'Grid_Stock'!S27</f>
        <v/>
      </c>
      <c r="V979">
        <f>'Grid_Stock'!T27</f>
        <v/>
      </c>
      <c r="W979">
        <f>'Grid_Stock'!U27</f>
        <v/>
      </c>
      <c r="X979">
        <f>'Grid_Stock'!V27</f>
        <v/>
      </c>
      <c r="Y979">
        <f>'Grid_Stock'!W27</f>
        <v/>
      </c>
      <c r="Z979">
        <f>'Grid_Stock'!X27</f>
        <v/>
      </c>
      <c r="AA979">
        <f>'Grid_Stock'!Y27</f>
        <v/>
      </c>
      <c r="AB979">
        <f>'Grid_Stock'!Z27</f>
        <v/>
      </c>
      <c r="AC979">
        <f>'Grid_Stock'!AA27</f>
        <v/>
      </c>
      <c r="AD979">
        <f>'Grid_Stock'!AB27</f>
        <v/>
      </c>
      <c r="AE979">
        <f>'Grid_Stock'!AC27</f>
        <v/>
      </c>
      <c r="AF979">
        <f>'Grid_Stock'!AD27</f>
        <v/>
      </c>
      <c r="AG979">
        <f>'Grid_Stock'!AE27</f>
        <v/>
      </c>
      <c r="AH979">
        <f>'Grid_Stock'!AF27</f>
        <v/>
      </c>
      <c r="AI979">
        <f>'Grid_Stock'!AG27</f>
        <v/>
      </c>
      <c r="AJ979">
        <f>'Grid_Stock'!AH27</f>
        <v/>
      </c>
      <c r="AK979">
        <f>'Grid_Stock'!AI27</f>
        <v/>
      </c>
      <c r="AL979">
        <f>'Grid_Stock'!AJ27</f>
        <v/>
      </c>
      <c r="AM979">
        <f>'Grid_Stock'!AK27</f>
        <v/>
      </c>
      <c r="AN979">
        <f>'Grid_Stock'!AL27</f>
        <v/>
      </c>
      <c r="AO979">
        <f>'Grid_Stock'!AM27</f>
        <v/>
      </c>
      <c r="AP979">
        <f>'Grid_Stock'!AN27</f>
        <v/>
      </c>
      <c r="AQ979">
        <f>'Grid_Stock'!AO27</f>
        <v/>
      </c>
      <c r="AR979">
        <f>'Grid_Stock'!AP27</f>
        <v/>
      </c>
      <c r="AS979">
        <f>'Grid_Stock'!AQ27</f>
        <v/>
      </c>
      <c r="AT979">
        <f>'Grid_Stock'!AR27</f>
        <v/>
      </c>
      <c r="AU979">
        <f>'Grid_Stock'!AS27</f>
        <v/>
      </c>
      <c r="AV979">
        <f>'Grid_Stock'!AT27</f>
        <v/>
      </c>
      <c r="AW979">
        <f>'Grid_Stock'!AU27</f>
        <v/>
      </c>
      <c r="AX979">
        <f>'Grid_Stock'!AV27</f>
        <v/>
      </c>
      <c r="AY979">
        <f>'Grid_Stock'!AW27</f>
        <v/>
      </c>
      <c r="AZ979">
        <f>'Grid_Stock'!AX27</f>
        <v/>
      </c>
      <c r="BA979">
        <f>'Grid_Stock'!AY27</f>
        <v/>
      </c>
      <c r="BB979">
        <f>'Grid_Stock'!AZ27</f>
        <v/>
      </c>
      <c r="BC979">
        <f>'Grid_Stock'!BA27</f>
        <v/>
      </c>
      <c r="BD979">
        <f>'Grid_Stock'!BB27</f>
        <v/>
      </c>
      <c r="BE979">
        <f>'Grid_Stock'!BC27</f>
        <v/>
      </c>
      <c r="BF979">
        <f>'Grid_Stock'!BD27</f>
        <v/>
      </c>
      <c r="BG979">
        <f>'Grid_Stock'!BE27</f>
        <v/>
      </c>
      <c r="BH979">
        <f>'Grid_Stock'!BF27</f>
        <v/>
      </c>
      <c r="BI979">
        <f>'Grid_Stock'!BG27</f>
        <v/>
      </c>
      <c r="BJ979">
        <f>'Grid_Stock'!BH27</f>
        <v/>
      </c>
      <c r="BK979">
        <f>'Grid_Stock'!BI27</f>
        <v/>
      </c>
      <c r="BL979">
        <f>'Grid_Stock'!BJ27</f>
        <v/>
      </c>
      <c r="BM979">
        <f>'Grid_Stock'!BK27</f>
        <v/>
      </c>
      <c r="BN979">
        <f>'Grid_Stock'!BL27</f>
        <v/>
      </c>
      <c r="BO979">
        <f>'Grid_Stock'!BM27</f>
        <v/>
      </c>
      <c r="BP979">
        <f>'Grid_Stock'!BN27</f>
        <v/>
      </c>
      <c r="BQ979">
        <f>'Grid_Stock'!BO27</f>
        <v/>
      </c>
      <c r="BR979">
        <f>'Grid_Stock'!BP27</f>
        <v/>
      </c>
      <c r="BS979">
        <f>'Grid_Stock'!BQ27</f>
        <v/>
      </c>
      <c r="BT979">
        <f>'Grid_Stock'!BR27</f>
        <v/>
      </c>
      <c r="BU979">
        <f>'Grid_Stock'!BS27</f>
        <v/>
      </c>
      <c r="BV979">
        <f>'Grid_Stock'!BT27</f>
        <v/>
      </c>
      <c r="BW979">
        <f>'Grid_Stock'!BU27</f>
        <v/>
      </c>
      <c r="BX979">
        <f>'Grid_Stock'!BV27</f>
        <v/>
      </c>
      <c r="BY979">
        <f>'Grid_Stock'!BW27</f>
        <v/>
      </c>
      <c r="BZ979">
        <f>'Grid_Stock'!BX27</f>
        <v/>
      </c>
      <c r="CA979">
        <f>'Grid_Stock'!BY27</f>
        <v/>
      </c>
      <c r="CB979">
        <f>'Grid_Stock'!BZ27</f>
        <v/>
      </c>
      <c r="CC979">
        <f>'Grid_Stock'!CA27</f>
        <v/>
      </c>
      <c r="CD979">
        <f>'Grid_Stock'!CB27</f>
        <v/>
      </c>
      <c r="CE979">
        <f>'Grid_Stock'!CC27</f>
        <v/>
      </c>
      <c r="CF979">
        <f>'Grid_Stock'!CD27</f>
        <v/>
      </c>
      <c r="CG979">
        <f>'Grid_Stock'!CE27</f>
        <v/>
      </c>
      <c r="CH979">
        <f>'Grid_Stock'!CF27</f>
        <v/>
      </c>
      <c r="CI979">
        <f>'Grid_Stock'!CG27</f>
        <v/>
      </c>
      <c r="CJ979">
        <f>'Grid_Stock'!CH27</f>
        <v/>
      </c>
      <c r="CK979">
        <f>'Grid_Stock'!CI27</f>
        <v/>
      </c>
      <c r="CL979">
        <f>'Grid_Stock'!CJ27</f>
        <v/>
      </c>
      <c r="CM979">
        <f>'Grid_Stock'!CK27</f>
        <v/>
      </c>
      <c r="CN979">
        <f>'Grid_Stock'!CL27</f>
        <v/>
      </c>
      <c r="CO979">
        <f>'Grid_Stock'!CM27</f>
        <v/>
      </c>
      <c r="CP979">
        <f>'Grid_Stock'!CN27</f>
        <v/>
      </c>
      <c r="CQ979">
        <f>'Grid_Stock'!CO27</f>
        <v/>
      </c>
      <c r="CR979">
        <f>'Grid_Stock'!CP27</f>
        <v/>
      </c>
      <c r="CS979">
        <f>'Grid_Stock'!CQ27</f>
        <v/>
      </c>
      <c r="CT979">
        <f>'Grid_Stock'!CR27</f>
        <v/>
      </c>
      <c r="CU979">
        <f>'Grid_Stock'!CS27</f>
        <v/>
      </c>
      <c r="CV979">
        <f>'Grid_Stock'!CT27</f>
        <v/>
      </c>
      <c r="CW979">
        <f>'Grid_Stock'!CU27</f>
        <v/>
      </c>
      <c r="CX979">
        <f>'Grid_Stock'!CV27</f>
        <v/>
      </c>
      <c r="CY979">
        <f>'Grid_Stock'!CW27</f>
        <v/>
      </c>
      <c r="CZ979">
        <f>'Grid_Stock'!CX27</f>
        <v/>
      </c>
      <c r="DA979">
        <f>'Grid_Stock'!CY27</f>
        <v/>
      </c>
      <c r="DB979">
        <f>'Grid_Stock'!CZ27</f>
        <v/>
      </c>
      <c r="DC979">
        <f>'Grid_Stock'!DA27</f>
        <v/>
      </c>
    </row>
    <row r="980">
      <c r="B980" s="16" t="inlineStr">
        <is>
          <t>（発注の目安はDashboardの基準在庫[下限/上限]と色分けを参照）</t>
        </is>
      </c>
    </row>
    <row r="982">
      <c r="A982" s="14" t="inlineStr">
        <is>
          <t>CHEM-1730</t>
        </is>
      </c>
      <c r="B982" s="14" t="inlineStr">
        <is>
          <t>NAT-41</t>
        </is>
      </c>
      <c r="C982" s="15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  <c r="AA982" s="14" t="n"/>
      <c r="AB982" s="14" t="n"/>
      <c r="AC982" s="14" t="n"/>
      <c r="AD982" s="14" t="n"/>
      <c r="AE982" s="14" t="n"/>
      <c r="AF982" s="14" t="n"/>
      <c r="AG982" s="14" t="n"/>
      <c r="AH982" s="14" t="n"/>
      <c r="AI982" s="14" t="n"/>
      <c r="AJ982" s="14" t="n"/>
      <c r="AK982" s="14" t="n"/>
      <c r="AL982" s="14" t="n"/>
      <c r="AM982" s="14" t="n"/>
      <c r="AN982" s="14" t="n"/>
      <c r="AO982" s="14" t="n"/>
      <c r="AP982" s="14" t="n"/>
      <c r="AQ982" s="14" t="n"/>
      <c r="AR982" s="14" t="n"/>
      <c r="AS982" s="14" t="n"/>
      <c r="AT982" s="14" t="n"/>
      <c r="AU982" s="14" t="n"/>
      <c r="AV982" s="14" t="n"/>
      <c r="AW982" s="14" t="n"/>
      <c r="AX982" s="14" t="n"/>
      <c r="AY982" s="14" t="n"/>
      <c r="AZ982" s="14" t="n"/>
      <c r="BA982" s="14" t="n"/>
      <c r="BB982" s="14" t="n"/>
      <c r="BC982" s="14" t="n"/>
      <c r="BD982" s="14" t="n"/>
      <c r="BE982" s="14" t="n"/>
      <c r="BF982" s="14" t="n"/>
      <c r="BG982" s="14" t="n"/>
      <c r="BH982" s="14" t="n"/>
      <c r="BI982" s="14" t="n"/>
      <c r="BJ982" s="14" t="n"/>
      <c r="BK982" s="14" t="n"/>
      <c r="BL982" s="14" t="n"/>
      <c r="BM982" s="14" t="n"/>
      <c r="BN982" s="14" t="n"/>
      <c r="BO982" s="14" t="n"/>
      <c r="BP982" s="14" t="n"/>
      <c r="BQ982" s="14" t="n"/>
      <c r="BR982" s="14" t="n"/>
      <c r="BS982" s="14" t="n"/>
      <c r="BT982" s="14" t="n"/>
      <c r="BU982" s="14" t="n"/>
      <c r="BV982" s="14" t="n"/>
      <c r="BW982" s="14" t="n"/>
      <c r="BX982" s="14" t="n"/>
      <c r="BY982" s="14" t="n"/>
      <c r="BZ982" s="14" t="n"/>
      <c r="CA982" s="14" t="n"/>
      <c r="CB982" s="14" t="n"/>
      <c r="CC982" s="14" t="n"/>
      <c r="CD982" s="14" t="n"/>
      <c r="CE982" s="14" t="n"/>
      <c r="CF982" s="14" t="n"/>
      <c r="CG982" s="14" t="n"/>
      <c r="CH982" s="14" t="n"/>
      <c r="CI982" s="14" t="n"/>
      <c r="CJ982" s="14" t="n"/>
      <c r="CK982" s="14" t="n"/>
      <c r="CL982" s="14" t="n"/>
      <c r="CM982" s="14" t="n"/>
      <c r="CN982" s="14" t="n"/>
      <c r="CO982" s="14" t="n"/>
      <c r="CP982" s="14" t="n"/>
      <c r="CQ982" s="14" t="n"/>
      <c r="CR982" s="14" t="n"/>
      <c r="CS982" s="14" t="n"/>
      <c r="CT982" s="14" t="n"/>
      <c r="CU982" s="14" t="n"/>
      <c r="CV982" s="14" t="n"/>
      <c r="CW982" s="14" t="n"/>
      <c r="CX982" s="14" t="n"/>
      <c r="CY982" s="14" t="n"/>
      <c r="CZ982" s="14" t="n"/>
      <c r="DA982" s="14" t="n"/>
      <c r="DB982" s="14" t="n"/>
      <c r="DC982" s="14" t="n"/>
    </row>
    <row r="983">
      <c r="B983" t="inlineStr">
        <is>
          <t>TPP-911</t>
        </is>
      </c>
      <c r="C983" t="inlineStr">
        <is>
          <t>No. of batches</t>
        </is>
      </c>
      <c r="D983">
        <f>IFERROR(INDEX(PP_Grid[#Data],$DD983,2),0)</f>
        <v/>
      </c>
      <c r="E983">
        <f>IFERROR(INDEX(PP_Grid[#Data],$DD983,3),0)</f>
        <v/>
      </c>
      <c r="F983">
        <f>IFERROR(INDEX(PP_Grid[#Data],$DD983,4),0)</f>
        <v/>
      </c>
      <c r="G983">
        <f>IFERROR(INDEX(PP_Grid[#Data],$DD983,5),0)</f>
        <v/>
      </c>
      <c r="H983">
        <f>IFERROR(INDEX(PP_Grid[#Data],$DD983,6),0)</f>
        <v/>
      </c>
      <c r="I983">
        <f>IFERROR(INDEX(PP_Grid[#Data],$DD983,7),0)</f>
        <v/>
      </c>
      <c r="J983">
        <f>IFERROR(INDEX(PP_Grid[#Data],$DD983,8),0)</f>
        <v/>
      </c>
      <c r="K983">
        <f>IFERROR(INDEX(PP_Grid[#Data],$DD983,9),0)</f>
        <v/>
      </c>
      <c r="L983">
        <f>IFERROR(INDEX(PP_Grid[#Data],$DD983,10),0)</f>
        <v/>
      </c>
      <c r="M983">
        <f>IFERROR(INDEX(PP_Grid[#Data],$DD983,11),0)</f>
        <v/>
      </c>
      <c r="N983">
        <f>IFERROR(INDEX(PP_Grid[#Data],$DD983,12),0)</f>
        <v/>
      </c>
      <c r="O983">
        <f>IFERROR(INDEX(PP_Grid[#Data],$DD983,13),0)</f>
        <v/>
      </c>
      <c r="P983">
        <f>IFERROR(INDEX(PP_Grid[#Data],$DD983,14),0)</f>
        <v/>
      </c>
      <c r="Q983">
        <f>IFERROR(INDEX(PP_Grid[#Data],$DD983,15),0)</f>
        <v/>
      </c>
      <c r="R983">
        <f>IFERROR(INDEX(PP_Grid[#Data],$DD983,16),0)</f>
        <v/>
      </c>
      <c r="S983">
        <f>IFERROR(INDEX(PP_Grid[#Data],$DD983,17),0)</f>
        <v/>
      </c>
      <c r="T983">
        <f>IFERROR(INDEX(PP_Grid[#Data],$DD983,18),0)</f>
        <v/>
      </c>
      <c r="U983">
        <f>IFERROR(INDEX(PP_Grid[#Data],$DD983,19),0)</f>
        <v/>
      </c>
      <c r="V983">
        <f>IFERROR(INDEX(PP_Grid[#Data],$DD983,20),0)</f>
        <v/>
      </c>
      <c r="W983">
        <f>IFERROR(INDEX(PP_Grid[#Data],$DD983,21),0)</f>
        <v/>
      </c>
      <c r="X983">
        <f>IFERROR(INDEX(PP_Grid[#Data],$DD983,22),0)</f>
        <v/>
      </c>
      <c r="Y983">
        <f>IFERROR(INDEX(PP_Grid[#Data],$DD983,23),0)</f>
        <v/>
      </c>
      <c r="Z983">
        <f>IFERROR(INDEX(PP_Grid[#Data],$DD983,24),0)</f>
        <v/>
      </c>
      <c r="AA983">
        <f>IFERROR(INDEX(PP_Grid[#Data],$DD983,25),0)</f>
        <v/>
      </c>
      <c r="AB983">
        <f>IFERROR(INDEX(PP_Grid[#Data],$DD983,26),0)</f>
        <v/>
      </c>
      <c r="AC983">
        <f>IFERROR(INDEX(PP_Grid[#Data],$DD983,27),0)</f>
        <v/>
      </c>
      <c r="AD983">
        <f>IFERROR(INDEX(PP_Grid[#Data],$DD983,28),0)</f>
        <v/>
      </c>
      <c r="AE983">
        <f>IFERROR(INDEX(PP_Grid[#Data],$DD983,29),0)</f>
        <v/>
      </c>
      <c r="AF983">
        <f>IFERROR(INDEX(PP_Grid[#Data],$DD983,30),0)</f>
        <v/>
      </c>
      <c r="AG983">
        <f>IFERROR(INDEX(PP_Grid[#Data],$DD983,31),0)</f>
        <v/>
      </c>
      <c r="AH983">
        <f>IFERROR(INDEX(PP_Grid[#Data],$DD983,32),0)</f>
        <v/>
      </c>
      <c r="AI983">
        <f>IFERROR(INDEX(PP_Grid[#Data],$DD983,33),0)</f>
        <v/>
      </c>
      <c r="AJ983">
        <f>IFERROR(INDEX(PP_Grid[#Data],$DD983,34),0)</f>
        <v/>
      </c>
      <c r="AK983">
        <f>IFERROR(INDEX(PP_Grid[#Data],$DD983,35),0)</f>
        <v/>
      </c>
      <c r="AL983">
        <f>IFERROR(INDEX(PP_Grid[#Data],$DD983,36),0)</f>
        <v/>
      </c>
      <c r="AM983">
        <f>IFERROR(INDEX(PP_Grid[#Data],$DD983,37),0)</f>
        <v/>
      </c>
      <c r="AN983">
        <f>IFERROR(INDEX(PP_Grid[#Data],$DD983,38),0)</f>
        <v/>
      </c>
      <c r="AO983">
        <f>IFERROR(INDEX(PP_Grid[#Data],$DD983,39),0)</f>
        <v/>
      </c>
      <c r="AP983">
        <f>IFERROR(INDEX(PP_Grid[#Data],$DD983,40),0)</f>
        <v/>
      </c>
      <c r="AQ983">
        <f>IFERROR(INDEX(PP_Grid[#Data],$DD983,41),0)</f>
        <v/>
      </c>
      <c r="AR983">
        <f>IFERROR(INDEX(PP_Grid[#Data],$DD983,42),0)</f>
        <v/>
      </c>
      <c r="AS983">
        <f>IFERROR(INDEX(PP_Grid[#Data],$DD983,43),0)</f>
        <v/>
      </c>
      <c r="AT983">
        <f>IFERROR(INDEX(PP_Grid[#Data],$DD983,44),0)</f>
        <v/>
      </c>
      <c r="AU983">
        <f>IFERROR(INDEX(PP_Grid[#Data],$DD983,45),0)</f>
        <v/>
      </c>
      <c r="AV983">
        <f>IFERROR(INDEX(PP_Grid[#Data],$DD983,46),0)</f>
        <v/>
      </c>
      <c r="AW983">
        <f>IFERROR(INDEX(PP_Grid[#Data],$DD983,47),0)</f>
        <v/>
      </c>
      <c r="AX983">
        <f>IFERROR(INDEX(PP_Grid[#Data],$DD983,48),0)</f>
        <v/>
      </c>
      <c r="AY983">
        <f>IFERROR(INDEX(PP_Grid[#Data],$DD983,49),0)</f>
        <v/>
      </c>
      <c r="AZ983">
        <f>IFERROR(INDEX(PP_Grid[#Data],$DD983,50),0)</f>
        <v/>
      </c>
      <c r="BA983">
        <f>IFERROR(INDEX(PP_Grid[#Data],$DD983,51),0)</f>
        <v/>
      </c>
      <c r="BB983">
        <f>IFERROR(INDEX(PP_Grid[#Data],$DD983,52),0)</f>
        <v/>
      </c>
      <c r="BC983">
        <f>IFERROR(INDEX(PP_Grid[#Data],$DD983,53),0)</f>
        <v/>
      </c>
      <c r="BD983">
        <f>IFERROR(INDEX(PP_Grid[#Data],$DD983,54),0)</f>
        <v/>
      </c>
      <c r="BE983">
        <f>IFERROR(INDEX(PP_Grid[#Data],$DD983,55),0)</f>
        <v/>
      </c>
      <c r="BF983">
        <f>IFERROR(INDEX(PP_Grid[#Data],$DD983,56),0)</f>
        <v/>
      </c>
      <c r="BG983">
        <f>IFERROR(INDEX(PP_Grid[#Data],$DD983,57),0)</f>
        <v/>
      </c>
      <c r="BH983">
        <f>IFERROR(INDEX(PP_Grid[#Data],$DD983,58),0)</f>
        <v/>
      </c>
      <c r="BI983">
        <f>IFERROR(INDEX(PP_Grid[#Data],$DD983,59),0)</f>
        <v/>
      </c>
      <c r="BJ983">
        <f>IFERROR(INDEX(PP_Grid[#Data],$DD983,60),0)</f>
        <v/>
      </c>
      <c r="BK983">
        <f>IFERROR(INDEX(PP_Grid[#Data],$DD983,61),0)</f>
        <v/>
      </c>
      <c r="BL983">
        <f>IFERROR(INDEX(PP_Grid[#Data],$DD983,62),0)</f>
        <v/>
      </c>
      <c r="BM983">
        <f>IFERROR(INDEX(PP_Grid[#Data],$DD983,63),0)</f>
        <v/>
      </c>
      <c r="BN983">
        <f>IFERROR(INDEX(PP_Grid[#Data],$DD983,64),0)</f>
        <v/>
      </c>
      <c r="BO983">
        <f>IFERROR(INDEX(PP_Grid[#Data],$DD983,65),0)</f>
        <v/>
      </c>
      <c r="BP983">
        <f>IFERROR(INDEX(PP_Grid[#Data],$DD983,66),0)</f>
        <v/>
      </c>
      <c r="BQ983">
        <f>IFERROR(INDEX(PP_Grid[#Data],$DD983,67),0)</f>
        <v/>
      </c>
      <c r="BR983">
        <f>IFERROR(INDEX(PP_Grid[#Data],$DD983,68),0)</f>
        <v/>
      </c>
      <c r="BS983">
        <f>IFERROR(INDEX(PP_Grid[#Data],$DD983,69),0)</f>
        <v/>
      </c>
      <c r="BT983">
        <f>IFERROR(INDEX(PP_Grid[#Data],$DD983,70),0)</f>
        <v/>
      </c>
      <c r="BU983">
        <f>IFERROR(INDEX(PP_Grid[#Data],$DD983,71),0)</f>
        <v/>
      </c>
      <c r="BV983">
        <f>IFERROR(INDEX(PP_Grid[#Data],$DD983,72),0)</f>
        <v/>
      </c>
      <c r="BW983">
        <f>IFERROR(INDEX(PP_Grid[#Data],$DD983,73),0)</f>
        <v/>
      </c>
      <c r="BX983">
        <f>IFERROR(INDEX(PP_Grid[#Data],$DD983,74),0)</f>
        <v/>
      </c>
      <c r="BY983">
        <f>IFERROR(INDEX(PP_Grid[#Data],$DD983,75),0)</f>
        <v/>
      </c>
      <c r="BZ983">
        <f>IFERROR(INDEX(PP_Grid[#Data],$DD983,76),0)</f>
        <v/>
      </c>
      <c r="CA983">
        <f>IFERROR(INDEX(PP_Grid[#Data],$DD983,77),0)</f>
        <v/>
      </c>
      <c r="CB983">
        <f>IFERROR(INDEX(PP_Grid[#Data],$DD983,78),0)</f>
        <v/>
      </c>
      <c r="CC983">
        <f>IFERROR(INDEX(PP_Grid[#Data],$DD983,79),0)</f>
        <v/>
      </c>
      <c r="CD983">
        <f>IFERROR(INDEX(PP_Grid[#Data],$DD983,80),0)</f>
        <v/>
      </c>
      <c r="CE983">
        <f>IFERROR(INDEX(PP_Grid[#Data],$DD983,81),0)</f>
        <v/>
      </c>
      <c r="CF983">
        <f>IFERROR(INDEX(PP_Grid[#Data],$DD983,82),0)</f>
        <v/>
      </c>
      <c r="CG983">
        <f>IFERROR(INDEX(PP_Grid[#Data],$DD983,83),0)</f>
        <v/>
      </c>
      <c r="CH983">
        <f>IFERROR(INDEX(PP_Grid[#Data],$DD983,84),0)</f>
        <v/>
      </c>
      <c r="CI983">
        <f>IFERROR(INDEX(PP_Grid[#Data],$DD983,85),0)</f>
        <v/>
      </c>
      <c r="CJ983">
        <f>IFERROR(INDEX(PP_Grid[#Data],$DD983,86),0)</f>
        <v/>
      </c>
      <c r="CK983">
        <f>IFERROR(INDEX(PP_Grid[#Data],$DD983,87),0)</f>
        <v/>
      </c>
      <c r="CL983">
        <f>IFERROR(INDEX(PP_Grid[#Data],$DD983,88),0)</f>
        <v/>
      </c>
      <c r="CM983">
        <f>IFERROR(INDEX(PP_Grid[#Data],$DD983,89),0)</f>
        <v/>
      </c>
      <c r="CN983">
        <f>IFERROR(INDEX(PP_Grid[#Data],$DD983,90),0)</f>
        <v/>
      </c>
      <c r="CO983">
        <f>IFERROR(INDEX(PP_Grid[#Data],$DD983,91),0)</f>
        <v/>
      </c>
      <c r="CP983">
        <f>IFERROR(INDEX(PP_Grid[#Data],$DD983,92),0)</f>
        <v/>
      </c>
      <c r="CQ983">
        <f>IFERROR(INDEX(PP_Grid[#Data],$DD983,93),0)</f>
        <v/>
      </c>
      <c r="CR983">
        <f>IFERROR(INDEX(PP_Grid[#Data],$DD983,94),0)</f>
        <v/>
      </c>
      <c r="CS983">
        <f>IFERROR(INDEX(PP_Grid[#Data],$DD983,95),0)</f>
        <v/>
      </c>
      <c r="CT983">
        <f>IFERROR(INDEX(PP_Grid[#Data],$DD983,96),0)</f>
        <v/>
      </c>
      <c r="CU983">
        <f>IFERROR(INDEX(PP_Grid[#Data],$DD983,97),0)</f>
        <v/>
      </c>
      <c r="CV983">
        <f>IFERROR(INDEX(PP_Grid[#Data],$DD983,98),0)</f>
        <v/>
      </c>
      <c r="CW983">
        <f>IFERROR(INDEX(PP_Grid[#Data],$DD983,99),0)</f>
        <v/>
      </c>
      <c r="CX983">
        <f>IFERROR(INDEX(PP_Grid[#Data],$DD983,100),0)</f>
        <v/>
      </c>
      <c r="CY983">
        <f>IFERROR(INDEX(PP_Grid[#Data],$DD983,101),0)</f>
        <v/>
      </c>
      <c r="CZ983">
        <f>IFERROR(INDEX(PP_Grid[#Data],$DD983,102),0)</f>
        <v/>
      </c>
      <c r="DA983">
        <f>IFERROR(INDEX(PP_Grid[#Data],$DD983,103),0)</f>
        <v/>
      </c>
      <c r="DB983">
        <f>IFERROR(INDEX(PP_Grid[#Data],$DD983,104),0)</f>
        <v/>
      </c>
      <c r="DC983">
        <f>IFERROR(INDEX(PP_Grid[#Data],$DD983,105),0)</f>
        <v/>
      </c>
      <c r="DD983" s="7">
        <f>IFERROR(MATCH($B983,PP_Grid[Intermediate],0),99999)</f>
        <v/>
      </c>
    </row>
    <row r="984">
      <c r="B984" t="inlineStr">
        <is>
          <t>使用量(kg)</t>
        </is>
      </c>
      <c r="C984">
        <f>SUMIFS(M_BOM[RM_Qty_Per_Batch],M_BOM[Intermediate],$B983,M_BOM[Part Name],$A982)</f>
        <v/>
      </c>
      <c r="D984">
        <f>$C984*D983</f>
        <v/>
      </c>
      <c r="E984">
        <f>$C984*E983</f>
        <v/>
      </c>
      <c r="F984">
        <f>$C984*F983</f>
        <v/>
      </c>
      <c r="G984">
        <f>$C984*G983</f>
        <v/>
      </c>
      <c r="H984">
        <f>$C984*H983</f>
        <v/>
      </c>
      <c r="I984">
        <f>$C984*I983</f>
        <v/>
      </c>
      <c r="J984">
        <f>$C984*J983</f>
        <v/>
      </c>
      <c r="K984">
        <f>$C984*K983</f>
        <v/>
      </c>
      <c r="L984">
        <f>$C984*L983</f>
        <v/>
      </c>
      <c r="M984">
        <f>$C984*M983</f>
        <v/>
      </c>
      <c r="N984">
        <f>$C984*N983</f>
        <v/>
      </c>
      <c r="O984">
        <f>$C984*O983</f>
        <v/>
      </c>
      <c r="P984">
        <f>$C984*P983</f>
        <v/>
      </c>
      <c r="Q984">
        <f>$C984*Q983</f>
        <v/>
      </c>
      <c r="R984">
        <f>$C984*R983</f>
        <v/>
      </c>
      <c r="S984">
        <f>$C984*S983</f>
        <v/>
      </c>
      <c r="T984">
        <f>$C984*T983</f>
        <v/>
      </c>
      <c r="U984">
        <f>$C984*U983</f>
        <v/>
      </c>
      <c r="V984">
        <f>$C984*V983</f>
        <v/>
      </c>
      <c r="W984">
        <f>$C984*W983</f>
        <v/>
      </c>
      <c r="X984">
        <f>$C984*X983</f>
        <v/>
      </c>
      <c r="Y984">
        <f>$C984*Y983</f>
        <v/>
      </c>
      <c r="Z984">
        <f>$C984*Z983</f>
        <v/>
      </c>
      <c r="AA984">
        <f>$C984*AA983</f>
        <v/>
      </c>
      <c r="AB984">
        <f>$C984*AB983</f>
        <v/>
      </c>
      <c r="AC984">
        <f>$C984*AC983</f>
        <v/>
      </c>
      <c r="AD984">
        <f>$C984*AD983</f>
        <v/>
      </c>
      <c r="AE984">
        <f>$C984*AE983</f>
        <v/>
      </c>
      <c r="AF984">
        <f>$C984*AF983</f>
        <v/>
      </c>
      <c r="AG984">
        <f>$C984*AG983</f>
        <v/>
      </c>
      <c r="AH984">
        <f>$C984*AH983</f>
        <v/>
      </c>
      <c r="AI984">
        <f>$C984*AI983</f>
        <v/>
      </c>
      <c r="AJ984">
        <f>$C984*AJ983</f>
        <v/>
      </c>
      <c r="AK984">
        <f>$C984*AK983</f>
        <v/>
      </c>
      <c r="AL984">
        <f>$C984*AL983</f>
        <v/>
      </c>
      <c r="AM984">
        <f>$C984*AM983</f>
        <v/>
      </c>
      <c r="AN984">
        <f>$C984*AN983</f>
        <v/>
      </c>
      <c r="AO984">
        <f>$C984*AO983</f>
        <v/>
      </c>
      <c r="AP984">
        <f>$C984*AP983</f>
        <v/>
      </c>
      <c r="AQ984">
        <f>$C984*AQ983</f>
        <v/>
      </c>
      <c r="AR984">
        <f>$C984*AR983</f>
        <v/>
      </c>
      <c r="AS984">
        <f>$C984*AS983</f>
        <v/>
      </c>
      <c r="AT984">
        <f>$C984*AT983</f>
        <v/>
      </c>
      <c r="AU984">
        <f>$C984*AU983</f>
        <v/>
      </c>
      <c r="AV984">
        <f>$C984*AV983</f>
        <v/>
      </c>
      <c r="AW984">
        <f>$C984*AW983</f>
        <v/>
      </c>
      <c r="AX984">
        <f>$C984*AX983</f>
        <v/>
      </c>
      <c r="AY984">
        <f>$C984*AY983</f>
        <v/>
      </c>
      <c r="AZ984">
        <f>$C984*AZ983</f>
        <v/>
      </c>
      <c r="BA984">
        <f>$C984*BA983</f>
        <v/>
      </c>
      <c r="BB984">
        <f>$C984*BB983</f>
        <v/>
      </c>
      <c r="BC984">
        <f>$C984*BC983</f>
        <v/>
      </c>
      <c r="BD984">
        <f>$C984*BD983</f>
        <v/>
      </c>
      <c r="BE984">
        <f>$C984*BE983</f>
        <v/>
      </c>
      <c r="BF984">
        <f>$C984*BF983</f>
        <v/>
      </c>
      <c r="BG984">
        <f>$C984*BG983</f>
        <v/>
      </c>
      <c r="BH984">
        <f>$C984*BH983</f>
        <v/>
      </c>
      <c r="BI984">
        <f>$C984*BI983</f>
        <v/>
      </c>
      <c r="BJ984">
        <f>$C984*BJ983</f>
        <v/>
      </c>
      <c r="BK984">
        <f>$C984*BK983</f>
        <v/>
      </c>
      <c r="BL984">
        <f>$C984*BL983</f>
        <v/>
      </c>
      <c r="BM984">
        <f>$C984*BM983</f>
        <v/>
      </c>
      <c r="BN984">
        <f>$C984*BN983</f>
        <v/>
      </c>
      <c r="BO984">
        <f>$C984*BO983</f>
        <v/>
      </c>
      <c r="BP984">
        <f>$C984*BP983</f>
        <v/>
      </c>
      <c r="BQ984">
        <f>$C984*BQ983</f>
        <v/>
      </c>
      <c r="BR984">
        <f>$C984*BR983</f>
        <v/>
      </c>
      <c r="BS984">
        <f>$C984*BS983</f>
        <v/>
      </c>
      <c r="BT984">
        <f>$C984*BT983</f>
        <v/>
      </c>
      <c r="BU984">
        <f>$C984*BU983</f>
        <v/>
      </c>
      <c r="BV984">
        <f>$C984*BV983</f>
        <v/>
      </c>
      <c r="BW984">
        <f>$C984*BW983</f>
        <v/>
      </c>
      <c r="BX984">
        <f>$C984*BX983</f>
        <v/>
      </c>
      <c r="BY984">
        <f>$C984*BY983</f>
        <v/>
      </c>
      <c r="BZ984">
        <f>$C984*BZ983</f>
        <v/>
      </c>
      <c r="CA984">
        <f>$C984*CA983</f>
        <v/>
      </c>
      <c r="CB984">
        <f>$C984*CB983</f>
        <v/>
      </c>
      <c r="CC984">
        <f>$C984*CC983</f>
        <v/>
      </c>
      <c r="CD984">
        <f>$C984*CD983</f>
        <v/>
      </c>
      <c r="CE984">
        <f>$C984*CE983</f>
        <v/>
      </c>
      <c r="CF984">
        <f>$C984*CF983</f>
        <v/>
      </c>
      <c r="CG984">
        <f>$C984*CG983</f>
        <v/>
      </c>
      <c r="CH984">
        <f>$C984*CH983</f>
        <v/>
      </c>
      <c r="CI984">
        <f>$C984*CI983</f>
        <v/>
      </c>
      <c r="CJ984">
        <f>$C984*CJ983</f>
        <v/>
      </c>
      <c r="CK984">
        <f>$C984*CK983</f>
        <v/>
      </c>
      <c r="CL984">
        <f>$C984*CL983</f>
        <v/>
      </c>
      <c r="CM984">
        <f>$C984*CM983</f>
        <v/>
      </c>
      <c r="CN984">
        <f>$C984*CN983</f>
        <v/>
      </c>
      <c r="CO984">
        <f>$C984*CO983</f>
        <v/>
      </c>
      <c r="CP984">
        <f>$C984*CP983</f>
        <v/>
      </c>
      <c r="CQ984">
        <f>$C984*CQ983</f>
        <v/>
      </c>
      <c r="CR984">
        <f>$C984*CR983</f>
        <v/>
      </c>
      <c r="CS984">
        <f>$C984*CS983</f>
        <v/>
      </c>
      <c r="CT984">
        <f>$C984*CT983</f>
        <v/>
      </c>
      <c r="CU984">
        <f>$C984*CU983</f>
        <v/>
      </c>
      <c r="CV984">
        <f>$C984*CV983</f>
        <v/>
      </c>
      <c r="CW984">
        <f>$C984*CW983</f>
        <v/>
      </c>
      <c r="CX984">
        <f>$C984*CX983</f>
        <v/>
      </c>
      <c r="CY984">
        <f>$C984*CY983</f>
        <v/>
      </c>
      <c r="CZ984">
        <f>$C984*CZ983</f>
        <v/>
      </c>
      <c r="DA984">
        <f>$C984*DA983</f>
        <v/>
      </c>
      <c r="DB984">
        <f>$C984*DB983</f>
        <v/>
      </c>
      <c r="DC984">
        <f>$C984*DC983</f>
        <v/>
      </c>
    </row>
    <row r="985">
      <c r="B985" t="inlineStr">
        <is>
          <t>TPP-912</t>
        </is>
      </c>
      <c r="C985" t="inlineStr">
        <is>
          <t>No. of batches</t>
        </is>
      </c>
      <c r="D985">
        <f>IFERROR(INDEX(PP_Grid[#Data],$DD985,2),0)</f>
        <v/>
      </c>
      <c r="E985">
        <f>IFERROR(INDEX(PP_Grid[#Data],$DD985,3),0)</f>
        <v/>
      </c>
      <c r="F985">
        <f>IFERROR(INDEX(PP_Grid[#Data],$DD985,4),0)</f>
        <v/>
      </c>
      <c r="G985">
        <f>IFERROR(INDEX(PP_Grid[#Data],$DD985,5),0)</f>
        <v/>
      </c>
      <c r="H985">
        <f>IFERROR(INDEX(PP_Grid[#Data],$DD985,6),0)</f>
        <v/>
      </c>
      <c r="I985">
        <f>IFERROR(INDEX(PP_Grid[#Data],$DD985,7),0)</f>
        <v/>
      </c>
      <c r="J985">
        <f>IFERROR(INDEX(PP_Grid[#Data],$DD985,8),0)</f>
        <v/>
      </c>
      <c r="K985">
        <f>IFERROR(INDEX(PP_Grid[#Data],$DD985,9),0)</f>
        <v/>
      </c>
      <c r="L985">
        <f>IFERROR(INDEX(PP_Grid[#Data],$DD985,10),0)</f>
        <v/>
      </c>
      <c r="M985">
        <f>IFERROR(INDEX(PP_Grid[#Data],$DD985,11),0)</f>
        <v/>
      </c>
      <c r="N985">
        <f>IFERROR(INDEX(PP_Grid[#Data],$DD985,12),0)</f>
        <v/>
      </c>
      <c r="O985">
        <f>IFERROR(INDEX(PP_Grid[#Data],$DD985,13),0)</f>
        <v/>
      </c>
      <c r="P985">
        <f>IFERROR(INDEX(PP_Grid[#Data],$DD985,14),0)</f>
        <v/>
      </c>
      <c r="Q985">
        <f>IFERROR(INDEX(PP_Grid[#Data],$DD985,15),0)</f>
        <v/>
      </c>
      <c r="R985">
        <f>IFERROR(INDEX(PP_Grid[#Data],$DD985,16),0)</f>
        <v/>
      </c>
      <c r="S985">
        <f>IFERROR(INDEX(PP_Grid[#Data],$DD985,17),0)</f>
        <v/>
      </c>
      <c r="T985">
        <f>IFERROR(INDEX(PP_Grid[#Data],$DD985,18),0)</f>
        <v/>
      </c>
      <c r="U985">
        <f>IFERROR(INDEX(PP_Grid[#Data],$DD985,19),0)</f>
        <v/>
      </c>
      <c r="V985">
        <f>IFERROR(INDEX(PP_Grid[#Data],$DD985,20),0)</f>
        <v/>
      </c>
      <c r="W985">
        <f>IFERROR(INDEX(PP_Grid[#Data],$DD985,21),0)</f>
        <v/>
      </c>
      <c r="X985">
        <f>IFERROR(INDEX(PP_Grid[#Data],$DD985,22),0)</f>
        <v/>
      </c>
      <c r="Y985">
        <f>IFERROR(INDEX(PP_Grid[#Data],$DD985,23),0)</f>
        <v/>
      </c>
      <c r="Z985">
        <f>IFERROR(INDEX(PP_Grid[#Data],$DD985,24),0)</f>
        <v/>
      </c>
      <c r="AA985">
        <f>IFERROR(INDEX(PP_Grid[#Data],$DD985,25),0)</f>
        <v/>
      </c>
      <c r="AB985">
        <f>IFERROR(INDEX(PP_Grid[#Data],$DD985,26),0)</f>
        <v/>
      </c>
      <c r="AC985">
        <f>IFERROR(INDEX(PP_Grid[#Data],$DD985,27),0)</f>
        <v/>
      </c>
      <c r="AD985">
        <f>IFERROR(INDEX(PP_Grid[#Data],$DD985,28),0)</f>
        <v/>
      </c>
      <c r="AE985">
        <f>IFERROR(INDEX(PP_Grid[#Data],$DD985,29),0)</f>
        <v/>
      </c>
      <c r="AF985">
        <f>IFERROR(INDEX(PP_Grid[#Data],$DD985,30),0)</f>
        <v/>
      </c>
      <c r="AG985">
        <f>IFERROR(INDEX(PP_Grid[#Data],$DD985,31),0)</f>
        <v/>
      </c>
      <c r="AH985">
        <f>IFERROR(INDEX(PP_Grid[#Data],$DD985,32),0)</f>
        <v/>
      </c>
      <c r="AI985">
        <f>IFERROR(INDEX(PP_Grid[#Data],$DD985,33),0)</f>
        <v/>
      </c>
      <c r="AJ985">
        <f>IFERROR(INDEX(PP_Grid[#Data],$DD985,34),0)</f>
        <v/>
      </c>
      <c r="AK985">
        <f>IFERROR(INDEX(PP_Grid[#Data],$DD985,35),0)</f>
        <v/>
      </c>
      <c r="AL985">
        <f>IFERROR(INDEX(PP_Grid[#Data],$DD985,36),0)</f>
        <v/>
      </c>
      <c r="AM985">
        <f>IFERROR(INDEX(PP_Grid[#Data],$DD985,37),0)</f>
        <v/>
      </c>
      <c r="AN985">
        <f>IFERROR(INDEX(PP_Grid[#Data],$DD985,38),0)</f>
        <v/>
      </c>
      <c r="AO985">
        <f>IFERROR(INDEX(PP_Grid[#Data],$DD985,39),0)</f>
        <v/>
      </c>
      <c r="AP985">
        <f>IFERROR(INDEX(PP_Grid[#Data],$DD985,40),0)</f>
        <v/>
      </c>
      <c r="AQ985">
        <f>IFERROR(INDEX(PP_Grid[#Data],$DD985,41),0)</f>
        <v/>
      </c>
      <c r="AR985">
        <f>IFERROR(INDEX(PP_Grid[#Data],$DD985,42),0)</f>
        <v/>
      </c>
      <c r="AS985">
        <f>IFERROR(INDEX(PP_Grid[#Data],$DD985,43),0)</f>
        <v/>
      </c>
      <c r="AT985">
        <f>IFERROR(INDEX(PP_Grid[#Data],$DD985,44),0)</f>
        <v/>
      </c>
      <c r="AU985">
        <f>IFERROR(INDEX(PP_Grid[#Data],$DD985,45),0)</f>
        <v/>
      </c>
      <c r="AV985">
        <f>IFERROR(INDEX(PP_Grid[#Data],$DD985,46),0)</f>
        <v/>
      </c>
      <c r="AW985">
        <f>IFERROR(INDEX(PP_Grid[#Data],$DD985,47),0)</f>
        <v/>
      </c>
      <c r="AX985">
        <f>IFERROR(INDEX(PP_Grid[#Data],$DD985,48),0)</f>
        <v/>
      </c>
      <c r="AY985">
        <f>IFERROR(INDEX(PP_Grid[#Data],$DD985,49),0)</f>
        <v/>
      </c>
      <c r="AZ985">
        <f>IFERROR(INDEX(PP_Grid[#Data],$DD985,50),0)</f>
        <v/>
      </c>
      <c r="BA985">
        <f>IFERROR(INDEX(PP_Grid[#Data],$DD985,51),0)</f>
        <v/>
      </c>
      <c r="BB985">
        <f>IFERROR(INDEX(PP_Grid[#Data],$DD985,52),0)</f>
        <v/>
      </c>
      <c r="BC985">
        <f>IFERROR(INDEX(PP_Grid[#Data],$DD985,53),0)</f>
        <v/>
      </c>
      <c r="BD985">
        <f>IFERROR(INDEX(PP_Grid[#Data],$DD985,54),0)</f>
        <v/>
      </c>
      <c r="BE985">
        <f>IFERROR(INDEX(PP_Grid[#Data],$DD985,55),0)</f>
        <v/>
      </c>
      <c r="BF985">
        <f>IFERROR(INDEX(PP_Grid[#Data],$DD985,56),0)</f>
        <v/>
      </c>
      <c r="BG985">
        <f>IFERROR(INDEX(PP_Grid[#Data],$DD985,57),0)</f>
        <v/>
      </c>
      <c r="BH985">
        <f>IFERROR(INDEX(PP_Grid[#Data],$DD985,58),0)</f>
        <v/>
      </c>
      <c r="BI985">
        <f>IFERROR(INDEX(PP_Grid[#Data],$DD985,59),0)</f>
        <v/>
      </c>
      <c r="BJ985">
        <f>IFERROR(INDEX(PP_Grid[#Data],$DD985,60),0)</f>
        <v/>
      </c>
      <c r="BK985">
        <f>IFERROR(INDEX(PP_Grid[#Data],$DD985,61),0)</f>
        <v/>
      </c>
      <c r="BL985">
        <f>IFERROR(INDEX(PP_Grid[#Data],$DD985,62),0)</f>
        <v/>
      </c>
      <c r="BM985">
        <f>IFERROR(INDEX(PP_Grid[#Data],$DD985,63),0)</f>
        <v/>
      </c>
      <c r="BN985">
        <f>IFERROR(INDEX(PP_Grid[#Data],$DD985,64),0)</f>
        <v/>
      </c>
      <c r="BO985">
        <f>IFERROR(INDEX(PP_Grid[#Data],$DD985,65),0)</f>
        <v/>
      </c>
      <c r="BP985">
        <f>IFERROR(INDEX(PP_Grid[#Data],$DD985,66),0)</f>
        <v/>
      </c>
      <c r="BQ985">
        <f>IFERROR(INDEX(PP_Grid[#Data],$DD985,67),0)</f>
        <v/>
      </c>
      <c r="BR985">
        <f>IFERROR(INDEX(PP_Grid[#Data],$DD985,68),0)</f>
        <v/>
      </c>
      <c r="BS985">
        <f>IFERROR(INDEX(PP_Grid[#Data],$DD985,69),0)</f>
        <v/>
      </c>
      <c r="BT985">
        <f>IFERROR(INDEX(PP_Grid[#Data],$DD985,70),0)</f>
        <v/>
      </c>
      <c r="BU985">
        <f>IFERROR(INDEX(PP_Grid[#Data],$DD985,71),0)</f>
        <v/>
      </c>
      <c r="BV985">
        <f>IFERROR(INDEX(PP_Grid[#Data],$DD985,72),0)</f>
        <v/>
      </c>
      <c r="BW985">
        <f>IFERROR(INDEX(PP_Grid[#Data],$DD985,73),0)</f>
        <v/>
      </c>
      <c r="BX985">
        <f>IFERROR(INDEX(PP_Grid[#Data],$DD985,74),0)</f>
        <v/>
      </c>
      <c r="BY985">
        <f>IFERROR(INDEX(PP_Grid[#Data],$DD985,75),0)</f>
        <v/>
      </c>
      <c r="BZ985">
        <f>IFERROR(INDEX(PP_Grid[#Data],$DD985,76),0)</f>
        <v/>
      </c>
      <c r="CA985">
        <f>IFERROR(INDEX(PP_Grid[#Data],$DD985,77),0)</f>
        <v/>
      </c>
      <c r="CB985">
        <f>IFERROR(INDEX(PP_Grid[#Data],$DD985,78),0)</f>
        <v/>
      </c>
      <c r="CC985">
        <f>IFERROR(INDEX(PP_Grid[#Data],$DD985,79),0)</f>
        <v/>
      </c>
      <c r="CD985">
        <f>IFERROR(INDEX(PP_Grid[#Data],$DD985,80),0)</f>
        <v/>
      </c>
      <c r="CE985">
        <f>IFERROR(INDEX(PP_Grid[#Data],$DD985,81),0)</f>
        <v/>
      </c>
      <c r="CF985">
        <f>IFERROR(INDEX(PP_Grid[#Data],$DD985,82),0)</f>
        <v/>
      </c>
      <c r="CG985">
        <f>IFERROR(INDEX(PP_Grid[#Data],$DD985,83),0)</f>
        <v/>
      </c>
      <c r="CH985">
        <f>IFERROR(INDEX(PP_Grid[#Data],$DD985,84),0)</f>
        <v/>
      </c>
      <c r="CI985">
        <f>IFERROR(INDEX(PP_Grid[#Data],$DD985,85),0)</f>
        <v/>
      </c>
      <c r="CJ985">
        <f>IFERROR(INDEX(PP_Grid[#Data],$DD985,86),0)</f>
        <v/>
      </c>
      <c r="CK985">
        <f>IFERROR(INDEX(PP_Grid[#Data],$DD985,87),0)</f>
        <v/>
      </c>
      <c r="CL985">
        <f>IFERROR(INDEX(PP_Grid[#Data],$DD985,88),0)</f>
        <v/>
      </c>
      <c r="CM985">
        <f>IFERROR(INDEX(PP_Grid[#Data],$DD985,89),0)</f>
        <v/>
      </c>
      <c r="CN985">
        <f>IFERROR(INDEX(PP_Grid[#Data],$DD985,90),0)</f>
        <v/>
      </c>
      <c r="CO985">
        <f>IFERROR(INDEX(PP_Grid[#Data],$DD985,91),0)</f>
        <v/>
      </c>
      <c r="CP985">
        <f>IFERROR(INDEX(PP_Grid[#Data],$DD985,92),0)</f>
        <v/>
      </c>
      <c r="CQ985">
        <f>IFERROR(INDEX(PP_Grid[#Data],$DD985,93),0)</f>
        <v/>
      </c>
      <c r="CR985">
        <f>IFERROR(INDEX(PP_Grid[#Data],$DD985,94),0)</f>
        <v/>
      </c>
      <c r="CS985">
        <f>IFERROR(INDEX(PP_Grid[#Data],$DD985,95),0)</f>
        <v/>
      </c>
      <c r="CT985">
        <f>IFERROR(INDEX(PP_Grid[#Data],$DD985,96),0)</f>
        <v/>
      </c>
      <c r="CU985">
        <f>IFERROR(INDEX(PP_Grid[#Data],$DD985,97),0)</f>
        <v/>
      </c>
      <c r="CV985">
        <f>IFERROR(INDEX(PP_Grid[#Data],$DD985,98),0)</f>
        <v/>
      </c>
      <c r="CW985">
        <f>IFERROR(INDEX(PP_Grid[#Data],$DD985,99),0)</f>
        <v/>
      </c>
      <c r="CX985">
        <f>IFERROR(INDEX(PP_Grid[#Data],$DD985,100),0)</f>
        <v/>
      </c>
      <c r="CY985">
        <f>IFERROR(INDEX(PP_Grid[#Data],$DD985,101),0)</f>
        <v/>
      </c>
      <c r="CZ985">
        <f>IFERROR(INDEX(PP_Grid[#Data],$DD985,102),0)</f>
        <v/>
      </c>
      <c r="DA985">
        <f>IFERROR(INDEX(PP_Grid[#Data],$DD985,103),0)</f>
        <v/>
      </c>
      <c r="DB985">
        <f>IFERROR(INDEX(PP_Grid[#Data],$DD985,104),0)</f>
        <v/>
      </c>
      <c r="DC985">
        <f>IFERROR(INDEX(PP_Grid[#Data],$DD985,105),0)</f>
        <v/>
      </c>
      <c r="DD985" s="7">
        <f>IFERROR(MATCH($B985,PP_Grid[Intermediate],0),99999)</f>
        <v/>
      </c>
    </row>
    <row r="986">
      <c r="B986" t="inlineStr">
        <is>
          <t>使用量(kg)</t>
        </is>
      </c>
      <c r="C986">
        <f>SUMIFS(M_BOM[RM_Qty_Per_Batch],M_BOM[Intermediate],$B985,M_BOM[Part Name],$A982)</f>
        <v/>
      </c>
      <c r="D986">
        <f>$C986*D985</f>
        <v/>
      </c>
      <c r="E986">
        <f>$C986*E985</f>
        <v/>
      </c>
      <c r="F986">
        <f>$C986*F985</f>
        <v/>
      </c>
      <c r="G986">
        <f>$C986*G985</f>
        <v/>
      </c>
      <c r="H986">
        <f>$C986*H985</f>
        <v/>
      </c>
      <c r="I986">
        <f>$C986*I985</f>
        <v/>
      </c>
      <c r="J986">
        <f>$C986*J985</f>
        <v/>
      </c>
      <c r="K986">
        <f>$C986*K985</f>
        <v/>
      </c>
      <c r="L986">
        <f>$C986*L985</f>
        <v/>
      </c>
      <c r="M986">
        <f>$C986*M985</f>
        <v/>
      </c>
      <c r="N986">
        <f>$C986*N985</f>
        <v/>
      </c>
      <c r="O986">
        <f>$C986*O985</f>
        <v/>
      </c>
      <c r="P986">
        <f>$C986*P985</f>
        <v/>
      </c>
      <c r="Q986">
        <f>$C986*Q985</f>
        <v/>
      </c>
      <c r="R986">
        <f>$C986*R985</f>
        <v/>
      </c>
      <c r="S986">
        <f>$C986*S985</f>
        <v/>
      </c>
      <c r="T986">
        <f>$C986*T985</f>
        <v/>
      </c>
      <c r="U986">
        <f>$C986*U985</f>
        <v/>
      </c>
      <c r="V986">
        <f>$C986*V985</f>
        <v/>
      </c>
      <c r="W986">
        <f>$C986*W985</f>
        <v/>
      </c>
      <c r="X986">
        <f>$C986*X985</f>
        <v/>
      </c>
      <c r="Y986">
        <f>$C986*Y985</f>
        <v/>
      </c>
      <c r="Z986">
        <f>$C986*Z985</f>
        <v/>
      </c>
      <c r="AA986">
        <f>$C986*AA985</f>
        <v/>
      </c>
      <c r="AB986">
        <f>$C986*AB985</f>
        <v/>
      </c>
      <c r="AC986">
        <f>$C986*AC985</f>
        <v/>
      </c>
      <c r="AD986">
        <f>$C986*AD985</f>
        <v/>
      </c>
      <c r="AE986">
        <f>$C986*AE985</f>
        <v/>
      </c>
      <c r="AF986">
        <f>$C986*AF985</f>
        <v/>
      </c>
      <c r="AG986">
        <f>$C986*AG985</f>
        <v/>
      </c>
      <c r="AH986">
        <f>$C986*AH985</f>
        <v/>
      </c>
      <c r="AI986">
        <f>$C986*AI985</f>
        <v/>
      </c>
      <c r="AJ986">
        <f>$C986*AJ985</f>
        <v/>
      </c>
      <c r="AK986">
        <f>$C986*AK985</f>
        <v/>
      </c>
      <c r="AL986">
        <f>$C986*AL985</f>
        <v/>
      </c>
      <c r="AM986">
        <f>$C986*AM985</f>
        <v/>
      </c>
      <c r="AN986">
        <f>$C986*AN985</f>
        <v/>
      </c>
      <c r="AO986">
        <f>$C986*AO985</f>
        <v/>
      </c>
      <c r="AP986">
        <f>$C986*AP985</f>
        <v/>
      </c>
      <c r="AQ986">
        <f>$C986*AQ985</f>
        <v/>
      </c>
      <c r="AR986">
        <f>$C986*AR985</f>
        <v/>
      </c>
      <c r="AS986">
        <f>$C986*AS985</f>
        <v/>
      </c>
      <c r="AT986">
        <f>$C986*AT985</f>
        <v/>
      </c>
      <c r="AU986">
        <f>$C986*AU985</f>
        <v/>
      </c>
      <c r="AV986">
        <f>$C986*AV985</f>
        <v/>
      </c>
      <c r="AW986">
        <f>$C986*AW985</f>
        <v/>
      </c>
      <c r="AX986">
        <f>$C986*AX985</f>
        <v/>
      </c>
      <c r="AY986">
        <f>$C986*AY985</f>
        <v/>
      </c>
      <c r="AZ986">
        <f>$C986*AZ985</f>
        <v/>
      </c>
      <c r="BA986">
        <f>$C986*BA985</f>
        <v/>
      </c>
      <c r="BB986">
        <f>$C986*BB985</f>
        <v/>
      </c>
      <c r="BC986">
        <f>$C986*BC985</f>
        <v/>
      </c>
      <c r="BD986">
        <f>$C986*BD985</f>
        <v/>
      </c>
      <c r="BE986">
        <f>$C986*BE985</f>
        <v/>
      </c>
      <c r="BF986">
        <f>$C986*BF985</f>
        <v/>
      </c>
      <c r="BG986">
        <f>$C986*BG985</f>
        <v/>
      </c>
      <c r="BH986">
        <f>$C986*BH985</f>
        <v/>
      </c>
      <c r="BI986">
        <f>$C986*BI985</f>
        <v/>
      </c>
      <c r="BJ986">
        <f>$C986*BJ985</f>
        <v/>
      </c>
      <c r="BK986">
        <f>$C986*BK985</f>
        <v/>
      </c>
      <c r="BL986">
        <f>$C986*BL985</f>
        <v/>
      </c>
      <c r="BM986">
        <f>$C986*BM985</f>
        <v/>
      </c>
      <c r="BN986">
        <f>$C986*BN985</f>
        <v/>
      </c>
      <c r="BO986">
        <f>$C986*BO985</f>
        <v/>
      </c>
      <c r="BP986">
        <f>$C986*BP985</f>
        <v/>
      </c>
      <c r="BQ986">
        <f>$C986*BQ985</f>
        <v/>
      </c>
      <c r="BR986">
        <f>$C986*BR985</f>
        <v/>
      </c>
      <c r="BS986">
        <f>$C986*BS985</f>
        <v/>
      </c>
      <c r="BT986">
        <f>$C986*BT985</f>
        <v/>
      </c>
      <c r="BU986">
        <f>$C986*BU985</f>
        <v/>
      </c>
      <c r="BV986">
        <f>$C986*BV985</f>
        <v/>
      </c>
      <c r="BW986">
        <f>$C986*BW985</f>
        <v/>
      </c>
      <c r="BX986">
        <f>$C986*BX985</f>
        <v/>
      </c>
      <c r="BY986">
        <f>$C986*BY985</f>
        <v/>
      </c>
      <c r="BZ986">
        <f>$C986*BZ985</f>
        <v/>
      </c>
      <c r="CA986">
        <f>$C986*CA985</f>
        <v/>
      </c>
      <c r="CB986">
        <f>$C986*CB985</f>
        <v/>
      </c>
      <c r="CC986">
        <f>$C986*CC985</f>
        <v/>
      </c>
      <c r="CD986">
        <f>$C986*CD985</f>
        <v/>
      </c>
      <c r="CE986">
        <f>$C986*CE985</f>
        <v/>
      </c>
      <c r="CF986">
        <f>$C986*CF985</f>
        <v/>
      </c>
      <c r="CG986">
        <f>$C986*CG985</f>
        <v/>
      </c>
      <c r="CH986">
        <f>$C986*CH985</f>
        <v/>
      </c>
      <c r="CI986">
        <f>$C986*CI985</f>
        <v/>
      </c>
      <c r="CJ986">
        <f>$C986*CJ985</f>
        <v/>
      </c>
      <c r="CK986">
        <f>$C986*CK985</f>
        <v/>
      </c>
      <c r="CL986">
        <f>$C986*CL985</f>
        <v/>
      </c>
      <c r="CM986">
        <f>$C986*CM985</f>
        <v/>
      </c>
      <c r="CN986">
        <f>$C986*CN985</f>
        <v/>
      </c>
      <c r="CO986">
        <f>$C986*CO985</f>
        <v/>
      </c>
      <c r="CP986">
        <f>$C986*CP985</f>
        <v/>
      </c>
      <c r="CQ986">
        <f>$C986*CQ985</f>
        <v/>
      </c>
      <c r="CR986">
        <f>$C986*CR985</f>
        <v/>
      </c>
      <c r="CS986">
        <f>$C986*CS985</f>
        <v/>
      </c>
      <c r="CT986">
        <f>$C986*CT985</f>
        <v/>
      </c>
      <c r="CU986">
        <f>$C986*CU985</f>
        <v/>
      </c>
      <c r="CV986">
        <f>$C986*CV985</f>
        <v/>
      </c>
      <c r="CW986">
        <f>$C986*CW985</f>
        <v/>
      </c>
      <c r="CX986">
        <f>$C986*CX985</f>
        <v/>
      </c>
      <c r="CY986">
        <f>$C986*CY985</f>
        <v/>
      </c>
      <c r="CZ986">
        <f>$C986*CZ985</f>
        <v/>
      </c>
      <c r="DA986">
        <f>$C986*DA985</f>
        <v/>
      </c>
      <c r="DB986">
        <f>$C986*DB985</f>
        <v/>
      </c>
      <c r="DC986">
        <f>$C986*DC985</f>
        <v/>
      </c>
    </row>
    <row r="987">
      <c r="B987" t="inlineStr">
        <is>
          <t>No of times used</t>
        </is>
      </c>
      <c r="C987" t="inlineStr">
        <is>
          <t>No. of batches</t>
        </is>
      </c>
      <c r="D987">
        <f>IFERROR(INDEX(PP_Grid[#Data],$DD987,2),0)</f>
        <v/>
      </c>
      <c r="E987">
        <f>IFERROR(INDEX(PP_Grid[#Data],$DD987,3),0)</f>
        <v/>
      </c>
      <c r="F987">
        <f>IFERROR(INDEX(PP_Grid[#Data],$DD987,4),0)</f>
        <v/>
      </c>
      <c r="G987">
        <f>IFERROR(INDEX(PP_Grid[#Data],$DD987,5),0)</f>
        <v/>
      </c>
      <c r="H987">
        <f>IFERROR(INDEX(PP_Grid[#Data],$DD987,6),0)</f>
        <v/>
      </c>
      <c r="I987">
        <f>IFERROR(INDEX(PP_Grid[#Data],$DD987,7),0)</f>
        <v/>
      </c>
      <c r="J987">
        <f>IFERROR(INDEX(PP_Grid[#Data],$DD987,8),0)</f>
        <v/>
      </c>
      <c r="K987">
        <f>IFERROR(INDEX(PP_Grid[#Data],$DD987,9),0)</f>
        <v/>
      </c>
      <c r="L987">
        <f>IFERROR(INDEX(PP_Grid[#Data],$DD987,10),0)</f>
        <v/>
      </c>
      <c r="M987">
        <f>IFERROR(INDEX(PP_Grid[#Data],$DD987,11),0)</f>
        <v/>
      </c>
      <c r="N987">
        <f>IFERROR(INDEX(PP_Grid[#Data],$DD987,12),0)</f>
        <v/>
      </c>
      <c r="O987">
        <f>IFERROR(INDEX(PP_Grid[#Data],$DD987,13),0)</f>
        <v/>
      </c>
      <c r="P987">
        <f>IFERROR(INDEX(PP_Grid[#Data],$DD987,14),0)</f>
        <v/>
      </c>
      <c r="Q987">
        <f>IFERROR(INDEX(PP_Grid[#Data],$DD987,15),0)</f>
        <v/>
      </c>
      <c r="R987">
        <f>IFERROR(INDEX(PP_Grid[#Data],$DD987,16),0)</f>
        <v/>
      </c>
      <c r="S987">
        <f>IFERROR(INDEX(PP_Grid[#Data],$DD987,17),0)</f>
        <v/>
      </c>
      <c r="T987">
        <f>IFERROR(INDEX(PP_Grid[#Data],$DD987,18),0)</f>
        <v/>
      </c>
      <c r="U987">
        <f>IFERROR(INDEX(PP_Grid[#Data],$DD987,19),0)</f>
        <v/>
      </c>
      <c r="V987">
        <f>IFERROR(INDEX(PP_Grid[#Data],$DD987,20),0)</f>
        <v/>
      </c>
      <c r="W987">
        <f>IFERROR(INDEX(PP_Grid[#Data],$DD987,21),0)</f>
        <v/>
      </c>
      <c r="X987">
        <f>IFERROR(INDEX(PP_Grid[#Data],$DD987,22),0)</f>
        <v/>
      </c>
      <c r="Y987">
        <f>IFERROR(INDEX(PP_Grid[#Data],$DD987,23),0)</f>
        <v/>
      </c>
      <c r="Z987">
        <f>IFERROR(INDEX(PP_Grid[#Data],$DD987,24),0)</f>
        <v/>
      </c>
      <c r="AA987">
        <f>IFERROR(INDEX(PP_Grid[#Data],$DD987,25),0)</f>
        <v/>
      </c>
      <c r="AB987">
        <f>IFERROR(INDEX(PP_Grid[#Data],$DD987,26),0)</f>
        <v/>
      </c>
      <c r="AC987">
        <f>IFERROR(INDEX(PP_Grid[#Data],$DD987,27),0)</f>
        <v/>
      </c>
      <c r="AD987">
        <f>IFERROR(INDEX(PP_Grid[#Data],$DD987,28),0)</f>
        <v/>
      </c>
      <c r="AE987">
        <f>IFERROR(INDEX(PP_Grid[#Data],$DD987,29),0)</f>
        <v/>
      </c>
      <c r="AF987">
        <f>IFERROR(INDEX(PP_Grid[#Data],$DD987,30),0)</f>
        <v/>
      </c>
      <c r="AG987">
        <f>IFERROR(INDEX(PP_Grid[#Data],$DD987,31),0)</f>
        <v/>
      </c>
      <c r="AH987">
        <f>IFERROR(INDEX(PP_Grid[#Data],$DD987,32),0)</f>
        <v/>
      </c>
      <c r="AI987">
        <f>IFERROR(INDEX(PP_Grid[#Data],$DD987,33),0)</f>
        <v/>
      </c>
      <c r="AJ987">
        <f>IFERROR(INDEX(PP_Grid[#Data],$DD987,34),0)</f>
        <v/>
      </c>
      <c r="AK987">
        <f>IFERROR(INDEX(PP_Grid[#Data],$DD987,35),0)</f>
        <v/>
      </c>
      <c r="AL987">
        <f>IFERROR(INDEX(PP_Grid[#Data],$DD987,36),0)</f>
        <v/>
      </c>
      <c r="AM987">
        <f>IFERROR(INDEX(PP_Grid[#Data],$DD987,37),0)</f>
        <v/>
      </c>
      <c r="AN987">
        <f>IFERROR(INDEX(PP_Grid[#Data],$DD987,38),0)</f>
        <v/>
      </c>
      <c r="AO987">
        <f>IFERROR(INDEX(PP_Grid[#Data],$DD987,39),0)</f>
        <v/>
      </c>
      <c r="AP987">
        <f>IFERROR(INDEX(PP_Grid[#Data],$DD987,40),0)</f>
        <v/>
      </c>
      <c r="AQ987">
        <f>IFERROR(INDEX(PP_Grid[#Data],$DD987,41),0)</f>
        <v/>
      </c>
      <c r="AR987">
        <f>IFERROR(INDEX(PP_Grid[#Data],$DD987,42),0)</f>
        <v/>
      </c>
      <c r="AS987">
        <f>IFERROR(INDEX(PP_Grid[#Data],$DD987,43),0)</f>
        <v/>
      </c>
      <c r="AT987">
        <f>IFERROR(INDEX(PP_Grid[#Data],$DD987,44),0)</f>
        <v/>
      </c>
      <c r="AU987">
        <f>IFERROR(INDEX(PP_Grid[#Data],$DD987,45),0)</f>
        <v/>
      </c>
      <c r="AV987">
        <f>IFERROR(INDEX(PP_Grid[#Data],$DD987,46),0)</f>
        <v/>
      </c>
      <c r="AW987">
        <f>IFERROR(INDEX(PP_Grid[#Data],$DD987,47),0)</f>
        <v/>
      </c>
      <c r="AX987">
        <f>IFERROR(INDEX(PP_Grid[#Data],$DD987,48),0)</f>
        <v/>
      </c>
      <c r="AY987">
        <f>IFERROR(INDEX(PP_Grid[#Data],$DD987,49),0)</f>
        <v/>
      </c>
      <c r="AZ987">
        <f>IFERROR(INDEX(PP_Grid[#Data],$DD987,50),0)</f>
        <v/>
      </c>
      <c r="BA987">
        <f>IFERROR(INDEX(PP_Grid[#Data],$DD987,51),0)</f>
        <v/>
      </c>
      <c r="BB987">
        <f>IFERROR(INDEX(PP_Grid[#Data],$DD987,52),0)</f>
        <v/>
      </c>
      <c r="BC987">
        <f>IFERROR(INDEX(PP_Grid[#Data],$DD987,53),0)</f>
        <v/>
      </c>
      <c r="BD987">
        <f>IFERROR(INDEX(PP_Grid[#Data],$DD987,54),0)</f>
        <v/>
      </c>
      <c r="BE987">
        <f>IFERROR(INDEX(PP_Grid[#Data],$DD987,55),0)</f>
        <v/>
      </c>
      <c r="BF987">
        <f>IFERROR(INDEX(PP_Grid[#Data],$DD987,56),0)</f>
        <v/>
      </c>
      <c r="BG987">
        <f>IFERROR(INDEX(PP_Grid[#Data],$DD987,57),0)</f>
        <v/>
      </c>
      <c r="BH987">
        <f>IFERROR(INDEX(PP_Grid[#Data],$DD987,58),0)</f>
        <v/>
      </c>
      <c r="BI987">
        <f>IFERROR(INDEX(PP_Grid[#Data],$DD987,59),0)</f>
        <v/>
      </c>
      <c r="BJ987">
        <f>IFERROR(INDEX(PP_Grid[#Data],$DD987,60),0)</f>
        <v/>
      </c>
      <c r="BK987">
        <f>IFERROR(INDEX(PP_Grid[#Data],$DD987,61),0)</f>
        <v/>
      </c>
      <c r="BL987">
        <f>IFERROR(INDEX(PP_Grid[#Data],$DD987,62),0)</f>
        <v/>
      </c>
      <c r="BM987">
        <f>IFERROR(INDEX(PP_Grid[#Data],$DD987,63),0)</f>
        <v/>
      </c>
      <c r="BN987">
        <f>IFERROR(INDEX(PP_Grid[#Data],$DD987,64),0)</f>
        <v/>
      </c>
      <c r="BO987">
        <f>IFERROR(INDEX(PP_Grid[#Data],$DD987,65),0)</f>
        <v/>
      </c>
      <c r="BP987">
        <f>IFERROR(INDEX(PP_Grid[#Data],$DD987,66),0)</f>
        <v/>
      </c>
      <c r="BQ987">
        <f>IFERROR(INDEX(PP_Grid[#Data],$DD987,67),0)</f>
        <v/>
      </c>
      <c r="BR987">
        <f>IFERROR(INDEX(PP_Grid[#Data],$DD987,68),0)</f>
        <v/>
      </c>
      <c r="BS987">
        <f>IFERROR(INDEX(PP_Grid[#Data],$DD987,69),0)</f>
        <v/>
      </c>
      <c r="BT987">
        <f>IFERROR(INDEX(PP_Grid[#Data],$DD987,70),0)</f>
        <v/>
      </c>
      <c r="BU987">
        <f>IFERROR(INDEX(PP_Grid[#Data],$DD987,71),0)</f>
        <v/>
      </c>
      <c r="BV987">
        <f>IFERROR(INDEX(PP_Grid[#Data],$DD987,72),0)</f>
        <v/>
      </c>
      <c r="BW987">
        <f>IFERROR(INDEX(PP_Grid[#Data],$DD987,73),0)</f>
        <v/>
      </c>
      <c r="BX987">
        <f>IFERROR(INDEX(PP_Grid[#Data],$DD987,74),0)</f>
        <v/>
      </c>
      <c r="BY987">
        <f>IFERROR(INDEX(PP_Grid[#Data],$DD987,75),0)</f>
        <v/>
      </c>
      <c r="BZ987">
        <f>IFERROR(INDEX(PP_Grid[#Data],$DD987,76),0)</f>
        <v/>
      </c>
      <c r="CA987">
        <f>IFERROR(INDEX(PP_Grid[#Data],$DD987,77),0)</f>
        <v/>
      </c>
      <c r="CB987">
        <f>IFERROR(INDEX(PP_Grid[#Data],$DD987,78),0)</f>
        <v/>
      </c>
      <c r="CC987">
        <f>IFERROR(INDEX(PP_Grid[#Data],$DD987,79),0)</f>
        <v/>
      </c>
      <c r="CD987">
        <f>IFERROR(INDEX(PP_Grid[#Data],$DD987,80),0)</f>
        <v/>
      </c>
      <c r="CE987">
        <f>IFERROR(INDEX(PP_Grid[#Data],$DD987,81),0)</f>
        <v/>
      </c>
      <c r="CF987">
        <f>IFERROR(INDEX(PP_Grid[#Data],$DD987,82),0)</f>
        <v/>
      </c>
      <c r="CG987">
        <f>IFERROR(INDEX(PP_Grid[#Data],$DD987,83),0)</f>
        <v/>
      </c>
      <c r="CH987">
        <f>IFERROR(INDEX(PP_Grid[#Data],$DD987,84),0)</f>
        <v/>
      </c>
      <c r="CI987">
        <f>IFERROR(INDEX(PP_Grid[#Data],$DD987,85),0)</f>
        <v/>
      </c>
      <c r="CJ987">
        <f>IFERROR(INDEX(PP_Grid[#Data],$DD987,86),0)</f>
        <v/>
      </c>
      <c r="CK987">
        <f>IFERROR(INDEX(PP_Grid[#Data],$DD987,87),0)</f>
        <v/>
      </c>
      <c r="CL987">
        <f>IFERROR(INDEX(PP_Grid[#Data],$DD987,88),0)</f>
        <v/>
      </c>
      <c r="CM987">
        <f>IFERROR(INDEX(PP_Grid[#Data],$DD987,89),0)</f>
        <v/>
      </c>
      <c r="CN987">
        <f>IFERROR(INDEX(PP_Grid[#Data],$DD987,90),0)</f>
        <v/>
      </c>
      <c r="CO987">
        <f>IFERROR(INDEX(PP_Grid[#Data],$DD987,91),0)</f>
        <v/>
      </c>
      <c r="CP987">
        <f>IFERROR(INDEX(PP_Grid[#Data],$DD987,92),0)</f>
        <v/>
      </c>
      <c r="CQ987">
        <f>IFERROR(INDEX(PP_Grid[#Data],$DD987,93),0)</f>
        <v/>
      </c>
      <c r="CR987">
        <f>IFERROR(INDEX(PP_Grid[#Data],$DD987,94),0)</f>
        <v/>
      </c>
      <c r="CS987">
        <f>IFERROR(INDEX(PP_Grid[#Data],$DD987,95),0)</f>
        <v/>
      </c>
      <c r="CT987">
        <f>IFERROR(INDEX(PP_Grid[#Data],$DD987,96),0)</f>
        <v/>
      </c>
      <c r="CU987">
        <f>IFERROR(INDEX(PP_Grid[#Data],$DD987,97),0)</f>
        <v/>
      </c>
      <c r="CV987">
        <f>IFERROR(INDEX(PP_Grid[#Data],$DD987,98),0)</f>
        <v/>
      </c>
      <c r="CW987">
        <f>IFERROR(INDEX(PP_Grid[#Data],$DD987,99),0)</f>
        <v/>
      </c>
      <c r="CX987">
        <f>IFERROR(INDEX(PP_Grid[#Data],$DD987,100),0)</f>
        <v/>
      </c>
      <c r="CY987">
        <f>IFERROR(INDEX(PP_Grid[#Data],$DD987,101),0)</f>
        <v/>
      </c>
      <c r="CZ987">
        <f>IFERROR(INDEX(PP_Grid[#Data],$DD987,102),0)</f>
        <v/>
      </c>
      <c r="DA987">
        <f>IFERROR(INDEX(PP_Grid[#Data],$DD987,103),0)</f>
        <v/>
      </c>
      <c r="DB987">
        <f>IFERROR(INDEX(PP_Grid[#Data],$DD987,104),0)</f>
        <v/>
      </c>
      <c r="DC987">
        <f>IFERROR(INDEX(PP_Grid[#Data],$DD987,105),0)</f>
        <v/>
      </c>
      <c r="DD987" s="7">
        <f>IFERROR(MATCH($B987,PP_Grid[Intermediate],0),99999)</f>
        <v/>
      </c>
    </row>
    <row r="988">
      <c r="B988" t="inlineStr">
        <is>
          <t>使用量(kg)</t>
        </is>
      </c>
      <c r="C988">
        <f>SUMIFS(M_BOM[RM_Qty_Per_Batch],M_BOM[Intermediate],$B987,M_BOM[Part Name],$A982)</f>
        <v/>
      </c>
      <c r="D988">
        <f>$C988*D987</f>
        <v/>
      </c>
      <c r="E988">
        <f>$C988*E987</f>
        <v/>
      </c>
      <c r="F988">
        <f>$C988*F987</f>
        <v/>
      </c>
      <c r="G988">
        <f>$C988*G987</f>
        <v/>
      </c>
      <c r="H988">
        <f>$C988*H987</f>
        <v/>
      </c>
      <c r="I988">
        <f>$C988*I987</f>
        <v/>
      </c>
      <c r="J988">
        <f>$C988*J987</f>
        <v/>
      </c>
      <c r="K988">
        <f>$C988*K987</f>
        <v/>
      </c>
      <c r="L988">
        <f>$C988*L987</f>
        <v/>
      </c>
      <c r="M988">
        <f>$C988*M987</f>
        <v/>
      </c>
      <c r="N988">
        <f>$C988*N987</f>
        <v/>
      </c>
      <c r="O988">
        <f>$C988*O987</f>
        <v/>
      </c>
      <c r="P988">
        <f>$C988*P987</f>
        <v/>
      </c>
      <c r="Q988">
        <f>$C988*Q987</f>
        <v/>
      </c>
      <c r="R988">
        <f>$C988*R987</f>
        <v/>
      </c>
      <c r="S988">
        <f>$C988*S987</f>
        <v/>
      </c>
      <c r="T988">
        <f>$C988*T987</f>
        <v/>
      </c>
      <c r="U988">
        <f>$C988*U987</f>
        <v/>
      </c>
      <c r="V988">
        <f>$C988*V987</f>
        <v/>
      </c>
      <c r="W988">
        <f>$C988*W987</f>
        <v/>
      </c>
      <c r="X988">
        <f>$C988*X987</f>
        <v/>
      </c>
      <c r="Y988">
        <f>$C988*Y987</f>
        <v/>
      </c>
      <c r="Z988">
        <f>$C988*Z987</f>
        <v/>
      </c>
      <c r="AA988">
        <f>$C988*AA987</f>
        <v/>
      </c>
      <c r="AB988">
        <f>$C988*AB987</f>
        <v/>
      </c>
      <c r="AC988">
        <f>$C988*AC987</f>
        <v/>
      </c>
      <c r="AD988">
        <f>$C988*AD987</f>
        <v/>
      </c>
      <c r="AE988">
        <f>$C988*AE987</f>
        <v/>
      </c>
      <c r="AF988">
        <f>$C988*AF987</f>
        <v/>
      </c>
      <c r="AG988">
        <f>$C988*AG987</f>
        <v/>
      </c>
      <c r="AH988">
        <f>$C988*AH987</f>
        <v/>
      </c>
      <c r="AI988">
        <f>$C988*AI987</f>
        <v/>
      </c>
      <c r="AJ988">
        <f>$C988*AJ987</f>
        <v/>
      </c>
      <c r="AK988">
        <f>$C988*AK987</f>
        <v/>
      </c>
      <c r="AL988">
        <f>$C988*AL987</f>
        <v/>
      </c>
      <c r="AM988">
        <f>$C988*AM987</f>
        <v/>
      </c>
      <c r="AN988">
        <f>$C988*AN987</f>
        <v/>
      </c>
      <c r="AO988">
        <f>$C988*AO987</f>
        <v/>
      </c>
      <c r="AP988">
        <f>$C988*AP987</f>
        <v/>
      </c>
      <c r="AQ988">
        <f>$C988*AQ987</f>
        <v/>
      </c>
      <c r="AR988">
        <f>$C988*AR987</f>
        <v/>
      </c>
      <c r="AS988">
        <f>$C988*AS987</f>
        <v/>
      </c>
      <c r="AT988">
        <f>$C988*AT987</f>
        <v/>
      </c>
      <c r="AU988">
        <f>$C988*AU987</f>
        <v/>
      </c>
      <c r="AV988">
        <f>$C988*AV987</f>
        <v/>
      </c>
      <c r="AW988">
        <f>$C988*AW987</f>
        <v/>
      </c>
      <c r="AX988">
        <f>$C988*AX987</f>
        <v/>
      </c>
      <c r="AY988">
        <f>$C988*AY987</f>
        <v/>
      </c>
      <c r="AZ988">
        <f>$C988*AZ987</f>
        <v/>
      </c>
      <c r="BA988">
        <f>$C988*BA987</f>
        <v/>
      </c>
      <c r="BB988">
        <f>$C988*BB987</f>
        <v/>
      </c>
      <c r="BC988">
        <f>$C988*BC987</f>
        <v/>
      </c>
      <c r="BD988">
        <f>$C988*BD987</f>
        <v/>
      </c>
      <c r="BE988">
        <f>$C988*BE987</f>
        <v/>
      </c>
      <c r="BF988">
        <f>$C988*BF987</f>
        <v/>
      </c>
      <c r="BG988">
        <f>$C988*BG987</f>
        <v/>
      </c>
      <c r="BH988">
        <f>$C988*BH987</f>
        <v/>
      </c>
      <c r="BI988">
        <f>$C988*BI987</f>
        <v/>
      </c>
      <c r="BJ988">
        <f>$C988*BJ987</f>
        <v/>
      </c>
      <c r="BK988">
        <f>$C988*BK987</f>
        <v/>
      </c>
      <c r="BL988">
        <f>$C988*BL987</f>
        <v/>
      </c>
      <c r="BM988">
        <f>$C988*BM987</f>
        <v/>
      </c>
      <c r="BN988">
        <f>$C988*BN987</f>
        <v/>
      </c>
      <c r="BO988">
        <f>$C988*BO987</f>
        <v/>
      </c>
      <c r="BP988">
        <f>$C988*BP987</f>
        <v/>
      </c>
      <c r="BQ988">
        <f>$C988*BQ987</f>
        <v/>
      </c>
      <c r="BR988">
        <f>$C988*BR987</f>
        <v/>
      </c>
      <c r="BS988">
        <f>$C988*BS987</f>
        <v/>
      </c>
      <c r="BT988">
        <f>$C988*BT987</f>
        <v/>
      </c>
      <c r="BU988">
        <f>$C988*BU987</f>
        <v/>
      </c>
      <c r="BV988">
        <f>$C988*BV987</f>
        <v/>
      </c>
      <c r="BW988">
        <f>$C988*BW987</f>
        <v/>
      </c>
      <c r="BX988">
        <f>$C988*BX987</f>
        <v/>
      </c>
      <c r="BY988">
        <f>$C988*BY987</f>
        <v/>
      </c>
      <c r="BZ988">
        <f>$C988*BZ987</f>
        <v/>
      </c>
      <c r="CA988">
        <f>$C988*CA987</f>
        <v/>
      </c>
      <c r="CB988">
        <f>$C988*CB987</f>
        <v/>
      </c>
      <c r="CC988">
        <f>$C988*CC987</f>
        <v/>
      </c>
      <c r="CD988">
        <f>$C988*CD987</f>
        <v/>
      </c>
      <c r="CE988">
        <f>$C988*CE987</f>
        <v/>
      </c>
      <c r="CF988">
        <f>$C988*CF987</f>
        <v/>
      </c>
      <c r="CG988">
        <f>$C988*CG987</f>
        <v/>
      </c>
      <c r="CH988">
        <f>$C988*CH987</f>
        <v/>
      </c>
      <c r="CI988">
        <f>$C988*CI987</f>
        <v/>
      </c>
      <c r="CJ988">
        <f>$C988*CJ987</f>
        <v/>
      </c>
      <c r="CK988">
        <f>$C988*CK987</f>
        <v/>
      </c>
      <c r="CL988">
        <f>$C988*CL987</f>
        <v/>
      </c>
      <c r="CM988">
        <f>$C988*CM987</f>
        <v/>
      </c>
      <c r="CN988">
        <f>$C988*CN987</f>
        <v/>
      </c>
      <c r="CO988">
        <f>$C988*CO987</f>
        <v/>
      </c>
      <c r="CP988">
        <f>$C988*CP987</f>
        <v/>
      </c>
      <c r="CQ988">
        <f>$C988*CQ987</f>
        <v/>
      </c>
      <c r="CR988">
        <f>$C988*CR987</f>
        <v/>
      </c>
      <c r="CS988">
        <f>$C988*CS987</f>
        <v/>
      </c>
      <c r="CT988">
        <f>$C988*CT987</f>
        <v/>
      </c>
      <c r="CU988">
        <f>$C988*CU987</f>
        <v/>
      </c>
      <c r="CV988">
        <f>$C988*CV987</f>
        <v/>
      </c>
      <c r="CW988">
        <f>$C988*CW987</f>
        <v/>
      </c>
      <c r="CX988">
        <f>$C988*CX987</f>
        <v/>
      </c>
      <c r="CY988">
        <f>$C988*CY987</f>
        <v/>
      </c>
      <c r="CZ988">
        <f>$C988*CZ987</f>
        <v/>
      </c>
      <c r="DA988">
        <f>$C988*DA987</f>
        <v/>
      </c>
      <c r="DB988">
        <f>$C988*DB987</f>
        <v/>
      </c>
      <c r="DC988">
        <f>$C988*DC987</f>
        <v/>
      </c>
    </row>
    <row r="989">
      <c r="B989" s="4" t="inlineStr">
        <is>
          <t>合計使用量(kg)/週</t>
        </is>
      </c>
      <c r="D989">
        <f>'Grid_Requirement'!B31</f>
        <v/>
      </c>
      <c r="E989">
        <f>'Grid_Requirement'!C31</f>
        <v/>
      </c>
      <c r="F989">
        <f>'Grid_Requirement'!D31</f>
        <v/>
      </c>
      <c r="G989">
        <f>'Grid_Requirement'!E31</f>
        <v/>
      </c>
      <c r="H989">
        <f>'Grid_Requirement'!F31</f>
        <v/>
      </c>
      <c r="I989">
        <f>'Grid_Requirement'!G31</f>
        <v/>
      </c>
      <c r="J989">
        <f>'Grid_Requirement'!H31</f>
        <v/>
      </c>
      <c r="K989">
        <f>'Grid_Requirement'!I31</f>
        <v/>
      </c>
      <c r="L989">
        <f>'Grid_Requirement'!J31</f>
        <v/>
      </c>
      <c r="M989">
        <f>'Grid_Requirement'!K31</f>
        <v/>
      </c>
      <c r="N989">
        <f>'Grid_Requirement'!L31</f>
        <v/>
      </c>
      <c r="O989">
        <f>'Grid_Requirement'!M31</f>
        <v/>
      </c>
      <c r="P989">
        <f>'Grid_Requirement'!N31</f>
        <v/>
      </c>
      <c r="Q989">
        <f>'Grid_Requirement'!O31</f>
        <v/>
      </c>
      <c r="R989">
        <f>'Grid_Requirement'!P31</f>
        <v/>
      </c>
      <c r="S989">
        <f>'Grid_Requirement'!Q31</f>
        <v/>
      </c>
      <c r="T989">
        <f>'Grid_Requirement'!R31</f>
        <v/>
      </c>
      <c r="U989">
        <f>'Grid_Requirement'!S31</f>
        <v/>
      </c>
      <c r="V989">
        <f>'Grid_Requirement'!T31</f>
        <v/>
      </c>
      <c r="W989">
        <f>'Grid_Requirement'!U31</f>
        <v/>
      </c>
      <c r="X989">
        <f>'Grid_Requirement'!V31</f>
        <v/>
      </c>
      <c r="Y989">
        <f>'Grid_Requirement'!W31</f>
        <v/>
      </c>
      <c r="Z989">
        <f>'Grid_Requirement'!X31</f>
        <v/>
      </c>
      <c r="AA989">
        <f>'Grid_Requirement'!Y31</f>
        <v/>
      </c>
      <c r="AB989">
        <f>'Grid_Requirement'!Z31</f>
        <v/>
      </c>
      <c r="AC989">
        <f>'Grid_Requirement'!AA31</f>
        <v/>
      </c>
      <c r="AD989">
        <f>'Grid_Requirement'!AB31</f>
        <v/>
      </c>
      <c r="AE989">
        <f>'Grid_Requirement'!AC31</f>
        <v/>
      </c>
      <c r="AF989">
        <f>'Grid_Requirement'!AD31</f>
        <v/>
      </c>
      <c r="AG989">
        <f>'Grid_Requirement'!AE31</f>
        <v/>
      </c>
      <c r="AH989">
        <f>'Grid_Requirement'!AF31</f>
        <v/>
      </c>
      <c r="AI989">
        <f>'Grid_Requirement'!AG31</f>
        <v/>
      </c>
      <c r="AJ989">
        <f>'Grid_Requirement'!AH31</f>
        <v/>
      </c>
      <c r="AK989">
        <f>'Grid_Requirement'!AI31</f>
        <v/>
      </c>
      <c r="AL989">
        <f>'Grid_Requirement'!AJ31</f>
        <v/>
      </c>
      <c r="AM989">
        <f>'Grid_Requirement'!AK31</f>
        <v/>
      </c>
      <c r="AN989">
        <f>'Grid_Requirement'!AL31</f>
        <v/>
      </c>
      <c r="AO989">
        <f>'Grid_Requirement'!AM31</f>
        <v/>
      </c>
      <c r="AP989">
        <f>'Grid_Requirement'!AN31</f>
        <v/>
      </c>
      <c r="AQ989">
        <f>'Grid_Requirement'!AO31</f>
        <v/>
      </c>
      <c r="AR989">
        <f>'Grid_Requirement'!AP31</f>
        <v/>
      </c>
      <c r="AS989">
        <f>'Grid_Requirement'!AQ31</f>
        <v/>
      </c>
      <c r="AT989">
        <f>'Grid_Requirement'!AR31</f>
        <v/>
      </c>
      <c r="AU989">
        <f>'Grid_Requirement'!AS31</f>
        <v/>
      </c>
      <c r="AV989">
        <f>'Grid_Requirement'!AT31</f>
        <v/>
      </c>
      <c r="AW989">
        <f>'Grid_Requirement'!AU31</f>
        <v/>
      </c>
      <c r="AX989">
        <f>'Grid_Requirement'!AV31</f>
        <v/>
      </c>
      <c r="AY989">
        <f>'Grid_Requirement'!AW31</f>
        <v/>
      </c>
      <c r="AZ989">
        <f>'Grid_Requirement'!AX31</f>
        <v/>
      </c>
      <c r="BA989">
        <f>'Grid_Requirement'!AY31</f>
        <v/>
      </c>
      <c r="BB989">
        <f>'Grid_Requirement'!AZ31</f>
        <v/>
      </c>
      <c r="BC989">
        <f>'Grid_Requirement'!BA31</f>
        <v/>
      </c>
      <c r="BD989">
        <f>'Grid_Requirement'!BB31</f>
        <v/>
      </c>
      <c r="BE989">
        <f>'Grid_Requirement'!BC31</f>
        <v/>
      </c>
      <c r="BF989">
        <f>'Grid_Requirement'!BD31</f>
        <v/>
      </c>
      <c r="BG989">
        <f>'Grid_Requirement'!BE31</f>
        <v/>
      </c>
      <c r="BH989">
        <f>'Grid_Requirement'!BF31</f>
        <v/>
      </c>
      <c r="BI989">
        <f>'Grid_Requirement'!BG31</f>
        <v/>
      </c>
      <c r="BJ989">
        <f>'Grid_Requirement'!BH31</f>
        <v/>
      </c>
      <c r="BK989">
        <f>'Grid_Requirement'!BI31</f>
        <v/>
      </c>
      <c r="BL989">
        <f>'Grid_Requirement'!BJ31</f>
        <v/>
      </c>
      <c r="BM989">
        <f>'Grid_Requirement'!BK31</f>
        <v/>
      </c>
      <c r="BN989">
        <f>'Grid_Requirement'!BL31</f>
        <v/>
      </c>
      <c r="BO989">
        <f>'Grid_Requirement'!BM31</f>
        <v/>
      </c>
      <c r="BP989">
        <f>'Grid_Requirement'!BN31</f>
        <v/>
      </c>
      <c r="BQ989">
        <f>'Grid_Requirement'!BO31</f>
        <v/>
      </c>
      <c r="BR989">
        <f>'Grid_Requirement'!BP31</f>
        <v/>
      </c>
      <c r="BS989">
        <f>'Grid_Requirement'!BQ31</f>
        <v/>
      </c>
      <c r="BT989">
        <f>'Grid_Requirement'!BR31</f>
        <v/>
      </c>
      <c r="BU989">
        <f>'Grid_Requirement'!BS31</f>
        <v/>
      </c>
      <c r="BV989">
        <f>'Grid_Requirement'!BT31</f>
        <v/>
      </c>
      <c r="BW989">
        <f>'Grid_Requirement'!BU31</f>
        <v/>
      </c>
      <c r="BX989">
        <f>'Grid_Requirement'!BV31</f>
        <v/>
      </c>
      <c r="BY989">
        <f>'Grid_Requirement'!BW31</f>
        <v/>
      </c>
      <c r="BZ989">
        <f>'Grid_Requirement'!BX31</f>
        <v/>
      </c>
      <c r="CA989">
        <f>'Grid_Requirement'!BY31</f>
        <v/>
      </c>
      <c r="CB989">
        <f>'Grid_Requirement'!BZ31</f>
        <v/>
      </c>
      <c r="CC989">
        <f>'Grid_Requirement'!CA31</f>
        <v/>
      </c>
      <c r="CD989">
        <f>'Grid_Requirement'!CB31</f>
        <v/>
      </c>
      <c r="CE989">
        <f>'Grid_Requirement'!CC31</f>
        <v/>
      </c>
      <c r="CF989">
        <f>'Grid_Requirement'!CD31</f>
        <v/>
      </c>
      <c r="CG989">
        <f>'Grid_Requirement'!CE31</f>
        <v/>
      </c>
      <c r="CH989">
        <f>'Grid_Requirement'!CF31</f>
        <v/>
      </c>
      <c r="CI989">
        <f>'Grid_Requirement'!CG31</f>
        <v/>
      </c>
      <c r="CJ989">
        <f>'Grid_Requirement'!CH31</f>
        <v/>
      </c>
      <c r="CK989">
        <f>'Grid_Requirement'!CI31</f>
        <v/>
      </c>
      <c r="CL989">
        <f>'Grid_Requirement'!CJ31</f>
        <v/>
      </c>
      <c r="CM989">
        <f>'Grid_Requirement'!CK31</f>
        <v/>
      </c>
      <c r="CN989">
        <f>'Grid_Requirement'!CL31</f>
        <v/>
      </c>
      <c r="CO989">
        <f>'Grid_Requirement'!CM31</f>
        <v/>
      </c>
      <c r="CP989">
        <f>'Grid_Requirement'!CN31</f>
        <v/>
      </c>
      <c r="CQ989">
        <f>'Grid_Requirement'!CO31</f>
        <v/>
      </c>
      <c r="CR989">
        <f>'Grid_Requirement'!CP31</f>
        <v/>
      </c>
      <c r="CS989">
        <f>'Grid_Requirement'!CQ31</f>
        <v/>
      </c>
      <c r="CT989">
        <f>'Grid_Requirement'!CR31</f>
        <v/>
      </c>
      <c r="CU989">
        <f>'Grid_Requirement'!CS31</f>
        <v/>
      </c>
      <c r="CV989">
        <f>'Grid_Requirement'!CT31</f>
        <v/>
      </c>
      <c r="CW989">
        <f>'Grid_Requirement'!CU31</f>
        <v/>
      </c>
      <c r="CX989">
        <f>'Grid_Requirement'!CV31</f>
        <v/>
      </c>
      <c r="CY989">
        <f>'Grid_Requirement'!CW31</f>
        <v/>
      </c>
      <c r="CZ989">
        <f>'Grid_Requirement'!CX31</f>
        <v/>
      </c>
      <c r="DA989">
        <f>'Grid_Requirement'!CY31</f>
        <v/>
      </c>
      <c r="DB989">
        <f>'Grid_Requirement'!CZ31</f>
        <v/>
      </c>
      <c r="DC989">
        <f>'Grid_Requirement'!DA31</f>
        <v/>
      </c>
    </row>
    <row r="990">
      <c r="B990" t="inlineStr">
        <is>
          <t>TTAF在庫(実績,kg)</t>
        </is>
      </c>
      <c r="D990">
        <f>'T_TTAFStock'!B35</f>
        <v/>
      </c>
      <c r="E990">
        <f>'T_TTAFStock'!C35</f>
        <v/>
      </c>
      <c r="F990">
        <f>'T_TTAFStock'!D35</f>
        <v/>
      </c>
      <c r="G990">
        <f>'T_TTAFStock'!E35</f>
        <v/>
      </c>
      <c r="H990">
        <f>'T_TTAFStock'!F35</f>
        <v/>
      </c>
      <c r="I990">
        <f>'T_TTAFStock'!G35</f>
        <v/>
      </c>
      <c r="J990">
        <f>'T_TTAFStock'!H35</f>
        <v/>
      </c>
      <c r="K990">
        <f>'T_TTAFStock'!I35</f>
        <v/>
      </c>
      <c r="L990">
        <f>'T_TTAFStock'!J35</f>
        <v/>
      </c>
      <c r="M990">
        <f>'T_TTAFStock'!K35</f>
        <v/>
      </c>
      <c r="N990">
        <f>'T_TTAFStock'!L35</f>
        <v/>
      </c>
      <c r="O990">
        <f>'T_TTAFStock'!M35</f>
        <v/>
      </c>
      <c r="P990">
        <f>'T_TTAFStock'!N35</f>
        <v/>
      </c>
      <c r="Q990">
        <f>'T_TTAFStock'!O35</f>
        <v/>
      </c>
      <c r="R990">
        <f>'T_TTAFStock'!P35</f>
        <v/>
      </c>
      <c r="S990">
        <f>'T_TTAFStock'!Q35</f>
        <v/>
      </c>
      <c r="T990">
        <f>'T_TTAFStock'!R35</f>
        <v/>
      </c>
      <c r="U990">
        <f>'T_TTAFStock'!S35</f>
        <v/>
      </c>
      <c r="V990">
        <f>'T_TTAFStock'!T35</f>
        <v/>
      </c>
      <c r="W990">
        <f>'T_TTAFStock'!U35</f>
        <v/>
      </c>
      <c r="X990">
        <f>'T_TTAFStock'!V35</f>
        <v/>
      </c>
      <c r="Y990">
        <f>'T_TTAFStock'!W35</f>
        <v/>
      </c>
      <c r="Z990">
        <f>'T_TTAFStock'!X35</f>
        <v/>
      </c>
      <c r="AA990">
        <f>'T_TTAFStock'!Y35</f>
        <v/>
      </c>
      <c r="AB990">
        <f>'T_TTAFStock'!Z35</f>
        <v/>
      </c>
      <c r="AC990">
        <f>'T_TTAFStock'!AA35</f>
        <v/>
      </c>
      <c r="AD990">
        <f>'T_TTAFStock'!AB35</f>
        <v/>
      </c>
      <c r="AE990">
        <f>'T_TTAFStock'!AC35</f>
        <v/>
      </c>
      <c r="AF990">
        <f>'T_TTAFStock'!AD35</f>
        <v/>
      </c>
      <c r="AG990">
        <f>'T_TTAFStock'!AE35</f>
        <v/>
      </c>
      <c r="AH990">
        <f>'T_TTAFStock'!AF35</f>
        <v/>
      </c>
      <c r="AI990">
        <f>'T_TTAFStock'!AG35</f>
        <v/>
      </c>
      <c r="AJ990">
        <f>'T_TTAFStock'!AH35</f>
        <v/>
      </c>
      <c r="AK990">
        <f>'T_TTAFStock'!AI35</f>
        <v/>
      </c>
      <c r="AL990">
        <f>'T_TTAFStock'!AJ35</f>
        <v/>
      </c>
      <c r="AM990">
        <f>'T_TTAFStock'!AK35</f>
        <v/>
      </c>
      <c r="AN990">
        <f>'T_TTAFStock'!AL35</f>
        <v/>
      </c>
      <c r="AO990">
        <f>'T_TTAFStock'!AM35</f>
        <v/>
      </c>
      <c r="AP990">
        <f>'T_TTAFStock'!AN35</f>
        <v/>
      </c>
      <c r="AQ990">
        <f>'T_TTAFStock'!AO35</f>
        <v/>
      </c>
      <c r="AR990">
        <f>'T_TTAFStock'!AP35</f>
        <v/>
      </c>
      <c r="AS990">
        <f>'T_TTAFStock'!AQ35</f>
        <v/>
      </c>
      <c r="AT990">
        <f>'T_TTAFStock'!AR35</f>
        <v/>
      </c>
      <c r="AU990">
        <f>'T_TTAFStock'!AS35</f>
        <v/>
      </c>
      <c r="AV990">
        <f>'T_TTAFStock'!AT35</f>
        <v/>
      </c>
      <c r="AW990">
        <f>'T_TTAFStock'!AU35</f>
        <v/>
      </c>
      <c r="AX990">
        <f>'T_TTAFStock'!AV35</f>
        <v/>
      </c>
      <c r="AY990">
        <f>'T_TTAFStock'!AW35</f>
        <v/>
      </c>
      <c r="AZ990">
        <f>'T_TTAFStock'!AX35</f>
        <v/>
      </c>
      <c r="BA990">
        <f>'T_TTAFStock'!AY35</f>
        <v/>
      </c>
      <c r="BB990">
        <f>'T_TTAFStock'!AZ35</f>
        <v/>
      </c>
      <c r="BC990">
        <f>'T_TTAFStock'!BA35</f>
        <v/>
      </c>
      <c r="BD990">
        <f>'T_TTAFStock'!BB35</f>
        <v/>
      </c>
      <c r="BE990">
        <f>'T_TTAFStock'!BC35</f>
        <v/>
      </c>
      <c r="BF990">
        <f>'T_TTAFStock'!BD35</f>
        <v/>
      </c>
      <c r="BG990">
        <f>'T_TTAFStock'!BE35</f>
        <v/>
      </c>
      <c r="BH990">
        <f>'T_TTAFStock'!BF35</f>
        <v/>
      </c>
      <c r="BI990">
        <f>'T_TTAFStock'!BG35</f>
        <v/>
      </c>
      <c r="BJ990">
        <f>'T_TTAFStock'!BH35</f>
        <v/>
      </c>
      <c r="BK990">
        <f>'T_TTAFStock'!BI35</f>
        <v/>
      </c>
      <c r="BL990">
        <f>'T_TTAFStock'!BJ35</f>
        <v/>
      </c>
      <c r="BM990">
        <f>'T_TTAFStock'!BK35</f>
        <v/>
      </c>
      <c r="BN990">
        <f>'T_TTAFStock'!BL35</f>
        <v/>
      </c>
      <c r="BO990">
        <f>'T_TTAFStock'!BM35</f>
        <v/>
      </c>
      <c r="BP990">
        <f>'T_TTAFStock'!BN35</f>
        <v/>
      </c>
      <c r="BQ990">
        <f>'T_TTAFStock'!BO35</f>
        <v/>
      </c>
      <c r="BR990">
        <f>'T_TTAFStock'!BP35</f>
        <v/>
      </c>
      <c r="BS990">
        <f>'T_TTAFStock'!BQ35</f>
        <v/>
      </c>
      <c r="BT990">
        <f>'T_TTAFStock'!BR35</f>
        <v/>
      </c>
      <c r="BU990">
        <f>'T_TTAFStock'!BS35</f>
        <v/>
      </c>
      <c r="BV990">
        <f>'T_TTAFStock'!BT35</f>
        <v/>
      </c>
      <c r="BW990">
        <f>'T_TTAFStock'!BU35</f>
        <v/>
      </c>
      <c r="BX990">
        <f>'T_TTAFStock'!BV35</f>
        <v/>
      </c>
      <c r="BY990">
        <f>'T_TTAFStock'!BW35</f>
        <v/>
      </c>
      <c r="BZ990">
        <f>'T_TTAFStock'!BX35</f>
        <v/>
      </c>
      <c r="CA990">
        <f>'T_TTAFStock'!BY35</f>
        <v/>
      </c>
      <c r="CB990">
        <f>'T_TTAFStock'!BZ35</f>
        <v/>
      </c>
      <c r="CC990">
        <f>'T_TTAFStock'!CA35</f>
        <v/>
      </c>
      <c r="CD990">
        <f>'T_TTAFStock'!CB35</f>
        <v/>
      </c>
      <c r="CE990">
        <f>'T_TTAFStock'!CC35</f>
        <v/>
      </c>
      <c r="CF990">
        <f>'T_TTAFStock'!CD35</f>
        <v/>
      </c>
      <c r="CG990">
        <f>'T_TTAFStock'!CE35</f>
        <v/>
      </c>
      <c r="CH990">
        <f>'T_TTAFStock'!CF35</f>
        <v/>
      </c>
      <c r="CI990">
        <f>'T_TTAFStock'!CG35</f>
        <v/>
      </c>
      <c r="CJ990">
        <f>'T_TTAFStock'!CH35</f>
        <v/>
      </c>
      <c r="CK990">
        <f>'T_TTAFStock'!CI35</f>
        <v/>
      </c>
      <c r="CL990">
        <f>'T_TTAFStock'!CJ35</f>
        <v/>
      </c>
      <c r="CM990">
        <f>'T_TTAFStock'!CK35</f>
        <v/>
      </c>
      <c r="CN990">
        <f>'T_TTAFStock'!CL35</f>
        <v/>
      </c>
      <c r="CO990">
        <f>'T_TTAFStock'!CM35</f>
        <v/>
      </c>
      <c r="CP990">
        <f>'T_TTAFStock'!CN35</f>
        <v/>
      </c>
      <c r="CQ990">
        <f>'T_TTAFStock'!CO35</f>
        <v/>
      </c>
      <c r="CR990">
        <f>'T_TTAFStock'!CP35</f>
        <v/>
      </c>
      <c r="CS990">
        <f>'T_TTAFStock'!CQ35</f>
        <v/>
      </c>
      <c r="CT990">
        <f>'T_TTAFStock'!CR35</f>
        <v/>
      </c>
      <c r="CU990">
        <f>'T_TTAFStock'!CS35</f>
        <v/>
      </c>
      <c r="CV990">
        <f>'T_TTAFStock'!CT35</f>
        <v/>
      </c>
      <c r="CW990">
        <f>'T_TTAFStock'!CU35</f>
        <v/>
      </c>
      <c r="CX990">
        <f>'T_TTAFStock'!CV35</f>
        <v/>
      </c>
      <c r="CY990">
        <f>'T_TTAFStock'!CW35</f>
        <v/>
      </c>
      <c r="CZ990">
        <f>'T_TTAFStock'!CX35</f>
        <v/>
      </c>
      <c r="DA990">
        <f>'T_TTAFStock'!CY35</f>
        <v/>
      </c>
      <c r="DB990">
        <f>'T_TTAFStock'!CZ35</f>
        <v/>
      </c>
      <c r="DC990">
        <f>'T_TTAFStock'!DA35</f>
        <v/>
      </c>
    </row>
    <row r="991">
      <c r="B991" t="inlineStr">
        <is>
          <t>自社在庫(実績,kg)</t>
        </is>
      </c>
      <c r="D991">
        <f>'T_SelfStock'!B35</f>
        <v/>
      </c>
      <c r="E991">
        <f>'T_SelfStock'!C35</f>
        <v/>
      </c>
      <c r="F991">
        <f>'T_SelfStock'!D35</f>
        <v/>
      </c>
      <c r="G991">
        <f>'T_SelfStock'!E35</f>
        <v/>
      </c>
      <c r="H991">
        <f>'T_SelfStock'!F35</f>
        <v/>
      </c>
      <c r="I991">
        <f>'T_SelfStock'!G35</f>
        <v/>
      </c>
      <c r="J991">
        <f>'T_SelfStock'!H35</f>
        <v/>
      </c>
      <c r="K991">
        <f>'T_SelfStock'!I35</f>
        <v/>
      </c>
      <c r="L991">
        <f>'T_SelfStock'!J35</f>
        <v/>
      </c>
      <c r="M991">
        <f>'T_SelfStock'!K35</f>
        <v/>
      </c>
      <c r="N991">
        <f>'T_SelfStock'!L35</f>
        <v/>
      </c>
      <c r="O991">
        <f>'T_SelfStock'!M35</f>
        <v/>
      </c>
      <c r="P991">
        <f>'T_SelfStock'!N35</f>
        <v/>
      </c>
      <c r="Q991">
        <f>'T_SelfStock'!O35</f>
        <v/>
      </c>
      <c r="R991">
        <f>'T_SelfStock'!P35</f>
        <v/>
      </c>
      <c r="S991">
        <f>'T_SelfStock'!Q35</f>
        <v/>
      </c>
      <c r="T991">
        <f>'T_SelfStock'!R35</f>
        <v/>
      </c>
      <c r="U991">
        <f>'T_SelfStock'!S35</f>
        <v/>
      </c>
      <c r="V991">
        <f>'T_SelfStock'!T35</f>
        <v/>
      </c>
      <c r="W991">
        <f>'T_SelfStock'!U35</f>
        <v/>
      </c>
      <c r="X991">
        <f>'T_SelfStock'!V35</f>
        <v/>
      </c>
      <c r="Y991">
        <f>'T_SelfStock'!W35</f>
        <v/>
      </c>
      <c r="Z991">
        <f>'T_SelfStock'!X35</f>
        <v/>
      </c>
      <c r="AA991">
        <f>'T_SelfStock'!Y35</f>
        <v/>
      </c>
      <c r="AB991">
        <f>'T_SelfStock'!Z35</f>
        <v/>
      </c>
      <c r="AC991">
        <f>'T_SelfStock'!AA35</f>
        <v/>
      </c>
      <c r="AD991">
        <f>'T_SelfStock'!AB35</f>
        <v/>
      </c>
      <c r="AE991">
        <f>'T_SelfStock'!AC35</f>
        <v/>
      </c>
      <c r="AF991">
        <f>'T_SelfStock'!AD35</f>
        <v/>
      </c>
      <c r="AG991">
        <f>'T_SelfStock'!AE35</f>
        <v/>
      </c>
      <c r="AH991">
        <f>'T_SelfStock'!AF35</f>
        <v/>
      </c>
      <c r="AI991">
        <f>'T_SelfStock'!AG35</f>
        <v/>
      </c>
      <c r="AJ991">
        <f>'T_SelfStock'!AH35</f>
        <v/>
      </c>
      <c r="AK991">
        <f>'T_SelfStock'!AI35</f>
        <v/>
      </c>
      <c r="AL991">
        <f>'T_SelfStock'!AJ35</f>
        <v/>
      </c>
      <c r="AM991">
        <f>'T_SelfStock'!AK35</f>
        <v/>
      </c>
      <c r="AN991">
        <f>'T_SelfStock'!AL35</f>
        <v/>
      </c>
      <c r="AO991">
        <f>'T_SelfStock'!AM35</f>
        <v/>
      </c>
      <c r="AP991">
        <f>'T_SelfStock'!AN35</f>
        <v/>
      </c>
      <c r="AQ991">
        <f>'T_SelfStock'!AO35</f>
        <v/>
      </c>
      <c r="AR991">
        <f>'T_SelfStock'!AP35</f>
        <v/>
      </c>
      <c r="AS991">
        <f>'T_SelfStock'!AQ35</f>
        <v/>
      </c>
      <c r="AT991">
        <f>'T_SelfStock'!AR35</f>
        <v/>
      </c>
      <c r="AU991">
        <f>'T_SelfStock'!AS35</f>
        <v/>
      </c>
      <c r="AV991">
        <f>'T_SelfStock'!AT35</f>
        <v/>
      </c>
      <c r="AW991">
        <f>'T_SelfStock'!AU35</f>
        <v/>
      </c>
      <c r="AX991">
        <f>'T_SelfStock'!AV35</f>
        <v/>
      </c>
      <c r="AY991">
        <f>'T_SelfStock'!AW35</f>
        <v/>
      </c>
      <c r="AZ991">
        <f>'T_SelfStock'!AX35</f>
        <v/>
      </c>
      <c r="BA991">
        <f>'T_SelfStock'!AY35</f>
        <v/>
      </c>
      <c r="BB991">
        <f>'T_SelfStock'!AZ35</f>
        <v/>
      </c>
      <c r="BC991">
        <f>'T_SelfStock'!BA35</f>
        <v/>
      </c>
      <c r="BD991">
        <f>'T_SelfStock'!BB35</f>
        <v/>
      </c>
      <c r="BE991">
        <f>'T_SelfStock'!BC35</f>
        <v/>
      </c>
      <c r="BF991">
        <f>'T_SelfStock'!BD35</f>
        <v/>
      </c>
      <c r="BG991">
        <f>'T_SelfStock'!BE35</f>
        <v/>
      </c>
      <c r="BH991">
        <f>'T_SelfStock'!BF35</f>
        <v/>
      </c>
      <c r="BI991">
        <f>'T_SelfStock'!BG35</f>
        <v/>
      </c>
      <c r="BJ991">
        <f>'T_SelfStock'!BH35</f>
        <v/>
      </c>
      <c r="BK991">
        <f>'T_SelfStock'!BI35</f>
        <v/>
      </c>
      <c r="BL991">
        <f>'T_SelfStock'!BJ35</f>
        <v/>
      </c>
      <c r="BM991">
        <f>'T_SelfStock'!BK35</f>
        <v/>
      </c>
      <c r="BN991">
        <f>'T_SelfStock'!BL35</f>
        <v/>
      </c>
      <c r="BO991">
        <f>'T_SelfStock'!BM35</f>
        <v/>
      </c>
      <c r="BP991">
        <f>'T_SelfStock'!BN35</f>
        <v/>
      </c>
      <c r="BQ991">
        <f>'T_SelfStock'!BO35</f>
        <v/>
      </c>
      <c r="BR991">
        <f>'T_SelfStock'!BP35</f>
        <v/>
      </c>
      <c r="BS991">
        <f>'T_SelfStock'!BQ35</f>
        <v/>
      </c>
      <c r="BT991">
        <f>'T_SelfStock'!BR35</f>
        <v/>
      </c>
      <c r="BU991">
        <f>'T_SelfStock'!BS35</f>
        <v/>
      </c>
      <c r="BV991">
        <f>'T_SelfStock'!BT35</f>
        <v/>
      </c>
      <c r="BW991">
        <f>'T_SelfStock'!BU35</f>
        <v/>
      </c>
      <c r="BX991">
        <f>'T_SelfStock'!BV35</f>
        <v/>
      </c>
      <c r="BY991">
        <f>'T_SelfStock'!BW35</f>
        <v/>
      </c>
      <c r="BZ991">
        <f>'T_SelfStock'!BX35</f>
        <v/>
      </c>
      <c r="CA991">
        <f>'T_SelfStock'!BY35</f>
        <v/>
      </c>
      <c r="CB991">
        <f>'T_SelfStock'!BZ35</f>
        <v/>
      </c>
      <c r="CC991">
        <f>'T_SelfStock'!CA35</f>
        <v/>
      </c>
      <c r="CD991">
        <f>'T_SelfStock'!CB35</f>
        <v/>
      </c>
      <c r="CE991">
        <f>'T_SelfStock'!CC35</f>
        <v/>
      </c>
      <c r="CF991">
        <f>'T_SelfStock'!CD35</f>
        <v/>
      </c>
      <c r="CG991">
        <f>'T_SelfStock'!CE35</f>
        <v/>
      </c>
      <c r="CH991">
        <f>'T_SelfStock'!CF35</f>
        <v/>
      </c>
      <c r="CI991">
        <f>'T_SelfStock'!CG35</f>
        <v/>
      </c>
      <c r="CJ991">
        <f>'T_SelfStock'!CH35</f>
        <v/>
      </c>
      <c r="CK991">
        <f>'T_SelfStock'!CI35</f>
        <v/>
      </c>
      <c r="CL991">
        <f>'T_SelfStock'!CJ35</f>
        <v/>
      </c>
      <c r="CM991">
        <f>'T_SelfStock'!CK35</f>
        <v/>
      </c>
      <c r="CN991">
        <f>'T_SelfStock'!CL35</f>
        <v/>
      </c>
      <c r="CO991">
        <f>'T_SelfStock'!CM35</f>
        <v/>
      </c>
      <c r="CP991">
        <f>'T_SelfStock'!CN35</f>
        <v/>
      </c>
      <c r="CQ991">
        <f>'T_SelfStock'!CO35</f>
        <v/>
      </c>
      <c r="CR991">
        <f>'T_SelfStock'!CP35</f>
        <v/>
      </c>
      <c r="CS991">
        <f>'T_SelfStock'!CQ35</f>
        <v/>
      </c>
      <c r="CT991">
        <f>'T_SelfStock'!CR35</f>
        <v/>
      </c>
      <c r="CU991">
        <f>'T_SelfStock'!CS35</f>
        <v/>
      </c>
      <c r="CV991">
        <f>'T_SelfStock'!CT35</f>
        <v/>
      </c>
      <c r="CW991">
        <f>'T_SelfStock'!CU35</f>
        <v/>
      </c>
      <c r="CX991">
        <f>'T_SelfStock'!CV35</f>
        <v/>
      </c>
      <c r="CY991">
        <f>'T_SelfStock'!CW35</f>
        <v/>
      </c>
      <c r="CZ991">
        <f>'T_SelfStock'!CX35</f>
        <v/>
      </c>
      <c r="DA991">
        <f>'T_SelfStock'!CY35</f>
        <v/>
      </c>
      <c r="DB991">
        <f>'T_SelfStock'!CZ35</f>
        <v/>
      </c>
      <c r="DC991">
        <f>'T_SelfStock'!DA35</f>
        <v/>
      </c>
    </row>
    <row r="992">
      <c r="B992" s="4" t="inlineStr">
        <is>
          <t>合計在庫(週末時点,kg)</t>
        </is>
      </c>
      <c r="D992">
        <f>'Grid_Stock'!B31</f>
        <v/>
      </c>
      <c r="E992">
        <f>'Grid_Stock'!C31</f>
        <v/>
      </c>
      <c r="F992">
        <f>'Grid_Stock'!D31</f>
        <v/>
      </c>
      <c r="G992">
        <f>'Grid_Stock'!E31</f>
        <v/>
      </c>
      <c r="H992">
        <f>'Grid_Stock'!F31</f>
        <v/>
      </c>
      <c r="I992">
        <f>'Grid_Stock'!G31</f>
        <v/>
      </c>
      <c r="J992">
        <f>'Grid_Stock'!H31</f>
        <v/>
      </c>
      <c r="K992">
        <f>'Grid_Stock'!I31</f>
        <v/>
      </c>
      <c r="L992">
        <f>'Grid_Stock'!J31</f>
        <v/>
      </c>
      <c r="M992">
        <f>'Grid_Stock'!K31</f>
        <v/>
      </c>
      <c r="N992">
        <f>'Grid_Stock'!L31</f>
        <v/>
      </c>
      <c r="O992">
        <f>'Grid_Stock'!M31</f>
        <v/>
      </c>
      <c r="P992">
        <f>'Grid_Stock'!N31</f>
        <v/>
      </c>
      <c r="Q992">
        <f>'Grid_Stock'!O31</f>
        <v/>
      </c>
      <c r="R992">
        <f>'Grid_Stock'!P31</f>
        <v/>
      </c>
      <c r="S992">
        <f>'Grid_Stock'!Q31</f>
        <v/>
      </c>
      <c r="T992">
        <f>'Grid_Stock'!R31</f>
        <v/>
      </c>
      <c r="U992">
        <f>'Grid_Stock'!S31</f>
        <v/>
      </c>
      <c r="V992">
        <f>'Grid_Stock'!T31</f>
        <v/>
      </c>
      <c r="W992">
        <f>'Grid_Stock'!U31</f>
        <v/>
      </c>
      <c r="X992">
        <f>'Grid_Stock'!V31</f>
        <v/>
      </c>
      <c r="Y992">
        <f>'Grid_Stock'!W31</f>
        <v/>
      </c>
      <c r="Z992">
        <f>'Grid_Stock'!X31</f>
        <v/>
      </c>
      <c r="AA992">
        <f>'Grid_Stock'!Y31</f>
        <v/>
      </c>
      <c r="AB992">
        <f>'Grid_Stock'!Z31</f>
        <v/>
      </c>
      <c r="AC992">
        <f>'Grid_Stock'!AA31</f>
        <v/>
      </c>
      <c r="AD992">
        <f>'Grid_Stock'!AB31</f>
        <v/>
      </c>
      <c r="AE992">
        <f>'Grid_Stock'!AC31</f>
        <v/>
      </c>
      <c r="AF992">
        <f>'Grid_Stock'!AD31</f>
        <v/>
      </c>
      <c r="AG992">
        <f>'Grid_Stock'!AE31</f>
        <v/>
      </c>
      <c r="AH992">
        <f>'Grid_Stock'!AF31</f>
        <v/>
      </c>
      <c r="AI992">
        <f>'Grid_Stock'!AG31</f>
        <v/>
      </c>
      <c r="AJ992">
        <f>'Grid_Stock'!AH31</f>
        <v/>
      </c>
      <c r="AK992">
        <f>'Grid_Stock'!AI31</f>
        <v/>
      </c>
      <c r="AL992">
        <f>'Grid_Stock'!AJ31</f>
        <v/>
      </c>
      <c r="AM992">
        <f>'Grid_Stock'!AK31</f>
        <v/>
      </c>
      <c r="AN992">
        <f>'Grid_Stock'!AL31</f>
        <v/>
      </c>
      <c r="AO992">
        <f>'Grid_Stock'!AM31</f>
        <v/>
      </c>
      <c r="AP992">
        <f>'Grid_Stock'!AN31</f>
        <v/>
      </c>
      <c r="AQ992">
        <f>'Grid_Stock'!AO31</f>
        <v/>
      </c>
      <c r="AR992">
        <f>'Grid_Stock'!AP31</f>
        <v/>
      </c>
      <c r="AS992">
        <f>'Grid_Stock'!AQ31</f>
        <v/>
      </c>
      <c r="AT992">
        <f>'Grid_Stock'!AR31</f>
        <v/>
      </c>
      <c r="AU992">
        <f>'Grid_Stock'!AS31</f>
        <v/>
      </c>
      <c r="AV992">
        <f>'Grid_Stock'!AT31</f>
        <v/>
      </c>
      <c r="AW992">
        <f>'Grid_Stock'!AU31</f>
        <v/>
      </c>
      <c r="AX992">
        <f>'Grid_Stock'!AV31</f>
        <v/>
      </c>
      <c r="AY992">
        <f>'Grid_Stock'!AW31</f>
        <v/>
      </c>
      <c r="AZ992">
        <f>'Grid_Stock'!AX31</f>
        <v/>
      </c>
      <c r="BA992">
        <f>'Grid_Stock'!AY31</f>
        <v/>
      </c>
      <c r="BB992">
        <f>'Grid_Stock'!AZ31</f>
        <v/>
      </c>
      <c r="BC992">
        <f>'Grid_Stock'!BA31</f>
        <v/>
      </c>
      <c r="BD992">
        <f>'Grid_Stock'!BB31</f>
        <v/>
      </c>
      <c r="BE992">
        <f>'Grid_Stock'!BC31</f>
        <v/>
      </c>
      <c r="BF992">
        <f>'Grid_Stock'!BD31</f>
        <v/>
      </c>
      <c r="BG992">
        <f>'Grid_Stock'!BE31</f>
        <v/>
      </c>
      <c r="BH992">
        <f>'Grid_Stock'!BF31</f>
        <v/>
      </c>
      <c r="BI992">
        <f>'Grid_Stock'!BG31</f>
        <v/>
      </c>
      <c r="BJ992">
        <f>'Grid_Stock'!BH31</f>
        <v/>
      </c>
      <c r="BK992">
        <f>'Grid_Stock'!BI31</f>
        <v/>
      </c>
      <c r="BL992">
        <f>'Grid_Stock'!BJ31</f>
        <v/>
      </c>
      <c r="BM992">
        <f>'Grid_Stock'!BK31</f>
        <v/>
      </c>
      <c r="BN992">
        <f>'Grid_Stock'!BL31</f>
        <v/>
      </c>
      <c r="BO992">
        <f>'Grid_Stock'!BM31</f>
        <v/>
      </c>
      <c r="BP992">
        <f>'Grid_Stock'!BN31</f>
        <v/>
      </c>
      <c r="BQ992">
        <f>'Grid_Stock'!BO31</f>
        <v/>
      </c>
      <c r="BR992">
        <f>'Grid_Stock'!BP31</f>
        <v/>
      </c>
      <c r="BS992">
        <f>'Grid_Stock'!BQ31</f>
        <v/>
      </c>
      <c r="BT992">
        <f>'Grid_Stock'!BR31</f>
        <v/>
      </c>
      <c r="BU992">
        <f>'Grid_Stock'!BS31</f>
        <v/>
      </c>
      <c r="BV992">
        <f>'Grid_Stock'!BT31</f>
        <v/>
      </c>
      <c r="BW992">
        <f>'Grid_Stock'!BU31</f>
        <v/>
      </c>
      <c r="BX992">
        <f>'Grid_Stock'!BV31</f>
        <v/>
      </c>
      <c r="BY992">
        <f>'Grid_Stock'!BW31</f>
        <v/>
      </c>
      <c r="BZ992">
        <f>'Grid_Stock'!BX31</f>
        <v/>
      </c>
      <c r="CA992">
        <f>'Grid_Stock'!BY31</f>
        <v/>
      </c>
      <c r="CB992">
        <f>'Grid_Stock'!BZ31</f>
        <v/>
      </c>
      <c r="CC992">
        <f>'Grid_Stock'!CA31</f>
        <v/>
      </c>
      <c r="CD992">
        <f>'Grid_Stock'!CB31</f>
        <v/>
      </c>
      <c r="CE992">
        <f>'Grid_Stock'!CC31</f>
        <v/>
      </c>
      <c r="CF992">
        <f>'Grid_Stock'!CD31</f>
        <v/>
      </c>
      <c r="CG992">
        <f>'Grid_Stock'!CE31</f>
        <v/>
      </c>
      <c r="CH992">
        <f>'Grid_Stock'!CF31</f>
        <v/>
      </c>
      <c r="CI992">
        <f>'Grid_Stock'!CG31</f>
        <v/>
      </c>
      <c r="CJ992">
        <f>'Grid_Stock'!CH31</f>
        <v/>
      </c>
      <c r="CK992">
        <f>'Grid_Stock'!CI31</f>
        <v/>
      </c>
      <c r="CL992">
        <f>'Grid_Stock'!CJ31</f>
        <v/>
      </c>
      <c r="CM992">
        <f>'Grid_Stock'!CK31</f>
        <v/>
      </c>
      <c r="CN992">
        <f>'Grid_Stock'!CL31</f>
        <v/>
      </c>
      <c r="CO992">
        <f>'Grid_Stock'!CM31</f>
        <v/>
      </c>
      <c r="CP992">
        <f>'Grid_Stock'!CN31</f>
        <v/>
      </c>
      <c r="CQ992">
        <f>'Grid_Stock'!CO31</f>
        <v/>
      </c>
      <c r="CR992">
        <f>'Grid_Stock'!CP31</f>
        <v/>
      </c>
      <c r="CS992">
        <f>'Grid_Stock'!CQ31</f>
        <v/>
      </c>
      <c r="CT992">
        <f>'Grid_Stock'!CR31</f>
        <v/>
      </c>
      <c r="CU992">
        <f>'Grid_Stock'!CS31</f>
        <v/>
      </c>
      <c r="CV992">
        <f>'Grid_Stock'!CT31</f>
        <v/>
      </c>
      <c r="CW992">
        <f>'Grid_Stock'!CU31</f>
        <v/>
      </c>
      <c r="CX992">
        <f>'Grid_Stock'!CV31</f>
        <v/>
      </c>
      <c r="CY992">
        <f>'Grid_Stock'!CW31</f>
        <v/>
      </c>
      <c r="CZ992">
        <f>'Grid_Stock'!CX31</f>
        <v/>
      </c>
      <c r="DA992">
        <f>'Grid_Stock'!CY31</f>
        <v/>
      </c>
      <c r="DB992">
        <f>'Grid_Stock'!CZ31</f>
        <v/>
      </c>
      <c r="DC992">
        <f>'Grid_Stock'!DA31</f>
        <v/>
      </c>
    </row>
    <row r="993">
      <c r="B993" s="16" t="inlineStr">
        <is>
          <t>（発注の目安はDashboardの基準在庫[下限/上限]と色分けを参照）</t>
        </is>
      </c>
    </row>
    <row r="995">
      <c r="A995" s="14" t="inlineStr">
        <is>
          <t>CHEM-1770</t>
        </is>
      </c>
      <c r="B995" s="14" t="inlineStr">
        <is>
          <t>RCT-39</t>
        </is>
      </c>
      <c r="C995" s="15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  <c r="AA995" s="14" t="n"/>
      <c r="AB995" s="14" t="n"/>
      <c r="AC995" s="14" t="n"/>
      <c r="AD995" s="14" t="n"/>
      <c r="AE995" s="14" t="n"/>
      <c r="AF995" s="14" t="n"/>
      <c r="AG995" s="14" t="n"/>
      <c r="AH995" s="14" t="n"/>
      <c r="AI995" s="14" t="n"/>
      <c r="AJ995" s="14" t="n"/>
      <c r="AK995" s="14" t="n"/>
      <c r="AL995" s="14" t="n"/>
      <c r="AM995" s="14" t="n"/>
      <c r="AN995" s="14" t="n"/>
      <c r="AO995" s="14" t="n"/>
      <c r="AP995" s="14" t="n"/>
      <c r="AQ995" s="14" t="n"/>
      <c r="AR995" s="14" t="n"/>
      <c r="AS995" s="14" t="n"/>
      <c r="AT995" s="14" t="n"/>
      <c r="AU995" s="14" t="n"/>
      <c r="AV995" s="14" t="n"/>
      <c r="AW995" s="14" t="n"/>
      <c r="AX995" s="14" t="n"/>
      <c r="AY995" s="14" t="n"/>
      <c r="AZ995" s="14" t="n"/>
      <c r="BA995" s="14" t="n"/>
      <c r="BB995" s="14" t="n"/>
      <c r="BC995" s="14" t="n"/>
      <c r="BD995" s="14" t="n"/>
      <c r="BE995" s="14" t="n"/>
      <c r="BF995" s="14" t="n"/>
      <c r="BG995" s="14" t="n"/>
      <c r="BH995" s="14" t="n"/>
      <c r="BI995" s="14" t="n"/>
      <c r="BJ995" s="14" t="n"/>
      <c r="BK995" s="14" t="n"/>
      <c r="BL995" s="14" t="n"/>
      <c r="BM995" s="14" t="n"/>
      <c r="BN995" s="14" t="n"/>
      <c r="BO995" s="14" t="n"/>
      <c r="BP995" s="14" t="n"/>
      <c r="BQ995" s="14" t="n"/>
      <c r="BR995" s="14" t="n"/>
      <c r="BS995" s="14" t="n"/>
      <c r="BT995" s="14" t="n"/>
      <c r="BU995" s="14" t="n"/>
      <c r="BV995" s="14" t="n"/>
      <c r="BW995" s="14" t="n"/>
      <c r="BX995" s="14" t="n"/>
      <c r="BY995" s="14" t="n"/>
      <c r="BZ995" s="14" t="n"/>
      <c r="CA995" s="14" t="n"/>
      <c r="CB995" s="14" t="n"/>
      <c r="CC995" s="14" t="n"/>
      <c r="CD995" s="14" t="n"/>
      <c r="CE995" s="14" t="n"/>
      <c r="CF995" s="14" t="n"/>
      <c r="CG995" s="14" t="n"/>
      <c r="CH995" s="14" t="n"/>
      <c r="CI995" s="14" t="n"/>
      <c r="CJ995" s="14" t="n"/>
      <c r="CK995" s="14" t="n"/>
      <c r="CL995" s="14" t="n"/>
      <c r="CM995" s="14" t="n"/>
      <c r="CN995" s="14" t="n"/>
      <c r="CO995" s="14" t="n"/>
      <c r="CP995" s="14" t="n"/>
      <c r="CQ995" s="14" t="n"/>
      <c r="CR995" s="14" t="n"/>
      <c r="CS995" s="14" t="n"/>
      <c r="CT995" s="14" t="n"/>
      <c r="CU995" s="14" t="n"/>
      <c r="CV995" s="14" t="n"/>
      <c r="CW995" s="14" t="n"/>
      <c r="CX995" s="14" t="n"/>
      <c r="CY995" s="14" t="n"/>
      <c r="CZ995" s="14" t="n"/>
      <c r="DA995" s="14" t="n"/>
      <c r="DB995" s="14" t="n"/>
      <c r="DC995" s="14" t="n"/>
    </row>
    <row r="996">
      <c r="B996" t="inlineStr">
        <is>
          <t>TPP-635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Name],$A995)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No of times used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Name],$A995)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s="4" t="inlineStr">
        <is>
          <t>合計使用量(kg)/週</t>
        </is>
      </c>
      <c r="D1000">
        <f>'Grid_Requirement'!B36</f>
        <v/>
      </c>
      <c r="E1000">
        <f>'Grid_Requirement'!C36</f>
        <v/>
      </c>
      <c r="F1000">
        <f>'Grid_Requirement'!D36</f>
        <v/>
      </c>
      <c r="G1000">
        <f>'Grid_Requirement'!E36</f>
        <v/>
      </c>
      <c r="H1000">
        <f>'Grid_Requirement'!F36</f>
        <v/>
      </c>
      <c r="I1000">
        <f>'Grid_Requirement'!G36</f>
        <v/>
      </c>
      <c r="J1000">
        <f>'Grid_Requirement'!H36</f>
        <v/>
      </c>
      <c r="K1000">
        <f>'Grid_Requirement'!I36</f>
        <v/>
      </c>
      <c r="L1000">
        <f>'Grid_Requirement'!J36</f>
        <v/>
      </c>
      <c r="M1000">
        <f>'Grid_Requirement'!K36</f>
        <v/>
      </c>
      <c r="N1000">
        <f>'Grid_Requirement'!L36</f>
        <v/>
      </c>
      <c r="O1000">
        <f>'Grid_Requirement'!M36</f>
        <v/>
      </c>
      <c r="P1000">
        <f>'Grid_Requirement'!N36</f>
        <v/>
      </c>
      <c r="Q1000">
        <f>'Grid_Requirement'!O36</f>
        <v/>
      </c>
      <c r="R1000">
        <f>'Grid_Requirement'!P36</f>
        <v/>
      </c>
      <c r="S1000">
        <f>'Grid_Requirement'!Q36</f>
        <v/>
      </c>
      <c r="T1000">
        <f>'Grid_Requirement'!R36</f>
        <v/>
      </c>
      <c r="U1000">
        <f>'Grid_Requirement'!S36</f>
        <v/>
      </c>
      <c r="V1000">
        <f>'Grid_Requirement'!T36</f>
        <v/>
      </c>
      <c r="W1000">
        <f>'Grid_Requirement'!U36</f>
        <v/>
      </c>
      <c r="X1000">
        <f>'Grid_Requirement'!V36</f>
        <v/>
      </c>
      <c r="Y1000">
        <f>'Grid_Requirement'!W36</f>
        <v/>
      </c>
      <c r="Z1000">
        <f>'Grid_Requirement'!X36</f>
        <v/>
      </c>
      <c r="AA1000">
        <f>'Grid_Requirement'!Y36</f>
        <v/>
      </c>
      <c r="AB1000">
        <f>'Grid_Requirement'!Z36</f>
        <v/>
      </c>
      <c r="AC1000">
        <f>'Grid_Requirement'!AA36</f>
        <v/>
      </c>
      <c r="AD1000">
        <f>'Grid_Requirement'!AB36</f>
        <v/>
      </c>
      <c r="AE1000">
        <f>'Grid_Requirement'!AC36</f>
        <v/>
      </c>
      <c r="AF1000">
        <f>'Grid_Requirement'!AD36</f>
        <v/>
      </c>
      <c r="AG1000">
        <f>'Grid_Requirement'!AE36</f>
        <v/>
      </c>
      <c r="AH1000">
        <f>'Grid_Requirement'!AF36</f>
        <v/>
      </c>
      <c r="AI1000">
        <f>'Grid_Requirement'!AG36</f>
        <v/>
      </c>
      <c r="AJ1000">
        <f>'Grid_Requirement'!AH36</f>
        <v/>
      </c>
      <c r="AK1000">
        <f>'Grid_Requirement'!AI36</f>
        <v/>
      </c>
      <c r="AL1000">
        <f>'Grid_Requirement'!AJ36</f>
        <v/>
      </c>
      <c r="AM1000">
        <f>'Grid_Requirement'!AK36</f>
        <v/>
      </c>
      <c r="AN1000">
        <f>'Grid_Requirement'!AL36</f>
        <v/>
      </c>
      <c r="AO1000">
        <f>'Grid_Requirement'!AM36</f>
        <v/>
      </c>
      <c r="AP1000">
        <f>'Grid_Requirement'!AN36</f>
        <v/>
      </c>
      <c r="AQ1000">
        <f>'Grid_Requirement'!AO36</f>
        <v/>
      </c>
      <c r="AR1000">
        <f>'Grid_Requirement'!AP36</f>
        <v/>
      </c>
      <c r="AS1000">
        <f>'Grid_Requirement'!AQ36</f>
        <v/>
      </c>
      <c r="AT1000">
        <f>'Grid_Requirement'!AR36</f>
        <v/>
      </c>
      <c r="AU1000">
        <f>'Grid_Requirement'!AS36</f>
        <v/>
      </c>
      <c r="AV1000">
        <f>'Grid_Requirement'!AT36</f>
        <v/>
      </c>
      <c r="AW1000">
        <f>'Grid_Requirement'!AU36</f>
        <v/>
      </c>
      <c r="AX1000">
        <f>'Grid_Requirement'!AV36</f>
        <v/>
      </c>
      <c r="AY1000">
        <f>'Grid_Requirement'!AW36</f>
        <v/>
      </c>
      <c r="AZ1000">
        <f>'Grid_Requirement'!AX36</f>
        <v/>
      </c>
      <c r="BA1000">
        <f>'Grid_Requirement'!AY36</f>
        <v/>
      </c>
      <c r="BB1000">
        <f>'Grid_Requirement'!AZ36</f>
        <v/>
      </c>
      <c r="BC1000">
        <f>'Grid_Requirement'!BA36</f>
        <v/>
      </c>
      <c r="BD1000">
        <f>'Grid_Requirement'!BB36</f>
        <v/>
      </c>
      <c r="BE1000">
        <f>'Grid_Requirement'!BC36</f>
        <v/>
      </c>
      <c r="BF1000">
        <f>'Grid_Requirement'!BD36</f>
        <v/>
      </c>
      <c r="BG1000">
        <f>'Grid_Requirement'!BE36</f>
        <v/>
      </c>
      <c r="BH1000">
        <f>'Grid_Requirement'!BF36</f>
        <v/>
      </c>
      <c r="BI1000">
        <f>'Grid_Requirement'!BG36</f>
        <v/>
      </c>
      <c r="BJ1000">
        <f>'Grid_Requirement'!BH36</f>
        <v/>
      </c>
      <c r="BK1000">
        <f>'Grid_Requirement'!BI36</f>
        <v/>
      </c>
      <c r="BL1000">
        <f>'Grid_Requirement'!BJ36</f>
        <v/>
      </c>
      <c r="BM1000">
        <f>'Grid_Requirement'!BK36</f>
        <v/>
      </c>
      <c r="BN1000">
        <f>'Grid_Requirement'!BL36</f>
        <v/>
      </c>
      <c r="BO1000">
        <f>'Grid_Requirement'!BM36</f>
        <v/>
      </c>
      <c r="BP1000">
        <f>'Grid_Requirement'!BN36</f>
        <v/>
      </c>
      <c r="BQ1000">
        <f>'Grid_Requirement'!BO36</f>
        <v/>
      </c>
      <c r="BR1000">
        <f>'Grid_Requirement'!BP36</f>
        <v/>
      </c>
      <c r="BS1000">
        <f>'Grid_Requirement'!BQ36</f>
        <v/>
      </c>
      <c r="BT1000">
        <f>'Grid_Requirement'!BR36</f>
        <v/>
      </c>
      <c r="BU1000">
        <f>'Grid_Requirement'!BS36</f>
        <v/>
      </c>
      <c r="BV1000">
        <f>'Grid_Requirement'!BT36</f>
        <v/>
      </c>
      <c r="BW1000">
        <f>'Grid_Requirement'!BU36</f>
        <v/>
      </c>
      <c r="BX1000">
        <f>'Grid_Requirement'!BV36</f>
        <v/>
      </c>
      <c r="BY1000">
        <f>'Grid_Requirement'!BW36</f>
        <v/>
      </c>
      <c r="BZ1000">
        <f>'Grid_Requirement'!BX36</f>
        <v/>
      </c>
      <c r="CA1000">
        <f>'Grid_Requirement'!BY36</f>
        <v/>
      </c>
      <c r="CB1000">
        <f>'Grid_Requirement'!BZ36</f>
        <v/>
      </c>
      <c r="CC1000">
        <f>'Grid_Requirement'!CA36</f>
        <v/>
      </c>
      <c r="CD1000">
        <f>'Grid_Requirement'!CB36</f>
        <v/>
      </c>
      <c r="CE1000">
        <f>'Grid_Requirement'!CC36</f>
        <v/>
      </c>
      <c r="CF1000">
        <f>'Grid_Requirement'!CD36</f>
        <v/>
      </c>
      <c r="CG1000">
        <f>'Grid_Requirement'!CE36</f>
        <v/>
      </c>
      <c r="CH1000">
        <f>'Grid_Requirement'!CF36</f>
        <v/>
      </c>
      <c r="CI1000">
        <f>'Grid_Requirement'!CG36</f>
        <v/>
      </c>
      <c r="CJ1000">
        <f>'Grid_Requirement'!CH36</f>
        <v/>
      </c>
      <c r="CK1000">
        <f>'Grid_Requirement'!CI36</f>
        <v/>
      </c>
      <c r="CL1000">
        <f>'Grid_Requirement'!CJ36</f>
        <v/>
      </c>
      <c r="CM1000">
        <f>'Grid_Requirement'!CK36</f>
        <v/>
      </c>
      <c r="CN1000">
        <f>'Grid_Requirement'!CL36</f>
        <v/>
      </c>
      <c r="CO1000">
        <f>'Grid_Requirement'!CM36</f>
        <v/>
      </c>
      <c r="CP1000">
        <f>'Grid_Requirement'!CN36</f>
        <v/>
      </c>
      <c r="CQ1000">
        <f>'Grid_Requirement'!CO36</f>
        <v/>
      </c>
      <c r="CR1000">
        <f>'Grid_Requirement'!CP36</f>
        <v/>
      </c>
      <c r="CS1000">
        <f>'Grid_Requirement'!CQ36</f>
        <v/>
      </c>
      <c r="CT1000">
        <f>'Grid_Requirement'!CR36</f>
        <v/>
      </c>
      <c r="CU1000">
        <f>'Grid_Requirement'!CS36</f>
        <v/>
      </c>
      <c r="CV1000">
        <f>'Grid_Requirement'!CT36</f>
        <v/>
      </c>
      <c r="CW1000">
        <f>'Grid_Requirement'!CU36</f>
        <v/>
      </c>
      <c r="CX1000">
        <f>'Grid_Requirement'!CV36</f>
        <v/>
      </c>
      <c r="CY1000">
        <f>'Grid_Requirement'!CW36</f>
        <v/>
      </c>
      <c r="CZ1000">
        <f>'Grid_Requirement'!CX36</f>
        <v/>
      </c>
      <c r="DA1000">
        <f>'Grid_Requirement'!CY36</f>
        <v/>
      </c>
      <c r="DB1000">
        <f>'Grid_Requirement'!CZ36</f>
        <v/>
      </c>
      <c r="DC1000">
        <f>'Grid_Requirement'!DA36</f>
        <v/>
      </c>
    </row>
    <row r="1001">
      <c r="B1001" t="inlineStr">
        <is>
          <t>TTAF在庫(実績,kg)</t>
        </is>
      </c>
      <c r="D1001">
        <f>'T_TTAFStock'!B40</f>
        <v/>
      </c>
      <c r="E1001">
        <f>'T_TTAFStock'!C40</f>
        <v/>
      </c>
      <c r="F1001">
        <f>'T_TTAFStock'!D40</f>
        <v/>
      </c>
      <c r="G1001">
        <f>'T_TTAFStock'!E40</f>
        <v/>
      </c>
      <c r="H1001">
        <f>'T_TTAFStock'!F40</f>
        <v/>
      </c>
      <c r="I1001">
        <f>'T_TTAFStock'!G40</f>
        <v/>
      </c>
      <c r="J1001">
        <f>'T_TTAFStock'!H40</f>
        <v/>
      </c>
      <c r="K1001">
        <f>'T_TTAFStock'!I40</f>
        <v/>
      </c>
      <c r="L1001">
        <f>'T_TTAFStock'!J40</f>
        <v/>
      </c>
      <c r="M1001">
        <f>'T_TTAFStock'!K40</f>
        <v/>
      </c>
      <c r="N1001">
        <f>'T_TTAFStock'!L40</f>
        <v/>
      </c>
      <c r="O1001">
        <f>'T_TTAFStock'!M40</f>
        <v/>
      </c>
      <c r="P1001">
        <f>'T_TTAFStock'!N40</f>
        <v/>
      </c>
      <c r="Q1001">
        <f>'T_TTAFStock'!O40</f>
        <v/>
      </c>
      <c r="R1001">
        <f>'T_TTAFStock'!P40</f>
        <v/>
      </c>
      <c r="S1001">
        <f>'T_TTAFStock'!Q40</f>
        <v/>
      </c>
      <c r="T1001">
        <f>'T_TTAFStock'!R40</f>
        <v/>
      </c>
      <c r="U1001">
        <f>'T_TTAFStock'!S40</f>
        <v/>
      </c>
      <c r="V1001">
        <f>'T_TTAFStock'!T40</f>
        <v/>
      </c>
      <c r="W1001">
        <f>'T_TTAFStock'!U40</f>
        <v/>
      </c>
      <c r="X1001">
        <f>'T_TTAFStock'!V40</f>
        <v/>
      </c>
      <c r="Y1001">
        <f>'T_TTAFStock'!W40</f>
        <v/>
      </c>
      <c r="Z1001">
        <f>'T_TTAFStock'!X40</f>
        <v/>
      </c>
      <c r="AA1001">
        <f>'T_TTAFStock'!Y40</f>
        <v/>
      </c>
      <c r="AB1001">
        <f>'T_TTAFStock'!Z40</f>
        <v/>
      </c>
      <c r="AC1001">
        <f>'T_TTAFStock'!AA40</f>
        <v/>
      </c>
      <c r="AD1001">
        <f>'T_TTAFStock'!AB40</f>
        <v/>
      </c>
      <c r="AE1001">
        <f>'T_TTAFStock'!AC40</f>
        <v/>
      </c>
      <c r="AF1001">
        <f>'T_TTAFStock'!AD40</f>
        <v/>
      </c>
      <c r="AG1001">
        <f>'T_TTAFStock'!AE40</f>
        <v/>
      </c>
      <c r="AH1001">
        <f>'T_TTAFStock'!AF40</f>
        <v/>
      </c>
      <c r="AI1001">
        <f>'T_TTAFStock'!AG40</f>
        <v/>
      </c>
      <c r="AJ1001">
        <f>'T_TTAFStock'!AH40</f>
        <v/>
      </c>
      <c r="AK1001">
        <f>'T_TTAFStock'!AI40</f>
        <v/>
      </c>
      <c r="AL1001">
        <f>'T_TTAFStock'!AJ40</f>
        <v/>
      </c>
      <c r="AM1001">
        <f>'T_TTAFStock'!AK40</f>
        <v/>
      </c>
      <c r="AN1001">
        <f>'T_TTAFStock'!AL40</f>
        <v/>
      </c>
      <c r="AO1001">
        <f>'T_TTAFStock'!AM40</f>
        <v/>
      </c>
      <c r="AP1001">
        <f>'T_TTAFStock'!AN40</f>
        <v/>
      </c>
      <c r="AQ1001">
        <f>'T_TTAFStock'!AO40</f>
        <v/>
      </c>
      <c r="AR1001">
        <f>'T_TTAFStock'!AP40</f>
        <v/>
      </c>
      <c r="AS1001">
        <f>'T_TTAFStock'!AQ40</f>
        <v/>
      </c>
      <c r="AT1001">
        <f>'T_TTAFStock'!AR40</f>
        <v/>
      </c>
      <c r="AU1001">
        <f>'T_TTAFStock'!AS40</f>
        <v/>
      </c>
      <c r="AV1001">
        <f>'T_TTAFStock'!AT40</f>
        <v/>
      </c>
      <c r="AW1001">
        <f>'T_TTAFStock'!AU40</f>
        <v/>
      </c>
      <c r="AX1001">
        <f>'T_TTAFStock'!AV40</f>
        <v/>
      </c>
      <c r="AY1001">
        <f>'T_TTAFStock'!AW40</f>
        <v/>
      </c>
      <c r="AZ1001">
        <f>'T_TTAFStock'!AX40</f>
        <v/>
      </c>
      <c r="BA1001">
        <f>'T_TTAFStock'!AY40</f>
        <v/>
      </c>
      <c r="BB1001">
        <f>'T_TTAFStock'!AZ40</f>
        <v/>
      </c>
      <c r="BC1001">
        <f>'T_TTAFStock'!BA40</f>
        <v/>
      </c>
      <c r="BD1001">
        <f>'T_TTAFStock'!BB40</f>
        <v/>
      </c>
      <c r="BE1001">
        <f>'T_TTAFStock'!BC40</f>
        <v/>
      </c>
      <c r="BF1001">
        <f>'T_TTAFStock'!BD40</f>
        <v/>
      </c>
      <c r="BG1001">
        <f>'T_TTAFStock'!BE40</f>
        <v/>
      </c>
      <c r="BH1001">
        <f>'T_TTAFStock'!BF40</f>
        <v/>
      </c>
      <c r="BI1001">
        <f>'T_TTAFStock'!BG40</f>
        <v/>
      </c>
      <c r="BJ1001">
        <f>'T_TTAFStock'!BH40</f>
        <v/>
      </c>
      <c r="BK1001">
        <f>'T_TTAFStock'!BI40</f>
        <v/>
      </c>
      <c r="BL1001">
        <f>'T_TTAFStock'!BJ40</f>
        <v/>
      </c>
      <c r="BM1001">
        <f>'T_TTAFStock'!BK40</f>
        <v/>
      </c>
      <c r="BN1001">
        <f>'T_TTAFStock'!BL40</f>
        <v/>
      </c>
      <c r="BO1001">
        <f>'T_TTAFStock'!BM40</f>
        <v/>
      </c>
      <c r="BP1001">
        <f>'T_TTAFStock'!BN40</f>
        <v/>
      </c>
      <c r="BQ1001">
        <f>'T_TTAFStock'!BO40</f>
        <v/>
      </c>
      <c r="BR1001">
        <f>'T_TTAFStock'!BP40</f>
        <v/>
      </c>
      <c r="BS1001">
        <f>'T_TTAFStock'!BQ40</f>
        <v/>
      </c>
      <c r="BT1001">
        <f>'T_TTAFStock'!BR40</f>
        <v/>
      </c>
      <c r="BU1001">
        <f>'T_TTAFStock'!BS40</f>
        <v/>
      </c>
      <c r="BV1001">
        <f>'T_TTAFStock'!BT40</f>
        <v/>
      </c>
      <c r="BW1001">
        <f>'T_TTAFStock'!BU40</f>
        <v/>
      </c>
      <c r="BX1001">
        <f>'T_TTAFStock'!BV40</f>
        <v/>
      </c>
      <c r="BY1001">
        <f>'T_TTAFStock'!BW40</f>
        <v/>
      </c>
      <c r="BZ1001">
        <f>'T_TTAFStock'!BX40</f>
        <v/>
      </c>
      <c r="CA1001">
        <f>'T_TTAFStock'!BY40</f>
        <v/>
      </c>
      <c r="CB1001">
        <f>'T_TTAFStock'!BZ40</f>
        <v/>
      </c>
      <c r="CC1001">
        <f>'T_TTAFStock'!CA40</f>
        <v/>
      </c>
      <c r="CD1001">
        <f>'T_TTAFStock'!CB40</f>
        <v/>
      </c>
      <c r="CE1001">
        <f>'T_TTAFStock'!CC40</f>
        <v/>
      </c>
      <c r="CF1001">
        <f>'T_TTAFStock'!CD40</f>
        <v/>
      </c>
      <c r="CG1001">
        <f>'T_TTAFStock'!CE40</f>
        <v/>
      </c>
      <c r="CH1001">
        <f>'T_TTAFStock'!CF40</f>
        <v/>
      </c>
      <c r="CI1001">
        <f>'T_TTAFStock'!CG40</f>
        <v/>
      </c>
      <c r="CJ1001">
        <f>'T_TTAFStock'!CH40</f>
        <v/>
      </c>
      <c r="CK1001">
        <f>'T_TTAFStock'!CI40</f>
        <v/>
      </c>
      <c r="CL1001">
        <f>'T_TTAFStock'!CJ40</f>
        <v/>
      </c>
      <c r="CM1001">
        <f>'T_TTAFStock'!CK40</f>
        <v/>
      </c>
      <c r="CN1001">
        <f>'T_TTAFStock'!CL40</f>
        <v/>
      </c>
      <c r="CO1001">
        <f>'T_TTAFStock'!CM40</f>
        <v/>
      </c>
      <c r="CP1001">
        <f>'T_TTAFStock'!CN40</f>
        <v/>
      </c>
      <c r="CQ1001">
        <f>'T_TTAFStock'!CO40</f>
        <v/>
      </c>
      <c r="CR1001">
        <f>'T_TTAFStock'!CP40</f>
        <v/>
      </c>
      <c r="CS1001">
        <f>'T_TTAFStock'!CQ40</f>
        <v/>
      </c>
      <c r="CT1001">
        <f>'T_TTAFStock'!CR40</f>
        <v/>
      </c>
      <c r="CU1001">
        <f>'T_TTAFStock'!CS40</f>
        <v/>
      </c>
      <c r="CV1001">
        <f>'T_TTAFStock'!CT40</f>
        <v/>
      </c>
      <c r="CW1001">
        <f>'T_TTAFStock'!CU40</f>
        <v/>
      </c>
      <c r="CX1001">
        <f>'T_TTAFStock'!CV40</f>
        <v/>
      </c>
      <c r="CY1001">
        <f>'T_TTAFStock'!CW40</f>
        <v/>
      </c>
      <c r="CZ1001">
        <f>'T_TTAFStock'!CX40</f>
        <v/>
      </c>
      <c r="DA1001">
        <f>'T_TTAFStock'!CY40</f>
        <v/>
      </c>
      <c r="DB1001">
        <f>'T_TTAFStock'!CZ40</f>
        <v/>
      </c>
      <c r="DC1001">
        <f>'T_TTAFStock'!DA40</f>
        <v/>
      </c>
    </row>
    <row r="1002">
      <c r="B1002" t="inlineStr">
        <is>
          <t>自社在庫(実績,kg)</t>
        </is>
      </c>
      <c r="D1002">
        <f>'T_SelfStock'!B40</f>
        <v/>
      </c>
      <c r="E1002">
        <f>'T_SelfStock'!C40</f>
        <v/>
      </c>
      <c r="F1002">
        <f>'T_SelfStock'!D40</f>
        <v/>
      </c>
      <c r="G1002">
        <f>'T_SelfStock'!E40</f>
        <v/>
      </c>
      <c r="H1002">
        <f>'T_SelfStock'!F40</f>
        <v/>
      </c>
      <c r="I1002">
        <f>'T_SelfStock'!G40</f>
        <v/>
      </c>
      <c r="J1002">
        <f>'T_SelfStock'!H40</f>
        <v/>
      </c>
      <c r="K1002">
        <f>'T_SelfStock'!I40</f>
        <v/>
      </c>
      <c r="L1002">
        <f>'T_SelfStock'!J40</f>
        <v/>
      </c>
      <c r="M1002">
        <f>'T_SelfStock'!K40</f>
        <v/>
      </c>
      <c r="N1002">
        <f>'T_SelfStock'!L40</f>
        <v/>
      </c>
      <c r="O1002">
        <f>'T_SelfStock'!M40</f>
        <v/>
      </c>
      <c r="P1002">
        <f>'T_SelfStock'!N40</f>
        <v/>
      </c>
      <c r="Q1002">
        <f>'T_SelfStock'!O40</f>
        <v/>
      </c>
      <c r="R1002">
        <f>'T_SelfStock'!P40</f>
        <v/>
      </c>
      <c r="S1002">
        <f>'T_SelfStock'!Q40</f>
        <v/>
      </c>
      <c r="T1002">
        <f>'T_SelfStock'!R40</f>
        <v/>
      </c>
      <c r="U1002">
        <f>'T_SelfStock'!S40</f>
        <v/>
      </c>
      <c r="V1002">
        <f>'T_SelfStock'!T40</f>
        <v/>
      </c>
      <c r="W1002">
        <f>'T_SelfStock'!U40</f>
        <v/>
      </c>
      <c r="X1002">
        <f>'T_SelfStock'!V40</f>
        <v/>
      </c>
      <c r="Y1002">
        <f>'T_SelfStock'!W40</f>
        <v/>
      </c>
      <c r="Z1002">
        <f>'T_SelfStock'!X40</f>
        <v/>
      </c>
      <c r="AA1002">
        <f>'T_SelfStock'!Y40</f>
        <v/>
      </c>
      <c r="AB1002">
        <f>'T_SelfStock'!Z40</f>
        <v/>
      </c>
      <c r="AC1002">
        <f>'T_SelfStock'!AA40</f>
        <v/>
      </c>
      <c r="AD1002">
        <f>'T_SelfStock'!AB40</f>
        <v/>
      </c>
      <c r="AE1002">
        <f>'T_SelfStock'!AC40</f>
        <v/>
      </c>
      <c r="AF1002">
        <f>'T_SelfStock'!AD40</f>
        <v/>
      </c>
      <c r="AG1002">
        <f>'T_SelfStock'!AE40</f>
        <v/>
      </c>
      <c r="AH1002">
        <f>'T_SelfStock'!AF40</f>
        <v/>
      </c>
      <c r="AI1002">
        <f>'T_SelfStock'!AG40</f>
        <v/>
      </c>
      <c r="AJ1002">
        <f>'T_SelfStock'!AH40</f>
        <v/>
      </c>
      <c r="AK1002">
        <f>'T_SelfStock'!AI40</f>
        <v/>
      </c>
      <c r="AL1002">
        <f>'T_SelfStock'!AJ40</f>
        <v/>
      </c>
      <c r="AM1002">
        <f>'T_SelfStock'!AK40</f>
        <v/>
      </c>
      <c r="AN1002">
        <f>'T_SelfStock'!AL40</f>
        <v/>
      </c>
      <c r="AO1002">
        <f>'T_SelfStock'!AM40</f>
        <v/>
      </c>
      <c r="AP1002">
        <f>'T_SelfStock'!AN40</f>
        <v/>
      </c>
      <c r="AQ1002">
        <f>'T_SelfStock'!AO40</f>
        <v/>
      </c>
      <c r="AR1002">
        <f>'T_SelfStock'!AP40</f>
        <v/>
      </c>
      <c r="AS1002">
        <f>'T_SelfStock'!AQ40</f>
        <v/>
      </c>
      <c r="AT1002">
        <f>'T_SelfStock'!AR40</f>
        <v/>
      </c>
      <c r="AU1002">
        <f>'T_SelfStock'!AS40</f>
        <v/>
      </c>
      <c r="AV1002">
        <f>'T_SelfStock'!AT40</f>
        <v/>
      </c>
      <c r="AW1002">
        <f>'T_SelfStock'!AU40</f>
        <v/>
      </c>
      <c r="AX1002">
        <f>'T_SelfStock'!AV40</f>
        <v/>
      </c>
      <c r="AY1002">
        <f>'T_SelfStock'!AW40</f>
        <v/>
      </c>
      <c r="AZ1002">
        <f>'T_SelfStock'!AX40</f>
        <v/>
      </c>
      <c r="BA1002">
        <f>'T_SelfStock'!AY40</f>
        <v/>
      </c>
      <c r="BB1002">
        <f>'T_SelfStock'!AZ40</f>
        <v/>
      </c>
      <c r="BC1002">
        <f>'T_SelfStock'!BA40</f>
        <v/>
      </c>
      <c r="BD1002">
        <f>'T_SelfStock'!BB40</f>
        <v/>
      </c>
      <c r="BE1002">
        <f>'T_SelfStock'!BC40</f>
        <v/>
      </c>
      <c r="BF1002">
        <f>'T_SelfStock'!BD40</f>
        <v/>
      </c>
      <c r="BG1002">
        <f>'T_SelfStock'!BE40</f>
        <v/>
      </c>
      <c r="BH1002">
        <f>'T_SelfStock'!BF40</f>
        <v/>
      </c>
      <c r="BI1002">
        <f>'T_SelfStock'!BG40</f>
        <v/>
      </c>
      <c r="BJ1002">
        <f>'T_SelfStock'!BH40</f>
        <v/>
      </c>
      <c r="BK1002">
        <f>'T_SelfStock'!BI40</f>
        <v/>
      </c>
      <c r="BL1002">
        <f>'T_SelfStock'!BJ40</f>
        <v/>
      </c>
      <c r="BM1002">
        <f>'T_SelfStock'!BK40</f>
        <v/>
      </c>
      <c r="BN1002">
        <f>'T_SelfStock'!BL40</f>
        <v/>
      </c>
      <c r="BO1002">
        <f>'T_SelfStock'!BM40</f>
        <v/>
      </c>
      <c r="BP1002">
        <f>'T_SelfStock'!BN40</f>
        <v/>
      </c>
      <c r="BQ1002">
        <f>'T_SelfStock'!BO40</f>
        <v/>
      </c>
      <c r="BR1002">
        <f>'T_SelfStock'!BP40</f>
        <v/>
      </c>
      <c r="BS1002">
        <f>'T_SelfStock'!BQ40</f>
        <v/>
      </c>
      <c r="BT1002">
        <f>'T_SelfStock'!BR40</f>
        <v/>
      </c>
      <c r="BU1002">
        <f>'T_SelfStock'!BS40</f>
        <v/>
      </c>
      <c r="BV1002">
        <f>'T_SelfStock'!BT40</f>
        <v/>
      </c>
      <c r="BW1002">
        <f>'T_SelfStock'!BU40</f>
        <v/>
      </c>
      <c r="BX1002">
        <f>'T_SelfStock'!BV40</f>
        <v/>
      </c>
      <c r="BY1002">
        <f>'T_SelfStock'!BW40</f>
        <v/>
      </c>
      <c r="BZ1002">
        <f>'T_SelfStock'!BX40</f>
        <v/>
      </c>
      <c r="CA1002">
        <f>'T_SelfStock'!BY40</f>
        <v/>
      </c>
      <c r="CB1002">
        <f>'T_SelfStock'!BZ40</f>
        <v/>
      </c>
      <c r="CC1002">
        <f>'T_SelfStock'!CA40</f>
        <v/>
      </c>
      <c r="CD1002">
        <f>'T_SelfStock'!CB40</f>
        <v/>
      </c>
      <c r="CE1002">
        <f>'T_SelfStock'!CC40</f>
        <v/>
      </c>
      <c r="CF1002">
        <f>'T_SelfStock'!CD40</f>
        <v/>
      </c>
      <c r="CG1002">
        <f>'T_SelfStock'!CE40</f>
        <v/>
      </c>
      <c r="CH1002">
        <f>'T_SelfStock'!CF40</f>
        <v/>
      </c>
      <c r="CI1002">
        <f>'T_SelfStock'!CG40</f>
        <v/>
      </c>
      <c r="CJ1002">
        <f>'T_SelfStock'!CH40</f>
        <v/>
      </c>
      <c r="CK1002">
        <f>'T_SelfStock'!CI40</f>
        <v/>
      </c>
      <c r="CL1002">
        <f>'T_SelfStock'!CJ40</f>
        <v/>
      </c>
      <c r="CM1002">
        <f>'T_SelfStock'!CK40</f>
        <v/>
      </c>
      <c r="CN1002">
        <f>'T_SelfStock'!CL40</f>
        <v/>
      </c>
      <c r="CO1002">
        <f>'T_SelfStock'!CM40</f>
        <v/>
      </c>
      <c r="CP1002">
        <f>'T_SelfStock'!CN40</f>
        <v/>
      </c>
      <c r="CQ1002">
        <f>'T_SelfStock'!CO40</f>
        <v/>
      </c>
      <c r="CR1002">
        <f>'T_SelfStock'!CP40</f>
        <v/>
      </c>
      <c r="CS1002">
        <f>'T_SelfStock'!CQ40</f>
        <v/>
      </c>
      <c r="CT1002">
        <f>'T_SelfStock'!CR40</f>
        <v/>
      </c>
      <c r="CU1002">
        <f>'T_SelfStock'!CS40</f>
        <v/>
      </c>
      <c r="CV1002">
        <f>'T_SelfStock'!CT40</f>
        <v/>
      </c>
      <c r="CW1002">
        <f>'T_SelfStock'!CU40</f>
        <v/>
      </c>
      <c r="CX1002">
        <f>'T_SelfStock'!CV40</f>
        <v/>
      </c>
      <c r="CY1002">
        <f>'T_SelfStock'!CW40</f>
        <v/>
      </c>
      <c r="CZ1002">
        <f>'T_SelfStock'!CX40</f>
        <v/>
      </c>
      <c r="DA1002">
        <f>'T_SelfStock'!CY40</f>
        <v/>
      </c>
      <c r="DB1002">
        <f>'T_SelfStock'!CZ40</f>
        <v/>
      </c>
      <c r="DC1002">
        <f>'T_SelfStock'!DA40</f>
        <v/>
      </c>
    </row>
    <row r="1003">
      <c r="B1003" s="4" t="inlineStr">
        <is>
          <t>合計在庫(週末時点,kg)</t>
        </is>
      </c>
      <c r="D1003">
        <f>'Grid_Stock'!B36</f>
        <v/>
      </c>
      <c r="E1003">
        <f>'Grid_Stock'!C36</f>
        <v/>
      </c>
      <c r="F1003">
        <f>'Grid_Stock'!D36</f>
        <v/>
      </c>
      <c r="G1003">
        <f>'Grid_Stock'!E36</f>
        <v/>
      </c>
      <c r="H1003">
        <f>'Grid_Stock'!F36</f>
        <v/>
      </c>
      <c r="I1003">
        <f>'Grid_Stock'!G36</f>
        <v/>
      </c>
      <c r="J1003">
        <f>'Grid_Stock'!H36</f>
        <v/>
      </c>
      <c r="K1003">
        <f>'Grid_Stock'!I36</f>
        <v/>
      </c>
      <c r="L1003">
        <f>'Grid_Stock'!J36</f>
        <v/>
      </c>
      <c r="M1003">
        <f>'Grid_Stock'!K36</f>
        <v/>
      </c>
      <c r="N1003">
        <f>'Grid_Stock'!L36</f>
        <v/>
      </c>
      <c r="O1003">
        <f>'Grid_Stock'!M36</f>
        <v/>
      </c>
      <c r="P1003">
        <f>'Grid_Stock'!N36</f>
        <v/>
      </c>
      <c r="Q1003">
        <f>'Grid_Stock'!O36</f>
        <v/>
      </c>
      <c r="R1003">
        <f>'Grid_Stock'!P36</f>
        <v/>
      </c>
      <c r="S1003">
        <f>'Grid_Stock'!Q36</f>
        <v/>
      </c>
      <c r="T1003">
        <f>'Grid_Stock'!R36</f>
        <v/>
      </c>
      <c r="U1003">
        <f>'Grid_Stock'!S36</f>
        <v/>
      </c>
      <c r="V1003">
        <f>'Grid_Stock'!T36</f>
        <v/>
      </c>
      <c r="W1003">
        <f>'Grid_Stock'!U36</f>
        <v/>
      </c>
      <c r="X1003">
        <f>'Grid_Stock'!V36</f>
        <v/>
      </c>
      <c r="Y1003">
        <f>'Grid_Stock'!W36</f>
        <v/>
      </c>
      <c r="Z1003">
        <f>'Grid_Stock'!X36</f>
        <v/>
      </c>
      <c r="AA1003">
        <f>'Grid_Stock'!Y36</f>
        <v/>
      </c>
      <c r="AB1003">
        <f>'Grid_Stock'!Z36</f>
        <v/>
      </c>
      <c r="AC1003">
        <f>'Grid_Stock'!AA36</f>
        <v/>
      </c>
      <c r="AD1003">
        <f>'Grid_Stock'!AB36</f>
        <v/>
      </c>
      <c r="AE1003">
        <f>'Grid_Stock'!AC36</f>
        <v/>
      </c>
      <c r="AF1003">
        <f>'Grid_Stock'!AD36</f>
        <v/>
      </c>
      <c r="AG1003">
        <f>'Grid_Stock'!AE36</f>
        <v/>
      </c>
      <c r="AH1003">
        <f>'Grid_Stock'!AF36</f>
        <v/>
      </c>
      <c r="AI1003">
        <f>'Grid_Stock'!AG36</f>
        <v/>
      </c>
      <c r="AJ1003">
        <f>'Grid_Stock'!AH36</f>
        <v/>
      </c>
      <c r="AK1003">
        <f>'Grid_Stock'!AI36</f>
        <v/>
      </c>
      <c r="AL1003">
        <f>'Grid_Stock'!AJ36</f>
        <v/>
      </c>
      <c r="AM1003">
        <f>'Grid_Stock'!AK36</f>
        <v/>
      </c>
      <c r="AN1003">
        <f>'Grid_Stock'!AL36</f>
        <v/>
      </c>
      <c r="AO1003">
        <f>'Grid_Stock'!AM36</f>
        <v/>
      </c>
      <c r="AP1003">
        <f>'Grid_Stock'!AN36</f>
        <v/>
      </c>
      <c r="AQ1003">
        <f>'Grid_Stock'!AO36</f>
        <v/>
      </c>
      <c r="AR1003">
        <f>'Grid_Stock'!AP36</f>
        <v/>
      </c>
      <c r="AS1003">
        <f>'Grid_Stock'!AQ36</f>
        <v/>
      </c>
      <c r="AT1003">
        <f>'Grid_Stock'!AR36</f>
        <v/>
      </c>
      <c r="AU1003">
        <f>'Grid_Stock'!AS36</f>
        <v/>
      </c>
      <c r="AV1003">
        <f>'Grid_Stock'!AT36</f>
        <v/>
      </c>
      <c r="AW1003">
        <f>'Grid_Stock'!AU36</f>
        <v/>
      </c>
      <c r="AX1003">
        <f>'Grid_Stock'!AV36</f>
        <v/>
      </c>
      <c r="AY1003">
        <f>'Grid_Stock'!AW36</f>
        <v/>
      </c>
      <c r="AZ1003">
        <f>'Grid_Stock'!AX36</f>
        <v/>
      </c>
      <c r="BA1003">
        <f>'Grid_Stock'!AY36</f>
        <v/>
      </c>
      <c r="BB1003">
        <f>'Grid_Stock'!AZ36</f>
        <v/>
      </c>
      <c r="BC1003">
        <f>'Grid_Stock'!BA36</f>
        <v/>
      </c>
      <c r="BD1003">
        <f>'Grid_Stock'!BB36</f>
        <v/>
      </c>
      <c r="BE1003">
        <f>'Grid_Stock'!BC36</f>
        <v/>
      </c>
      <c r="BF1003">
        <f>'Grid_Stock'!BD36</f>
        <v/>
      </c>
      <c r="BG1003">
        <f>'Grid_Stock'!BE36</f>
        <v/>
      </c>
      <c r="BH1003">
        <f>'Grid_Stock'!BF36</f>
        <v/>
      </c>
      <c r="BI1003">
        <f>'Grid_Stock'!BG36</f>
        <v/>
      </c>
      <c r="BJ1003">
        <f>'Grid_Stock'!BH36</f>
        <v/>
      </c>
      <c r="BK1003">
        <f>'Grid_Stock'!BI36</f>
        <v/>
      </c>
      <c r="BL1003">
        <f>'Grid_Stock'!BJ36</f>
        <v/>
      </c>
      <c r="BM1003">
        <f>'Grid_Stock'!BK36</f>
        <v/>
      </c>
      <c r="BN1003">
        <f>'Grid_Stock'!BL36</f>
        <v/>
      </c>
      <c r="BO1003">
        <f>'Grid_Stock'!BM36</f>
        <v/>
      </c>
      <c r="BP1003">
        <f>'Grid_Stock'!BN36</f>
        <v/>
      </c>
      <c r="BQ1003">
        <f>'Grid_Stock'!BO36</f>
        <v/>
      </c>
      <c r="BR1003">
        <f>'Grid_Stock'!BP36</f>
        <v/>
      </c>
      <c r="BS1003">
        <f>'Grid_Stock'!BQ36</f>
        <v/>
      </c>
      <c r="BT1003">
        <f>'Grid_Stock'!BR36</f>
        <v/>
      </c>
      <c r="BU1003">
        <f>'Grid_Stock'!BS36</f>
        <v/>
      </c>
      <c r="BV1003">
        <f>'Grid_Stock'!BT36</f>
        <v/>
      </c>
      <c r="BW1003">
        <f>'Grid_Stock'!BU36</f>
        <v/>
      </c>
      <c r="BX1003">
        <f>'Grid_Stock'!BV36</f>
        <v/>
      </c>
      <c r="BY1003">
        <f>'Grid_Stock'!BW36</f>
        <v/>
      </c>
      <c r="BZ1003">
        <f>'Grid_Stock'!BX36</f>
        <v/>
      </c>
      <c r="CA1003">
        <f>'Grid_Stock'!BY36</f>
        <v/>
      </c>
      <c r="CB1003">
        <f>'Grid_Stock'!BZ36</f>
        <v/>
      </c>
      <c r="CC1003">
        <f>'Grid_Stock'!CA36</f>
        <v/>
      </c>
      <c r="CD1003">
        <f>'Grid_Stock'!CB36</f>
        <v/>
      </c>
      <c r="CE1003">
        <f>'Grid_Stock'!CC36</f>
        <v/>
      </c>
      <c r="CF1003">
        <f>'Grid_Stock'!CD36</f>
        <v/>
      </c>
      <c r="CG1003">
        <f>'Grid_Stock'!CE36</f>
        <v/>
      </c>
      <c r="CH1003">
        <f>'Grid_Stock'!CF36</f>
        <v/>
      </c>
      <c r="CI1003">
        <f>'Grid_Stock'!CG36</f>
        <v/>
      </c>
      <c r="CJ1003">
        <f>'Grid_Stock'!CH36</f>
        <v/>
      </c>
      <c r="CK1003">
        <f>'Grid_Stock'!CI36</f>
        <v/>
      </c>
      <c r="CL1003">
        <f>'Grid_Stock'!CJ36</f>
        <v/>
      </c>
      <c r="CM1003">
        <f>'Grid_Stock'!CK36</f>
        <v/>
      </c>
      <c r="CN1003">
        <f>'Grid_Stock'!CL36</f>
        <v/>
      </c>
      <c r="CO1003">
        <f>'Grid_Stock'!CM36</f>
        <v/>
      </c>
      <c r="CP1003">
        <f>'Grid_Stock'!CN36</f>
        <v/>
      </c>
      <c r="CQ1003">
        <f>'Grid_Stock'!CO36</f>
        <v/>
      </c>
      <c r="CR1003">
        <f>'Grid_Stock'!CP36</f>
        <v/>
      </c>
      <c r="CS1003">
        <f>'Grid_Stock'!CQ36</f>
        <v/>
      </c>
      <c r="CT1003">
        <f>'Grid_Stock'!CR36</f>
        <v/>
      </c>
      <c r="CU1003">
        <f>'Grid_Stock'!CS36</f>
        <v/>
      </c>
      <c r="CV1003">
        <f>'Grid_Stock'!CT36</f>
        <v/>
      </c>
      <c r="CW1003">
        <f>'Grid_Stock'!CU36</f>
        <v/>
      </c>
      <c r="CX1003">
        <f>'Grid_Stock'!CV36</f>
        <v/>
      </c>
      <c r="CY1003">
        <f>'Grid_Stock'!CW36</f>
        <v/>
      </c>
      <c r="CZ1003">
        <f>'Grid_Stock'!CX36</f>
        <v/>
      </c>
      <c r="DA1003">
        <f>'Grid_Stock'!CY36</f>
        <v/>
      </c>
      <c r="DB1003">
        <f>'Grid_Stock'!CZ36</f>
        <v/>
      </c>
      <c r="DC1003">
        <f>'Grid_Stock'!DA36</f>
        <v/>
      </c>
    </row>
    <row r="1004">
      <c r="B1004" s="16" t="inlineStr">
        <is>
          <t>（発注の目安はDashboardの基準在庫[下限/上限]と色分けを参照）</t>
        </is>
      </c>
    </row>
    <row r="1006">
      <c r="A1006" s="14" t="inlineStr">
        <is>
          <t>5SN</t>
        </is>
      </c>
      <c r="B1006" s="14" t="inlineStr">
        <is>
          <t>5SN</t>
        </is>
      </c>
      <c r="C1006" s="15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  <c r="S1006" s="14" t="n"/>
      <c r="T1006" s="14" t="n"/>
      <c r="U1006" s="14" t="n"/>
      <c r="V1006" s="14" t="n"/>
      <c r="W1006" s="14" t="n"/>
      <c r="X1006" s="14" t="n"/>
      <c r="Y1006" s="14" t="n"/>
      <c r="Z1006" s="14" t="n"/>
      <c r="AA1006" s="14" t="n"/>
      <c r="AB1006" s="14" t="n"/>
      <c r="AC1006" s="14" t="n"/>
      <c r="AD1006" s="14" t="n"/>
      <c r="AE1006" s="14" t="n"/>
      <c r="AF1006" s="14" t="n"/>
      <c r="AG1006" s="14" t="n"/>
      <c r="AH1006" s="14" t="n"/>
      <c r="AI1006" s="14" t="n"/>
      <c r="AJ1006" s="14" t="n"/>
      <c r="AK1006" s="14" t="n"/>
      <c r="AL1006" s="14" t="n"/>
      <c r="AM1006" s="14" t="n"/>
      <c r="AN1006" s="14" t="n"/>
      <c r="AO1006" s="14" t="n"/>
      <c r="AP1006" s="14" t="n"/>
      <c r="AQ1006" s="14" t="n"/>
      <c r="AR1006" s="14" t="n"/>
      <c r="AS1006" s="14" t="n"/>
      <c r="AT1006" s="14" t="n"/>
      <c r="AU1006" s="14" t="n"/>
      <c r="AV1006" s="14" t="n"/>
      <c r="AW1006" s="14" t="n"/>
      <c r="AX1006" s="14" t="n"/>
      <c r="AY1006" s="14" t="n"/>
      <c r="AZ1006" s="14" t="n"/>
      <c r="BA1006" s="14" t="n"/>
      <c r="BB1006" s="14" t="n"/>
      <c r="BC1006" s="14" t="n"/>
      <c r="BD1006" s="14" t="n"/>
      <c r="BE1006" s="14" t="n"/>
      <c r="BF1006" s="14" t="n"/>
      <c r="BG1006" s="14" t="n"/>
      <c r="BH1006" s="14" t="n"/>
      <c r="BI1006" s="14" t="n"/>
      <c r="BJ1006" s="14" t="n"/>
      <c r="BK1006" s="14" t="n"/>
      <c r="BL1006" s="14" t="n"/>
      <c r="BM1006" s="14" t="n"/>
      <c r="BN1006" s="14" t="n"/>
      <c r="BO1006" s="14" t="n"/>
      <c r="BP1006" s="14" t="n"/>
      <c r="BQ1006" s="14" t="n"/>
      <c r="BR1006" s="14" t="n"/>
      <c r="BS1006" s="14" t="n"/>
      <c r="BT1006" s="14" t="n"/>
      <c r="BU1006" s="14" t="n"/>
      <c r="BV1006" s="14" t="n"/>
      <c r="BW1006" s="14" t="n"/>
      <c r="BX1006" s="14" t="n"/>
      <c r="BY1006" s="14" t="n"/>
      <c r="BZ1006" s="14" t="n"/>
      <c r="CA1006" s="14" t="n"/>
      <c r="CB1006" s="14" t="n"/>
      <c r="CC1006" s="14" t="n"/>
      <c r="CD1006" s="14" t="n"/>
      <c r="CE1006" s="14" t="n"/>
      <c r="CF1006" s="14" t="n"/>
      <c r="CG1006" s="14" t="n"/>
      <c r="CH1006" s="14" t="n"/>
      <c r="CI1006" s="14" t="n"/>
      <c r="CJ1006" s="14" t="n"/>
      <c r="CK1006" s="14" t="n"/>
      <c r="CL1006" s="14" t="n"/>
      <c r="CM1006" s="14" t="n"/>
      <c r="CN1006" s="14" t="n"/>
      <c r="CO1006" s="14" t="n"/>
      <c r="CP1006" s="14" t="n"/>
      <c r="CQ1006" s="14" t="n"/>
      <c r="CR1006" s="14" t="n"/>
      <c r="CS1006" s="14" t="n"/>
      <c r="CT1006" s="14" t="n"/>
      <c r="CU1006" s="14" t="n"/>
      <c r="CV1006" s="14" t="n"/>
      <c r="CW1006" s="14" t="n"/>
      <c r="CX1006" s="14" t="n"/>
      <c r="CY1006" s="14" t="n"/>
      <c r="CZ1006" s="14" t="n"/>
      <c r="DA1006" s="14" t="n"/>
      <c r="DB1006" s="14" t="n"/>
      <c r="DC1006" s="14" t="n"/>
    </row>
    <row r="1007">
      <c r="B1007" t="inlineStr">
        <is>
          <t>0Q110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7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Name],$A1006)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s="4" t="inlineStr">
        <is>
          <t>合計使用量(kg)/週</t>
        </is>
      </c>
      <c r="D1009">
        <f>'Grid_Requirement'!B40</f>
        <v/>
      </c>
      <c r="E1009">
        <f>'Grid_Requirement'!C40</f>
        <v/>
      </c>
      <c r="F1009">
        <f>'Grid_Requirement'!D40</f>
        <v/>
      </c>
      <c r="G1009">
        <f>'Grid_Requirement'!E40</f>
        <v/>
      </c>
      <c r="H1009">
        <f>'Grid_Requirement'!F40</f>
        <v/>
      </c>
      <c r="I1009">
        <f>'Grid_Requirement'!G40</f>
        <v/>
      </c>
      <c r="J1009">
        <f>'Grid_Requirement'!H40</f>
        <v/>
      </c>
      <c r="K1009">
        <f>'Grid_Requirement'!I40</f>
        <v/>
      </c>
      <c r="L1009">
        <f>'Grid_Requirement'!J40</f>
        <v/>
      </c>
      <c r="M1009">
        <f>'Grid_Requirement'!K40</f>
        <v/>
      </c>
      <c r="N1009">
        <f>'Grid_Requirement'!L40</f>
        <v/>
      </c>
      <c r="O1009">
        <f>'Grid_Requirement'!M40</f>
        <v/>
      </c>
      <c r="P1009">
        <f>'Grid_Requirement'!N40</f>
        <v/>
      </c>
      <c r="Q1009">
        <f>'Grid_Requirement'!O40</f>
        <v/>
      </c>
      <c r="R1009">
        <f>'Grid_Requirement'!P40</f>
        <v/>
      </c>
      <c r="S1009">
        <f>'Grid_Requirement'!Q40</f>
        <v/>
      </c>
      <c r="T1009">
        <f>'Grid_Requirement'!R40</f>
        <v/>
      </c>
      <c r="U1009">
        <f>'Grid_Requirement'!S40</f>
        <v/>
      </c>
      <c r="V1009">
        <f>'Grid_Requirement'!T40</f>
        <v/>
      </c>
      <c r="W1009">
        <f>'Grid_Requirement'!U40</f>
        <v/>
      </c>
      <c r="X1009">
        <f>'Grid_Requirement'!V40</f>
        <v/>
      </c>
      <c r="Y1009">
        <f>'Grid_Requirement'!W40</f>
        <v/>
      </c>
      <c r="Z1009">
        <f>'Grid_Requirement'!X40</f>
        <v/>
      </c>
      <c r="AA1009">
        <f>'Grid_Requirement'!Y40</f>
        <v/>
      </c>
      <c r="AB1009">
        <f>'Grid_Requirement'!Z40</f>
        <v/>
      </c>
      <c r="AC1009">
        <f>'Grid_Requirement'!AA40</f>
        <v/>
      </c>
      <c r="AD1009">
        <f>'Grid_Requirement'!AB40</f>
        <v/>
      </c>
      <c r="AE1009">
        <f>'Grid_Requirement'!AC40</f>
        <v/>
      </c>
      <c r="AF1009">
        <f>'Grid_Requirement'!AD40</f>
        <v/>
      </c>
      <c r="AG1009">
        <f>'Grid_Requirement'!AE40</f>
        <v/>
      </c>
      <c r="AH1009">
        <f>'Grid_Requirement'!AF40</f>
        <v/>
      </c>
      <c r="AI1009">
        <f>'Grid_Requirement'!AG40</f>
        <v/>
      </c>
      <c r="AJ1009">
        <f>'Grid_Requirement'!AH40</f>
        <v/>
      </c>
      <c r="AK1009">
        <f>'Grid_Requirement'!AI40</f>
        <v/>
      </c>
      <c r="AL1009">
        <f>'Grid_Requirement'!AJ40</f>
        <v/>
      </c>
      <c r="AM1009">
        <f>'Grid_Requirement'!AK40</f>
        <v/>
      </c>
      <c r="AN1009">
        <f>'Grid_Requirement'!AL40</f>
        <v/>
      </c>
      <c r="AO1009">
        <f>'Grid_Requirement'!AM40</f>
        <v/>
      </c>
      <c r="AP1009">
        <f>'Grid_Requirement'!AN40</f>
        <v/>
      </c>
      <c r="AQ1009">
        <f>'Grid_Requirement'!AO40</f>
        <v/>
      </c>
      <c r="AR1009">
        <f>'Grid_Requirement'!AP40</f>
        <v/>
      </c>
      <c r="AS1009">
        <f>'Grid_Requirement'!AQ40</f>
        <v/>
      </c>
      <c r="AT1009">
        <f>'Grid_Requirement'!AR40</f>
        <v/>
      </c>
      <c r="AU1009">
        <f>'Grid_Requirement'!AS40</f>
        <v/>
      </c>
      <c r="AV1009">
        <f>'Grid_Requirement'!AT40</f>
        <v/>
      </c>
      <c r="AW1009">
        <f>'Grid_Requirement'!AU40</f>
        <v/>
      </c>
      <c r="AX1009">
        <f>'Grid_Requirement'!AV40</f>
        <v/>
      </c>
      <c r="AY1009">
        <f>'Grid_Requirement'!AW40</f>
        <v/>
      </c>
      <c r="AZ1009">
        <f>'Grid_Requirement'!AX40</f>
        <v/>
      </c>
      <c r="BA1009">
        <f>'Grid_Requirement'!AY40</f>
        <v/>
      </c>
      <c r="BB1009">
        <f>'Grid_Requirement'!AZ40</f>
        <v/>
      </c>
      <c r="BC1009">
        <f>'Grid_Requirement'!BA40</f>
        <v/>
      </c>
      <c r="BD1009">
        <f>'Grid_Requirement'!BB40</f>
        <v/>
      </c>
      <c r="BE1009">
        <f>'Grid_Requirement'!BC40</f>
        <v/>
      </c>
      <c r="BF1009">
        <f>'Grid_Requirement'!BD40</f>
        <v/>
      </c>
      <c r="BG1009">
        <f>'Grid_Requirement'!BE40</f>
        <v/>
      </c>
      <c r="BH1009">
        <f>'Grid_Requirement'!BF40</f>
        <v/>
      </c>
      <c r="BI1009">
        <f>'Grid_Requirement'!BG40</f>
        <v/>
      </c>
      <c r="BJ1009">
        <f>'Grid_Requirement'!BH40</f>
        <v/>
      </c>
      <c r="BK1009">
        <f>'Grid_Requirement'!BI40</f>
        <v/>
      </c>
      <c r="BL1009">
        <f>'Grid_Requirement'!BJ40</f>
        <v/>
      </c>
      <c r="BM1009">
        <f>'Grid_Requirement'!BK40</f>
        <v/>
      </c>
      <c r="BN1009">
        <f>'Grid_Requirement'!BL40</f>
        <v/>
      </c>
      <c r="BO1009">
        <f>'Grid_Requirement'!BM40</f>
        <v/>
      </c>
      <c r="BP1009">
        <f>'Grid_Requirement'!BN40</f>
        <v/>
      </c>
      <c r="BQ1009">
        <f>'Grid_Requirement'!BO40</f>
        <v/>
      </c>
      <c r="BR1009">
        <f>'Grid_Requirement'!BP40</f>
        <v/>
      </c>
      <c r="BS1009">
        <f>'Grid_Requirement'!BQ40</f>
        <v/>
      </c>
      <c r="BT1009">
        <f>'Grid_Requirement'!BR40</f>
        <v/>
      </c>
      <c r="BU1009">
        <f>'Grid_Requirement'!BS40</f>
        <v/>
      </c>
      <c r="BV1009">
        <f>'Grid_Requirement'!BT40</f>
        <v/>
      </c>
      <c r="BW1009">
        <f>'Grid_Requirement'!BU40</f>
        <v/>
      </c>
      <c r="BX1009">
        <f>'Grid_Requirement'!BV40</f>
        <v/>
      </c>
      <c r="BY1009">
        <f>'Grid_Requirement'!BW40</f>
        <v/>
      </c>
      <c r="BZ1009">
        <f>'Grid_Requirement'!BX40</f>
        <v/>
      </c>
      <c r="CA1009">
        <f>'Grid_Requirement'!BY40</f>
        <v/>
      </c>
      <c r="CB1009">
        <f>'Grid_Requirement'!BZ40</f>
        <v/>
      </c>
      <c r="CC1009">
        <f>'Grid_Requirement'!CA40</f>
        <v/>
      </c>
      <c r="CD1009">
        <f>'Grid_Requirement'!CB40</f>
        <v/>
      </c>
      <c r="CE1009">
        <f>'Grid_Requirement'!CC40</f>
        <v/>
      </c>
      <c r="CF1009">
        <f>'Grid_Requirement'!CD40</f>
        <v/>
      </c>
      <c r="CG1009">
        <f>'Grid_Requirement'!CE40</f>
        <v/>
      </c>
      <c r="CH1009">
        <f>'Grid_Requirement'!CF40</f>
        <v/>
      </c>
      <c r="CI1009">
        <f>'Grid_Requirement'!CG40</f>
        <v/>
      </c>
      <c r="CJ1009">
        <f>'Grid_Requirement'!CH40</f>
        <v/>
      </c>
      <c r="CK1009">
        <f>'Grid_Requirement'!CI40</f>
        <v/>
      </c>
      <c r="CL1009">
        <f>'Grid_Requirement'!CJ40</f>
        <v/>
      </c>
      <c r="CM1009">
        <f>'Grid_Requirement'!CK40</f>
        <v/>
      </c>
      <c r="CN1009">
        <f>'Grid_Requirement'!CL40</f>
        <v/>
      </c>
      <c r="CO1009">
        <f>'Grid_Requirement'!CM40</f>
        <v/>
      </c>
      <c r="CP1009">
        <f>'Grid_Requirement'!CN40</f>
        <v/>
      </c>
      <c r="CQ1009">
        <f>'Grid_Requirement'!CO40</f>
        <v/>
      </c>
      <c r="CR1009">
        <f>'Grid_Requirement'!CP40</f>
        <v/>
      </c>
      <c r="CS1009">
        <f>'Grid_Requirement'!CQ40</f>
        <v/>
      </c>
      <c r="CT1009">
        <f>'Grid_Requirement'!CR40</f>
        <v/>
      </c>
      <c r="CU1009">
        <f>'Grid_Requirement'!CS40</f>
        <v/>
      </c>
      <c r="CV1009">
        <f>'Grid_Requirement'!CT40</f>
        <v/>
      </c>
      <c r="CW1009">
        <f>'Grid_Requirement'!CU40</f>
        <v/>
      </c>
      <c r="CX1009">
        <f>'Grid_Requirement'!CV40</f>
        <v/>
      </c>
      <c r="CY1009">
        <f>'Grid_Requirement'!CW40</f>
        <v/>
      </c>
      <c r="CZ1009">
        <f>'Grid_Requirement'!CX40</f>
        <v/>
      </c>
      <c r="DA1009">
        <f>'Grid_Requirement'!CY40</f>
        <v/>
      </c>
      <c r="DB1009">
        <f>'Grid_Requirement'!CZ40</f>
        <v/>
      </c>
      <c r="DC1009">
        <f>'Grid_Requirement'!DA40</f>
        <v/>
      </c>
    </row>
    <row r="1010">
      <c r="B1010" t="inlineStr">
        <is>
          <t>TTAF在庫(実績,kg)</t>
        </is>
      </c>
      <c r="D1010">
        <f>'T_TTAFStock'!B44</f>
        <v/>
      </c>
      <c r="E1010">
        <f>'T_TTAFStock'!C44</f>
        <v/>
      </c>
      <c r="F1010">
        <f>'T_TTAFStock'!D44</f>
        <v/>
      </c>
      <c r="G1010">
        <f>'T_TTAFStock'!E44</f>
        <v/>
      </c>
      <c r="H1010">
        <f>'T_TTAFStock'!F44</f>
        <v/>
      </c>
      <c r="I1010">
        <f>'T_TTAFStock'!G44</f>
        <v/>
      </c>
      <c r="J1010">
        <f>'T_TTAFStock'!H44</f>
        <v/>
      </c>
      <c r="K1010">
        <f>'T_TTAFStock'!I44</f>
        <v/>
      </c>
      <c r="L1010">
        <f>'T_TTAFStock'!J44</f>
        <v/>
      </c>
      <c r="M1010">
        <f>'T_TTAFStock'!K44</f>
        <v/>
      </c>
      <c r="N1010">
        <f>'T_TTAFStock'!L44</f>
        <v/>
      </c>
      <c r="O1010">
        <f>'T_TTAFStock'!M44</f>
        <v/>
      </c>
      <c r="P1010">
        <f>'T_TTAFStock'!N44</f>
        <v/>
      </c>
      <c r="Q1010">
        <f>'T_TTAFStock'!O44</f>
        <v/>
      </c>
      <c r="R1010">
        <f>'T_TTAFStock'!P44</f>
        <v/>
      </c>
      <c r="S1010">
        <f>'T_TTAFStock'!Q44</f>
        <v/>
      </c>
      <c r="T1010">
        <f>'T_TTAFStock'!R44</f>
        <v/>
      </c>
      <c r="U1010">
        <f>'T_TTAFStock'!S44</f>
        <v/>
      </c>
      <c r="V1010">
        <f>'T_TTAFStock'!T44</f>
        <v/>
      </c>
      <c r="W1010">
        <f>'T_TTAFStock'!U44</f>
        <v/>
      </c>
      <c r="X1010">
        <f>'T_TTAFStock'!V44</f>
        <v/>
      </c>
      <c r="Y1010">
        <f>'T_TTAFStock'!W44</f>
        <v/>
      </c>
      <c r="Z1010">
        <f>'T_TTAFStock'!X44</f>
        <v/>
      </c>
      <c r="AA1010">
        <f>'T_TTAFStock'!Y44</f>
        <v/>
      </c>
      <c r="AB1010">
        <f>'T_TTAFStock'!Z44</f>
        <v/>
      </c>
      <c r="AC1010">
        <f>'T_TTAFStock'!AA44</f>
        <v/>
      </c>
      <c r="AD1010">
        <f>'T_TTAFStock'!AB44</f>
        <v/>
      </c>
      <c r="AE1010">
        <f>'T_TTAFStock'!AC44</f>
        <v/>
      </c>
      <c r="AF1010">
        <f>'T_TTAFStock'!AD44</f>
        <v/>
      </c>
      <c r="AG1010">
        <f>'T_TTAFStock'!AE44</f>
        <v/>
      </c>
      <c r="AH1010">
        <f>'T_TTAFStock'!AF44</f>
        <v/>
      </c>
      <c r="AI1010">
        <f>'T_TTAFStock'!AG44</f>
        <v/>
      </c>
      <c r="AJ1010">
        <f>'T_TTAFStock'!AH44</f>
        <v/>
      </c>
      <c r="AK1010">
        <f>'T_TTAFStock'!AI44</f>
        <v/>
      </c>
      <c r="AL1010">
        <f>'T_TTAFStock'!AJ44</f>
        <v/>
      </c>
      <c r="AM1010">
        <f>'T_TTAFStock'!AK44</f>
        <v/>
      </c>
      <c r="AN1010">
        <f>'T_TTAFStock'!AL44</f>
        <v/>
      </c>
      <c r="AO1010">
        <f>'T_TTAFStock'!AM44</f>
        <v/>
      </c>
      <c r="AP1010">
        <f>'T_TTAFStock'!AN44</f>
        <v/>
      </c>
      <c r="AQ1010">
        <f>'T_TTAFStock'!AO44</f>
        <v/>
      </c>
      <c r="AR1010">
        <f>'T_TTAFStock'!AP44</f>
        <v/>
      </c>
      <c r="AS1010">
        <f>'T_TTAFStock'!AQ44</f>
        <v/>
      </c>
      <c r="AT1010">
        <f>'T_TTAFStock'!AR44</f>
        <v/>
      </c>
      <c r="AU1010">
        <f>'T_TTAFStock'!AS44</f>
        <v/>
      </c>
      <c r="AV1010">
        <f>'T_TTAFStock'!AT44</f>
        <v/>
      </c>
      <c r="AW1010">
        <f>'T_TTAFStock'!AU44</f>
        <v/>
      </c>
      <c r="AX1010">
        <f>'T_TTAFStock'!AV44</f>
        <v/>
      </c>
      <c r="AY1010">
        <f>'T_TTAFStock'!AW44</f>
        <v/>
      </c>
      <c r="AZ1010">
        <f>'T_TTAFStock'!AX44</f>
        <v/>
      </c>
      <c r="BA1010">
        <f>'T_TTAFStock'!AY44</f>
        <v/>
      </c>
      <c r="BB1010">
        <f>'T_TTAFStock'!AZ44</f>
        <v/>
      </c>
      <c r="BC1010">
        <f>'T_TTAFStock'!BA44</f>
        <v/>
      </c>
      <c r="BD1010">
        <f>'T_TTAFStock'!BB44</f>
        <v/>
      </c>
      <c r="BE1010">
        <f>'T_TTAFStock'!BC44</f>
        <v/>
      </c>
      <c r="BF1010">
        <f>'T_TTAFStock'!BD44</f>
        <v/>
      </c>
      <c r="BG1010">
        <f>'T_TTAFStock'!BE44</f>
        <v/>
      </c>
      <c r="BH1010">
        <f>'T_TTAFStock'!BF44</f>
        <v/>
      </c>
      <c r="BI1010">
        <f>'T_TTAFStock'!BG44</f>
        <v/>
      </c>
      <c r="BJ1010">
        <f>'T_TTAFStock'!BH44</f>
        <v/>
      </c>
      <c r="BK1010">
        <f>'T_TTAFStock'!BI44</f>
        <v/>
      </c>
      <c r="BL1010">
        <f>'T_TTAFStock'!BJ44</f>
        <v/>
      </c>
      <c r="BM1010">
        <f>'T_TTAFStock'!BK44</f>
        <v/>
      </c>
      <c r="BN1010">
        <f>'T_TTAFStock'!BL44</f>
        <v/>
      </c>
      <c r="BO1010">
        <f>'T_TTAFStock'!BM44</f>
        <v/>
      </c>
      <c r="BP1010">
        <f>'T_TTAFStock'!BN44</f>
        <v/>
      </c>
      <c r="BQ1010">
        <f>'T_TTAFStock'!BO44</f>
        <v/>
      </c>
      <c r="BR1010">
        <f>'T_TTAFStock'!BP44</f>
        <v/>
      </c>
      <c r="BS1010">
        <f>'T_TTAFStock'!BQ44</f>
        <v/>
      </c>
      <c r="BT1010">
        <f>'T_TTAFStock'!BR44</f>
        <v/>
      </c>
      <c r="BU1010">
        <f>'T_TTAFStock'!BS44</f>
        <v/>
      </c>
      <c r="BV1010">
        <f>'T_TTAFStock'!BT44</f>
        <v/>
      </c>
      <c r="BW1010">
        <f>'T_TTAFStock'!BU44</f>
        <v/>
      </c>
      <c r="BX1010">
        <f>'T_TTAFStock'!BV44</f>
        <v/>
      </c>
      <c r="BY1010">
        <f>'T_TTAFStock'!BW44</f>
        <v/>
      </c>
      <c r="BZ1010">
        <f>'T_TTAFStock'!BX44</f>
        <v/>
      </c>
      <c r="CA1010">
        <f>'T_TTAFStock'!BY44</f>
        <v/>
      </c>
      <c r="CB1010">
        <f>'T_TTAFStock'!BZ44</f>
        <v/>
      </c>
      <c r="CC1010">
        <f>'T_TTAFStock'!CA44</f>
        <v/>
      </c>
      <c r="CD1010">
        <f>'T_TTAFStock'!CB44</f>
        <v/>
      </c>
      <c r="CE1010">
        <f>'T_TTAFStock'!CC44</f>
        <v/>
      </c>
      <c r="CF1010">
        <f>'T_TTAFStock'!CD44</f>
        <v/>
      </c>
      <c r="CG1010">
        <f>'T_TTAFStock'!CE44</f>
        <v/>
      </c>
      <c r="CH1010">
        <f>'T_TTAFStock'!CF44</f>
        <v/>
      </c>
      <c r="CI1010">
        <f>'T_TTAFStock'!CG44</f>
        <v/>
      </c>
      <c r="CJ1010">
        <f>'T_TTAFStock'!CH44</f>
        <v/>
      </c>
      <c r="CK1010">
        <f>'T_TTAFStock'!CI44</f>
        <v/>
      </c>
      <c r="CL1010">
        <f>'T_TTAFStock'!CJ44</f>
        <v/>
      </c>
      <c r="CM1010">
        <f>'T_TTAFStock'!CK44</f>
        <v/>
      </c>
      <c r="CN1010">
        <f>'T_TTAFStock'!CL44</f>
        <v/>
      </c>
      <c r="CO1010">
        <f>'T_TTAFStock'!CM44</f>
        <v/>
      </c>
      <c r="CP1010">
        <f>'T_TTAFStock'!CN44</f>
        <v/>
      </c>
      <c r="CQ1010">
        <f>'T_TTAFStock'!CO44</f>
        <v/>
      </c>
      <c r="CR1010">
        <f>'T_TTAFStock'!CP44</f>
        <v/>
      </c>
      <c r="CS1010">
        <f>'T_TTAFStock'!CQ44</f>
        <v/>
      </c>
      <c r="CT1010">
        <f>'T_TTAFStock'!CR44</f>
        <v/>
      </c>
      <c r="CU1010">
        <f>'T_TTAFStock'!CS44</f>
        <v/>
      </c>
      <c r="CV1010">
        <f>'T_TTAFStock'!CT44</f>
        <v/>
      </c>
      <c r="CW1010">
        <f>'T_TTAFStock'!CU44</f>
        <v/>
      </c>
      <c r="CX1010">
        <f>'T_TTAFStock'!CV44</f>
        <v/>
      </c>
      <c r="CY1010">
        <f>'T_TTAFStock'!CW44</f>
        <v/>
      </c>
      <c r="CZ1010">
        <f>'T_TTAFStock'!CX44</f>
        <v/>
      </c>
      <c r="DA1010">
        <f>'T_TTAFStock'!CY44</f>
        <v/>
      </c>
      <c r="DB1010">
        <f>'T_TTAFStock'!CZ44</f>
        <v/>
      </c>
      <c r="DC1010">
        <f>'T_TTAFStock'!DA44</f>
        <v/>
      </c>
    </row>
    <row r="1011">
      <c r="B1011" t="inlineStr">
        <is>
          <t>自社在庫(実績,kg)</t>
        </is>
      </c>
      <c r="D1011">
        <f>'T_SelfStock'!B44</f>
        <v/>
      </c>
      <c r="E1011">
        <f>'T_SelfStock'!C44</f>
        <v/>
      </c>
      <c r="F1011">
        <f>'T_SelfStock'!D44</f>
        <v/>
      </c>
      <c r="G1011">
        <f>'T_SelfStock'!E44</f>
        <v/>
      </c>
      <c r="H1011">
        <f>'T_SelfStock'!F44</f>
        <v/>
      </c>
      <c r="I1011">
        <f>'T_SelfStock'!G44</f>
        <v/>
      </c>
      <c r="J1011">
        <f>'T_SelfStock'!H44</f>
        <v/>
      </c>
      <c r="K1011">
        <f>'T_SelfStock'!I44</f>
        <v/>
      </c>
      <c r="L1011">
        <f>'T_SelfStock'!J44</f>
        <v/>
      </c>
      <c r="M1011">
        <f>'T_SelfStock'!K44</f>
        <v/>
      </c>
      <c r="N1011">
        <f>'T_SelfStock'!L44</f>
        <v/>
      </c>
      <c r="O1011">
        <f>'T_SelfStock'!M44</f>
        <v/>
      </c>
      <c r="P1011">
        <f>'T_SelfStock'!N44</f>
        <v/>
      </c>
      <c r="Q1011">
        <f>'T_SelfStock'!O44</f>
        <v/>
      </c>
      <c r="R1011">
        <f>'T_SelfStock'!P44</f>
        <v/>
      </c>
      <c r="S1011">
        <f>'T_SelfStock'!Q44</f>
        <v/>
      </c>
      <c r="T1011">
        <f>'T_SelfStock'!R44</f>
        <v/>
      </c>
      <c r="U1011">
        <f>'T_SelfStock'!S44</f>
        <v/>
      </c>
      <c r="V1011">
        <f>'T_SelfStock'!T44</f>
        <v/>
      </c>
      <c r="W1011">
        <f>'T_SelfStock'!U44</f>
        <v/>
      </c>
      <c r="X1011">
        <f>'T_SelfStock'!V44</f>
        <v/>
      </c>
      <c r="Y1011">
        <f>'T_SelfStock'!W44</f>
        <v/>
      </c>
      <c r="Z1011">
        <f>'T_SelfStock'!X44</f>
        <v/>
      </c>
      <c r="AA1011">
        <f>'T_SelfStock'!Y44</f>
        <v/>
      </c>
      <c r="AB1011">
        <f>'T_SelfStock'!Z44</f>
        <v/>
      </c>
      <c r="AC1011">
        <f>'T_SelfStock'!AA44</f>
        <v/>
      </c>
      <c r="AD1011">
        <f>'T_SelfStock'!AB44</f>
        <v/>
      </c>
      <c r="AE1011">
        <f>'T_SelfStock'!AC44</f>
        <v/>
      </c>
      <c r="AF1011">
        <f>'T_SelfStock'!AD44</f>
        <v/>
      </c>
      <c r="AG1011">
        <f>'T_SelfStock'!AE44</f>
        <v/>
      </c>
      <c r="AH1011">
        <f>'T_SelfStock'!AF44</f>
        <v/>
      </c>
      <c r="AI1011">
        <f>'T_SelfStock'!AG44</f>
        <v/>
      </c>
      <c r="AJ1011">
        <f>'T_SelfStock'!AH44</f>
        <v/>
      </c>
      <c r="AK1011">
        <f>'T_SelfStock'!AI44</f>
        <v/>
      </c>
      <c r="AL1011">
        <f>'T_SelfStock'!AJ44</f>
        <v/>
      </c>
      <c r="AM1011">
        <f>'T_SelfStock'!AK44</f>
        <v/>
      </c>
      <c r="AN1011">
        <f>'T_SelfStock'!AL44</f>
        <v/>
      </c>
      <c r="AO1011">
        <f>'T_SelfStock'!AM44</f>
        <v/>
      </c>
      <c r="AP1011">
        <f>'T_SelfStock'!AN44</f>
        <v/>
      </c>
      <c r="AQ1011">
        <f>'T_SelfStock'!AO44</f>
        <v/>
      </c>
      <c r="AR1011">
        <f>'T_SelfStock'!AP44</f>
        <v/>
      </c>
      <c r="AS1011">
        <f>'T_SelfStock'!AQ44</f>
        <v/>
      </c>
      <c r="AT1011">
        <f>'T_SelfStock'!AR44</f>
        <v/>
      </c>
      <c r="AU1011">
        <f>'T_SelfStock'!AS44</f>
        <v/>
      </c>
      <c r="AV1011">
        <f>'T_SelfStock'!AT44</f>
        <v/>
      </c>
      <c r="AW1011">
        <f>'T_SelfStock'!AU44</f>
        <v/>
      </c>
      <c r="AX1011">
        <f>'T_SelfStock'!AV44</f>
        <v/>
      </c>
      <c r="AY1011">
        <f>'T_SelfStock'!AW44</f>
        <v/>
      </c>
      <c r="AZ1011">
        <f>'T_SelfStock'!AX44</f>
        <v/>
      </c>
      <c r="BA1011">
        <f>'T_SelfStock'!AY44</f>
        <v/>
      </c>
      <c r="BB1011">
        <f>'T_SelfStock'!AZ44</f>
        <v/>
      </c>
      <c r="BC1011">
        <f>'T_SelfStock'!BA44</f>
        <v/>
      </c>
      <c r="BD1011">
        <f>'T_SelfStock'!BB44</f>
        <v/>
      </c>
      <c r="BE1011">
        <f>'T_SelfStock'!BC44</f>
        <v/>
      </c>
      <c r="BF1011">
        <f>'T_SelfStock'!BD44</f>
        <v/>
      </c>
      <c r="BG1011">
        <f>'T_SelfStock'!BE44</f>
        <v/>
      </c>
      <c r="BH1011">
        <f>'T_SelfStock'!BF44</f>
        <v/>
      </c>
      <c r="BI1011">
        <f>'T_SelfStock'!BG44</f>
        <v/>
      </c>
      <c r="BJ1011">
        <f>'T_SelfStock'!BH44</f>
        <v/>
      </c>
      <c r="BK1011">
        <f>'T_SelfStock'!BI44</f>
        <v/>
      </c>
      <c r="BL1011">
        <f>'T_SelfStock'!BJ44</f>
        <v/>
      </c>
      <c r="BM1011">
        <f>'T_SelfStock'!BK44</f>
        <v/>
      </c>
      <c r="BN1011">
        <f>'T_SelfStock'!BL44</f>
        <v/>
      </c>
      <c r="BO1011">
        <f>'T_SelfStock'!BM44</f>
        <v/>
      </c>
      <c r="BP1011">
        <f>'T_SelfStock'!BN44</f>
        <v/>
      </c>
      <c r="BQ1011">
        <f>'T_SelfStock'!BO44</f>
        <v/>
      </c>
      <c r="BR1011">
        <f>'T_SelfStock'!BP44</f>
        <v/>
      </c>
      <c r="BS1011">
        <f>'T_SelfStock'!BQ44</f>
        <v/>
      </c>
      <c r="BT1011">
        <f>'T_SelfStock'!BR44</f>
        <v/>
      </c>
      <c r="BU1011">
        <f>'T_SelfStock'!BS44</f>
        <v/>
      </c>
      <c r="BV1011">
        <f>'T_SelfStock'!BT44</f>
        <v/>
      </c>
      <c r="BW1011">
        <f>'T_SelfStock'!BU44</f>
        <v/>
      </c>
      <c r="BX1011">
        <f>'T_SelfStock'!BV44</f>
        <v/>
      </c>
      <c r="BY1011">
        <f>'T_SelfStock'!BW44</f>
        <v/>
      </c>
      <c r="BZ1011">
        <f>'T_SelfStock'!BX44</f>
        <v/>
      </c>
      <c r="CA1011">
        <f>'T_SelfStock'!BY44</f>
        <v/>
      </c>
      <c r="CB1011">
        <f>'T_SelfStock'!BZ44</f>
        <v/>
      </c>
      <c r="CC1011">
        <f>'T_SelfStock'!CA44</f>
        <v/>
      </c>
      <c r="CD1011">
        <f>'T_SelfStock'!CB44</f>
        <v/>
      </c>
      <c r="CE1011">
        <f>'T_SelfStock'!CC44</f>
        <v/>
      </c>
      <c r="CF1011">
        <f>'T_SelfStock'!CD44</f>
        <v/>
      </c>
      <c r="CG1011">
        <f>'T_SelfStock'!CE44</f>
        <v/>
      </c>
      <c r="CH1011">
        <f>'T_SelfStock'!CF44</f>
        <v/>
      </c>
      <c r="CI1011">
        <f>'T_SelfStock'!CG44</f>
        <v/>
      </c>
      <c r="CJ1011">
        <f>'T_SelfStock'!CH44</f>
        <v/>
      </c>
      <c r="CK1011">
        <f>'T_SelfStock'!CI44</f>
        <v/>
      </c>
      <c r="CL1011">
        <f>'T_SelfStock'!CJ44</f>
        <v/>
      </c>
      <c r="CM1011">
        <f>'T_SelfStock'!CK44</f>
        <v/>
      </c>
      <c r="CN1011">
        <f>'T_SelfStock'!CL44</f>
        <v/>
      </c>
      <c r="CO1011">
        <f>'T_SelfStock'!CM44</f>
        <v/>
      </c>
      <c r="CP1011">
        <f>'T_SelfStock'!CN44</f>
        <v/>
      </c>
      <c r="CQ1011">
        <f>'T_SelfStock'!CO44</f>
        <v/>
      </c>
      <c r="CR1011">
        <f>'T_SelfStock'!CP44</f>
        <v/>
      </c>
      <c r="CS1011">
        <f>'T_SelfStock'!CQ44</f>
        <v/>
      </c>
      <c r="CT1011">
        <f>'T_SelfStock'!CR44</f>
        <v/>
      </c>
      <c r="CU1011">
        <f>'T_SelfStock'!CS44</f>
        <v/>
      </c>
      <c r="CV1011">
        <f>'T_SelfStock'!CT44</f>
        <v/>
      </c>
      <c r="CW1011">
        <f>'T_SelfStock'!CU44</f>
        <v/>
      </c>
      <c r="CX1011">
        <f>'T_SelfStock'!CV44</f>
        <v/>
      </c>
      <c r="CY1011">
        <f>'T_SelfStock'!CW44</f>
        <v/>
      </c>
      <c r="CZ1011">
        <f>'T_SelfStock'!CX44</f>
        <v/>
      </c>
      <c r="DA1011">
        <f>'T_SelfStock'!CY44</f>
        <v/>
      </c>
      <c r="DB1011">
        <f>'T_SelfStock'!CZ44</f>
        <v/>
      </c>
      <c r="DC1011">
        <f>'T_SelfStock'!DA44</f>
        <v/>
      </c>
    </row>
    <row r="1012">
      <c r="B1012" s="4" t="inlineStr">
        <is>
          <t>合計在庫(週末時点,kg)</t>
        </is>
      </c>
      <c r="D1012">
        <f>'Grid_Stock'!B40</f>
        <v/>
      </c>
      <c r="E1012">
        <f>'Grid_Stock'!C40</f>
        <v/>
      </c>
      <c r="F1012">
        <f>'Grid_Stock'!D40</f>
        <v/>
      </c>
      <c r="G1012">
        <f>'Grid_Stock'!E40</f>
        <v/>
      </c>
      <c r="H1012">
        <f>'Grid_Stock'!F40</f>
        <v/>
      </c>
      <c r="I1012">
        <f>'Grid_Stock'!G40</f>
        <v/>
      </c>
      <c r="J1012">
        <f>'Grid_Stock'!H40</f>
        <v/>
      </c>
      <c r="K1012">
        <f>'Grid_Stock'!I40</f>
        <v/>
      </c>
      <c r="L1012">
        <f>'Grid_Stock'!J40</f>
        <v/>
      </c>
      <c r="M1012">
        <f>'Grid_Stock'!K40</f>
        <v/>
      </c>
      <c r="N1012">
        <f>'Grid_Stock'!L40</f>
        <v/>
      </c>
      <c r="O1012">
        <f>'Grid_Stock'!M40</f>
        <v/>
      </c>
      <c r="P1012">
        <f>'Grid_Stock'!N40</f>
        <v/>
      </c>
      <c r="Q1012">
        <f>'Grid_Stock'!O40</f>
        <v/>
      </c>
      <c r="R1012">
        <f>'Grid_Stock'!P40</f>
        <v/>
      </c>
      <c r="S1012">
        <f>'Grid_Stock'!Q40</f>
        <v/>
      </c>
      <c r="T1012">
        <f>'Grid_Stock'!R40</f>
        <v/>
      </c>
      <c r="U1012">
        <f>'Grid_Stock'!S40</f>
        <v/>
      </c>
      <c r="V1012">
        <f>'Grid_Stock'!T40</f>
        <v/>
      </c>
      <c r="W1012">
        <f>'Grid_Stock'!U40</f>
        <v/>
      </c>
      <c r="X1012">
        <f>'Grid_Stock'!V40</f>
        <v/>
      </c>
      <c r="Y1012">
        <f>'Grid_Stock'!W40</f>
        <v/>
      </c>
      <c r="Z1012">
        <f>'Grid_Stock'!X40</f>
        <v/>
      </c>
      <c r="AA1012">
        <f>'Grid_Stock'!Y40</f>
        <v/>
      </c>
      <c r="AB1012">
        <f>'Grid_Stock'!Z40</f>
        <v/>
      </c>
      <c r="AC1012">
        <f>'Grid_Stock'!AA40</f>
        <v/>
      </c>
      <c r="AD1012">
        <f>'Grid_Stock'!AB40</f>
        <v/>
      </c>
      <c r="AE1012">
        <f>'Grid_Stock'!AC40</f>
        <v/>
      </c>
      <c r="AF1012">
        <f>'Grid_Stock'!AD40</f>
        <v/>
      </c>
      <c r="AG1012">
        <f>'Grid_Stock'!AE40</f>
        <v/>
      </c>
      <c r="AH1012">
        <f>'Grid_Stock'!AF40</f>
        <v/>
      </c>
      <c r="AI1012">
        <f>'Grid_Stock'!AG40</f>
        <v/>
      </c>
      <c r="AJ1012">
        <f>'Grid_Stock'!AH40</f>
        <v/>
      </c>
      <c r="AK1012">
        <f>'Grid_Stock'!AI40</f>
        <v/>
      </c>
      <c r="AL1012">
        <f>'Grid_Stock'!AJ40</f>
        <v/>
      </c>
      <c r="AM1012">
        <f>'Grid_Stock'!AK40</f>
        <v/>
      </c>
      <c r="AN1012">
        <f>'Grid_Stock'!AL40</f>
        <v/>
      </c>
      <c r="AO1012">
        <f>'Grid_Stock'!AM40</f>
        <v/>
      </c>
      <c r="AP1012">
        <f>'Grid_Stock'!AN40</f>
        <v/>
      </c>
      <c r="AQ1012">
        <f>'Grid_Stock'!AO40</f>
        <v/>
      </c>
      <c r="AR1012">
        <f>'Grid_Stock'!AP40</f>
        <v/>
      </c>
      <c r="AS1012">
        <f>'Grid_Stock'!AQ40</f>
        <v/>
      </c>
      <c r="AT1012">
        <f>'Grid_Stock'!AR40</f>
        <v/>
      </c>
      <c r="AU1012">
        <f>'Grid_Stock'!AS40</f>
        <v/>
      </c>
      <c r="AV1012">
        <f>'Grid_Stock'!AT40</f>
        <v/>
      </c>
      <c r="AW1012">
        <f>'Grid_Stock'!AU40</f>
        <v/>
      </c>
      <c r="AX1012">
        <f>'Grid_Stock'!AV40</f>
        <v/>
      </c>
      <c r="AY1012">
        <f>'Grid_Stock'!AW40</f>
        <v/>
      </c>
      <c r="AZ1012">
        <f>'Grid_Stock'!AX40</f>
        <v/>
      </c>
      <c r="BA1012">
        <f>'Grid_Stock'!AY40</f>
        <v/>
      </c>
      <c r="BB1012">
        <f>'Grid_Stock'!AZ40</f>
        <v/>
      </c>
      <c r="BC1012">
        <f>'Grid_Stock'!BA40</f>
        <v/>
      </c>
      <c r="BD1012">
        <f>'Grid_Stock'!BB40</f>
        <v/>
      </c>
      <c r="BE1012">
        <f>'Grid_Stock'!BC40</f>
        <v/>
      </c>
      <c r="BF1012">
        <f>'Grid_Stock'!BD40</f>
        <v/>
      </c>
      <c r="BG1012">
        <f>'Grid_Stock'!BE40</f>
        <v/>
      </c>
      <c r="BH1012">
        <f>'Grid_Stock'!BF40</f>
        <v/>
      </c>
      <c r="BI1012">
        <f>'Grid_Stock'!BG40</f>
        <v/>
      </c>
      <c r="BJ1012">
        <f>'Grid_Stock'!BH40</f>
        <v/>
      </c>
      <c r="BK1012">
        <f>'Grid_Stock'!BI40</f>
        <v/>
      </c>
      <c r="BL1012">
        <f>'Grid_Stock'!BJ40</f>
        <v/>
      </c>
      <c r="BM1012">
        <f>'Grid_Stock'!BK40</f>
        <v/>
      </c>
      <c r="BN1012">
        <f>'Grid_Stock'!BL40</f>
        <v/>
      </c>
      <c r="BO1012">
        <f>'Grid_Stock'!BM40</f>
        <v/>
      </c>
      <c r="BP1012">
        <f>'Grid_Stock'!BN40</f>
        <v/>
      </c>
      <c r="BQ1012">
        <f>'Grid_Stock'!BO40</f>
        <v/>
      </c>
      <c r="BR1012">
        <f>'Grid_Stock'!BP40</f>
        <v/>
      </c>
      <c r="BS1012">
        <f>'Grid_Stock'!BQ40</f>
        <v/>
      </c>
      <c r="BT1012">
        <f>'Grid_Stock'!BR40</f>
        <v/>
      </c>
      <c r="BU1012">
        <f>'Grid_Stock'!BS40</f>
        <v/>
      </c>
      <c r="BV1012">
        <f>'Grid_Stock'!BT40</f>
        <v/>
      </c>
      <c r="BW1012">
        <f>'Grid_Stock'!BU40</f>
        <v/>
      </c>
      <c r="BX1012">
        <f>'Grid_Stock'!BV40</f>
        <v/>
      </c>
      <c r="BY1012">
        <f>'Grid_Stock'!BW40</f>
        <v/>
      </c>
      <c r="BZ1012">
        <f>'Grid_Stock'!BX40</f>
        <v/>
      </c>
      <c r="CA1012">
        <f>'Grid_Stock'!BY40</f>
        <v/>
      </c>
      <c r="CB1012">
        <f>'Grid_Stock'!BZ40</f>
        <v/>
      </c>
      <c r="CC1012">
        <f>'Grid_Stock'!CA40</f>
        <v/>
      </c>
      <c r="CD1012">
        <f>'Grid_Stock'!CB40</f>
        <v/>
      </c>
      <c r="CE1012">
        <f>'Grid_Stock'!CC40</f>
        <v/>
      </c>
      <c r="CF1012">
        <f>'Grid_Stock'!CD40</f>
        <v/>
      </c>
      <c r="CG1012">
        <f>'Grid_Stock'!CE40</f>
        <v/>
      </c>
      <c r="CH1012">
        <f>'Grid_Stock'!CF40</f>
        <v/>
      </c>
      <c r="CI1012">
        <f>'Grid_Stock'!CG40</f>
        <v/>
      </c>
      <c r="CJ1012">
        <f>'Grid_Stock'!CH40</f>
        <v/>
      </c>
      <c r="CK1012">
        <f>'Grid_Stock'!CI40</f>
        <v/>
      </c>
      <c r="CL1012">
        <f>'Grid_Stock'!CJ40</f>
        <v/>
      </c>
      <c r="CM1012">
        <f>'Grid_Stock'!CK40</f>
        <v/>
      </c>
      <c r="CN1012">
        <f>'Grid_Stock'!CL40</f>
        <v/>
      </c>
      <c r="CO1012">
        <f>'Grid_Stock'!CM40</f>
        <v/>
      </c>
      <c r="CP1012">
        <f>'Grid_Stock'!CN40</f>
        <v/>
      </c>
      <c r="CQ1012">
        <f>'Grid_Stock'!CO40</f>
        <v/>
      </c>
      <c r="CR1012">
        <f>'Grid_Stock'!CP40</f>
        <v/>
      </c>
      <c r="CS1012">
        <f>'Grid_Stock'!CQ40</f>
        <v/>
      </c>
      <c r="CT1012">
        <f>'Grid_Stock'!CR40</f>
        <v/>
      </c>
      <c r="CU1012">
        <f>'Grid_Stock'!CS40</f>
        <v/>
      </c>
      <c r="CV1012">
        <f>'Grid_Stock'!CT40</f>
        <v/>
      </c>
      <c r="CW1012">
        <f>'Grid_Stock'!CU40</f>
        <v/>
      </c>
      <c r="CX1012">
        <f>'Grid_Stock'!CV40</f>
        <v/>
      </c>
      <c r="CY1012">
        <f>'Grid_Stock'!CW40</f>
        <v/>
      </c>
      <c r="CZ1012">
        <f>'Grid_Stock'!CX40</f>
        <v/>
      </c>
      <c r="DA1012">
        <f>'Grid_Stock'!CY40</f>
        <v/>
      </c>
      <c r="DB1012">
        <f>'Grid_Stock'!CZ40</f>
        <v/>
      </c>
      <c r="DC1012">
        <f>'Grid_Stock'!DA40</f>
        <v/>
      </c>
    </row>
    <row r="1013">
      <c r="B1013" s="16" t="inlineStr">
        <is>
          <t>（発注の目安はDashboardの基準在庫[下限/上限]と色分けを参照）</t>
        </is>
      </c>
    </row>
    <row r="1015">
      <c r="A1015" s="14" t="inlineStr">
        <is>
          <t>TDJ</t>
        </is>
      </c>
      <c r="B1015" s="14" t="inlineStr">
        <is>
          <t>(11R-08) TP156- 103-130*TG</t>
        </is>
      </c>
      <c r="C1015" s="15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  <c r="S1015" s="14" t="n"/>
      <c r="T1015" s="14" t="n"/>
      <c r="U1015" s="14" t="n"/>
      <c r="V1015" s="14" t="n"/>
      <c r="W1015" s="14" t="n"/>
      <c r="X1015" s="14" t="n"/>
      <c r="Y1015" s="14" t="n"/>
      <c r="Z1015" s="14" t="n"/>
      <c r="AA1015" s="14" t="n"/>
      <c r="AB1015" s="14" t="n"/>
      <c r="AC1015" s="14" t="n"/>
      <c r="AD1015" s="14" t="n"/>
      <c r="AE1015" s="14" t="n"/>
      <c r="AF1015" s="14" t="n"/>
      <c r="AG1015" s="14" t="n"/>
      <c r="AH1015" s="14" t="n"/>
      <c r="AI1015" s="14" t="n"/>
      <c r="AJ1015" s="14" t="n"/>
      <c r="AK1015" s="14" t="n"/>
      <c r="AL1015" s="14" t="n"/>
      <c r="AM1015" s="14" t="n"/>
      <c r="AN1015" s="14" t="n"/>
      <c r="AO1015" s="14" t="n"/>
      <c r="AP1015" s="14" t="n"/>
      <c r="AQ1015" s="14" t="n"/>
      <c r="AR1015" s="14" t="n"/>
      <c r="AS1015" s="14" t="n"/>
      <c r="AT1015" s="14" t="n"/>
      <c r="AU1015" s="14" t="n"/>
      <c r="AV1015" s="14" t="n"/>
      <c r="AW1015" s="14" t="n"/>
      <c r="AX1015" s="14" t="n"/>
      <c r="AY1015" s="14" t="n"/>
      <c r="AZ1015" s="14" t="n"/>
      <c r="BA1015" s="14" t="n"/>
      <c r="BB1015" s="14" t="n"/>
      <c r="BC1015" s="14" t="n"/>
      <c r="BD1015" s="14" t="n"/>
      <c r="BE1015" s="14" t="n"/>
      <c r="BF1015" s="14" t="n"/>
      <c r="BG1015" s="14" t="n"/>
      <c r="BH1015" s="14" t="n"/>
      <c r="BI1015" s="14" t="n"/>
      <c r="BJ1015" s="14" t="n"/>
      <c r="BK1015" s="14" t="n"/>
      <c r="BL1015" s="14" t="n"/>
      <c r="BM1015" s="14" t="n"/>
      <c r="BN1015" s="14" t="n"/>
      <c r="BO1015" s="14" t="n"/>
      <c r="BP1015" s="14" t="n"/>
      <c r="BQ1015" s="14" t="n"/>
      <c r="BR1015" s="14" t="n"/>
      <c r="BS1015" s="14" t="n"/>
      <c r="BT1015" s="14" t="n"/>
      <c r="BU1015" s="14" t="n"/>
      <c r="BV1015" s="14" t="n"/>
      <c r="BW1015" s="14" t="n"/>
      <c r="BX1015" s="14" t="n"/>
      <c r="BY1015" s="14" t="n"/>
      <c r="BZ1015" s="14" t="n"/>
      <c r="CA1015" s="14" t="n"/>
      <c r="CB1015" s="14" t="n"/>
      <c r="CC1015" s="14" t="n"/>
      <c r="CD1015" s="14" t="n"/>
      <c r="CE1015" s="14" t="n"/>
      <c r="CF1015" s="14" t="n"/>
      <c r="CG1015" s="14" t="n"/>
      <c r="CH1015" s="14" t="n"/>
      <c r="CI1015" s="14" t="n"/>
      <c r="CJ1015" s="14" t="n"/>
      <c r="CK1015" s="14" t="n"/>
      <c r="CL1015" s="14" t="n"/>
      <c r="CM1015" s="14" t="n"/>
      <c r="CN1015" s="14" t="n"/>
      <c r="CO1015" s="14" t="n"/>
      <c r="CP1015" s="14" t="n"/>
      <c r="CQ1015" s="14" t="n"/>
      <c r="CR1015" s="14" t="n"/>
      <c r="CS1015" s="14" t="n"/>
      <c r="CT1015" s="14" t="n"/>
      <c r="CU1015" s="14" t="n"/>
      <c r="CV1015" s="14" t="n"/>
      <c r="CW1015" s="14" t="n"/>
      <c r="CX1015" s="14" t="n"/>
      <c r="CY1015" s="14" t="n"/>
      <c r="CZ1015" s="14" t="n"/>
      <c r="DA1015" s="14" t="n"/>
      <c r="DB1015" s="14" t="n"/>
      <c r="DC1015" s="14" t="n"/>
    </row>
    <row r="1016">
      <c r="B1016" t="inlineStr">
        <is>
          <t>0TA30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Name],$A1015)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s="4" t="inlineStr">
        <is>
          <t>合計使用量(kg)/週</t>
        </is>
      </c>
      <c r="D1018">
        <f>'Grid_Requirement'!B30</f>
        <v/>
      </c>
      <c r="E1018">
        <f>'Grid_Requirement'!C30</f>
        <v/>
      </c>
      <c r="F1018">
        <f>'Grid_Requirement'!D30</f>
        <v/>
      </c>
      <c r="G1018">
        <f>'Grid_Requirement'!E30</f>
        <v/>
      </c>
      <c r="H1018">
        <f>'Grid_Requirement'!F30</f>
        <v/>
      </c>
      <c r="I1018">
        <f>'Grid_Requirement'!G30</f>
        <v/>
      </c>
      <c r="J1018">
        <f>'Grid_Requirement'!H30</f>
        <v/>
      </c>
      <c r="K1018">
        <f>'Grid_Requirement'!I30</f>
        <v/>
      </c>
      <c r="L1018">
        <f>'Grid_Requirement'!J30</f>
        <v/>
      </c>
      <c r="M1018">
        <f>'Grid_Requirement'!K30</f>
        <v/>
      </c>
      <c r="N1018">
        <f>'Grid_Requirement'!L30</f>
        <v/>
      </c>
      <c r="O1018">
        <f>'Grid_Requirement'!M30</f>
        <v/>
      </c>
      <c r="P1018">
        <f>'Grid_Requirement'!N30</f>
        <v/>
      </c>
      <c r="Q1018">
        <f>'Grid_Requirement'!O30</f>
        <v/>
      </c>
      <c r="R1018">
        <f>'Grid_Requirement'!P30</f>
        <v/>
      </c>
      <c r="S1018">
        <f>'Grid_Requirement'!Q30</f>
        <v/>
      </c>
      <c r="T1018">
        <f>'Grid_Requirement'!R30</f>
        <v/>
      </c>
      <c r="U1018">
        <f>'Grid_Requirement'!S30</f>
        <v/>
      </c>
      <c r="V1018">
        <f>'Grid_Requirement'!T30</f>
        <v/>
      </c>
      <c r="W1018">
        <f>'Grid_Requirement'!U30</f>
        <v/>
      </c>
      <c r="X1018">
        <f>'Grid_Requirement'!V30</f>
        <v/>
      </c>
      <c r="Y1018">
        <f>'Grid_Requirement'!W30</f>
        <v/>
      </c>
      <c r="Z1018">
        <f>'Grid_Requirement'!X30</f>
        <v/>
      </c>
      <c r="AA1018">
        <f>'Grid_Requirement'!Y30</f>
        <v/>
      </c>
      <c r="AB1018">
        <f>'Grid_Requirement'!Z30</f>
        <v/>
      </c>
      <c r="AC1018">
        <f>'Grid_Requirement'!AA30</f>
        <v/>
      </c>
      <c r="AD1018">
        <f>'Grid_Requirement'!AB30</f>
        <v/>
      </c>
      <c r="AE1018">
        <f>'Grid_Requirement'!AC30</f>
        <v/>
      </c>
      <c r="AF1018">
        <f>'Grid_Requirement'!AD30</f>
        <v/>
      </c>
      <c r="AG1018">
        <f>'Grid_Requirement'!AE30</f>
        <v/>
      </c>
      <c r="AH1018">
        <f>'Grid_Requirement'!AF30</f>
        <v/>
      </c>
      <c r="AI1018">
        <f>'Grid_Requirement'!AG30</f>
        <v/>
      </c>
      <c r="AJ1018">
        <f>'Grid_Requirement'!AH30</f>
        <v/>
      </c>
      <c r="AK1018">
        <f>'Grid_Requirement'!AI30</f>
        <v/>
      </c>
      <c r="AL1018">
        <f>'Grid_Requirement'!AJ30</f>
        <v/>
      </c>
      <c r="AM1018">
        <f>'Grid_Requirement'!AK30</f>
        <v/>
      </c>
      <c r="AN1018">
        <f>'Grid_Requirement'!AL30</f>
        <v/>
      </c>
      <c r="AO1018">
        <f>'Grid_Requirement'!AM30</f>
        <v/>
      </c>
      <c r="AP1018">
        <f>'Grid_Requirement'!AN30</f>
        <v/>
      </c>
      <c r="AQ1018">
        <f>'Grid_Requirement'!AO30</f>
        <v/>
      </c>
      <c r="AR1018">
        <f>'Grid_Requirement'!AP30</f>
        <v/>
      </c>
      <c r="AS1018">
        <f>'Grid_Requirement'!AQ30</f>
        <v/>
      </c>
      <c r="AT1018">
        <f>'Grid_Requirement'!AR30</f>
        <v/>
      </c>
      <c r="AU1018">
        <f>'Grid_Requirement'!AS30</f>
        <v/>
      </c>
      <c r="AV1018">
        <f>'Grid_Requirement'!AT30</f>
        <v/>
      </c>
      <c r="AW1018">
        <f>'Grid_Requirement'!AU30</f>
        <v/>
      </c>
      <c r="AX1018">
        <f>'Grid_Requirement'!AV30</f>
        <v/>
      </c>
      <c r="AY1018">
        <f>'Grid_Requirement'!AW30</f>
        <v/>
      </c>
      <c r="AZ1018">
        <f>'Grid_Requirement'!AX30</f>
        <v/>
      </c>
      <c r="BA1018">
        <f>'Grid_Requirement'!AY30</f>
        <v/>
      </c>
      <c r="BB1018">
        <f>'Grid_Requirement'!AZ30</f>
        <v/>
      </c>
      <c r="BC1018">
        <f>'Grid_Requirement'!BA30</f>
        <v/>
      </c>
      <c r="BD1018">
        <f>'Grid_Requirement'!BB30</f>
        <v/>
      </c>
      <c r="BE1018">
        <f>'Grid_Requirement'!BC30</f>
        <v/>
      </c>
      <c r="BF1018">
        <f>'Grid_Requirement'!BD30</f>
        <v/>
      </c>
      <c r="BG1018">
        <f>'Grid_Requirement'!BE30</f>
        <v/>
      </c>
      <c r="BH1018">
        <f>'Grid_Requirement'!BF30</f>
        <v/>
      </c>
      <c r="BI1018">
        <f>'Grid_Requirement'!BG30</f>
        <v/>
      </c>
      <c r="BJ1018">
        <f>'Grid_Requirement'!BH30</f>
        <v/>
      </c>
      <c r="BK1018">
        <f>'Grid_Requirement'!BI30</f>
        <v/>
      </c>
      <c r="BL1018">
        <f>'Grid_Requirement'!BJ30</f>
        <v/>
      </c>
      <c r="BM1018">
        <f>'Grid_Requirement'!BK30</f>
        <v/>
      </c>
      <c r="BN1018">
        <f>'Grid_Requirement'!BL30</f>
        <v/>
      </c>
      <c r="BO1018">
        <f>'Grid_Requirement'!BM30</f>
        <v/>
      </c>
      <c r="BP1018">
        <f>'Grid_Requirement'!BN30</f>
        <v/>
      </c>
      <c r="BQ1018">
        <f>'Grid_Requirement'!BO30</f>
        <v/>
      </c>
      <c r="BR1018">
        <f>'Grid_Requirement'!BP30</f>
        <v/>
      </c>
      <c r="BS1018">
        <f>'Grid_Requirement'!BQ30</f>
        <v/>
      </c>
      <c r="BT1018">
        <f>'Grid_Requirement'!BR30</f>
        <v/>
      </c>
      <c r="BU1018">
        <f>'Grid_Requirement'!BS30</f>
        <v/>
      </c>
      <c r="BV1018">
        <f>'Grid_Requirement'!BT30</f>
        <v/>
      </c>
      <c r="BW1018">
        <f>'Grid_Requirement'!BU30</f>
        <v/>
      </c>
      <c r="BX1018">
        <f>'Grid_Requirement'!BV30</f>
        <v/>
      </c>
      <c r="BY1018">
        <f>'Grid_Requirement'!BW30</f>
        <v/>
      </c>
      <c r="BZ1018">
        <f>'Grid_Requirement'!BX30</f>
        <v/>
      </c>
      <c r="CA1018">
        <f>'Grid_Requirement'!BY30</f>
        <v/>
      </c>
      <c r="CB1018">
        <f>'Grid_Requirement'!BZ30</f>
        <v/>
      </c>
      <c r="CC1018">
        <f>'Grid_Requirement'!CA30</f>
        <v/>
      </c>
      <c r="CD1018">
        <f>'Grid_Requirement'!CB30</f>
        <v/>
      </c>
      <c r="CE1018">
        <f>'Grid_Requirement'!CC30</f>
        <v/>
      </c>
      <c r="CF1018">
        <f>'Grid_Requirement'!CD30</f>
        <v/>
      </c>
      <c r="CG1018">
        <f>'Grid_Requirement'!CE30</f>
        <v/>
      </c>
      <c r="CH1018">
        <f>'Grid_Requirement'!CF30</f>
        <v/>
      </c>
      <c r="CI1018">
        <f>'Grid_Requirement'!CG30</f>
        <v/>
      </c>
      <c r="CJ1018">
        <f>'Grid_Requirement'!CH30</f>
        <v/>
      </c>
      <c r="CK1018">
        <f>'Grid_Requirement'!CI30</f>
        <v/>
      </c>
      <c r="CL1018">
        <f>'Grid_Requirement'!CJ30</f>
        <v/>
      </c>
      <c r="CM1018">
        <f>'Grid_Requirement'!CK30</f>
        <v/>
      </c>
      <c r="CN1018">
        <f>'Grid_Requirement'!CL30</f>
        <v/>
      </c>
      <c r="CO1018">
        <f>'Grid_Requirement'!CM30</f>
        <v/>
      </c>
      <c r="CP1018">
        <f>'Grid_Requirement'!CN30</f>
        <v/>
      </c>
      <c r="CQ1018">
        <f>'Grid_Requirement'!CO30</f>
        <v/>
      </c>
      <c r="CR1018">
        <f>'Grid_Requirement'!CP30</f>
        <v/>
      </c>
      <c r="CS1018">
        <f>'Grid_Requirement'!CQ30</f>
        <v/>
      </c>
      <c r="CT1018">
        <f>'Grid_Requirement'!CR30</f>
        <v/>
      </c>
      <c r="CU1018">
        <f>'Grid_Requirement'!CS30</f>
        <v/>
      </c>
      <c r="CV1018">
        <f>'Grid_Requirement'!CT30</f>
        <v/>
      </c>
      <c r="CW1018">
        <f>'Grid_Requirement'!CU30</f>
        <v/>
      </c>
      <c r="CX1018">
        <f>'Grid_Requirement'!CV30</f>
        <v/>
      </c>
      <c r="CY1018">
        <f>'Grid_Requirement'!CW30</f>
        <v/>
      </c>
      <c r="CZ1018">
        <f>'Grid_Requirement'!CX30</f>
        <v/>
      </c>
      <c r="DA1018">
        <f>'Grid_Requirement'!CY30</f>
        <v/>
      </c>
      <c r="DB1018">
        <f>'Grid_Requirement'!CZ30</f>
        <v/>
      </c>
      <c r="DC1018">
        <f>'Grid_Requirement'!DA30</f>
        <v/>
      </c>
    </row>
    <row r="1019">
      <c r="B1019" t="inlineStr">
        <is>
          <t>TTAF在庫(実績,kg)</t>
        </is>
      </c>
      <c r="D1019">
        <f>'T_TTAFStock'!B34</f>
        <v/>
      </c>
      <c r="E1019">
        <f>'T_TTAFStock'!C34</f>
        <v/>
      </c>
      <c r="F1019">
        <f>'T_TTAFStock'!D34</f>
        <v/>
      </c>
      <c r="G1019">
        <f>'T_TTAFStock'!E34</f>
        <v/>
      </c>
      <c r="H1019">
        <f>'T_TTAFStock'!F34</f>
        <v/>
      </c>
      <c r="I1019">
        <f>'T_TTAFStock'!G34</f>
        <v/>
      </c>
      <c r="J1019">
        <f>'T_TTAFStock'!H34</f>
        <v/>
      </c>
      <c r="K1019">
        <f>'T_TTAFStock'!I34</f>
        <v/>
      </c>
      <c r="L1019">
        <f>'T_TTAFStock'!J34</f>
        <v/>
      </c>
      <c r="M1019">
        <f>'T_TTAFStock'!K34</f>
        <v/>
      </c>
      <c r="N1019">
        <f>'T_TTAFStock'!L34</f>
        <v/>
      </c>
      <c r="O1019">
        <f>'T_TTAFStock'!M34</f>
        <v/>
      </c>
      <c r="P1019">
        <f>'T_TTAFStock'!N34</f>
        <v/>
      </c>
      <c r="Q1019">
        <f>'T_TTAFStock'!O34</f>
        <v/>
      </c>
      <c r="R1019">
        <f>'T_TTAFStock'!P34</f>
        <v/>
      </c>
      <c r="S1019">
        <f>'T_TTAFStock'!Q34</f>
        <v/>
      </c>
      <c r="T1019">
        <f>'T_TTAFStock'!R34</f>
        <v/>
      </c>
      <c r="U1019">
        <f>'T_TTAFStock'!S34</f>
        <v/>
      </c>
      <c r="V1019">
        <f>'T_TTAFStock'!T34</f>
        <v/>
      </c>
      <c r="W1019">
        <f>'T_TTAFStock'!U34</f>
        <v/>
      </c>
      <c r="X1019">
        <f>'T_TTAFStock'!V34</f>
        <v/>
      </c>
      <c r="Y1019">
        <f>'T_TTAFStock'!W34</f>
        <v/>
      </c>
      <c r="Z1019">
        <f>'T_TTAFStock'!X34</f>
        <v/>
      </c>
      <c r="AA1019">
        <f>'T_TTAFStock'!Y34</f>
        <v/>
      </c>
      <c r="AB1019">
        <f>'T_TTAFStock'!Z34</f>
        <v/>
      </c>
      <c r="AC1019">
        <f>'T_TTAFStock'!AA34</f>
        <v/>
      </c>
      <c r="AD1019">
        <f>'T_TTAFStock'!AB34</f>
        <v/>
      </c>
      <c r="AE1019">
        <f>'T_TTAFStock'!AC34</f>
        <v/>
      </c>
      <c r="AF1019">
        <f>'T_TTAFStock'!AD34</f>
        <v/>
      </c>
      <c r="AG1019">
        <f>'T_TTAFStock'!AE34</f>
        <v/>
      </c>
      <c r="AH1019">
        <f>'T_TTAFStock'!AF34</f>
        <v/>
      </c>
      <c r="AI1019">
        <f>'T_TTAFStock'!AG34</f>
        <v/>
      </c>
      <c r="AJ1019">
        <f>'T_TTAFStock'!AH34</f>
        <v/>
      </c>
      <c r="AK1019">
        <f>'T_TTAFStock'!AI34</f>
        <v/>
      </c>
      <c r="AL1019">
        <f>'T_TTAFStock'!AJ34</f>
        <v/>
      </c>
      <c r="AM1019">
        <f>'T_TTAFStock'!AK34</f>
        <v/>
      </c>
      <c r="AN1019">
        <f>'T_TTAFStock'!AL34</f>
        <v/>
      </c>
      <c r="AO1019">
        <f>'T_TTAFStock'!AM34</f>
        <v/>
      </c>
      <c r="AP1019">
        <f>'T_TTAFStock'!AN34</f>
        <v/>
      </c>
      <c r="AQ1019">
        <f>'T_TTAFStock'!AO34</f>
        <v/>
      </c>
      <c r="AR1019">
        <f>'T_TTAFStock'!AP34</f>
        <v/>
      </c>
      <c r="AS1019">
        <f>'T_TTAFStock'!AQ34</f>
        <v/>
      </c>
      <c r="AT1019">
        <f>'T_TTAFStock'!AR34</f>
        <v/>
      </c>
      <c r="AU1019">
        <f>'T_TTAFStock'!AS34</f>
        <v/>
      </c>
      <c r="AV1019">
        <f>'T_TTAFStock'!AT34</f>
        <v/>
      </c>
      <c r="AW1019">
        <f>'T_TTAFStock'!AU34</f>
        <v/>
      </c>
      <c r="AX1019">
        <f>'T_TTAFStock'!AV34</f>
        <v/>
      </c>
      <c r="AY1019">
        <f>'T_TTAFStock'!AW34</f>
        <v/>
      </c>
      <c r="AZ1019">
        <f>'T_TTAFStock'!AX34</f>
        <v/>
      </c>
      <c r="BA1019">
        <f>'T_TTAFStock'!AY34</f>
        <v/>
      </c>
      <c r="BB1019">
        <f>'T_TTAFStock'!AZ34</f>
        <v/>
      </c>
      <c r="BC1019">
        <f>'T_TTAFStock'!BA34</f>
        <v/>
      </c>
      <c r="BD1019">
        <f>'T_TTAFStock'!BB34</f>
        <v/>
      </c>
      <c r="BE1019">
        <f>'T_TTAFStock'!BC34</f>
        <v/>
      </c>
      <c r="BF1019">
        <f>'T_TTAFStock'!BD34</f>
        <v/>
      </c>
      <c r="BG1019">
        <f>'T_TTAFStock'!BE34</f>
        <v/>
      </c>
      <c r="BH1019">
        <f>'T_TTAFStock'!BF34</f>
        <v/>
      </c>
      <c r="BI1019">
        <f>'T_TTAFStock'!BG34</f>
        <v/>
      </c>
      <c r="BJ1019">
        <f>'T_TTAFStock'!BH34</f>
        <v/>
      </c>
      <c r="BK1019">
        <f>'T_TTAFStock'!BI34</f>
        <v/>
      </c>
      <c r="BL1019">
        <f>'T_TTAFStock'!BJ34</f>
        <v/>
      </c>
      <c r="BM1019">
        <f>'T_TTAFStock'!BK34</f>
        <v/>
      </c>
      <c r="BN1019">
        <f>'T_TTAFStock'!BL34</f>
        <v/>
      </c>
      <c r="BO1019">
        <f>'T_TTAFStock'!BM34</f>
        <v/>
      </c>
      <c r="BP1019">
        <f>'T_TTAFStock'!BN34</f>
        <v/>
      </c>
      <c r="BQ1019">
        <f>'T_TTAFStock'!BO34</f>
        <v/>
      </c>
      <c r="BR1019">
        <f>'T_TTAFStock'!BP34</f>
        <v/>
      </c>
      <c r="BS1019">
        <f>'T_TTAFStock'!BQ34</f>
        <v/>
      </c>
      <c r="BT1019">
        <f>'T_TTAFStock'!BR34</f>
        <v/>
      </c>
      <c r="BU1019">
        <f>'T_TTAFStock'!BS34</f>
        <v/>
      </c>
      <c r="BV1019">
        <f>'T_TTAFStock'!BT34</f>
        <v/>
      </c>
      <c r="BW1019">
        <f>'T_TTAFStock'!BU34</f>
        <v/>
      </c>
      <c r="BX1019">
        <f>'T_TTAFStock'!BV34</f>
        <v/>
      </c>
      <c r="BY1019">
        <f>'T_TTAFStock'!BW34</f>
        <v/>
      </c>
      <c r="BZ1019">
        <f>'T_TTAFStock'!BX34</f>
        <v/>
      </c>
      <c r="CA1019">
        <f>'T_TTAFStock'!BY34</f>
        <v/>
      </c>
      <c r="CB1019">
        <f>'T_TTAFStock'!BZ34</f>
        <v/>
      </c>
      <c r="CC1019">
        <f>'T_TTAFStock'!CA34</f>
        <v/>
      </c>
      <c r="CD1019">
        <f>'T_TTAFStock'!CB34</f>
        <v/>
      </c>
      <c r="CE1019">
        <f>'T_TTAFStock'!CC34</f>
        <v/>
      </c>
      <c r="CF1019">
        <f>'T_TTAFStock'!CD34</f>
        <v/>
      </c>
      <c r="CG1019">
        <f>'T_TTAFStock'!CE34</f>
        <v/>
      </c>
      <c r="CH1019">
        <f>'T_TTAFStock'!CF34</f>
        <v/>
      </c>
      <c r="CI1019">
        <f>'T_TTAFStock'!CG34</f>
        <v/>
      </c>
      <c r="CJ1019">
        <f>'T_TTAFStock'!CH34</f>
        <v/>
      </c>
      <c r="CK1019">
        <f>'T_TTAFStock'!CI34</f>
        <v/>
      </c>
      <c r="CL1019">
        <f>'T_TTAFStock'!CJ34</f>
        <v/>
      </c>
      <c r="CM1019">
        <f>'T_TTAFStock'!CK34</f>
        <v/>
      </c>
      <c r="CN1019">
        <f>'T_TTAFStock'!CL34</f>
        <v/>
      </c>
      <c r="CO1019">
        <f>'T_TTAFStock'!CM34</f>
        <v/>
      </c>
      <c r="CP1019">
        <f>'T_TTAFStock'!CN34</f>
        <v/>
      </c>
      <c r="CQ1019">
        <f>'T_TTAFStock'!CO34</f>
        <v/>
      </c>
      <c r="CR1019">
        <f>'T_TTAFStock'!CP34</f>
        <v/>
      </c>
      <c r="CS1019">
        <f>'T_TTAFStock'!CQ34</f>
        <v/>
      </c>
      <c r="CT1019">
        <f>'T_TTAFStock'!CR34</f>
        <v/>
      </c>
      <c r="CU1019">
        <f>'T_TTAFStock'!CS34</f>
        <v/>
      </c>
      <c r="CV1019">
        <f>'T_TTAFStock'!CT34</f>
        <v/>
      </c>
      <c r="CW1019">
        <f>'T_TTAFStock'!CU34</f>
        <v/>
      </c>
      <c r="CX1019">
        <f>'T_TTAFStock'!CV34</f>
        <v/>
      </c>
      <c r="CY1019">
        <f>'T_TTAFStock'!CW34</f>
        <v/>
      </c>
      <c r="CZ1019">
        <f>'T_TTAFStock'!CX34</f>
        <v/>
      </c>
      <c r="DA1019">
        <f>'T_TTAFStock'!CY34</f>
        <v/>
      </c>
      <c r="DB1019">
        <f>'T_TTAFStock'!CZ34</f>
        <v/>
      </c>
      <c r="DC1019">
        <f>'T_TTAFStock'!DA34</f>
        <v/>
      </c>
    </row>
    <row r="1020">
      <c r="B1020" t="inlineStr">
        <is>
          <t>自社在庫(実績,kg)</t>
        </is>
      </c>
      <c r="D1020">
        <f>'T_SelfStock'!B34</f>
        <v/>
      </c>
      <c r="E1020">
        <f>'T_SelfStock'!C34</f>
        <v/>
      </c>
      <c r="F1020">
        <f>'T_SelfStock'!D34</f>
        <v/>
      </c>
      <c r="G1020">
        <f>'T_SelfStock'!E34</f>
        <v/>
      </c>
      <c r="H1020">
        <f>'T_SelfStock'!F34</f>
        <v/>
      </c>
      <c r="I1020">
        <f>'T_SelfStock'!G34</f>
        <v/>
      </c>
      <c r="J1020">
        <f>'T_SelfStock'!H34</f>
        <v/>
      </c>
      <c r="K1020">
        <f>'T_SelfStock'!I34</f>
        <v/>
      </c>
      <c r="L1020">
        <f>'T_SelfStock'!J34</f>
        <v/>
      </c>
      <c r="M1020">
        <f>'T_SelfStock'!K34</f>
        <v/>
      </c>
      <c r="N1020">
        <f>'T_SelfStock'!L34</f>
        <v/>
      </c>
      <c r="O1020">
        <f>'T_SelfStock'!M34</f>
        <v/>
      </c>
      <c r="P1020">
        <f>'T_SelfStock'!N34</f>
        <v/>
      </c>
      <c r="Q1020">
        <f>'T_SelfStock'!O34</f>
        <v/>
      </c>
      <c r="R1020">
        <f>'T_SelfStock'!P34</f>
        <v/>
      </c>
      <c r="S1020">
        <f>'T_SelfStock'!Q34</f>
        <v/>
      </c>
      <c r="T1020">
        <f>'T_SelfStock'!R34</f>
        <v/>
      </c>
      <c r="U1020">
        <f>'T_SelfStock'!S34</f>
        <v/>
      </c>
      <c r="V1020">
        <f>'T_SelfStock'!T34</f>
        <v/>
      </c>
      <c r="W1020">
        <f>'T_SelfStock'!U34</f>
        <v/>
      </c>
      <c r="X1020">
        <f>'T_SelfStock'!V34</f>
        <v/>
      </c>
      <c r="Y1020">
        <f>'T_SelfStock'!W34</f>
        <v/>
      </c>
      <c r="Z1020">
        <f>'T_SelfStock'!X34</f>
        <v/>
      </c>
      <c r="AA1020">
        <f>'T_SelfStock'!Y34</f>
        <v/>
      </c>
      <c r="AB1020">
        <f>'T_SelfStock'!Z34</f>
        <v/>
      </c>
      <c r="AC1020">
        <f>'T_SelfStock'!AA34</f>
        <v/>
      </c>
      <c r="AD1020">
        <f>'T_SelfStock'!AB34</f>
        <v/>
      </c>
      <c r="AE1020">
        <f>'T_SelfStock'!AC34</f>
        <v/>
      </c>
      <c r="AF1020">
        <f>'T_SelfStock'!AD34</f>
        <v/>
      </c>
      <c r="AG1020">
        <f>'T_SelfStock'!AE34</f>
        <v/>
      </c>
      <c r="AH1020">
        <f>'T_SelfStock'!AF34</f>
        <v/>
      </c>
      <c r="AI1020">
        <f>'T_SelfStock'!AG34</f>
        <v/>
      </c>
      <c r="AJ1020">
        <f>'T_SelfStock'!AH34</f>
        <v/>
      </c>
      <c r="AK1020">
        <f>'T_SelfStock'!AI34</f>
        <v/>
      </c>
      <c r="AL1020">
        <f>'T_SelfStock'!AJ34</f>
        <v/>
      </c>
      <c r="AM1020">
        <f>'T_SelfStock'!AK34</f>
        <v/>
      </c>
      <c r="AN1020">
        <f>'T_SelfStock'!AL34</f>
        <v/>
      </c>
      <c r="AO1020">
        <f>'T_SelfStock'!AM34</f>
        <v/>
      </c>
      <c r="AP1020">
        <f>'T_SelfStock'!AN34</f>
        <v/>
      </c>
      <c r="AQ1020">
        <f>'T_SelfStock'!AO34</f>
        <v/>
      </c>
      <c r="AR1020">
        <f>'T_SelfStock'!AP34</f>
        <v/>
      </c>
      <c r="AS1020">
        <f>'T_SelfStock'!AQ34</f>
        <v/>
      </c>
      <c r="AT1020">
        <f>'T_SelfStock'!AR34</f>
        <v/>
      </c>
      <c r="AU1020">
        <f>'T_SelfStock'!AS34</f>
        <v/>
      </c>
      <c r="AV1020">
        <f>'T_SelfStock'!AT34</f>
        <v/>
      </c>
      <c r="AW1020">
        <f>'T_SelfStock'!AU34</f>
        <v/>
      </c>
      <c r="AX1020">
        <f>'T_SelfStock'!AV34</f>
        <v/>
      </c>
      <c r="AY1020">
        <f>'T_SelfStock'!AW34</f>
        <v/>
      </c>
      <c r="AZ1020">
        <f>'T_SelfStock'!AX34</f>
        <v/>
      </c>
      <c r="BA1020">
        <f>'T_SelfStock'!AY34</f>
        <v/>
      </c>
      <c r="BB1020">
        <f>'T_SelfStock'!AZ34</f>
        <v/>
      </c>
      <c r="BC1020">
        <f>'T_SelfStock'!BA34</f>
        <v/>
      </c>
      <c r="BD1020">
        <f>'T_SelfStock'!BB34</f>
        <v/>
      </c>
      <c r="BE1020">
        <f>'T_SelfStock'!BC34</f>
        <v/>
      </c>
      <c r="BF1020">
        <f>'T_SelfStock'!BD34</f>
        <v/>
      </c>
      <c r="BG1020">
        <f>'T_SelfStock'!BE34</f>
        <v/>
      </c>
      <c r="BH1020">
        <f>'T_SelfStock'!BF34</f>
        <v/>
      </c>
      <c r="BI1020">
        <f>'T_SelfStock'!BG34</f>
        <v/>
      </c>
      <c r="BJ1020">
        <f>'T_SelfStock'!BH34</f>
        <v/>
      </c>
      <c r="BK1020">
        <f>'T_SelfStock'!BI34</f>
        <v/>
      </c>
      <c r="BL1020">
        <f>'T_SelfStock'!BJ34</f>
        <v/>
      </c>
      <c r="BM1020">
        <f>'T_SelfStock'!BK34</f>
        <v/>
      </c>
      <c r="BN1020">
        <f>'T_SelfStock'!BL34</f>
        <v/>
      </c>
      <c r="BO1020">
        <f>'T_SelfStock'!BM34</f>
        <v/>
      </c>
      <c r="BP1020">
        <f>'T_SelfStock'!BN34</f>
        <v/>
      </c>
      <c r="BQ1020">
        <f>'T_SelfStock'!BO34</f>
        <v/>
      </c>
      <c r="BR1020">
        <f>'T_SelfStock'!BP34</f>
        <v/>
      </c>
      <c r="BS1020">
        <f>'T_SelfStock'!BQ34</f>
        <v/>
      </c>
      <c r="BT1020">
        <f>'T_SelfStock'!BR34</f>
        <v/>
      </c>
      <c r="BU1020">
        <f>'T_SelfStock'!BS34</f>
        <v/>
      </c>
      <c r="BV1020">
        <f>'T_SelfStock'!BT34</f>
        <v/>
      </c>
      <c r="BW1020">
        <f>'T_SelfStock'!BU34</f>
        <v/>
      </c>
      <c r="BX1020">
        <f>'T_SelfStock'!BV34</f>
        <v/>
      </c>
      <c r="BY1020">
        <f>'T_SelfStock'!BW34</f>
        <v/>
      </c>
      <c r="BZ1020">
        <f>'T_SelfStock'!BX34</f>
        <v/>
      </c>
      <c r="CA1020">
        <f>'T_SelfStock'!BY34</f>
        <v/>
      </c>
      <c r="CB1020">
        <f>'T_SelfStock'!BZ34</f>
        <v/>
      </c>
      <c r="CC1020">
        <f>'T_SelfStock'!CA34</f>
        <v/>
      </c>
      <c r="CD1020">
        <f>'T_SelfStock'!CB34</f>
        <v/>
      </c>
      <c r="CE1020">
        <f>'T_SelfStock'!CC34</f>
        <v/>
      </c>
      <c r="CF1020">
        <f>'T_SelfStock'!CD34</f>
        <v/>
      </c>
      <c r="CG1020">
        <f>'T_SelfStock'!CE34</f>
        <v/>
      </c>
      <c r="CH1020">
        <f>'T_SelfStock'!CF34</f>
        <v/>
      </c>
      <c r="CI1020">
        <f>'T_SelfStock'!CG34</f>
        <v/>
      </c>
      <c r="CJ1020">
        <f>'T_SelfStock'!CH34</f>
        <v/>
      </c>
      <c r="CK1020">
        <f>'T_SelfStock'!CI34</f>
        <v/>
      </c>
      <c r="CL1020">
        <f>'T_SelfStock'!CJ34</f>
        <v/>
      </c>
      <c r="CM1020">
        <f>'T_SelfStock'!CK34</f>
        <v/>
      </c>
      <c r="CN1020">
        <f>'T_SelfStock'!CL34</f>
        <v/>
      </c>
      <c r="CO1020">
        <f>'T_SelfStock'!CM34</f>
        <v/>
      </c>
      <c r="CP1020">
        <f>'T_SelfStock'!CN34</f>
        <v/>
      </c>
      <c r="CQ1020">
        <f>'T_SelfStock'!CO34</f>
        <v/>
      </c>
      <c r="CR1020">
        <f>'T_SelfStock'!CP34</f>
        <v/>
      </c>
      <c r="CS1020">
        <f>'T_SelfStock'!CQ34</f>
        <v/>
      </c>
      <c r="CT1020">
        <f>'T_SelfStock'!CR34</f>
        <v/>
      </c>
      <c r="CU1020">
        <f>'T_SelfStock'!CS34</f>
        <v/>
      </c>
      <c r="CV1020">
        <f>'T_SelfStock'!CT34</f>
        <v/>
      </c>
      <c r="CW1020">
        <f>'T_SelfStock'!CU34</f>
        <v/>
      </c>
      <c r="CX1020">
        <f>'T_SelfStock'!CV34</f>
        <v/>
      </c>
      <c r="CY1020">
        <f>'T_SelfStock'!CW34</f>
        <v/>
      </c>
      <c r="CZ1020">
        <f>'T_SelfStock'!CX34</f>
        <v/>
      </c>
      <c r="DA1020">
        <f>'T_SelfStock'!CY34</f>
        <v/>
      </c>
      <c r="DB1020">
        <f>'T_SelfStock'!CZ34</f>
        <v/>
      </c>
      <c r="DC1020">
        <f>'T_SelfStock'!DA34</f>
        <v/>
      </c>
    </row>
    <row r="1021">
      <c r="B1021" s="4" t="inlineStr">
        <is>
          <t>合計在庫(週末時点,kg)</t>
        </is>
      </c>
      <c r="D1021">
        <f>'Grid_Stock'!B30</f>
        <v/>
      </c>
      <c r="E1021">
        <f>'Grid_Stock'!C30</f>
        <v/>
      </c>
      <c r="F1021">
        <f>'Grid_Stock'!D30</f>
        <v/>
      </c>
      <c r="G1021">
        <f>'Grid_Stock'!E30</f>
        <v/>
      </c>
      <c r="H1021">
        <f>'Grid_Stock'!F30</f>
        <v/>
      </c>
      <c r="I1021">
        <f>'Grid_Stock'!G30</f>
        <v/>
      </c>
      <c r="J1021">
        <f>'Grid_Stock'!H30</f>
        <v/>
      </c>
      <c r="K1021">
        <f>'Grid_Stock'!I30</f>
        <v/>
      </c>
      <c r="L1021">
        <f>'Grid_Stock'!J30</f>
        <v/>
      </c>
      <c r="M1021">
        <f>'Grid_Stock'!K30</f>
        <v/>
      </c>
      <c r="N1021">
        <f>'Grid_Stock'!L30</f>
        <v/>
      </c>
      <c r="O1021">
        <f>'Grid_Stock'!M30</f>
        <v/>
      </c>
      <c r="P1021">
        <f>'Grid_Stock'!N30</f>
        <v/>
      </c>
      <c r="Q1021">
        <f>'Grid_Stock'!O30</f>
        <v/>
      </c>
      <c r="R1021">
        <f>'Grid_Stock'!P30</f>
        <v/>
      </c>
      <c r="S1021">
        <f>'Grid_Stock'!Q30</f>
        <v/>
      </c>
      <c r="T1021">
        <f>'Grid_Stock'!R30</f>
        <v/>
      </c>
      <c r="U1021">
        <f>'Grid_Stock'!S30</f>
        <v/>
      </c>
      <c r="V1021">
        <f>'Grid_Stock'!T30</f>
        <v/>
      </c>
      <c r="W1021">
        <f>'Grid_Stock'!U30</f>
        <v/>
      </c>
      <c r="X1021">
        <f>'Grid_Stock'!V30</f>
        <v/>
      </c>
      <c r="Y1021">
        <f>'Grid_Stock'!W30</f>
        <v/>
      </c>
      <c r="Z1021">
        <f>'Grid_Stock'!X30</f>
        <v/>
      </c>
      <c r="AA1021">
        <f>'Grid_Stock'!Y30</f>
        <v/>
      </c>
      <c r="AB1021">
        <f>'Grid_Stock'!Z30</f>
        <v/>
      </c>
      <c r="AC1021">
        <f>'Grid_Stock'!AA30</f>
        <v/>
      </c>
      <c r="AD1021">
        <f>'Grid_Stock'!AB30</f>
        <v/>
      </c>
      <c r="AE1021">
        <f>'Grid_Stock'!AC30</f>
        <v/>
      </c>
      <c r="AF1021">
        <f>'Grid_Stock'!AD30</f>
        <v/>
      </c>
      <c r="AG1021">
        <f>'Grid_Stock'!AE30</f>
        <v/>
      </c>
      <c r="AH1021">
        <f>'Grid_Stock'!AF30</f>
        <v/>
      </c>
      <c r="AI1021">
        <f>'Grid_Stock'!AG30</f>
        <v/>
      </c>
      <c r="AJ1021">
        <f>'Grid_Stock'!AH30</f>
        <v/>
      </c>
      <c r="AK1021">
        <f>'Grid_Stock'!AI30</f>
        <v/>
      </c>
      <c r="AL1021">
        <f>'Grid_Stock'!AJ30</f>
        <v/>
      </c>
      <c r="AM1021">
        <f>'Grid_Stock'!AK30</f>
        <v/>
      </c>
      <c r="AN1021">
        <f>'Grid_Stock'!AL30</f>
        <v/>
      </c>
      <c r="AO1021">
        <f>'Grid_Stock'!AM30</f>
        <v/>
      </c>
      <c r="AP1021">
        <f>'Grid_Stock'!AN30</f>
        <v/>
      </c>
      <c r="AQ1021">
        <f>'Grid_Stock'!AO30</f>
        <v/>
      </c>
      <c r="AR1021">
        <f>'Grid_Stock'!AP30</f>
        <v/>
      </c>
      <c r="AS1021">
        <f>'Grid_Stock'!AQ30</f>
        <v/>
      </c>
      <c r="AT1021">
        <f>'Grid_Stock'!AR30</f>
        <v/>
      </c>
      <c r="AU1021">
        <f>'Grid_Stock'!AS30</f>
        <v/>
      </c>
      <c r="AV1021">
        <f>'Grid_Stock'!AT30</f>
        <v/>
      </c>
      <c r="AW1021">
        <f>'Grid_Stock'!AU30</f>
        <v/>
      </c>
      <c r="AX1021">
        <f>'Grid_Stock'!AV30</f>
        <v/>
      </c>
      <c r="AY1021">
        <f>'Grid_Stock'!AW30</f>
        <v/>
      </c>
      <c r="AZ1021">
        <f>'Grid_Stock'!AX30</f>
        <v/>
      </c>
      <c r="BA1021">
        <f>'Grid_Stock'!AY30</f>
        <v/>
      </c>
      <c r="BB1021">
        <f>'Grid_Stock'!AZ30</f>
        <v/>
      </c>
      <c r="BC1021">
        <f>'Grid_Stock'!BA30</f>
        <v/>
      </c>
      <c r="BD1021">
        <f>'Grid_Stock'!BB30</f>
        <v/>
      </c>
      <c r="BE1021">
        <f>'Grid_Stock'!BC30</f>
        <v/>
      </c>
      <c r="BF1021">
        <f>'Grid_Stock'!BD30</f>
        <v/>
      </c>
      <c r="BG1021">
        <f>'Grid_Stock'!BE30</f>
        <v/>
      </c>
      <c r="BH1021">
        <f>'Grid_Stock'!BF30</f>
        <v/>
      </c>
      <c r="BI1021">
        <f>'Grid_Stock'!BG30</f>
        <v/>
      </c>
      <c r="BJ1021">
        <f>'Grid_Stock'!BH30</f>
        <v/>
      </c>
      <c r="BK1021">
        <f>'Grid_Stock'!BI30</f>
        <v/>
      </c>
      <c r="BL1021">
        <f>'Grid_Stock'!BJ30</f>
        <v/>
      </c>
      <c r="BM1021">
        <f>'Grid_Stock'!BK30</f>
        <v/>
      </c>
      <c r="BN1021">
        <f>'Grid_Stock'!BL30</f>
        <v/>
      </c>
      <c r="BO1021">
        <f>'Grid_Stock'!BM30</f>
        <v/>
      </c>
      <c r="BP1021">
        <f>'Grid_Stock'!BN30</f>
        <v/>
      </c>
      <c r="BQ1021">
        <f>'Grid_Stock'!BO30</f>
        <v/>
      </c>
      <c r="BR1021">
        <f>'Grid_Stock'!BP30</f>
        <v/>
      </c>
      <c r="BS1021">
        <f>'Grid_Stock'!BQ30</f>
        <v/>
      </c>
      <c r="BT1021">
        <f>'Grid_Stock'!BR30</f>
        <v/>
      </c>
      <c r="BU1021">
        <f>'Grid_Stock'!BS30</f>
        <v/>
      </c>
      <c r="BV1021">
        <f>'Grid_Stock'!BT30</f>
        <v/>
      </c>
      <c r="BW1021">
        <f>'Grid_Stock'!BU30</f>
        <v/>
      </c>
      <c r="BX1021">
        <f>'Grid_Stock'!BV30</f>
        <v/>
      </c>
      <c r="BY1021">
        <f>'Grid_Stock'!BW30</f>
        <v/>
      </c>
      <c r="BZ1021">
        <f>'Grid_Stock'!BX30</f>
        <v/>
      </c>
      <c r="CA1021">
        <f>'Grid_Stock'!BY30</f>
        <v/>
      </c>
      <c r="CB1021">
        <f>'Grid_Stock'!BZ30</f>
        <v/>
      </c>
      <c r="CC1021">
        <f>'Grid_Stock'!CA30</f>
        <v/>
      </c>
      <c r="CD1021">
        <f>'Grid_Stock'!CB30</f>
        <v/>
      </c>
      <c r="CE1021">
        <f>'Grid_Stock'!CC30</f>
        <v/>
      </c>
      <c r="CF1021">
        <f>'Grid_Stock'!CD30</f>
        <v/>
      </c>
      <c r="CG1021">
        <f>'Grid_Stock'!CE30</f>
        <v/>
      </c>
      <c r="CH1021">
        <f>'Grid_Stock'!CF30</f>
        <v/>
      </c>
      <c r="CI1021">
        <f>'Grid_Stock'!CG30</f>
        <v/>
      </c>
      <c r="CJ1021">
        <f>'Grid_Stock'!CH30</f>
        <v/>
      </c>
      <c r="CK1021">
        <f>'Grid_Stock'!CI30</f>
        <v/>
      </c>
      <c r="CL1021">
        <f>'Grid_Stock'!CJ30</f>
        <v/>
      </c>
      <c r="CM1021">
        <f>'Grid_Stock'!CK30</f>
        <v/>
      </c>
      <c r="CN1021">
        <f>'Grid_Stock'!CL30</f>
        <v/>
      </c>
      <c r="CO1021">
        <f>'Grid_Stock'!CM30</f>
        <v/>
      </c>
      <c r="CP1021">
        <f>'Grid_Stock'!CN30</f>
        <v/>
      </c>
      <c r="CQ1021">
        <f>'Grid_Stock'!CO30</f>
        <v/>
      </c>
      <c r="CR1021">
        <f>'Grid_Stock'!CP30</f>
        <v/>
      </c>
      <c r="CS1021">
        <f>'Grid_Stock'!CQ30</f>
        <v/>
      </c>
      <c r="CT1021">
        <f>'Grid_Stock'!CR30</f>
        <v/>
      </c>
      <c r="CU1021">
        <f>'Grid_Stock'!CS30</f>
        <v/>
      </c>
      <c r="CV1021">
        <f>'Grid_Stock'!CT30</f>
        <v/>
      </c>
      <c r="CW1021">
        <f>'Grid_Stock'!CU30</f>
        <v/>
      </c>
      <c r="CX1021">
        <f>'Grid_Stock'!CV30</f>
        <v/>
      </c>
      <c r="CY1021">
        <f>'Grid_Stock'!CW30</f>
        <v/>
      </c>
      <c r="CZ1021">
        <f>'Grid_Stock'!CX30</f>
        <v/>
      </c>
      <c r="DA1021">
        <f>'Grid_Stock'!CY30</f>
        <v/>
      </c>
      <c r="DB1021">
        <f>'Grid_Stock'!CZ30</f>
        <v/>
      </c>
      <c r="DC1021">
        <f>'Grid_Stock'!DA30</f>
        <v/>
      </c>
    </row>
    <row r="1022">
      <c r="B1022" s="16" t="inlineStr">
        <is>
          <t>（発注の目安はDashboardの基準在庫[下限/上限]と色分けを参照）</t>
        </is>
      </c>
    </row>
    <row r="1024">
      <c r="A1024" s="14" t="inlineStr">
        <is>
          <t>CHEM-1020</t>
        </is>
      </c>
      <c r="B1024" s="14" t="inlineStr">
        <is>
          <t>Sodium Nitrite</t>
        </is>
      </c>
      <c r="C1024" s="15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  <c r="S1024" s="14" t="n"/>
      <c r="T1024" s="14" t="n"/>
      <c r="U1024" s="14" t="n"/>
      <c r="V1024" s="14" t="n"/>
      <c r="W1024" s="14" t="n"/>
      <c r="X1024" s="14" t="n"/>
      <c r="Y1024" s="14" t="n"/>
      <c r="Z1024" s="14" t="n"/>
      <c r="AA1024" s="14" t="n"/>
      <c r="AB1024" s="14" t="n"/>
      <c r="AC1024" s="14" t="n"/>
      <c r="AD1024" s="14" t="n"/>
      <c r="AE1024" s="14" t="n"/>
      <c r="AF1024" s="14" t="n"/>
      <c r="AG1024" s="14" t="n"/>
      <c r="AH1024" s="14" t="n"/>
      <c r="AI1024" s="14" t="n"/>
      <c r="AJ1024" s="14" t="n"/>
      <c r="AK1024" s="14" t="n"/>
      <c r="AL1024" s="14" t="n"/>
      <c r="AM1024" s="14" t="n"/>
      <c r="AN1024" s="14" t="n"/>
      <c r="AO1024" s="14" t="n"/>
      <c r="AP1024" s="14" t="n"/>
      <c r="AQ1024" s="14" t="n"/>
      <c r="AR1024" s="14" t="n"/>
      <c r="AS1024" s="14" t="n"/>
      <c r="AT1024" s="14" t="n"/>
      <c r="AU1024" s="14" t="n"/>
      <c r="AV1024" s="14" t="n"/>
      <c r="AW1024" s="14" t="n"/>
      <c r="AX1024" s="14" t="n"/>
      <c r="AY1024" s="14" t="n"/>
      <c r="AZ1024" s="14" t="n"/>
      <c r="BA1024" s="14" t="n"/>
      <c r="BB1024" s="14" t="n"/>
      <c r="BC1024" s="14" t="n"/>
      <c r="BD1024" s="14" t="n"/>
      <c r="BE1024" s="14" t="n"/>
      <c r="BF1024" s="14" t="n"/>
      <c r="BG1024" s="14" t="n"/>
      <c r="BH1024" s="14" t="n"/>
      <c r="BI1024" s="14" t="n"/>
      <c r="BJ1024" s="14" t="n"/>
      <c r="BK1024" s="14" t="n"/>
      <c r="BL1024" s="14" t="n"/>
      <c r="BM1024" s="14" t="n"/>
      <c r="BN1024" s="14" t="n"/>
      <c r="BO1024" s="14" t="n"/>
      <c r="BP1024" s="14" t="n"/>
      <c r="BQ1024" s="14" t="n"/>
      <c r="BR1024" s="14" t="n"/>
      <c r="BS1024" s="14" t="n"/>
      <c r="BT1024" s="14" t="n"/>
      <c r="BU1024" s="14" t="n"/>
      <c r="BV1024" s="14" t="n"/>
      <c r="BW1024" s="14" t="n"/>
      <c r="BX1024" s="14" t="n"/>
      <c r="BY1024" s="14" t="n"/>
      <c r="BZ1024" s="14" t="n"/>
      <c r="CA1024" s="14" t="n"/>
      <c r="CB1024" s="14" t="n"/>
      <c r="CC1024" s="14" t="n"/>
      <c r="CD1024" s="14" t="n"/>
      <c r="CE1024" s="14" t="n"/>
      <c r="CF1024" s="14" t="n"/>
      <c r="CG1024" s="14" t="n"/>
      <c r="CH1024" s="14" t="n"/>
      <c r="CI1024" s="14" t="n"/>
      <c r="CJ1024" s="14" t="n"/>
      <c r="CK1024" s="14" t="n"/>
      <c r="CL1024" s="14" t="n"/>
      <c r="CM1024" s="14" t="n"/>
      <c r="CN1024" s="14" t="n"/>
      <c r="CO1024" s="14" t="n"/>
      <c r="CP1024" s="14" t="n"/>
      <c r="CQ1024" s="14" t="n"/>
      <c r="CR1024" s="14" t="n"/>
      <c r="CS1024" s="14" t="n"/>
      <c r="CT1024" s="14" t="n"/>
      <c r="CU1024" s="14" t="n"/>
      <c r="CV1024" s="14" t="n"/>
      <c r="CW1024" s="14" t="n"/>
      <c r="CX1024" s="14" t="n"/>
      <c r="CY1024" s="14" t="n"/>
      <c r="CZ1024" s="14" t="n"/>
      <c r="DA1024" s="14" t="n"/>
      <c r="DB1024" s="14" t="n"/>
      <c r="DC1024" s="14" t="n"/>
    </row>
    <row r="1025">
      <c r="B1025" t="inlineStr">
        <is>
          <t>20p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7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Name],$A1024)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s="4" t="inlineStr">
        <is>
          <t>合計使用量(kg)/週</t>
        </is>
      </c>
      <c r="D1027">
        <f>'Grid_Requirement'!B37</f>
        <v/>
      </c>
      <c r="E1027">
        <f>'Grid_Requirement'!C37</f>
        <v/>
      </c>
      <c r="F1027">
        <f>'Grid_Requirement'!D37</f>
        <v/>
      </c>
      <c r="G1027">
        <f>'Grid_Requirement'!E37</f>
        <v/>
      </c>
      <c r="H1027">
        <f>'Grid_Requirement'!F37</f>
        <v/>
      </c>
      <c r="I1027">
        <f>'Grid_Requirement'!G37</f>
        <v/>
      </c>
      <c r="J1027">
        <f>'Grid_Requirement'!H37</f>
        <v/>
      </c>
      <c r="K1027">
        <f>'Grid_Requirement'!I37</f>
        <v/>
      </c>
      <c r="L1027">
        <f>'Grid_Requirement'!J37</f>
        <v/>
      </c>
      <c r="M1027">
        <f>'Grid_Requirement'!K37</f>
        <v/>
      </c>
      <c r="N1027">
        <f>'Grid_Requirement'!L37</f>
        <v/>
      </c>
      <c r="O1027">
        <f>'Grid_Requirement'!M37</f>
        <v/>
      </c>
      <c r="P1027">
        <f>'Grid_Requirement'!N37</f>
        <v/>
      </c>
      <c r="Q1027">
        <f>'Grid_Requirement'!O37</f>
        <v/>
      </c>
      <c r="R1027">
        <f>'Grid_Requirement'!P37</f>
        <v/>
      </c>
      <c r="S1027">
        <f>'Grid_Requirement'!Q37</f>
        <v/>
      </c>
      <c r="T1027">
        <f>'Grid_Requirement'!R37</f>
        <v/>
      </c>
      <c r="U1027">
        <f>'Grid_Requirement'!S37</f>
        <v/>
      </c>
      <c r="V1027">
        <f>'Grid_Requirement'!T37</f>
        <v/>
      </c>
      <c r="W1027">
        <f>'Grid_Requirement'!U37</f>
        <v/>
      </c>
      <c r="X1027">
        <f>'Grid_Requirement'!V37</f>
        <v/>
      </c>
      <c r="Y1027">
        <f>'Grid_Requirement'!W37</f>
        <v/>
      </c>
      <c r="Z1027">
        <f>'Grid_Requirement'!X37</f>
        <v/>
      </c>
      <c r="AA1027">
        <f>'Grid_Requirement'!Y37</f>
        <v/>
      </c>
      <c r="AB1027">
        <f>'Grid_Requirement'!Z37</f>
        <v/>
      </c>
      <c r="AC1027">
        <f>'Grid_Requirement'!AA37</f>
        <v/>
      </c>
      <c r="AD1027">
        <f>'Grid_Requirement'!AB37</f>
        <v/>
      </c>
      <c r="AE1027">
        <f>'Grid_Requirement'!AC37</f>
        <v/>
      </c>
      <c r="AF1027">
        <f>'Grid_Requirement'!AD37</f>
        <v/>
      </c>
      <c r="AG1027">
        <f>'Grid_Requirement'!AE37</f>
        <v/>
      </c>
      <c r="AH1027">
        <f>'Grid_Requirement'!AF37</f>
        <v/>
      </c>
      <c r="AI1027">
        <f>'Grid_Requirement'!AG37</f>
        <v/>
      </c>
      <c r="AJ1027">
        <f>'Grid_Requirement'!AH37</f>
        <v/>
      </c>
      <c r="AK1027">
        <f>'Grid_Requirement'!AI37</f>
        <v/>
      </c>
      <c r="AL1027">
        <f>'Grid_Requirement'!AJ37</f>
        <v/>
      </c>
      <c r="AM1027">
        <f>'Grid_Requirement'!AK37</f>
        <v/>
      </c>
      <c r="AN1027">
        <f>'Grid_Requirement'!AL37</f>
        <v/>
      </c>
      <c r="AO1027">
        <f>'Grid_Requirement'!AM37</f>
        <v/>
      </c>
      <c r="AP1027">
        <f>'Grid_Requirement'!AN37</f>
        <v/>
      </c>
      <c r="AQ1027">
        <f>'Grid_Requirement'!AO37</f>
        <v/>
      </c>
      <c r="AR1027">
        <f>'Grid_Requirement'!AP37</f>
        <v/>
      </c>
      <c r="AS1027">
        <f>'Grid_Requirement'!AQ37</f>
        <v/>
      </c>
      <c r="AT1027">
        <f>'Grid_Requirement'!AR37</f>
        <v/>
      </c>
      <c r="AU1027">
        <f>'Grid_Requirement'!AS37</f>
        <v/>
      </c>
      <c r="AV1027">
        <f>'Grid_Requirement'!AT37</f>
        <v/>
      </c>
      <c r="AW1027">
        <f>'Grid_Requirement'!AU37</f>
        <v/>
      </c>
      <c r="AX1027">
        <f>'Grid_Requirement'!AV37</f>
        <v/>
      </c>
      <c r="AY1027">
        <f>'Grid_Requirement'!AW37</f>
        <v/>
      </c>
      <c r="AZ1027">
        <f>'Grid_Requirement'!AX37</f>
        <v/>
      </c>
      <c r="BA1027">
        <f>'Grid_Requirement'!AY37</f>
        <v/>
      </c>
      <c r="BB1027">
        <f>'Grid_Requirement'!AZ37</f>
        <v/>
      </c>
      <c r="BC1027">
        <f>'Grid_Requirement'!BA37</f>
        <v/>
      </c>
      <c r="BD1027">
        <f>'Grid_Requirement'!BB37</f>
        <v/>
      </c>
      <c r="BE1027">
        <f>'Grid_Requirement'!BC37</f>
        <v/>
      </c>
      <c r="BF1027">
        <f>'Grid_Requirement'!BD37</f>
        <v/>
      </c>
      <c r="BG1027">
        <f>'Grid_Requirement'!BE37</f>
        <v/>
      </c>
      <c r="BH1027">
        <f>'Grid_Requirement'!BF37</f>
        <v/>
      </c>
      <c r="BI1027">
        <f>'Grid_Requirement'!BG37</f>
        <v/>
      </c>
      <c r="BJ1027">
        <f>'Grid_Requirement'!BH37</f>
        <v/>
      </c>
      <c r="BK1027">
        <f>'Grid_Requirement'!BI37</f>
        <v/>
      </c>
      <c r="BL1027">
        <f>'Grid_Requirement'!BJ37</f>
        <v/>
      </c>
      <c r="BM1027">
        <f>'Grid_Requirement'!BK37</f>
        <v/>
      </c>
      <c r="BN1027">
        <f>'Grid_Requirement'!BL37</f>
        <v/>
      </c>
      <c r="BO1027">
        <f>'Grid_Requirement'!BM37</f>
        <v/>
      </c>
      <c r="BP1027">
        <f>'Grid_Requirement'!BN37</f>
        <v/>
      </c>
      <c r="BQ1027">
        <f>'Grid_Requirement'!BO37</f>
        <v/>
      </c>
      <c r="BR1027">
        <f>'Grid_Requirement'!BP37</f>
        <v/>
      </c>
      <c r="BS1027">
        <f>'Grid_Requirement'!BQ37</f>
        <v/>
      </c>
      <c r="BT1027">
        <f>'Grid_Requirement'!BR37</f>
        <v/>
      </c>
      <c r="BU1027">
        <f>'Grid_Requirement'!BS37</f>
        <v/>
      </c>
      <c r="BV1027">
        <f>'Grid_Requirement'!BT37</f>
        <v/>
      </c>
      <c r="BW1027">
        <f>'Grid_Requirement'!BU37</f>
        <v/>
      </c>
      <c r="BX1027">
        <f>'Grid_Requirement'!BV37</f>
        <v/>
      </c>
      <c r="BY1027">
        <f>'Grid_Requirement'!BW37</f>
        <v/>
      </c>
      <c r="BZ1027">
        <f>'Grid_Requirement'!BX37</f>
        <v/>
      </c>
      <c r="CA1027">
        <f>'Grid_Requirement'!BY37</f>
        <v/>
      </c>
      <c r="CB1027">
        <f>'Grid_Requirement'!BZ37</f>
        <v/>
      </c>
      <c r="CC1027">
        <f>'Grid_Requirement'!CA37</f>
        <v/>
      </c>
      <c r="CD1027">
        <f>'Grid_Requirement'!CB37</f>
        <v/>
      </c>
      <c r="CE1027">
        <f>'Grid_Requirement'!CC37</f>
        <v/>
      </c>
      <c r="CF1027">
        <f>'Grid_Requirement'!CD37</f>
        <v/>
      </c>
      <c r="CG1027">
        <f>'Grid_Requirement'!CE37</f>
        <v/>
      </c>
      <c r="CH1027">
        <f>'Grid_Requirement'!CF37</f>
        <v/>
      </c>
      <c r="CI1027">
        <f>'Grid_Requirement'!CG37</f>
        <v/>
      </c>
      <c r="CJ1027">
        <f>'Grid_Requirement'!CH37</f>
        <v/>
      </c>
      <c r="CK1027">
        <f>'Grid_Requirement'!CI37</f>
        <v/>
      </c>
      <c r="CL1027">
        <f>'Grid_Requirement'!CJ37</f>
        <v/>
      </c>
      <c r="CM1027">
        <f>'Grid_Requirement'!CK37</f>
        <v/>
      </c>
      <c r="CN1027">
        <f>'Grid_Requirement'!CL37</f>
        <v/>
      </c>
      <c r="CO1027">
        <f>'Grid_Requirement'!CM37</f>
        <v/>
      </c>
      <c r="CP1027">
        <f>'Grid_Requirement'!CN37</f>
        <v/>
      </c>
      <c r="CQ1027">
        <f>'Grid_Requirement'!CO37</f>
        <v/>
      </c>
      <c r="CR1027">
        <f>'Grid_Requirement'!CP37</f>
        <v/>
      </c>
      <c r="CS1027">
        <f>'Grid_Requirement'!CQ37</f>
        <v/>
      </c>
      <c r="CT1027">
        <f>'Grid_Requirement'!CR37</f>
        <v/>
      </c>
      <c r="CU1027">
        <f>'Grid_Requirement'!CS37</f>
        <v/>
      </c>
      <c r="CV1027">
        <f>'Grid_Requirement'!CT37</f>
        <v/>
      </c>
      <c r="CW1027">
        <f>'Grid_Requirement'!CU37</f>
        <v/>
      </c>
      <c r="CX1027">
        <f>'Grid_Requirement'!CV37</f>
        <v/>
      </c>
      <c r="CY1027">
        <f>'Grid_Requirement'!CW37</f>
        <v/>
      </c>
      <c r="CZ1027">
        <f>'Grid_Requirement'!CX37</f>
        <v/>
      </c>
      <c r="DA1027">
        <f>'Grid_Requirement'!CY37</f>
        <v/>
      </c>
      <c r="DB1027">
        <f>'Grid_Requirement'!CZ37</f>
        <v/>
      </c>
      <c r="DC1027">
        <f>'Grid_Requirement'!DA37</f>
        <v/>
      </c>
    </row>
    <row r="1028">
      <c r="B1028" t="inlineStr">
        <is>
          <t>TTAF在庫(実績,kg)</t>
        </is>
      </c>
      <c r="D1028">
        <f>'T_TTAFStock'!B41</f>
        <v/>
      </c>
      <c r="E1028">
        <f>'T_TTAFStock'!C41</f>
        <v/>
      </c>
      <c r="F1028">
        <f>'T_TTAFStock'!D41</f>
        <v/>
      </c>
      <c r="G1028">
        <f>'T_TTAFStock'!E41</f>
        <v/>
      </c>
      <c r="H1028">
        <f>'T_TTAFStock'!F41</f>
        <v/>
      </c>
      <c r="I1028">
        <f>'T_TTAFStock'!G41</f>
        <v/>
      </c>
      <c r="J1028">
        <f>'T_TTAFStock'!H41</f>
        <v/>
      </c>
      <c r="K1028">
        <f>'T_TTAFStock'!I41</f>
        <v/>
      </c>
      <c r="L1028">
        <f>'T_TTAFStock'!J41</f>
        <v/>
      </c>
      <c r="M1028">
        <f>'T_TTAFStock'!K41</f>
        <v/>
      </c>
      <c r="N1028">
        <f>'T_TTAFStock'!L41</f>
        <v/>
      </c>
      <c r="O1028">
        <f>'T_TTAFStock'!M41</f>
        <v/>
      </c>
      <c r="P1028">
        <f>'T_TTAFStock'!N41</f>
        <v/>
      </c>
      <c r="Q1028">
        <f>'T_TTAFStock'!O41</f>
        <v/>
      </c>
      <c r="R1028">
        <f>'T_TTAFStock'!P41</f>
        <v/>
      </c>
      <c r="S1028">
        <f>'T_TTAFStock'!Q41</f>
        <v/>
      </c>
      <c r="T1028">
        <f>'T_TTAFStock'!R41</f>
        <v/>
      </c>
      <c r="U1028">
        <f>'T_TTAFStock'!S41</f>
        <v/>
      </c>
      <c r="V1028">
        <f>'T_TTAFStock'!T41</f>
        <v/>
      </c>
      <c r="W1028">
        <f>'T_TTAFStock'!U41</f>
        <v/>
      </c>
      <c r="X1028">
        <f>'T_TTAFStock'!V41</f>
        <v/>
      </c>
      <c r="Y1028">
        <f>'T_TTAFStock'!W41</f>
        <v/>
      </c>
      <c r="Z1028">
        <f>'T_TTAFStock'!X41</f>
        <v/>
      </c>
      <c r="AA1028">
        <f>'T_TTAFStock'!Y41</f>
        <v/>
      </c>
      <c r="AB1028">
        <f>'T_TTAFStock'!Z41</f>
        <v/>
      </c>
      <c r="AC1028">
        <f>'T_TTAFStock'!AA41</f>
        <v/>
      </c>
      <c r="AD1028">
        <f>'T_TTAFStock'!AB41</f>
        <v/>
      </c>
      <c r="AE1028">
        <f>'T_TTAFStock'!AC41</f>
        <v/>
      </c>
      <c r="AF1028">
        <f>'T_TTAFStock'!AD41</f>
        <v/>
      </c>
      <c r="AG1028">
        <f>'T_TTAFStock'!AE41</f>
        <v/>
      </c>
      <c r="AH1028">
        <f>'T_TTAFStock'!AF41</f>
        <v/>
      </c>
      <c r="AI1028">
        <f>'T_TTAFStock'!AG41</f>
        <v/>
      </c>
      <c r="AJ1028">
        <f>'T_TTAFStock'!AH41</f>
        <v/>
      </c>
      <c r="AK1028">
        <f>'T_TTAFStock'!AI41</f>
        <v/>
      </c>
      <c r="AL1028">
        <f>'T_TTAFStock'!AJ41</f>
        <v/>
      </c>
      <c r="AM1028">
        <f>'T_TTAFStock'!AK41</f>
        <v/>
      </c>
      <c r="AN1028">
        <f>'T_TTAFStock'!AL41</f>
        <v/>
      </c>
      <c r="AO1028">
        <f>'T_TTAFStock'!AM41</f>
        <v/>
      </c>
      <c r="AP1028">
        <f>'T_TTAFStock'!AN41</f>
        <v/>
      </c>
      <c r="AQ1028">
        <f>'T_TTAFStock'!AO41</f>
        <v/>
      </c>
      <c r="AR1028">
        <f>'T_TTAFStock'!AP41</f>
        <v/>
      </c>
      <c r="AS1028">
        <f>'T_TTAFStock'!AQ41</f>
        <v/>
      </c>
      <c r="AT1028">
        <f>'T_TTAFStock'!AR41</f>
        <v/>
      </c>
      <c r="AU1028">
        <f>'T_TTAFStock'!AS41</f>
        <v/>
      </c>
      <c r="AV1028">
        <f>'T_TTAFStock'!AT41</f>
        <v/>
      </c>
      <c r="AW1028">
        <f>'T_TTAFStock'!AU41</f>
        <v/>
      </c>
      <c r="AX1028">
        <f>'T_TTAFStock'!AV41</f>
        <v/>
      </c>
      <c r="AY1028">
        <f>'T_TTAFStock'!AW41</f>
        <v/>
      </c>
      <c r="AZ1028">
        <f>'T_TTAFStock'!AX41</f>
        <v/>
      </c>
      <c r="BA1028">
        <f>'T_TTAFStock'!AY41</f>
        <v/>
      </c>
      <c r="BB1028">
        <f>'T_TTAFStock'!AZ41</f>
        <v/>
      </c>
      <c r="BC1028">
        <f>'T_TTAFStock'!BA41</f>
        <v/>
      </c>
      <c r="BD1028">
        <f>'T_TTAFStock'!BB41</f>
        <v/>
      </c>
      <c r="BE1028">
        <f>'T_TTAFStock'!BC41</f>
        <v/>
      </c>
      <c r="BF1028">
        <f>'T_TTAFStock'!BD41</f>
        <v/>
      </c>
      <c r="BG1028">
        <f>'T_TTAFStock'!BE41</f>
        <v/>
      </c>
      <c r="BH1028">
        <f>'T_TTAFStock'!BF41</f>
        <v/>
      </c>
      <c r="BI1028">
        <f>'T_TTAFStock'!BG41</f>
        <v/>
      </c>
      <c r="BJ1028">
        <f>'T_TTAFStock'!BH41</f>
        <v/>
      </c>
      <c r="BK1028">
        <f>'T_TTAFStock'!BI41</f>
        <v/>
      </c>
      <c r="BL1028">
        <f>'T_TTAFStock'!BJ41</f>
        <v/>
      </c>
      <c r="BM1028">
        <f>'T_TTAFStock'!BK41</f>
        <v/>
      </c>
      <c r="BN1028">
        <f>'T_TTAFStock'!BL41</f>
        <v/>
      </c>
      <c r="BO1028">
        <f>'T_TTAFStock'!BM41</f>
        <v/>
      </c>
      <c r="BP1028">
        <f>'T_TTAFStock'!BN41</f>
        <v/>
      </c>
      <c r="BQ1028">
        <f>'T_TTAFStock'!BO41</f>
        <v/>
      </c>
      <c r="BR1028">
        <f>'T_TTAFStock'!BP41</f>
        <v/>
      </c>
      <c r="BS1028">
        <f>'T_TTAFStock'!BQ41</f>
        <v/>
      </c>
      <c r="BT1028">
        <f>'T_TTAFStock'!BR41</f>
        <v/>
      </c>
      <c r="BU1028">
        <f>'T_TTAFStock'!BS41</f>
        <v/>
      </c>
      <c r="BV1028">
        <f>'T_TTAFStock'!BT41</f>
        <v/>
      </c>
      <c r="BW1028">
        <f>'T_TTAFStock'!BU41</f>
        <v/>
      </c>
      <c r="BX1028">
        <f>'T_TTAFStock'!BV41</f>
        <v/>
      </c>
      <c r="BY1028">
        <f>'T_TTAFStock'!BW41</f>
        <v/>
      </c>
      <c r="BZ1028">
        <f>'T_TTAFStock'!BX41</f>
        <v/>
      </c>
      <c r="CA1028">
        <f>'T_TTAFStock'!BY41</f>
        <v/>
      </c>
      <c r="CB1028">
        <f>'T_TTAFStock'!BZ41</f>
        <v/>
      </c>
      <c r="CC1028">
        <f>'T_TTAFStock'!CA41</f>
        <v/>
      </c>
      <c r="CD1028">
        <f>'T_TTAFStock'!CB41</f>
        <v/>
      </c>
      <c r="CE1028">
        <f>'T_TTAFStock'!CC41</f>
        <v/>
      </c>
      <c r="CF1028">
        <f>'T_TTAFStock'!CD41</f>
        <v/>
      </c>
      <c r="CG1028">
        <f>'T_TTAFStock'!CE41</f>
        <v/>
      </c>
      <c r="CH1028">
        <f>'T_TTAFStock'!CF41</f>
        <v/>
      </c>
      <c r="CI1028">
        <f>'T_TTAFStock'!CG41</f>
        <v/>
      </c>
      <c r="CJ1028">
        <f>'T_TTAFStock'!CH41</f>
        <v/>
      </c>
      <c r="CK1028">
        <f>'T_TTAFStock'!CI41</f>
        <v/>
      </c>
      <c r="CL1028">
        <f>'T_TTAFStock'!CJ41</f>
        <v/>
      </c>
      <c r="CM1028">
        <f>'T_TTAFStock'!CK41</f>
        <v/>
      </c>
      <c r="CN1028">
        <f>'T_TTAFStock'!CL41</f>
        <v/>
      </c>
      <c r="CO1028">
        <f>'T_TTAFStock'!CM41</f>
        <v/>
      </c>
      <c r="CP1028">
        <f>'T_TTAFStock'!CN41</f>
        <v/>
      </c>
      <c r="CQ1028">
        <f>'T_TTAFStock'!CO41</f>
        <v/>
      </c>
      <c r="CR1028">
        <f>'T_TTAFStock'!CP41</f>
        <v/>
      </c>
      <c r="CS1028">
        <f>'T_TTAFStock'!CQ41</f>
        <v/>
      </c>
      <c r="CT1028">
        <f>'T_TTAFStock'!CR41</f>
        <v/>
      </c>
      <c r="CU1028">
        <f>'T_TTAFStock'!CS41</f>
        <v/>
      </c>
      <c r="CV1028">
        <f>'T_TTAFStock'!CT41</f>
        <v/>
      </c>
      <c r="CW1028">
        <f>'T_TTAFStock'!CU41</f>
        <v/>
      </c>
      <c r="CX1028">
        <f>'T_TTAFStock'!CV41</f>
        <v/>
      </c>
      <c r="CY1028">
        <f>'T_TTAFStock'!CW41</f>
        <v/>
      </c>
      <c r="CZ1028">
        <f>'T_TTAFStock'!CX41</f>
        <v/>
      </c>
      <c r="DA1028">
        <f>'T_TTAFStock'!CY41</f>
        <v/>
      </c>
      <c r="DB1028">
        <f>'T_TTAFStock'!CZ41</f>
        <v/>
      </c>
      <c r="DC1028">
        <f>'T_TTAFStock'!DA41</f>
        <v/>
      </c>
    </row>
    <row r="1029">
      <c r="B1029" t="inlineStr">
        <is>
          <t>自社在庫(実績,kg)</t>
        </is>
      </c>
      <c r="D1029">
        <f>'T_SelfStock'!B41</f>
        <v/>
      </c>
      <c r="E1029">
        <f>'T_SelfStock'!C41</f>
        <v/>
      </c>
      <c r="F1029">
        <f>'T_SelfStock'!D41</f>
        <v/>
      </c>
      <c r="G1029">
        <f>'T_SelfStock'!E41</f>
        <v/>
      </c>
      <c r="H1029">
        <f>'T_SelfStock'!F41</f>
        <v/>
      </c>
      <c r="I1029">
        <f>'T_SelfStock'!G41</f>
        <v/>
      </c>
      <c r="J1029">
        <f>'T_SelfStock'!H41</f>
        <v/>
      </c>
      <c r="K1029">
        <f>'T_SelfStock'!I41</f>
        <v/>
      </c>
      <c r="L1029">
        <f>'T_SelfStock'!J41</f>
        <v/>
      </c>
      <c r="M1029">
        <f>'T_SelfStock'!K41</f>
        <v/>
      </c>
      <c r="N1029">
        <f>'T_SelfStock'!L41</f>
        <v/>
      </c>
      <c r="O1029">
        <f>'T_SelfStock'!M41</f>
        <v/>
      </c>
      <c r="P1029">
        <f>'T_SelfStock'!N41</f>
        <v/>
      </c>
      <c r="Q1029">
        <f>'T_SelfStock'!O41</f>
        <v/>
      </c>
      <c r="R1029">
        <f>'T_SelfStock'!P41</f>
        <v/>
      </c>
      <c r="S1029">
        <f>'T_SelfStock'!Q41</f>
        <v/>
      </c>
      <c r="T1029">
        <f>'T_SelfStock'!R41</f>
        <v/>
      </c>
      <c r="U1029">
        <f>'T_SelfStock'!S41</f>
        <v/>
      </c>
      <c r="V1029">
        <f>'T_SelfStock'!T41</f>
        <v/>
      </c>
      <c r="W1029">
        <f>'T_SelfStock'!U41</f>
        <v/>
      </c>
      <c r="X1029">
        <f>'T_SelfStock'!V41</f>
        <v/>
      </c>
      <c r="Y1029">
        <f>'T_SelfStock'!W41</f>
        <v/>
      </c>
      <c r="Z1029">
        <f>'T_SelfStock'!X41</f>
        <v/>
      </c>
      <c r="AA1029">
        <f>'T_SelfStock'!Y41</f>
        <v/>
      </c>
      <c r="AB1029">
        <f>'T_SelfStock'!Z41</f>
        <v/>
      </c>
      <c r="AC1029">
        <f>'T_SelfStock'!AA41</f>
        <v/>
      </c>
      <c r="AD1029">
        <f>'T_SelfStock'!AB41</f>
        <v/>
      </c>
      <c r="AE1029">
        <f>'T_SelfStock'!AC41</f>
        <v/>
      </c>
      <c r="AF1029">
        <f>'T_SelfStock'!AD41</f>
        <v/>
      </c>
      <c r="AG1029">
        <f>'T_SelfStock'!AE41</f>
        <v/>
      </c>
      <c r="AH1029">
        <f>'T_SelfStock'!AF41</f>
        <v/>
      </c>
      <c r="AI1029">
        <f>'T_SelfStock'!AG41</f>
        <v/>
      </c>
      <c r="AJ1029">
        <f>'T_SelfStock'!AH41</f>
        <v/>
      </c>
      <c r="AK1029">
        <f>'T_SelfStock'!AI41</f>
        <v/>
      </c>
      <c r="AL1029">
        <f>'T_SelfStock'!AJ41</f>
        <v/>
      </c>
      <c r="AM1029">
        <f>'T_SelfStock'!AK41</f>
        <v/>
      </c>
      <c r="AN1029">
        <f>'T_SelfStock'!AL41</f>
        <v/>
      </c>
      <c r="AO1029">
        <f>'T_SelfStock'!AM41</f>
        <v/>
      </c>
      <c r="AP1029">
        <f>'T_SelfStock'!AN41</f>
        <v/>
      </c>
      <c r="AQ1029">
        <f>'T_SelfStock'!AO41</f>
        <v/>
      </c>
      <c r="AR1029">
        <f>'T_SelfStock'!AP41</f>
        <v/>
      </c>
      <c r="AS1029">
        <f>'T_SelfStock'!AQ41</f>
        <v/>
      </c>
      <c r="AT1029">
        <f>'T_SelfStock'!AR41</f>
        <v/>
      </c>
      <c r="AU1029">
        <f>'T_SelfStock'!AS41</f>
        <v/>
      </c>
      <c r="AV1029">
        <f>'T_SelfStock'!AT41</f>
        <v/>
      </c>
      <c r="AW1029">
        <f>'T_SelfStock'!AU41</f>
        <v/>
      </c>
      <c r="AX1029">
        <f>'T_SelfStock'!AV41</f>
        <v/>
      </c>
      <c r="AY1029">
        <f>'T_SelfStock'!AW41</f>
        <v/>
      </c>
      <c r="AZ1029">
        <f>'T_SelfStock'!AX41</f>
        <v/>
      </c>
      <c r="BA1029">
        <f>'T_SelfStock'!AY41</f>
        <v/>
      </c>
      <c r="BB1029">
        <f>'T_SelfStock'!AZ41</f>
        <v/>
      </c>
      <c r="BC1029">
        <f>'T_SelfStock'!BA41</f>
        <v/>
      </c>
      <c r="BD1029">
        <f>'T_SelfStock'!BB41</f>
        <v/>
      </c>
      <c r="BE1029">
        <f>'T_SelfStock'!BC41</f>
        <v/>
      </c>
      <c r="BF1029">
        <f>'T_SelfStock'!BD41</f>
        <v/>
      </c>
      <c r="BG1029">
        <f>'T_SelfStock'!BE41</f>
        <v/>
      </c>
      <c r="BH1029">
        <f>'T_SelfStock'!BF41</f>
        <v/>
      </c>
      <c r="BI1029">
        <f>'T_SelfStock'!BG41</f>
        <v/>
      </c>
      <c r="BJ1029">
        <f>'T_SelfStock'!BH41</f>
        <v/>
      </c>
      <c r="BK1029">
        <f>'T_SelfStock'!BI41</f>
        <v/>
      </c>
      <c r="BL1029">
        <f>'T_SelfStock'!BJ41</f>
        <v/>
      </c>
      <c r="BM1029">
        <f>'T_SelfStock'!BK41</f>
        <v/>
      </c>
      <c r="BN1029">
        <f>'T_SelfStock'!BL41</f>
        <v/>
      </c>
      <c r="BO1029">
        <f>'T_SelfStock'!BM41</f>
        <v/>
      </c>
      <c r="BP1029">
        <f>'T_SelfStock'!BN41</f>
        <v/>
      </c>
      <c r="BQ1029">
        <f>'T_SelfStock'!BO41</f>
        <v/>
      </c>
      <c r="BR1029">
        <f>'T_SelfStock'!BP41</f>
        <v/>
      </c>
      <c r="BS1029">
        <f>'T_SelfStock'!BQ41</f>
        <v/>
      </c>
      <c r="BT1029">
        <f>'T_SelfStock'!BR41</f>
        <v/>
      </c>
      <c r="BU1029">
        <f>'T_SelfStock'!BS41</f>
        <v/>
      </c>
      <c r="BV1029">
        <f>'T_SelfStock'!BT41</f>
        <v/>
      </c>
      <c r="BW1029">
        <f>'T_SelfStock'!BU41</f>
        <v/>
      </c>
      <c r="BX1029">
        <f>'T_SelfStock'!BV41</f>
        <v/>
      </c>
      <c r="BY1029">
        <f>'T_SelfStock'!BW41</f>
        <v/>
      </c>
      <c r="BZ1029">
        <f>'T_SelfStock'!BX41</f>
        <v/>
      </c>
      <c r="CA1029">
        <f>'T_SelfStock'!BY41</f>
        <v/>
      </c>
      <c r="CB1029">
        <f>'T_SelfStock'!BZ41</f>
        <v/>
      </c>
      <c r="CC1029">
        <f>'T_SelfStock'!CA41</f>
        <v/>
      </c>
      <c r="CD1029">
        <f>'T_SelfStock'!CB41</f>
        <v/>
      </c>
      <c r="CE1029">
        <f>'T_SelfStock'!CC41</f>
        <v/>
      </c>
      <c r="CF1029">
        <f>'T_SelfStock'!CD41</f>
        <v/>
      </c>
      <c r="CG1029">
        <f>'T_SelfStock'!CE41</f>
        <v/>
      </c>
      <c r="CH1029">
        <f>'T_SelfStock'!CF41</f>
        <v/>
      </c>
      <c r="CI1029">
        <f>'T_SelfStock'!CG41</f>
        <v/>
      </c>
      <c r="CJ1029">
        <f>'T_SelfStock'!CH41</f>
        <v/>
      </c>
      <c r="CK1029">
        <f>'T_SelfStock'!CI41</f>
        <v/>
      </c>
      <c r="CL1029">
        <f>'T_SelfStock'!CJ41</f>
        <v/>
      </c>
      <c r="CM1029">
        <f>'T_SelfStock'!CK41</f>
        <v/>
      </c>
      <c r="CN1029">
        <f>'T_SelfStock'!CL41</f>
        <v/>
      </c>
      <c r="CO1029">
        <f>'T_SelfStock'!CM41</f>
        <v/>
      </c>
      <c r="CP1029">
        <f>'T_SelfStock'!CN41</f>
        <v/>
      </c>
      <c r="CQ1029">
        <f>'T_SelfStock'!CO41</f>
        <v/>
      </c>
      <c r="CR1029">
        <f>'T_SelfStock'!CP41</f>
        <v/>
      </c>
      <c r="CS1029">
        <f>'T_SelfStock'!CQ41</f>
        <v/>
      </c>
      <c r="CT1029">
        <f>'T_SelfStock'!CR41</f>
        <v/>
      </c>
      <c r="CU1029">
        <f>'T_SelfStock'!CS41</f>
        <v/>
      </c>
      <c r="CV1029">
        <f>'T_SelfStock'!CT41</f>
        <v/>
      </c>
      <c r="CW1029">
        <f>'T_SelfStock'!CU41</f>
        <v/>
      </c>
      <c r="CX1029">
        <f>'T_SelfStock'!CV41</f>
        <v/>
      </c>
      <c r="CY1029">
        <f>'T_SelfStock'!CW41</f>
        <v/>
      </c>
      <c r="CZ1029">
        <f>'T_SelfStock'!CX41</f>
        <v/>
      </c>
      <c r="DA1029">
        <f>'T_SelfStock'!CY41</f>
        <v/>
      </c>
      <c r="DB1029">
        <f>'T_SelfStock'!CZ41</f>
        <v/>
      </c>
      <c r="DC1029">
        <f>'T_SelfStock'!DA41</f>
        <v/>
      </c>
    </row>
    <row r="1030">
      <c r="B1030" s="4" t="inlineStr">
        <is>
          <t>合計在庫(週末時点,kg)</t>
        </is>
      </c>
      <c r="D1030">
        <f>'Grid_Stock'!B37</f>
        <v/>
      </c>
      <c r="E1030">
        <f>'Grid_Stock'!C37</f>
        <v/>
      </c>
      <c r="F1030">
        <f>'Grid_Stock'!D37</f>
        <v/>
      </c>
      <c r="G1030">
        <f>'Grid_Stock'!E37</f>
        <v/>
      </c>
      <c r="H1030">
        <f>'Grid_Stock'!F37</f>
        <v/>
      </c>
      <c r="I1030">
        <f>'Grid_Stock'!G37</f>
        <v/>
      </c>
      <c r="J1030">
        <f>'Grid_Stock'!H37</f>
        <v/>
      </c>
      <c r="K1030">
        <f>'Grid_Stock'!I37</f>
        <v/>
      </c>
      <c r="L1030">
        <f>'Grid_Stock'!J37</f>
        <v/>
      </c>
      <c r="M1030">
        <f>'Grid_Stock'!K37</f>
        <v/>
      </c>
      <c r="N1030">
        <f>'Grid_Stock'!L37</f>
        <v/>
      </c>
      <c r="O1030">
        <f>'Grid_Stock'!M37</f>
        <v/>
      </c>
      <c r="P1030">
        <f>'Grid_Stock'!N37</f>
        <v/>
      </c>
      <c r="Q1030">
        <f>'Grid_Stock'!O37</f>
        <v/>
      </c>
      <c r="R1030">
        <f>'Grid_Stock'!P37</f>
        <v/>
      </c>
      <c r="S1030">
        <f>'Grid_Stock'!Q37</f>
        <v/>
      </c>
      <c r="T1030">
        <f>'Grid_Stock'!R37</f>
        <v/>
      </c>
      <c r="U1030">
        <f>'Grid_Stock'!S37</f>
        <v/>
      </c>
      <c r="V1030">
        <f>'Grid_Stock'!T37</f>
        <v/>
      </c>
      <c r="W1030">
        <f>'Grid_Stock'!U37</f>
        <v/>
      </c>
      <c r="X1030">
        <f>'Grid_Stock'!V37</f>
        <v/>
      </c>
      <c r="Y1030">
        <f>'Grid_Stock'!W37</f>
        <v/>
      </c>
      <c r="Z1030">
        <f>'Grid_Stock'!X37</f>
        <v/>
      </c>
      <c r="AA1030">
        <f>'Grid_Stock'!Y37</f>
        <v/>
      </c>
      <c r="AB1030">
        <f>'Grid_Stock'!Z37</f>
        <v/>
      </c>
      <c r="AC1030">
        <f>'Grid_Stock'!AA37</f>
        <v/>
      </c>
      <c r="AD1030">
        <f>'Grid_Stock'!AB37</f>
        <v/>
      </c>
      <c r="AE1030">
        <f>'Grid_Stock'!AC37</f>
        <v/>
      </c>
      <c r="AF1030">
        <f>'Grid_Stock'!AD37</f>
        <v/>
      </c>
      <c r="AG1030">
        <f>'Grid_Stock'!AE37</f>
        <v/>
      </c>
      <c r="AH1030">
        <f>'Grid_Stock'!AF37</f>
        <v/>
      </c>
      <c r="AI1030">
        <f>'Grid_Stock'!AG37</f>
        <v/>
      </c>
      <c r="AJ1030">
        <f>'Grid_Stock'!AH37</f>
        <v/>
      </c>
      <c r="AK1030">
        <f>'Grid_Stock'!AI37</f>
        <v/>
      </c>
      <c r="AL1030">
        <f>'Grid_Stock'!AJ37</f>
        <v/>
      </c>
      <c r="AM1030">
        <f>'Grid_Stock'!AK37</f>
        <v/>
      </c>
      <c r="AN1030">
        <f>'Grid_Stock'!AL37</f>
        <v/>
      </c>
      <c r="AO1030">
        <f>'Grid_Stock'!AM37</f>
        <v/>
      </c>
      <c r="AP1030">
        <f>'Grid_Stock'!AN37</f>
        <v/>
      </c>
      <c r="AQ1030">
        <f>'Grid_Stock'!AO37</f>
        <v/>
      </c>
      <c r="AR1030">
        <f>'Grid_Stock'!AP37</f>
        <v/>
      </c>
      <c r="AS1030">
        <f>'Grid_Stock'!AQ37</f>
        <v/>
      </c>
      <c r="AT1030">
        <f>'Grid_Stock'!AR37</f>
        <v/>
      </c>
      <c r="AU1030">
        <f>'Grid_Stock'!AS37</f>
        <v/>
      </c>
      <c r="AV1030">
        <f>'Grid_Stock'!AT37</f>
        <v/>
      </c>
      <c r="AW1030">
        <f>'Grid_Stock'!AU37</f>
        <v/>
      </c>
      <c r="AX1030">
        <f>'Grid_Stock'!AV37</f>
        <v/>
      </c>
      <c r="AY1030">
        <f>'Grid_Stock'!AW37</f>
        <v/>
      </c>
      <c r="AZ1030">
        <f>'Grid_Stock'!AX37</f>
        <v/>
      </c>
      <c r="BA1030">
        <f>'Grid_Stock'!AY37</f>
        <v/>
      </c>
      <c r="BB1030">
        <f>'Grid_Stock'!AZ37</f>
        <v/>
      </c>
      <c r="BC1030">
        <f>'Grid_Stock'!BA37</f>
        <v/>
      </c>
      <c r="BD1030">
        <f>'Grid_Stock'!BB37</f>
        <v/>
      </c>
      <c r="BE1030">
        <f>'Grid_Stock'!BC37</f>
        <v/>
      </c>
      <c r="BF1030">
        <f>'Grid_Stock'!BD37</f>
        <v/>
      </c>
      <c r="BG1030">
        <f>'Grid_Stock'!BE37</f>
        <v/>
      </c>
      <c r="BH1030">
        <f>'Grid_Stock'!BF37</f>
        <v/>
      </c>
      <c r="BI1030">
        <f>'Grid_Stock'!BG37</f>
        <v/>
      </c>
      <c r="BJ1030">
        <f>'Grid_Stock'!BH37</f>
        <v/>
      </c>
      <c r="BK1030">
        <f>'Grid_Stock'!BI37</f>
        <v/>
      </c>
      <c r="BL1030">
        <f>'Grid_Stock'!BJ37</f>
        <v/>
      </c>
      <c r="BM1030">
        <f>'Grid_Stock'!BK37</f>
        <v/>
      </c>
      <c r="BN1030">
        <f>'Grid_Stock'!BL37</f>
        <v/>
      </c>
      <c r="BO1030">
        <f>'Grid_Stock'!BM37</f>
        <v/>
      </c>
      <c r="BP1030">
        <f>'Grid_Stock'!BN37</f>
        <v/>
      </c>
      <c r="BQ1030">
        <f>'Grid_Stock'!BO37</f>
        <v/>
      </c>
      <c r="BR1030">
        <f>'Grid_Stock'!BP37</f>
        <v/>
      </c>
      <c r="BS1030">
        <f>'Grid_Stock'!BQ37</f>
        <v/>
      </c>
      <c r="BT1030">
        <f>'Grid_Stock'!BR37</f>
        <v/>
      </c>
      <c r="BU1030">
        <f>'Grid_Stock'!BS37</f>
        <v/>
      </c>
      <c r="BV1030">
        <f>'Grid_Stock'!BT37</f>
        <v/>
      </c>
      <c r="BW1030">
        <f>'Grid_Stock'!BU37</f>
        <v/>
      </c>
      <c r="BX1030">
        <f>'Grid_Stock'!BV37</f>
        <v/>
      </c>
      <c r="BY1030">
        <f>'Grid_Stock'!BW37</f>
        <v/>
      </c>
      <c r="BZ1030">
        <f>'Grid_Stock'!BX37</f>
        <v/>
      </c>
      <c r="CA1030">
        <f>'Grid_Stock'!BY37</f>
        <v/>
      </c>
      <c r="CB1030">
        <f>'Grid_Stock'!BZ37</f>
        <v/>
      </c>
      <c r="CC1030">
        <f>'Grid_Stock'!CA37</f>
        <v/>
      </c>
      <c r="CD1030">
        <f>'Grid_Stock'!CB37</f>
        <v/>
      </c>
      <c r="CE1030">
        <f>'Grid_Stock'!CC37</f>
        <v/>
      </c>
      <c r="CF1030">
        <f>'Grid_Stock'!CD37</f>
        <v/>
      </c>
      <c r="CG1030">
        <f>'Grid_Stock'!CE37</f>
        <v/>
      </c>
      <c r="CH1030">
        <f>'Grid_Stock'!CF37</f>
        <v/>
      </c>
      <c r="CI1030">
        <f>'Grid_Stock'!CG37</f>
        <v/>
      </c>
      <c r="CJ1030">
        <f>'Grid_Stock'!CH37</f>
        <v/>
      </c>
      <c r="CK1030">
        <f>'Grid_Stock'!CI37</f>
        <v/>
      </c>
      <c r="CL1030">
        <f>'Grid_Stock'!CJ37</f>
        <v/>
      </c>
      <c r="CM1030">
        <f>'Grid_Stock'!CK37</f>
        <v/>
      </c>
      <c r="CN1030">
        <f>'Grid_Stock'!CL37</f>
        <v/>
      </c>
      <c r="CO1030">
        <f>'Grid_Stock'!CM37</f>
        <v/>
      </c>
      <c r="CP1030">
        <f>'Grid_Stock'!CN37</f>
        <v/>
      </c>
      <c r="CQ1030">
        <f>'Grid_Stock'!CO37</f>
        <v/>
      </c>
      <c r="CR1030">
        <f>'Grid_Stock'!CP37</f>
        <v/>
      </c>
      <c r="CS1030">
        <f>'Grid_Stock'!CQ37</f>
        <v/>
      </c>
      <c r="CT1030">
        <f>'Grid_Stock'!CR37</f>
        <v/>
      </c>
      <c r="CU1030">
        <f>'Grid_Stock'!CS37</f>
        <v/>
      </c>
      <c r="CV1030">
        <f>'Grid_Stock'!CT37</f>
        <v/>
      </c>
      <c r="CW1030">
        <f>'Grid_Stock'!CU37</f>
        <v/>
      </c>
      <c r="CX1030">
        <f>'Grid_Stock'!CV37</f>
        <v/>
      </c>
      <c r="CY1030">
        <f>'Grid_Stock'!CW37</f>
        <v/>
      </c>
      <c r="CZ1030">
        <f>'Grid_Stock'!CX37</f>
        <v/>
      </c>
      <c r="DA1030">
        <f>'Grid_Stock'!CY37</f>
        <v/>
      </c>
      <c r="DB1030">
        <f>'Grid_Stock'!CZ37</f>
        <v/>
      </c>
      <c r="DC1030">
        <f>'Grid_Stock'!DA37</f>
        <v/>
      </c>
    </row>
    <row r="1031">
      <c r="B1031" s="16" t="inlineStr">
        <is>
          <t>（発注の目安はDashboardの基準在庫[下限/上限]と色分けを参照）</t>
        </is>
      </c>
    </row>
    <row r="1033">
      <c r="A1033" s="14" t="inlineStr">
        <is>
          <t>Ester Film</t>
        </is>
      </c>
      <c r="B1033" s="14" t="inlineStr">
        <is>
          <t>Ester Film</t>
        </is>
      </c>
      <c r="C1033" s="15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  <c r="S1033" s="14" t="n"/>
      <c r="T1033" s="14" t="n"/>
      <c r="U1033" s="14" t="n"/>
      <c r="V1033" s="14" t="n"/>
      <c r="W1033" s="14" t="n"/>
      <c r="X1033" s="14" t="n"/>
      <c r="Y1033" s="14" t="n"/>
      <c r="Z1033" s="14" t="n"/>
      <c r="AA1033" s="14" t="n"/>
      <c r="AB1033" s="14" t="n"/>
      <c r="AC1033" s="14" t="n"/>
      <c r="AD1033" s="14" t="n"/>
      <c r="AE1033" s="14" t="n"/>
      <c r="AF1033" s="14" t="n"/>
      <c r="AG1033" s="14" t="n"/>
      <c r="AH1033" s="14" t="n"/>
      <c r="AI1033" s="14" t="n"/>
      <c r="AJ1033" s="14" t="n"/>
      <c r="AK1033" s="14" t="n"/>
      <c r="AL1033" s="14" t="n"/>
      <c r="AM1033" s="14" t="n"/>
      <c r="AN1033" s="14" t="n"/>
      <c r="AO1033" s="14" t="n"/>
      <c r="AP1033" s="14" t="n"/>
      <c r="AQ1033" s="14" t="n"/>
      <c r="AR1033" s="14" t="n"/>
      <c r="AS1033" s="14" t="n"/>
      <c r="AT1033" s="14" t="n"/>
      <c r="AU1033" s="14" t="n"/>
      <c r="AV1033" s="14" t="n"/>
      <c r="AW1033" s="14" t="n"/>
      <c r="AX1033" s="14" t="n"/>
      <c r="AY1033" s="14" t="n"/>
      <c r="AZ1033" s="14" t="n"/>
      <c r="BA1033" s="14" t="n"/>
      <c r="BB1033" s="14" t="n"/>
      <c r="BC1033" s="14" t="n"/>
      <c r="BD1033" s="14" t="n"/>
      <c r="BE1033" s="14" t="n"/>
      <c r="BF1033" s="14" t="n"/>
      <c r="BG1033" s="14" t="n"/>
      <c r="BH1033" s="14" t="n"/>
      <c r="BI1033" s="14" t="n"/>
      <c r="BJ1033" s="14" t="n"/>
      <c r="BK1033" s="14" t="n"/>
      <c r="BL1033" s="14" t="n"/>
      <c r="BM1033" s="14" t="n"/>
      <c r="BN1033" s="14" t="n"/>
      <c r="BO1033" s="14" t="n"/>
      <c r="BP1033" s="14" t="n"/>
      <c r="BQ1033" s="14" t="n"/>
      <c r="BR1033" s="14" t="n"/>
      <c r="BS1033" s="14" t="n"/>
      <c r="BT1033" s="14" t="n"/>
      <c r="BU1033" s="14" t="n"/>
      <c r="BV1033" s="14" t="n"/>
      <c r="BW1033" s="14" t="n"/>
      <c r="BX1033" s="14" t="n"/>
      <c r="BY1033" s="14" t="n"/>
      <c r="BZ1033" s="14" t="n"/>
      <c r="CA1033" s="14" t="n"/>
      <c r="CB1033" s="14" t="n"/>
      <c r="CC1033" s="14" t="n"/>
      <c r="CD1033" s="14" t="n"/>
      <c r="CE1033" s="14" t="n"/>
      <c r="CF1033" s="14" t="n"/>
      <c r="CG1033" s="14" t="n"/>
      <c r="CH1033" s="14" t="n"/>
      <c r="CI1033" s="14" t="n"/>
      <c r="CJ1033" s="14" t="n"/>
      <c r="CK1033" s="14" t="n"/>
      <c r="CL1033" s="14" t="n"/>
      <c r="CM1033" s="14" t="n"/>
      <c r="CN1033" s="14" t="n"/>
      <c r="CO1033" s="14" t="n"/>
      <c r="CP1033" s="14" t="n"/>
      <c r="CQ1033" s="14" t="n"/>
      <c r="CR1033" s="14" t="n"/>
      <c r="CS1033" s="14" t="n"/>
      <c r="CT1033" s="14" t="n"/>
      <c r="CU1033" s="14" t="n"/>
      <c r="CV1033" s="14" t="n"/>
      <c r="CW1033" s="14" t="n"/>
      <c r="CX1033" s="14" t="n"/>
      <c r="CY1033" s="14" t="n"/>
      <c r="CZ1033" s="14" t="n"/>
      <c r="DA1033" s="14" t="n"/>
      <c r="DB1033" s="14" t="n"/>
      <c r="DC1033" s="14" t="n"/>
    </row>
    <row r="1034">
      <c r="B1034" t="inlineStr">
        <is>
          <t>Ester Film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s="4" t="inlineStr">
        <is>
          <t>合計使用量(kg)/週</t>
        </is>
      </c>
      <c r="D1036">
        <f>'Grid_Requirement'!B38</f>
        <v/>
      </c>
      <c r="E1036">
        <f>'Grid_Requirement'!C38</f>
        <v/>
      </c>
      <c r="F1036">
        <f>'Grid_Requirement'!D38</f>
        <v/>
      </c>
      <c r="G1036">
        <f>'Grid_Requirement'!E38</f>
        <v/>
      </c>
      <c r="H1036">
        <f>'Grid_Requirement'!F38</f>
        <v/>
      </c>
      <c r="I1036">
        <f>'Grid_Requirement'!G38</f>
        <v/>
      </c>
      <c r="J1036">
        <f>'Grid_Requirement'!H38</f>
        <v/>
      </c>
      <c r="K1036">
        <f>'Grid_Requirement'!I38</f>
        <v/>
      </c>
      <c r="L1036">
        <f>'Grid_Requirement'!J38</f>
        <v/>
      </c>
      <c r="M1036">
        <f>'Grid_Requirement'!K38</f>
        <v/>
      </c>
      <c r="N1036">
        <f>'Grid_Requirement'!L38</f>
        <v/>
      </c>
      <c r="O1036">
        <f>'Grid_Requirement'!M38</f>
        <v/>
      </c>
      <c r="P1036">
        <f>'Grid_Requirement'!N38</f>
        <v/>
      </c>
      <c r="Q1036">
        <f>'Grid_Requirement'!O38</f>
        <v/>
      </c>
      <c r="R1036">
        <f>'Grid_Requirement'!P38</f>
        <v/>
      </c>
      <c r="S1036">
        <f>'Grid_Requirement'!Q38</f>
        <v/>
      </c>
      <c r="T1036">
        <f>'Grid_Requirement'!R38</f>
        <v/>
      </c>
      <c r="U1036">
        <f>'Grid_Requirement'!S38</f>
        <v/>
      </c>
      <c r="V1036">
        <f>'Grid_Requirement'!T38</f>
        <v/>
      </c>
      <c r="W1036">
        <f>'Grid_Requirement'!U38</f>
        <v/>
      </c>
      <c r="X1036">
        <f>'Grid_Requirement'!V38</f>
        <v/>
      </c>
      <c r="Y1036">
        <f>'Grid_Requirement'!W38</f>
        <v/>
      </c>
      <c r="Z1036">
        <f>'Grid_Requirement'!X38</f>
        <v/>
      </c>
      <c r="AA1036">
        <f>'Grid_Requirement'!Y38</f>
        <v/>
      </c>
      <c r="AB1036">
        <f>'Grid_Requirement'!Z38</f>
        <v/>
      </c>
      <c r="AC1036">
        <f>'Grid_Requirement'!AA38</f>
        <v/>
      </c>
      <c r="AD1036">
        <f>'Grid_Requirement'!AB38</f>
        <v/>
      </c>
      <c r="AE1036">
        <f>'Grid_Requirement'!AC38</f>
        <v/>
      </c>
      <c r="AF1036">
        <f>'Grid_Requirement'!AD38</f>
        <v/>
      </c>
      <c r="AG1036">
        <f>'Grid_Requirement'!AE38</f>
        <v/>
      </c>
      <c r="AH1036">
        <f>'Grid_Requirement'!AF38</f>
        <v/>
      </c>
      <c r="AI1036">
        <f>'Grid_Requirement'!AG38</f>
        <v/>
      </c>
      <c r="AJ1036">
        <f>'Grid_Requirement'!AH38</f>
        <v/>
      </c>
      <c r="AK1036">
        <f>'Grid_Requirement'!AI38</f>
        <v/>
      </c>
      <c r="AL1036">
        <f>'Grid_Requirement'!AJ38</f>
        <v/>
      </c>
      <c r="AM1036">
        <f>'Grid_Requirement'!AK38</f>
        <v/>
      </c>
      <c r="AN1036">
        <f>'Grid_Requirement'!AL38</f>
        <v/>
      </c>
      <c r="AO1036">
        <f>'Grid_Requirement'!AM38</f>
        <v/>
      </c>
      <c r="AP1036">
        <f>'Grid_Requirement'!AN38</f>
        <v/>
      </c>
      <c r="AQ1036">
        <f>'Grid_Requirement'!AO38</f>
        <v/>
      </c>
      <c r="AR1036">
        <f>'Grid_Requirement'!AP38</f>
        <v/>
      </c>
      <c r="AS1036">
        <f>'Grid_Requirement'!AQ38</f>
        <v/>
      </c>
      <c r="AT1036">
        <f>'Grid_Requirement'!AR38</f>
        <v/>
      </c>
      <c r="AU1036">
        <f>'Grid_Requirement'!AS38</f>
        <v/>
      </c>
      <c r="AV1036">
        <f>'Grid_Requirement'!AT38</f>
        <v/>
      </c>
      <c r="AW1036">
        <f>'Grid_Requirement'!AU38</f>
        <v/>
      </c>
      <c r="AX1036">
        <f>'Grid_Requirement'!AV38</f>
        <v/>
      </c>
      <c r="AY1036">
        <f>'Grid_Requirement'!AW38</f>
        <v/>
      </c>
      <c r="AZ1036">
        <f>'Grid_Requirement'!AX38</f>
        <v/>
      </c>
      <c r="BA1036">
        <f>'Grid_Requirement'!AY38</f>
        <v/>
      </c>
      <c r="BB1036">
        <f>'Grid_Requirement'!AZ38</f>
        <v/>
      </c>
      <c r="BC1036">
        <f>'Grid_Requirement'!BA38</f>
        <v/>
      </c>
      <c r="BD1036">
        <f>'Grid_Requirement'!BB38</f>
        <v/>
      </c>
      <c r="BE1036">
        <f>'Grid_Requirement'!BC38</f>
        <v/>
      </c>
      <c r="BF1036">
        <f>'Grid_Requirement'!BD38</f>
        <v/>
      </c>
      <c r="BG1036">
        <f>'Grid_Requirement'!BE38</f>
        <v/>
      </c>
      <c r="BH1036">
        <f>'Grid_Requirement'!BF38</f>
        <v/>
      </c>
      <c r="BI1036">
        <f>'Grid_Requirement'!BG38</f>
        <v/>
      </c>
      <c r="BJ1036">
        <f>'Grid_Requirement'!BH38</f>
        <v/>
      </c>
      <c r="BK1036">
        <f>'Grid_Requirement'!BI38</f>
        <v/>
      </c>
      <c r="BL1036">
        <f>'Grid_Requirement'!BJ38</f>
        <v/>
      </c>
      <c r="BM1036">
        <f>'Grid_Requirement'!BK38</f>
        <v/>
      </c>
      <c r="BN1036">
        <f>'Grid_Requirement'!BL38</f>
        <v/>
      </c>
      <c r="BO1036">
        <f>'Grid_Requirement'!BM38</f>
        <v/>
      </c>
      <c r="BP1036">
        <f>'Grid_Requirement'!BN38</f>
        <v/>
      </c>
      <c r="BQ1036">
        <f>'Grid_Requirement'!BO38</f>
        <v/>
      </c>
      <c r="BR1036">
        <f>'Grid_Requirement'!BP38</f>
        <v/>
      </c>
      <c r="BS1036">
        <f>'Grid_Requirement'!BQ38</f>
        <v/>
      </c>
      <c r="BT1036">
        <f>'Grid_Requirement'!BR38</f>
        <v/>
      </c>
      <c r="BU1036">
        <f>'Grid_Requirement'!BS38</f>
        <v/>
      </c>
      <c r="BV1036">
        <f>'Grid_Requirement'!BT38</f>
        <v/>
      </c>
      <c r="BW1036">
        <f>'Grid_Requirement'!BU38</f>
        <v/>
      </c>
      <c r="BX1036">
        <f>'Grid_Requirement'!BV38</f>
        <v/>
      </c>
      <c r="BY1036">
        <f>'Grid_Requirement'!BW38</f>
        <v/>
      </c>
      <c r="BZ1036">
        <f>'Grid_Requirement'!BX38</f>
        <v/>
      </c>
      <c r="CA1036">
        <f>'Grid_Requirement'!BY38</f>
        <v/>
      </c>
      <c r="CB1036">
        <f>'Grid_Requirement'!BZ38</f>
        <v/>
      </c>
      <c r="CC1036">
        <f>'Grid_Requirement'!CA38</f>
        <v/>
      </c>
      <c r="CD1036">
        <f>'Grid_Requirement'!CB38</f>
        <v/>
      </c>
      <c r="CE1036">
        <f>'Grid_Requirement'!CC38</f>
        <v/>
      </c>
      <c r="CF1036">
        <f>'Grid_Requirement'!CD38</f>
        <v/>
      </c>
      <c r="CG1036">
        <f>'Grid_Requirement'!CE38</f>
        <v/>
      </c>
      <c r="CH1036">
        <f>'Grid_Requirement'!CF38</f>
        <v/>
      </c>
      <c r="CI1036">
        <f>'Grid_Requirement'!CG38</f>
        <v/>
      </c>
      <c r="CJ1036">
        <f>'Grid_Requirement'!CH38</f>
        <v/>
      </c>
      <c r="CK1036">
        <f>'Grid_Requirement'!CI38</f>
        <v/>
      </c>
      <c r="CL1036">
        <f>'Grid_Requirement'!CJ38</f>
        <v/>
      </c>
      <c r="CM1036">
        <f>'Grid_Requirement'!CK38</f>
        <v/>
      </c>
      <c r="CN1036">
        <f>'Grid_Requirement'!CL38</f>
        <v/>
      </c>
      <c r="CO1036">
        <f>'Grid_Requirement'!CM38</f>
        <v/>
      </c>
      <c r="CP1036">
        <f>'Grid_Requirement'!CN38</f>
        <v/>
      </c>
      <c r="CQ1036">
        <f>'Grid_Requirement'!CO38</f>
        <v/>
      </c>
      <c r="CR1036">
        <f>'Grid_Requirement'!CP38</f>
        <v/>
      </c>
      <c r="CS1036">
        <f>'Grid_Requirement'!CQ38</f>
        <v/>
      </c>
      <c r="CT1036">
        <f>'Grid_Requirement'!CR38</f>
        <v/>
      </c>
      <c r="CU1036">
        <f>'Grid_Requirement'!CS38</f>
        <v/>
      </c>
      <c r="CV1036">
        <f>'Grid_Requirement'!CT38</f>
        <v/>
      </c>
      <c r="CW1036">
        <f>'Grid_Requirement'!CU38</f>
        <v/>
      </c>
      <c r="CX1036">
        <f>'Grid_Requirement'!CV38</f>
        <v/>
      </c>
      <c r="CY1036">
        <f>'Grid_Requirement'!CW38</f>
        <v/>
      </c>
      <c r="CZ1036">
        <f>'Grid_Requirement'!CX38</f>
        <v/>
      </c>
      <c r="DA1036">
        <f>'Grid_Requirement'!CY38</f>
        <v/>
      </c>
      <c r="DB1036">
        <f>'Grid_Requirement'!CZ38</f>
        <v/>
      </c>
      <c r="DC1036">
        <f>'Grid_Requirement'!DA38</f>
        <v/>
      </c>
    </row>
    <row r="1037">
      <c r="B1037" t="inlineStr">
        <is>
          <t>TTAF在庫(実績,kg)</t>
        </is>
      </c>
      <c r="D1037">
        <f>'T_TTAFStock'!B42</f>
        <v/>
      </c>
      <c r="E1037">
        <f>'T_TTAFStock'!C42</f>
        <v/>
      </c>
      <c r="F1037">
        <f>'T_TTAFStock'!D42</f>
        <v/>
      </c>
      <c r="G1037">
        <f>'T_TTAFStock'!E42</f>
        <v/>
      </c>
      <c r="H1037">
        <f>'T_TTAFStock'!F42</f>
        <v/>
      </c>
      <c r="I1037">
        <f>'T_TTAFStock'!G42</f>
        <v/>
      </c>
      <c r="J1037">
        <f>'T_TTAFStock'!H42</f>
        <v/>
      </c>
      <c r="K1037">
        <f>'T_TTAFStock'!I42</f>
        <v/>
      </c>
      <c r="L1037">
        <f>'T_TTAFStock'!J42</f>
        <v/>
      </c>
      <c r="M1037">
        <f>'T_TTAFStock'!K42</f>
        <v/>
      </c>
      <c r="N1037">
        <f>'T_TTAFStock'!L42</f>
        <v/>
      </c>
      <c r="O1037">
        <f>'T_TTAFStock'!M42</f>
        <v/>
      </c>
      <c r="P1037">
        <f>'T_TTAFStock'!N42</f>
        <v/>
      </c>
      <c r="Q1037">
        <f>'T_TTAFStock'!O42</f>
        <v/>
      </c>
      <c r="R1037">
        <f>'T_TTAFStock'!P42</f>
        <v/>
      </c>
      <c r="S1037">
        <f>'T_TTAFStock'!Q42</f>
        <v/>
      </c>
      <c r="T1037">
        <f>'T_TTAFStock'!R42</f>
        <v/>
      </c>
      <c r="U1037">
        <f>'T_TTAFStock'!S42</f>
        <v/>
      </c>
      <c r="V1037">
        <f>'T_TTAFStock'!T42</f>
        <v/>
      </c>
      <c r="W1037">
        <f>'T_TTAFStock'!U42</f>
        <v/>
      </c>
      <c r="X1037">
        <f>'T_TTAFStock'!V42</f>
        <v/>
      </c>
      <c r="Y1037">
        <f>'T_TTAFStock'!W42</f>
        <v/>
      </c>
      <c r="Z1037">
        <f>'T_TTAFStock'!X42</f>
        <v/>
      </c>
      <c r="AA1037">
        <f>'T_TTAFStock'!Y42</f>
        <v/>
      </c>
      <c r="AB1037">
        <f>'T_TTAFStock'!Z42</f>
        <v/>
      </c>
      <c r="AC1037">
        <f>'T_TTAFStock'!AA42</f>
        <v/>
      </c>
      <c r="AD1037">
        <f>'T_TTAFStock'!AB42</f>
        <v/>
      </c>
      <c r="AE1037">
        <f>'T_TTAFStock'!AC42</f>
        <v/>
      </c>
      <c r="AF1037">
        <f>'T_TTAFStock'!AD42</f>
        <v/>
      </c>
      <c r="AG1037">
        <f>'T_TTAFStock'!AE42</f>
        <v/>
      </c>
      <c r="AH1037">
        <f>'T_TTAFStock'!AF42</f>
        <v/>
      </c>
      <c r="AI1037">
        <f>'T_TTAFStock'!AG42</f>
        <v/>
      </c>
      <c r="AJ1037">
        <f>'T_TTAFStock'!AH42</f>
        <v/>
      </c>
      <c r="AK1037">
        <f>'T_TTAFStock'!AI42</f>
        <v/>
      </c>
      <c r="AL1037">
        <f>'T_TTAFStock'!AJ42</f>
        <v/>
      </c>
      <c r="AM1037">
        <f>'T_TTAFStock'!AK42</f>
        <v/>
      </c>
      <c r="AN1037">
        <f>'T_TTAFStock'!AL42</f>
        <v/>
      </c>
      <c r="AO1037">
        <f>'T_TTAFStock'!AM42</f>
        <v/>
      </c>
      <c r="AP1037">
        <f>'T_TTAFStock'!AN42</f>
        <v/>
      </c>
      <c r="AQ1037">
        <f>'T_TTAFStock'!AO42</f>
        <v/>
      </c>
      <c r="AR1037">
        <f>'T_TTAFStock'!AP42</f>
        <v/>
      </c>
      <c r="AS1037">
        <f>'T_TTAFStock'!AQ42</f>
        <v/>
      </c>
      <c r="AT1037">
        <f>'T_TTAFStock'!AR42</f>
        <v/>
      </c>
      <c r="AU1037">
        <f>'T_TTAFStock'!AS42</f>
        <v/>
      </c>
      <c r="AV1037">
        <f>'T_TTAFStock'!AT42</f>
        <v/>
      </c>
      <c r="AW1037">
        <f>'T_TTAFStock'!AU42</f>
        <v/>
      </c>
      <c r="AX1037">
        <f>'T_TTAFStock'!AV42</f>
        <v/>
      </c>
      <c r="AY1037">
        <f>'T_TTAFStock'!AW42</f>
        <v/>
      </c>
      <c r="AZ1037">
        <f>'T_TTAFStock'!AX42</f>
        <v/>
      </c>
      <c r="BA1037">
        <f>'T_TTAFStock'!AY42</f>
        <v/>
      </c>
      <c r="BB1037">
        <f>'T_TTAFStock'!AZ42</f>
        <v/>
      </c>
      <c r="BC1037">
        <f>'T_TTAFStock'!BA42</f>
        <v/>
      </c>
      <c r="BD1037">
        <f>'T_TTAFStock'!BB42</f>
        <v/>
      </c>
      <c r="BE1037">
        <f>'T_TTAFStock'!BC42</f>
        <v/>
      </c>
      <c r="BF1037">
        <f>'T_TTAFStock'!BD42</f>
        <v/>
      </c>
      <c r="BG1037">
        <f>'T_TTAFStock'!BE42</f>
        <v/>
      </c>
      <c r="BH1037">
        <f>'T_TTAFStock'!BF42</f>
        <v/>
      </c>
      <c r="BI1037">
        <f>'T_TTAFStock'!BG42</f>
        <v/>
      </c>
      <c r="BJ1037">
        <f>'T_TTAFStock'!BH42</f>
        <v/>
      </c>
      <c r="BK1037">
        <f>'T_TTAFStock'!BI42</f>
        <v/>
      </c>
      <c r="BL1037">
        <f>'T_TTAFStock'!BJ42</f>
        <v/>
      </c>
      <c r="BM1037">
        <f>'T_TTAFStock'!BK42</f>
        <v/>
      </c>
      <c r="BN1037">
        <f>'T_TTAFStock'!BL42</f>
        <v/>
      </c>
      <c r="BO1037">
        <f>'T_TTAFStock'!BM42</f>
        <v/>
      </c>
      <c r="BP1037">
        <f>'T_TTAFStock'!BN42</f>
        <v/>
      </c>
      <c r="BQ1037">
        <f>'T_TTAFStock'!BO42</f>
        <v/>
      </c>
      <c r="BR1037">
        <f>'T_TTAFStock'!BP42</f>
        <v/>
      </c>
      <c r="BS1037">
        <f>'T_TTAFStock'!BQ42</f>
        <v/>
      </c>
      <c r="BT1037">
        <f>'T_TTAFStock'!BR42</f>
        <v/>
      </c>
      <c r="BU1037">
        <f>'T_TTAFStock'!BS42</f>
        <v/>
      </c>
      <c r="BV1037">
        <f>'T_TTAFStock'!BT42</f>
        <v/>
      </c>
      <c r="BW1037">
        <f>'T_TTAFStock'!BU42</f>
        <v/>
      </c>
      <c r="BX1037">
        <f>'T_TTAFStock'!BV42</f>
        <v/>
      </c>
      <c r="BY1037">
        <f>'T_TTAFStock'!BW42</f>
        <v/>
      </c>
      <c r="BZ1037">
        <f>'T_TTAFStock'!BX42</f>
        <v/>
      </c>
      <c r="CA1037">
        <f>'T_TTAFStock'!BY42</f>
        <v/>
      </c>
      <c r="CB1037">
        <f>'T_TTAFStock'!BZ42</f>
        <v/>
      </c>
      <c r="CC1037">
        <f>'T_TTAFStock'!CA42</f>
        <v/>
      </c>
      <c r="CD1037">
        <f>'T_TTAFStock'!CB42</f>
        <v/>
      </c>
      <c r="CE1037">
        <f>'T_TTAFStock'!CC42</f>
        <v/>
      </c>
      <c r="CF1037">
        <f>'T_TTAFStock'!CD42</f>
        <v/>
      </c>
      <c r="CG1037">
        <f>'T_TTAFStock'!CE42</f>
        <v/>
      </c>
      <c r="CH1037">
        <f>'T_TTAFStock'!CF42</f>
        <v/>
      </c>
      <c r="CI1037">
        <f>'T_TTAFStock'!CG42</f>
        <v/>
      </c>
      <c r="CJ1037">
        <f>'T_TTAFStock'!CH42</f>
        <v/>
      </c>
      <c r="CK1037">
        <f>'T_TTAFStock'!CI42</f>
        <v/>
      </c>
      <c r="CL1037">
        <f>'T_TTAFStock'!CJ42</f>
        <v/>
      </c>
      <c r="CM1037">
        <f>'T_TTAFStock'!CK42</f>
        <v/>
      </c>
      <c r="CN1037">
        <f>'T_TTAFStock'!CL42</f>
        <v/>
      </c>
      <c r="CO1037">
        <f>'T_TTAFStock'!CM42</f>
        <v/>
      </c>
      <c r="CP1037">
        <f>'T_TTAFStock'!CN42</f>
        <v/>
      </c>
      <c r="CQ1037">
        <f>'T_TTAFStock'!CO42</f>
        <v/>
      </c>
      <c r="CR1037">
        <f>'T_TTAFStock'!CP42</f>
        <v/>
      </c>
      <c r="CS1037">
        <f>'T_TTAFStock'!CQ42</f>
        <v/>
      </c>
      <c r="CT1037">
        <f>'T_TTAFStock'!CR42</f>
        <v/>
      </c>
      <c r="CU1037">
        <f>'T_TTAFStock'!CS42</f>
        <v/>
      </c>
      <c r="CV1037">
        <f>'T_TTAFStock'!CT42</f>
        <v/>
      </c>
      <c r="CW1037">
        <f>'T_TTAFStock'!CU42</f>
        <v/>
      </c>
      <c r="CX1037">
        <f>'T_TTAFStock'!CV42</f>
        <v/>
      </c>
      <c r="CY1037">
        <f>'T_TTAFStock'!CW42</f>
        <v/>
      </c>
      <c r="CZ1037">
        <f>'T_TTAFStock'!CX42</f>
        <v/>
      </c>
      <c r="DA1037">
        <f>'T_TTAFStock'!CY42</f>
        <v/>
      </c>
      <c r="DB1037">
        <f>'T_TTAFStock'!CZ42</f>
        <v/>
      </c>
      <c r="DC1037">
        <f>'T_TTAFStock'!DA42</f>
        <v/>
      </c>
    </row>
    <row r="1038">
      <c r="B1038" t="inlineStr">
        <is>
          <t>自社在庫(実績,kg)</t>
        </is>
      </c>
      <c r="D1038">
        <f>'T_SelfStock'!B42</f>
        <v/>
      </c>
      <c r="E1038">
        <f>'T_SelfStock'!C42</f>
        <v/>
      </c>
      <c r="F1038">
        <f>'T_SelfStock'!D42</f>
        <v/>
      </c>
      <c r="G1038">
        <f>'T_SelfStock'!E42</f>
        <v/>
      </c>
      <c r="H1038">
        <f>'T_SelfStock'!F42</f>
        <v/>
      </c>
      <c r="I1038">
        <f>'T_SelfStock'!G42</f>
        <v/>
      </c>
      <c r="J1038">
        <f>'T_SelfStock'!H42</f>
        <v/>
      </c>
      <c r="K1038">
        <f>'T_SelfStock'!I42</f>
        <v/>
      </c>
      <c r="L1038">
        <f>'T_SelfStock'!J42</f>
        <v/>
      </c>
      <c r="M1038">
        <f>'T_SelfStock'!K42</f>
        <v/>
      </c>
      <c r="N1038">
        <f>'T_SelfStock'!L42</f>
        <v/>
      </c>
      <c r="O1038">
        <f>'T_SelfStock'!M42</f>
        <v/>
      </c>
      <c r="P1038">
        <f>'T_SelfStock'!N42</f>
        <v/>
      </c>
      <c r="Q1038">
        <f>'T_SelfStock'!O42</f>
        <v/>
      </c>
      <c r="R1038">
        <f>'T_SelfStock'!P42</f>
        <v/>
      </c>
      <c r="S1038">
        <f>'T_SelfStock'!Q42</f>
        <v/>
      </c>
      <c r="T1038">
        <f>'T_SelfStock'!R42</f>
        <v/>
      </c>
      <c r="U1038">
        <f>'T_SelfStock'!S42</f>
        <v/>
      </c>
      <c r="V1038">
        <f>'T_SelfStock'!T42</f>
        <v/>
      </c>
      <c r="W1038">
        <f>'T_SelfStock'!U42</f>
        <v/>
      </c>
      <c r="X1038">
        <f>'T_SelfStock'!V42</f>
        <v/>
      </c>
      <c r="Y1038">
        <f>'T_SelfStock'!W42</f>
        <v/>
      </c>
      <c r="Z1038">
        <f>'T_SelfStock'!X42</f>
        <v/>
      </c>
      <c r="AA1038">
        <f>'T_SelfStock'!Y42</f>
        <v/>
      </c>
      <c r="AB1038">
        <f>'T_SelfStock'!Z42</f>
        <v/>
      </c>
      <c r="AC1038">
        <f>'T_SelfStock'!AA42</f>
        <v/>
      </c>
      <c r="AD1038">
        <f>'T_SelfStock'!AB42</f>
        <v/>
      </c>
      <c r="AE1038">
        <f>'T_SelfStock'!AC42</f>
        <v/>
      </c>
      <c r="AF1038">
        <f>'T_SelfStock'!AD42</f>
        <v/>
      </c>
      <c r="AG1038">
        <f>'T_SelfStock'!AE42</f>
        <v/>
      </c>
      <c r="AH1038">
        <f>'T_SelfStock'!AF42</f>
        <v/>
      </c>
      <c r="AI1038">
        <f>'T_SelfStock'!AG42</f>
        <v/>
      </c>
      <c r="AJ1038">
        <f>'T_SelfStock'!AH42</f>
        <v/>
      </c>
      <c r="AK1038">
        <f>'T_SelfStock'!AI42</f>
        <v/>
      </c>
      <c r="AL1038">
        <f>'T_SelfStock'!AJ42</f>
        <v/>
      </c>
      <c r="AM1038">
        <f>'T_SelfStock'!AK42</f>
        <v/>
      </c>
      <c r="AN1038">
        <f>'T_SelfStock'!AL42</f>
        <v/>
      </c>
      <c r="AO1038">
        <f>'T_SelfStock'!AM42</f>
        <v/>
      </c>
      <c r="AP1038">
        <f>'T_SelfStock'!AN42</f>
        <v/>
      </c>
      <c r="AQ1038">
        <f>'T_SelfStock'!AO42</f>
        <v/>
      </c>
      <c r="AR1038">
        <f>'T_SelfStock'!AP42</f>
        <v/>
      </c>
      <c r="AS1038">
        <f>'T_SelfStock'!AQ42</f>
        <v/>
      </c>
      <c r="AT1038">
        <f>'T_SelfStock'!AR42</f>
        <v/>
      </c>
      <c r="AU1038">
        <f>'T_SelfStock'!AS42</f>
        <v/>
      </c>
      <c r="AV1038">
        <f>'T_SelfStock'!AT42</f>
        <v/>
      </c>
      <c r="AW1038">
        <f>'T_SelfStock'!AU42</f>
        <v/>
      </c>
      <c r="AX1038">
        <f>'T_SelfStock'!AV42</f>
        <v/>
      </c>
      <c r="AY1038">
        <f>'T_SelfStock'!AW42</f>
        <v/>
      </c>
      <c r="AZ1038">
        <f>'T_SelfStock'!AX42</f>
        <v/>
      </c>
      <c r="BA1038">
        <f>'T_SelfStock'!AY42</f>
        <v/>
      </c>
      <c r="BB1038">
        <f>'T_SelfStock'!AZ42</f>
        <v/>
      </c>
      <c r="BC1038">
        <f>'T_SelfStock'!BA42</f>
        <v/>
      </c>
      <c r="BD1038">
        <f>'T_SelfStock'!BB42</f>
        <v/>
      </c>
      <c r="BE1038">
        <f>'T_SelfStock'!BC42</f>
        <v/>
      </c>
      <c r="BF1038">
        <f>'T_SelfStock'!BD42</f>
        <v/>
      </c>
      <c r="BG1038">
        <f>'T_SelfStock'!BE42</f>
        <v/>
      </c>
      <c r="BH1038">
        <f>'T_SelfStock'!BF42</f>
        <v/>
      </c>
      <c r="BI1038">
        <f>'T_SelfStock'!BG42</f>
        <v/>
      </c>
      <c r="BJ1038">
        <f>'T_SelfStock'!BH42</f>
        <v/>
      </c>
      <c r="BK1038">
        <f>'T_SelfStock'!BI42</f>
        <v/>
      </c>
      <c r="BL1038">
        <f>'T_SelfStock'!BJ42</f>
        <v/>
      </c>
      <c r="BM1038">
        <f>'T_SelfStock'!BK42</f>
        <v/>
      </c>
      <c r="BN1038">
        <f>'T_SelfStock'!BL42</f>
        <v/>
      </c>
      <c r="BO1038">
        <f>'T_SelfStock'!BM42</f>
        <v/>
      </c>
      <c r="BP1038">
        <f>'T_SelfStock'!BN42</f>
        <v/>
      </c>
      <c r="BQ1038">
        <f>'T_SelfStock'!BO42</f>
        <v/>
      </c>
      <c r="BR1038">
        <f>'T_SelfStock'!BP42</f>
        <v/>
      </c>
      <c r="BS1038">
        <f>'T_SelfStock'!BQ42</f>
        <v/>
      </c>
      <c r="BT1038">
        <f>'T_SelfStock'!BR42</f>
        <v/>
      </c>
      <c r="BU1038">
        <f>'T_SelfStock'!BS42</f>
        <v/>
      </c>
      <c r="BV1038">
        <f>'T_SelfStock'!BT42</f>
        <v/>
      </c>
      <c r="BW1038">
        <f>'T_SelfStock'!BU42</f>
        <v/>
      </c>
      <c r="BX1038">
        <f>'T_SelfStock'!BV42</f>
        <v/>
      </c>
      <c r="BY1038">
        <f>'T_SelfStock'!BW42</f>
        <v/>
      </c>
      <c r="BZ1038">
        <f>'T_SelfStock'!BX42</f>
        <v/>
      </c>
      <c r="CA1038">
        <f>'T_SelfStock'!BY42</f>
        <v/>
      </c>
      <c r="CB1038">
        <f>'T_SelfStock'!BZ42</f>
        <v/>
      </c>
      <c r="CC1038">
        <f>'T_SelfStock'!CA42</f>
        <v/>
      </c>
      <c r="CD1038">
        <f>'T_SelfStock'!CB42</f>
        <v/>
      </c>
      <c r="CE1038">
        <f>'T_SelfStock'!CC42</f>
        <v/>
      </c>
      <c r="CF1038">
        <f>'T_SelfStock'!CD42</f>
        <v/>
      </c>
      <c r="CG1038">
        <f>'T_SelfStock'!CE42</f>
        <v/>
      </c>
      <c r="CH1038">
        <f>'T_SelfStock'!CF42</f>
        <v/>
      </c>
      <c r="CI1038">
        <f>'T_SelfStock'!CG42</f>
        <v/>
      </c>
      <c r="CJ1038">
        <f>'T_SelfStock'!CH42</f>
        <v/>
      </c>
      <c r="CK1038">
        <f>'T_SelfStock'!CI42</f>
        <v/>
      </c>
      <c r="CL1038">
        <f>'T_SelfStock'!CJ42</f>
        <v/>
      </c>
      <c r="CM1038">
        <f>'T_SelfStock'!CK42</f>
        <v/>
      </c>
      <c r="CN1038">
        <f>'T_SelfStock'!CL42</f>
        <v/>
      </c>
      <c r="CO1038">
        <f>'T_SelfStock'!CM42</f>
        <v/>
      </c>
      <c r="CP1038">
        <f>'T_SelfStock'!CN42</f>
        <v/>
      </c>
      <c r="CQ1038">
        <f>'T_SelfStock'!CO42</f>
        <v/>
      </c>
      <c r="CR1038">
        <f>'T_SelfStock'!CP42</f>
        <v/>
      </c>
      <c r="CS1038">
        <f>'T_SelfStock'!CQ42</f>
        <v/>
      </c>
      <c r="CT1038">
        <f>'T_SelfStock'!CR42</f>
        <v/>
      </c>
      <c r="CU1038">
        <f>'T_SelfStock'!CS42</f>
        <v/>
      </c>
      <c r="CV1038">
        <f>'T_SelfStock'!CT42</f>
        <v/>
      </c>
      <c r="CW1038">
        <f>'T_SelfStock'!CU42</f>
        <v/>
      </c>
      <c r="CX1038">
        <f>'T_SelfStock'!CV42</f>
        <v/>
      </c>
      <c r="CY1038">
        <f>'T_SelfStock'!CW42</f>
        <v/>
      </c>
      <c r="CZ1038">
        <f>'T_SelfStock'!CX42</f>
        <v/>
      </c>
      <c r="DA1038">
        <f>'T_SelfStock'!CY42</f>
        <v/>
      </c>
      <c r="DB1038">
        <f>'T_SelfStock'!CZ42</f>
        <v/>
      </c>
      <c r="DC1038">
        <f>'T_SelfStock'!DA42</f>
        <v/>
      </c>
    </row>
    <row r="1039">
      <c r="B1039" s="4" t="inlineStr">
        <is>
          <t>合計在庫(週末時点,kg)</t>
        </is>
      </c>
      <c r="D1039">
        <f>'Grid_Stock'!B38</f>
        <v/>
      </c>
      <c r="E1039">
        <f>'Grid_Stock'!C38</f>
        <v/>
      </c>
      <c r="F1039">
        <f>'Grid_Stock'!D38</f>
        <v/>
      </c>
      <c r="G1039">
        <f>'Grid_Stock'!E38</f>
        <v/>
      </c>
      <c r="H1039">
        <f>'Grid_Stock'!F38</f>
        <v/>
      </c>
      <c r="I1039">
        <f>'Grid_Stock'!G38</f>
        <v/>
      </c>
      <c r="J1039">
        <f>'Grid_Stock'!H38</f>
        <v/>
      </c>
      <c r="K1039">
        <f>'Grid_Stock'!I38</f>
        <v/>
      </c>
      <c r="L1039">
        <f>'Grid_Stock'!J38</f>
        <v/>
      </c>
      <c r="M1039">
        <f>'Grid_Stock'!K38</f>
        <v/>
      </c>
      <c r="N1039">
        <f>'Grid_Stock'!L38</f>
        <v/>
      </c>
      <c r="O1039">
        <f>'Grid_Stock'!M38</f>
        <v/>
      </c>
      <c r="P1039">
        <f>'Grid_Stock'!N38</f>
        <v/>
      </c>
      <c r="Q1039">
        <f>'Grid_Stock'!O38</f>
        <v/>
      </c>
      <c r="R1039">
        <f>'Grid_Stock'!P38</f>
        <v/>
      </c>
      <c r="S1039">
        <f>'Grid_Stock'!Q38</f>
        <v/>
      </c>
      <c r="T1039">
        <f>'Grid_Stock'!R38</f>
        <v/>
      </c>
      <c r="U1039">
        <f>'Grid_Stock'!S38</f>
        <v/>
      </c>
      <c r="V1039">
        <f>'Grid_Stock'!T38</f>
        <v/>
      </c>
      <c r="W1039">
        <f>'Grid_Stock'!U38</f>
        <v/>
      </c>
      <c r="X1039">
        <f>'Grid_Stock'!V38</f>
        <v/>
      </c>
      <c r="Y1039">
        <f>'Grid_Stock'!W38</f>
        <v/>
      </c>
      <c r="Z1039">
        <f>'Grid_Stock'!X38</f>
        <v/>
      </c>
      <c r="AA1039">
        <f>'Grid_Stock'!Y38</f>
        <v/>
      </c>
      <c r="AB1039">
        <f>'Grid_Stock'!Z38</f>
        <v/>
      </c>
      <c r="AC1039">
        <f>'Grid_Stock'!AA38</f>
        <v/>
      </c>
      <c r="AD1039">
        <f>'Grid_Stock'!AB38</f>
        <v/>
      </c>
      <c r="AE1039">
        <f>'Grid_Stock'!AC38</f>
        <v/>
      </c>
      <c r="AF1039">
        <f>'Grid_Stock'!AD38</f>
        <v/>
      </c>
      <c r="AG1039">
        <f>'Grid_Stock'!AE38</f>
        <v/>
      </c>
      <c r="AH1039">
        <f>'Grid_Stock'!AF38</f>
        <v/>
      </c>
      <c r="AI1039">
        <f>'Grid_Stock'!AG38</f>
        <v/>
      </c>
      <c r="AJ1039">
        <f>'Grid_Stock'!AH38</f>
        <v/>
      </c>
      <c r="AK1039">
        <f>'Grid_Stock'!AI38</f>
        <v/>
      </c>
      <c r="AL1039">
        <f>'Grid_Stock'!AJ38</f>
        <v/>
      </c>
      <c r="AM1039">
        <f>'Grid_Stock'!AK38</f>
        <v/>
      </c>
      <c r="AN1039">
        <f>'Grid_Stock'!AL38</f>
        <v/>
      </c>
      <c r="AO1039">
        <f>'Grid_Stock'!AM38</f>
        <v/>
      </c>
      <c r="AP1039">
        <f>'Grid_Stock'!AN38</f>
        <v/>
      </c>
      <c r="AQ1039">
        <f>'Grid_Stock'!AO38</f>
        <v/>
      </c>
      <c r="AR1039">
        <f>'Grid_Stock'!AP38</f>
        <v/>
      </c>
      <c r="AS1039">
        <f>'Grid_Stock'!AQ38</f>
        <v/>
      </c>
      <c r="AT1039">
        <f>'Grid_Stock'!AR38</f>
        <v/>
      </c>
      <c r="AU1039">
        <f>'Grid_Stock'!AS38</f>
        <v/>
      </c>
      <c r="AV1039">
        <f>'Grid_Stock'!AT38</f>
        <v/>
      </c>
      <c r="AW1039">
        <f>'Grid_Stock'!AU38</f>
        <v/>
      </c>
      <c r="AX1039">
        <f>'Grid_Stock'!AV38</f>
        <v/>
      </c>
      <c r="AY1039">
        <f>'Grid_Stock'!AW38</f>
        <v/>
      </c>
      <c r="AZ1039">
        <f>'Grid_Stock'!AX38</f>
        <v/>
      </c>
      <c r="BA1039">
        <f>'Grid_Stock'!AY38</f>
        <v/>
      </c>
      <c r="BB1039">
        <f>'Grid_Stock'!AZ38</f>
        <v/>
      </c>
      <c r="BC1039">
        <f>'Grid_Stock'!BA38</f>
        <v/>
      </c>
      <c r="BD1039">
        <f>'Grid_Stock'!BB38</f>
        <v/>
      </c>
      <c r="BE1039">
        <f>'Grid_Stock'!BC38</f>
        <v/>
      </c>
      <c r="BF1039">
        <f>'Grid_Stock'!BD38</f>
        <v/>
      </c>
      <c r="BG1039">
        <f>'Grid_Stock'!BE38</f>
        <v/>
      </c>
      <c r="BH1039">
        <f>'Grid_Stock'!BF38</f>
        <v/>
      </c>
      <c r="BI1039">
        <f>'Grid_Stock'!BG38</f>
        <v/>
      </c>
      <c r="BJ1039">
        <f>'Grid_Stock'!BH38</f>
        <v/>
      </c>
      <c r="BK1039">
        <f>'Grid_Stock'!BI38</f>
        <v/>
      </c>
      <c r="BL1039">
        <f>'Grid_Stock'!BJ38</f>
        <v/>
      </c>
      <c r="BM1039">
        <f>'Grid_Stock'!BK38</f>
        <v/>
      </c>
      <c r="BN1039">
        <f>'Grid_Stock'!BL38</f>
        <v/>
      </c>
      <c r="BO1039">
        <f>'Grid_Stock'!BM38</f>
        <v/>
      </c>
      <c r="BP1039">
        <f>'Grid_Stock'!BN38</f>
        <v/>
      </c>
      <c r="BQ1039">
        <f>'Grid_Stock'!BO38</f>
        <v/>
      </c>
      <c r="BR1039">
        <f>'Grid_Stock'!BP38</f>
        <v/>
      </c>
      <c r="BS1039">
        <f>'Grid_Stock'!BQ38</f>
        <v/>
      </c>
      <c r="BT1039">
        <f>'Grid_Stock'!BR38</f>
        <v/>
      </c>
      <c r="BU1039">
        <f>'Grid_Stock'!BS38</f>
        <v/>
      </c>
      <c r="BV1039">
        <f>'Grid_Stock'!BT38</f>
        <v/>
      </c>
      <c r="BW1039">
        <f>'Grid_Stock'!BU38</f>
        <v/>
      </c>
      <c r="BX1039">
        <f>'Grid_Stock'!BV38</f>
        <v/>
      </c>
      <c r="BY1039">
        <f>'Grid_Stock'!BW38</f>
        <v/>
      </c>
      <c r="BZ1039">
        <f>'Grid_Stock'!BX38</f>
        <v/>
      </c>
      <c r="CA1039">
        <f>'Grid_Stock'!BY38</f>
        <v/>
      </c>
      <c r="CB1039">
        <f>'Grid_Stock'!BZ38</f>
        <v/>
      </c>
      <c r="CC1039">
        <f>'Grid_Stock'!CA38</f>
        <v/>
      </c>
      <c r="CD1039">
        <f>'Grid_Stock'!CB38</f>
        <v/>
      </c>
      <c r="CE1039">
        <f>'Grid_Stock'!CC38</f>
        <v/>
      </c>
      <c r="CF1039">
        <f>'Grid_Stock'!CD38</f>
        <v/>
      </c>
      <c r="CG1039">
        <f>'Grid_Stock'!CE38</f>
        <v/>
      </c>
      <c r="CH1039">
        <f>'Grid_Stock'!CF38</f>
        <v/>
      </c>
      <c r="CI1039">
        <f>'Grid_Stock'!CG38</f>
        <v/>
      </c>
      <c r="CJ1039">
        <f>'Grid_Stock'!CH38</f>
        <v/>
      </c>
      <c r="CK1039">
        <f>'Grid_Stock'!CI38</f>
        <v/>
      </c>
      <c r="CL1039">
        <f>'Grid_Stock'!CJ38</f>
        <v/>
      </c>
      <c r="CM1039">
        <f>'Grid_Stock'!CK38</f>
        <v/>
      </c>
      <c r="CN1039">
        <f>'Grid_Stock'!CL38</f>
        <v/>
      </c>
      <c r="CO1039">
        <f>'Grid_Stock'!CM38</f>
        <v/>
      </c>
      <c r="CP1039">
        <f>'Grid_Stock'!CN38</f>
        <v/>
      </c>
      <c r="CQ1039">
        <f>'Grid_Stock'!CO38</f>
        <v/>
      </c>
      <c r="CR1039">
        <f>'Grid_Stock'!CP38</f>
        <v/>
      </c>
      <c r="CS1039">
        <f>'Grid_Stock'!CQ38</f>
        <v/>
      </c>
      <c r="CT1039">
        <f>'Grid_Stock'!CR38</f>
        <v/>
      </c>
      <c r="CU1039">
        <f>'Grid_Stock'!CS38</f>
        <v/>
      </c>
      <c r="CV1039">
        <f>'Grid_Stock'!CT38</f>
        <v/>
      </c>
      <c r="CW1039">
        <f>'Grid_Stock'!CU38</f>
        <v/>
      </c>
      <c r="CX1039">
        <f>'Grid_Stock'!CV38</f>
        <v/>
      </c>
      <c r="CY1039">
        <f>'Grid_Stock'!CW38</f>
        <v/>
      </c>
      <c r="CZ1039">
        <f>'Grid_Stock'!CX38</f>
        <v/>
      </c>
      <c r="DA1039">
        <f>'Grid_Stock'!CY38</f>
        <v/>
      </c>
      <c r="DB1039">
        <f>'Grid_Stock'!CZ38</f>
        <v/>
      </c>
      <c r="DC1039">
        <f>'Grid_Stock'!DA38</f>
        <v/>
      </c>
    </row>
    <row r="1040">
      <c r="B1040" s="16" t="inlineStr">
        <is>
          <t>（発注の目安はDashboardの基準在庫[下限/上限]と色分けを参照）</t>
        </is>
      </c>
    </row>
    <row r="1042">
      <c r="A1042" s="14" t="inlineStr">
        <is>
          <t>3TP</t>
        </is>
      </c>
      <c r="B1042" s="14" t="inlineStr">
        <is>
          <t>3TP</t>
        </is>
      </c>
      <c r="C1042" s="15" t="n"/>
      <c r="D1042" s="14" t="n"/>
      <c r="E1042" s="14" t="n"/>
      <c r="F1042" s="14" t="n"/>
      <c r="G1042" s="14" t="n"/>
      <c r="H1042" s="14" t="n"/>
      <c r="I1042" s="14" t="n"/>
      <c r="J1042" s="14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  <c r="S1042" s="14" t="n"/>
      <c r="T1042" s="14" t="n"/>
      <c r="U1042" s="14" t="n"/>
      <c r="V1042" s="14" t="n"/>
      <c r="W1042" s="14" t="n"/>
      <c r="X1042" s="14" t="n"/>
      <c r="Y1042" s="14" t="n"/>
      <c r="Z1042" s="14" t="n"/>
      <c r="AA1042" s="14" t="n"/>
      <c r="AB1042" s="14" t="n"/>
      <c r="AC1042" s="14" t="n"/>
      <c r="AD1042" s="14" t="n"/>
      <c r="AE1042" s="14" t="n"/>
      <c r="AF1042" s="14" t="n"/>
      <c r="AG1042" s="14" t="n"/>
      <c r="AH1042" s="14" t="n"/>
      <c r="AI1042" s="14" t="n"/>
      <c r="AJ1042" s="14" t="n"/>
      <c r="AK1042" s="14" t="n"/>
      <c r="AL1042" s="14" t="n"/>
      <c r="AM1042" s="14" t="n"/>
      <c r="AN1042" s="14" t="n"/>
      <c r="AO1042" s="14" t="n"/>
      <c r="AP1042" s="14" t="n"/>
      <c r="AQ1042" s="14" t="n"/>
      <c r="AR1042" s="14" t="n"/>
      <c r="AS1042" s="14" t="n"/>
      <c r="AT1042" s="14" t="n"/>
      <c r="AU1042" s="14" t="n"/>
      <c r="AV1042" s="14" t="n"/>
      <c r="AW1042" s="14" t="n"/>
      <c r="AX1042" s="14" t="n"/>
      <c r="AY1042" s="14" t="n"/>
      <c r="AZ1042" s="14" t="n"/>
      <c r="BA1042" s="14" t="n"/>
      <c r="BB1042" s="14" t="n"/>
      <c r="BC1042" s="14" t="n"/>
      <c r="BD1042" s="14" t="n"/>
      <c r="BE1042" s="14" t="n"/>
      <c r="BF1042" s="14" t="n"/>
      <c r="BG1042" s="14" t="n"/>
      <c r="BH1042" s="14" t="n"/>
      <c r="BI1042" s="14" t="n"/>
      <c r="BJ1042" s="14" t="n"/>
      <c r="BK1042" s="14" t="n"/>
      <c r="BL1042" s="14" t="n"/>
      <c r="BM1042" s="14" t="n"/>
      <c r="BN1042" s="14" t="n"/>
      <c r="BO1042" s="14" t="n"/>
      <c r="BP1042" s="14" t="n"/>
      <c r="BQ1042" s="14" t="n"/>
      <c r="BR1042" s="14" t="n"/>
      <c r="BS1042" s="14" t="n"/>
      <c r="BT1042" s="14" t="n"/>
      <c r="BU1042" s="14" t="n"/>
      <c r="BV1042" s="14" t="n"/>
      <c r="BW1042" s="14" t="n"/>
      <c r="BX1042" s="14" t="n"/>
      <c r="BY1042" s="14" t="n"/>
      <c r="BZ1042" s="14" t="n"/>
      <c r="CA1042" s="14" t="n"/>
      <c r="CB1042" s="14" t="n"/>
      <c r="CC1042" s="14" t="n"/>
      <c r="CD1042" s="14" t="n"/>
      <c r="CE1042" s="14" t="n"/>
      <c r="CF1042" s="14" t="n"/>
      <c r="CG1042" s="14" t="n"/>
      <c r="CH1042" s="14" t="n"/>
      <c r="CI1042" s="14" t="n"/>
      <c r="CJ1042" s="14" t="n"/>
      <c r="CK1042" s="14" t="n"/>
      <c r="CL1042" s="14" t="n"/>
      <c r="CM1042" s="14" t="n"/>
      <c r="CN1042" s="14" t="n"/>
      <c r="CO1042" s="14" t="n"/>
      <c r="CP1042" s="14" t="n"/>
      <c r="CQ1042" s="14" t="n"/>
      <c r="CR1042" s="14" t="n"/>
      <c r="CS1042" s="14" t="n"/>
      <c r="CT1042" s="14" t="n"/>
      <c r="CU1042" s="14" t="n"/>
      <c r="CV1042" s="14" t="n"/>
      <c r="CW1042" s="14" t="n"/>
      <c r="CX1042" s="14" t="n"/>
      <c r="CY1042" s="14" t="n"/>
      <c r="CZ1042" s="14" t="n"/>
      <c r="DA1042" s="14" t="n"/>
      <c r="DB1042" s="14" t="n"/>
      <c r="DC1042" s="14" t="n"/>
    </row>
    <row r="1043">
      <c r="B1043" t="inlineStr">
        <is>
          <t>F2290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Name],$A1042)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s="4" t="inlineStr">
        <is>
          <t>合計使用量(kg)/週</t>
        </is>
      </c>
      <c r="D1045">
        <f>'Grid_Requirement'!B44</f>
        <v/>
      </c>
      <c r="E1045">
        <f>'Grid_Requirement'!C44</f>
        <v/>
      </c>
      <c r="F1045">
        <f>'Grid_Requirement'!D44</f>
        <v/>
      </c>
      <c r="G1045">
        <f>'Grid_Requirement'!E44</f>
        <v/>
      </c>
      <c r="H1045">
        <f>'Grid_Requirement'!F44</f>
        <v/>
      </c>
      <c r="I1045">
        <f>'Grid_Requirement'!G44</f>
        <v/>
      </c>
      <c r="J1045">
        <f>'Grid_Requirement'!H44</f>
        <v/>
      </c>
      <c r="K1045">
        <f>'Grid_Requirement'!I44</f>
        <v/>
      </c>
      <c r="L1045">
        <f>'Grid_Requirement'!J44</f>
        <v/>
      </c>
      <c r="M1045">
        <f>'Grid_Requirement'!K44</f>
        <v/>
      </c>
      <c r="N1045">
        <f>'Grid_Requirement'!L44</f>
        <v/>
      </c>
      <c r="O1045">
        <f>'Grid_Requirement'!M44</f>
        <v/>
      </c>
      <c r="P1045">
        <f>'Grid_Requirement'!N44</f>
        <v/>
      </c>
      <c r="Q1045">
        <f>'Grid_Requirement'!O44</f>
        <v/>
      </c>
      <c r="R1045">
        <f>'Grid_Requirement'!P44</f>
        <v/>
      </c>
      <c r="S1045">
        <f>'Grid_Requirement'!Q44</f>
        <v/>
      </c>
      <c r="T1045">
        <f>'Grid_Requirement'!R44</f>
        <v/>
      </c>
      <c r="U1045">
        <f>'Grid_Requirement'!S44</f>
        <v/>
      </c>
      <c r="V1045">
        <f>'Grid_Requirement'!T44</f>
        <v/>
      </c>
      <c r="W1045">
        <f>'Grid_Requirement'!U44</f>
        <v/>
      </c>
      <c r="X1045">
        <f>'Grid_Requirement'!V44</f>
        <v/>
      </c>
      <c r="Y1045">
        <f>'Grid_Requirement'!W44</f>
        <v/>
      </c>
      <c r="Z1045">
        <f>'Grid_Requirement'!X44</f>
        <v/>
      </c>
      <c r="AA1045">
        <f>'Grid_Requirement'!Y44</f>
        <v/>
      </c>
      <c r="AB1045">
        <f>'Grid_Requirement'!Z44</f>
        <v/>
      </c>
      <c r="AC1045">
        <f>'Grid_Requirement'!AA44</f>
        <v/>
      </c>
      <c r="AD1045">
        <f>'Grid_Requirement'!AB44</f>
        <v/>
      </c>
      <c r="AE1045">
        <f>'Grid_Requirement'!AC44</f>
        <v/>
      </c>
      <c r="AF1045">
        <f>'Grid_Requirement'!AD44</f>
        <v/>
      </c>
      <c r="AG1045">
        <f>'Grid_Requirement'!AE44</f>
        <v/>
      </c>
      <c r="AH1045">
        <f>'Grid_Requirement'!AF44</f>
        <v/>
      </c>
      <c r="AI1045">
        <f>'Grid_Requirement'!AG44</f>
        <v/>
      </c>
      <c r="AJ1045">
        <f>'Grid_Requirement'!AH44</f>
        <v/>
      </c>
      <c r="AK1045">
        <f>'Grid_Requirement'!AI44</f>
        <v/>
      </c>
      <c r="AL1045">
        <f>'Grid_Requirement'!AJ44</f>
        <v/>
      </c>
      <c r="AM1045">
        <f>'Grid_Requirement'!AK44</f>
        <v/>
      </c>
      <c r="AN1045">
        <f>'Grid_Requirement'!AL44</f>
        <v/>
      </c>
      <c r="AO1045">
        <f>'Grid_Requirement'!AM44</f>
        <v/>
      </c>
      <c r="AP1045">
        <f>'Grid_Requirement'!AN44</f>
        <v/>
      </c>
      <c r="AQ1045">
        <f>'Grid_Requirement'!AO44</f>
        <v/>
      </c>
      <c r="AR1045">
        <f>'Grid_Requirement'!AP44</f>
        <v/>
      </c>
      <c r="AS1045">
        <f>'Grid_Requirement'!AQ44</f>
        <v/>
      </c>
      <c r="AT1045">
        <f>'Grid_Requirement'!AR44</f>
        <v/>
      </c>
      <c r="AU1045">
        <f>'Grid_Requirement'!AS44</f>
        <v/>
      </c>
      <c r="AV1045">
        <f>'Grid_Requirement'!AT44</f>
        <v/>
      </c>
      <c r="AW1045">
        <f>'Grid_Requirement'!AU44</f>
        <v/>
      </c>
      <c r="AX1045">
        <f>'Grid_Requirement'!AV44</f>
        <v/>
      </c>
      <c r="AY1045">
        <f>'Grid_Requirement'!AW44</f>
        <v/>
      </c>
      <c r="AZ1045">
        <f>'Grid_Requirement'!AX44</f>
        <v/>
      </c>
      <c r="BA1045">
        <f>'Grid_Requirement'!AY44</f>
        <v/>
      </c>
      <c r="BB1045">
        <f>'Grid_Requirement'!AZ44</f>
        <v/>
      </c>
      <c r="BC1045">
        <f>'Grid_Requirement'!BA44</f>
        <v/>
      </c>
      <c r="BD1045">
        <f>'Grid_Requirement'!BB44</f>
        <v/>
      </c>
      <c r="BE1045">
        <f>'Grid_Requirement'!BC44</f>
        <v/>
      </c>
      <c r="BF1045">
        <f>'Grid_Requirement'!BD44</f>
        <v/>
      </c>
      <c r="BG1045">
        <f>'Grid_Requirement'!BE44</f>
        <v/>
      </c>
      <c r="BH1045">
        <f>'Grid_Requirement'!BF44</f>
        <v/>
      </c>
      <c r="BI1045">
        <f>'Grid_Requirement'!BG44</f>
        <v/>
      </c>
      <c r="BJ1045">
        <f>'Grid_Requirement'!BH44</f>
        <v/>
      </c>
      <c r="BK1045">
        <f>'Grid_Requirement'!BI44</f>
        <v/>
      </c>
      <c r="BL1045">
        <f>'Grid_Requirement'!BJ44</f>
        <v/>
      </c>
      <c r="BM1045">
        <f>'Grid_Requirement'!BK44</f>
        <v/>
      </c>
      <c r="BN1045">
        <f>'Grid_Requirement'!BL44</f>
        <v/>
      </c>
      <c r="BO1045">
        <f>'Grid_Requirement'!BM44</f>
        <v/>
      </c>
      <c r="BP1045">
        <f>'Grid_Requirement'!BN44</f>
        <v/>
      </c>
      <c r="BQ1045">
        <f>'Grid_Requirement'!BO44</f>
        <v/>
      </c>
      <c r="BR1045">
        <f>'Grid_Requirement'!BP44</f>
        <v/>
      </c>
      <c r="BS1045">
        <f>'Grid_Requirement'!BQ44</f>
        <v/>
      </c>
      <c r="BT1045">
        <f>'Grid_Requirement'!BR44</f>
        <v/>
      </c>
      <c r="BU1045">
        <f>'Grid_Requirement'!BS44</f>
        <v/>
      </c>
      <c r="BV1045">
        <f>'Grid_Requirement'!BT44</f>
        <v/>
      </c>
      <c r="BW1045">
        <f>'Grid_Requirement'!BU44</f>
        <v/>
      </c>
      <c r="BX1045">
        <f>'Grid_Requirement'!BV44</f>
        <v/>
      </c>
      <c r="BY1045">
        <f>'Grid_Requirement'!BW44</f>
        <v/>
      </c>
      <c r="BZ1045">
        <f>'Grid_Requirement'!BX44</f>
        <v/>
      </c>
      <c r="CA1045">
        <f>'Grid_Requirement'!BY44</f>
        <v/>
      </c>
      <c r="CB1045">
        <f>'Grid_Requirement'!BZ44</f>
        <v/>
      </c>
      <c r="CC1045">
        <f>'Grid_Requirement'!CA44</f>
        <v/>
      </c>
      <c r="CD1045">
        <f>'Grid_Requirement'!CB44</f>
        <v/>
      </c>
      <c r="CE1045">
        <f>'Grid_Requirement'!CC44</f>
        <v/>
      </c>
      <c r="CF1045">
        <f>'Grid_Requirement'!CD44</f>
        <v/>
      </c>
      <c r="CG1045">
        <f>'Grid_Requirement'!CE44</f>
        <v/>
      </c>
      <c r="CH1045">
        <f>'Grid_Requirement'!CF44</f>
        <v/>
      </c>
      <c r="CI1045">
        <f>'Grid_Requirement'!CG44</f>
        <v/>
      </c>
      <c r="CJ1045">
        <f>'Grid_Requirement'!CH44</f>
        <v/>
      </c>
      <c r="CK1045">
        <f>'Grid_Requirement'!CI44</f>
        <v/>
      </c>
      <c r="CL1045">
        <f>'Grid_Requirement'!CJ44</f>
        <v/>
      </c>
      <c r="CM1045">
        <f>'Grid_Requirement'!CK44</f>
        <v/>
      </c>
      <c r="CN1045">
        <f>'Grid_Requirement'!CL44</f>
        <v/>
      </c>
      <c r="CO1045">
        <f>'Grid_Requirement'!CM44</f>
        <v/>
      </c>
      <c r="CP1045">
        <f>'Grid_Requirement'!CN44</f>
        <v/>
      </c>
      <c r="CQ1045">
        <f>'Grid_Requirement'!CO44</f>
        <v/>
      </c>
      <c r="CR1045">
        <f>'Grid_Requirement'!CP44</f>
        <v/>
      </c>
      <c r="CS1045">
        <f>'Grid_Requirement'!CQ44</f>
        <v/>
      </c>
      <c r="CT1045">
        <f>'Grid_Requirement'!CR44</f>
        <v/>
      </c>
      <c r="CU1045">
        <f>'Grid_Requirement'!CS44</f>
        <v/>
      </c>
      <c r="CV1045">
        <f>'Grid_Requirement'!CT44</f>
        <v/>
      </c>
      <c r="CW1045">
        <f>'Grid_Requirement'!CU44</f>
        <v/>
      </c>
      <c r="CX1045">
        <f>'Grid_Requirement'!CV44</f>
        <v/>
      </c>
      <c r="CY1045">
        <f>'Grid_Requirement'!CW44</f>
        <v/>
      </c>
      <c r="CZ1045">
        <f>'Grid_Requirement'!CX44</f>
        <v/>
      </c>
      <c r="DA1045">
        <f>'Grid_Requirement'!CY44</f>
        <v/>
      </c>
      <c r="DB1045">
        <f>'Grid_Requirement'!CZ44</f>
        <v/>
      </c>
      <c r="DC1045">
        <f>'Grid_Requirement'!DA44</f>
        <v/>
      </c>
    </row>
    <row r="1046">
      <c r="B1046" t="inlineStr">
        <is>
          <t>TTAF在庫(実績,kg)</t>
        </is>
      </c>
      <c r="D1046">
        <f>'T_TTAFStock'!B48</f>
        <v/>
      </c>
      <c r="E1046">
        <f>'T_TTAFStock'!C48</f>
        <v/>
      </c>
      <c r="F1046">
        <f>'T_TTAFStock'!D48</f>
        <v/>
      </c>
      <c r="G1046">
        <f>'T_TTAFStock'!E48</f>
        <v/>
      </c>
      <c r="H1046">
        <f>'T_TTAFStock'!F48</f>
        <v/>
      </c>
      <c r="I1046">
        <f>'T_TTAFStock'!G48</f>
        <v/>
      </c>
      <c r="J1046">
        <f>'T_TTAFStock'!H48</f>
        <v/>
      </c>
      <c r="K1046">
        <f>'T_TTAFStock'!I48</f>
        <v/>
      </c>
      <c r="L1046">
        <f>'T_TTAFStock'!J48</f>
        <v/>
      </c>
      <c r="M1046">
        <f>'T_TTAFStock'!K48</f>
        <v/>
      </c>
      <c r="N1046">
        <f>'T_TTAFStock'!L48</f>
        <v/>
      </c>
      <c r="O1046">
        <f>'T_TTAFStock'!M48</f>
        <v/>
      </c>
      <c r="P1046">
        <f>'T_TTAFStock'!N48</f>
        <v/>
      </c>
      <c r="Q1046">
        <f>'T_TTAFStock'!O48</f>
        <v/>
      </c>
      <c r="R1046">
        <f>'T_TTAFStock'!P48</f>
        <v/>
      </c>
      <c r="S1046">
        <f>'T_TTAFStock'!Q48</f>
        <v/>
      </c>
      <c r="T1046">
        <f>'T_TTAFStock'!R48</f>
        <v/>
      </c>
      <c r="U1046">
        <f>'T_TTAFStock'!S48</f>
        <v/>
      </c>
      <c r="V1046">
        <f>'T_TTAFStock'!T48</f>
        <v/>
      </c>
      <c r="W1046">
        <f>'T_TTAFStock'!U48</f>
        <v/>
      </c>
      <c r="X1046">
        <f>'T_TTAFStock'!V48</f>
        <v/>
      </c>
      <c r="Y1046">
        <f>'T_TTAFStock'!W48</f>
        <v/>
      </c>
      <c r="Z1046">
        <f>'T_TTAFStock'!X48</f>
        <v/>
      </c>
      <c r="AA1046">
        <f>'T_TTAFStock'!Y48</f>
        <v/>
      </c>
      <c r="AB1046">
        <f>'T_TTAFStock'!Z48</f>
        <v/>
      </c>
      <c r="AC1046">
        <f>'T_TTAFStock'!AA48</f>
        <v/>
      </c>
      <c r="AD1046">
        <f>'T_TTAFStock'!AB48</f>
        <v/>
      </c>
      <c r="AE1046">
        <f>'T_TTAFStock'!AC48</f>
        <v/>
      </c>
      <c r="AF1046">
        <f>'T_TTAFStock'!AD48</f>
        <v/>
      </c>
      <c r="AG1046">
        <f>'T_TTAFStock'!AE48</f>
        <v/>
      </c>
      <c r="AH1046">
        <f>'T_TTAFStock'!AF48</f>
        <v/>
      </c>
      <c r="AI1046">
        <f>'T_TTAFStock'!AG48</f>
        <v/>
      </c>
      <c r="AJ1046">
        <f>'T_TTAFStock'!AH48</f>
        <v/>
      </c>
      <c r="AK1046">
        <f>'T_TTAFStock'!AI48</f>
        <v/>
      </c>
      <c r="AL1046">
        <f>'T_TTAFStock'!AJ48</f>
        <v/>
      </c>
      <c r="AM1046">
        <f>'T_TTAFStock'!AK48</f>
        <v/>
      </c>
      <c r="AN1046">
        <f>'T_TTAFStock'!AL48</f>
        <v/>
      </c>
      <c r="AO1046">
        <f>'T_TTAFStock'!AM48</f>
        <v/>
      </c>
      <c r="AP1046">
        <f>'T_TTAFStock'!AN48</f>
        <v/>
      </c>
      <c r="AQ1046">
        <f>'T_TTAFStock'!AO48</f>
        <v/>
      </c>
      <c r="AR1046">
        <f>'T_TTAFStock'!AP48</f>
        <v/>
      </c>
      <c r="AS1046">
        <f>'T_TTAFStock'!AQ48</f>
        <v/>
      </c>
      <c r="AT1046">
        <f>'T_TTAFStock'!AR48</f>
        <v/>
      </c>
      <c r="AU1046">
        <f>'T_TTAFStock'!AS48</f>
        <v/>
      </c>
      <c r="AV1046">
        <f>'T_TTAFStock'!AT48</f>
        <v/>
      </c>
      <c r="AW1046">
        <f>'T_TTAFStock'!AU48</f>
        <v/>
      </c>
      <c r="AX1046">
        <f>'T_TTAFStock'!AV48</f>
        <v/>
      </c>
      <c r="AY1046">
        <f>'T_TTAFStock'!AW48</f>
        <v/>
      </c>
      <c r="AZ1046">
        <f>'T_TTAFStock'!AX48</f>
        <v/>
      </c>
      <c r="BA1046">
        <f>'T_TTAFStock'!AY48</f>
        <v/>
      </c>
      <c r="BB1046">
        <f>'T_TTAFStock'!AZ48</f>
        <v/>
      </c>
      <c r="BC1046">
        <f>'T_TTAFStock'!BA48</f>
        <v/>
      </c>
      <c r="BD1046">
        <f>'T_TTAFStock'!BB48</f>
        <v/>
      </c>
      <c r="BE1046">
        <f>'T_TTAFStock'!BC48</f>
        <v/>
      </c>
      <c r="BF1046">
        <f>'T_TTAFStock'!BD48</f>
        <v/>
      </c>
      <c r="BG1046">
        <f>'T_TTAFStock'!BE48</f>
        <v/>
      </c>
      <c r="BH1046">
        <f>'T_TTAFStock'!BF48</f>
        <v/>
      </c>
      <c r="BI1046">
        <f>'T_TTAFStock'!BG48</f>
        <v/>
      </c>
      <c r="BJ1046">
        <f>'T_TTAFStock'!BH48</f>
        <v/>
      </c>
      <c r="BK1046">
        <f>'T_TTAFStock'!BI48</f>
        <v/>
      </c>
      <c r="BL1046">
        <f>'T_TTAFStock'!BJ48</f>
        <v/>
      </c>
      <c r="BM1046">
        <f>'T_TTAFStock'!BK48</f>
        <v/>
      </c>
      <c r="BN1046">
        <f>'T_TTAFStock'!BL48</f>
        <v/>
      </c>
      <c r="BO1046">
        <f>'T_TTAFStock'!BM48</f>
        <v/>
      </c>
      <c r="BP1046">
        <f>'T_TTAFStock'!BN48</f>
        <v/>
      </c>
      <c r="BQ1046">
        <f>'T_TTAFStock'!BO48</f>
        <v/>
      </c>
      <c r="BR1046">
        <f>'T_TTAFStock'!BP48</f>
        <v/>
      </c>
      <c r="BS1046">
        <f>'T_TTAFStock'!BQ48</f>
        <v/>
      </c>
      <c r="BT1046">
        <f>'T_TTAFStock'!BR48</f>
        <v/>
      </c>
      <c r="BU1046">
        <f>'T_TTAFStock'!BS48</f>
        <v/>
      </c>
      <c r="BV1046">
        <f>'T_TTAFStock'!BT48</f>
        <v/>
      </c>
      <c r="BW1046">
        <f>'T_TTAFStock'!BU48</f>
        <v/>
      </c>
      <c r="BX1046">
        <f>'T_TTAFStock'!BV48</f>
        <v/>
      </c>
      <c r="BY1046">
        <f>'T_TTAFStock'!BW48</f>
        <v/>
      </c>
      <c r="BZ1046">
        <f>'T_TTAFStock'!BX48</f>
        <v/>
      </c>
      <c r="CA1046">
        <f>'T_TTAFStock'!BY48</f>
        <v/>
      </c>
      <c r="CB1046">
        <f>'T_TTAFStock'!BZ48</f>
        <v/>
      </c>
      <c r="CC1046">
        <f>'T_TTAFStock'!CA48</f>
        <v/>
      </c>
      <c r="CD1046">
        <f>'T_TTAFStock'!CB48</f>
        <v/>
      </c>
      <c r="CE1046">
        <f>'T_TTAFStock'!CC48</f>
        <v/>
      </c>
      <c r="CF1046">
        <f>'T_TTAFStock'!CD48</f>
        <v/>
      </c>
      <c r="CG1046">
        <f>'T_TTAFStock'!CE48</f>
        <v/>
      </c>
      <c r="CH1046">
        <f>'T_TTAFStock'!CF48</f>
        <v/>
      </c>
      <c r="CI1046">
        <f>'T_TTAFStock'!CG48</f>
        <v/>
      </c>
      <c r="CJ1046">
        <f>'T_TTAFStock'!CH48</f>
        <v/>
      </c>
      <c r="CK1046">
        <f>'T_TTAFStock'!CI48</f>
        <v/>
      </c>
      <c r="CL1046">
        <f>'T_TTAFStock'!CJ48</f>
        <v/>
      </c>
      <c r="CM1046">
        <f>'T_TTAFStock'!CK48</f>
        <v/>
      </c>
      <c r="CN1046">
        <f>'T_TTAFStock'!CL48</f>
        <v/>
      </c>
      <c r="CO1046">
        <f>'T_TTAFStock'!CM48</f>
        <v/>
      </c>
      <c r="CP1046">
        <f>'T_TTAFStock'!CN48</f>
        <v/>
      </c>
      <c r="CQ1046">
        <f>'T_TTAFStock'!CO48</f>
        <v/>
      </c>
      <c r="CR1046">
        <f>'T_TTAFStock'!CP48</f>
        <v/>
      </c>
      <c r="CS1046">
        <f>'T_TTAFStock'!CQ48</f>
        <v/>
      </c>
      <c r="CT1046">
        <f>'T_TTAFStock'!CR48</f>
        <v/>
      </c>
      <c r="CU1046">
        <f>'T_TTAFStock'!CS48</f>
        <v/>
      </c>
      <c r="CV1046">
        <f>'T_TTAFStock'!CT48</f>
        <v/>
      </c>
      <c r="CW1046">
        <f>'T_TTAFStock'!CU48</f>
        <v/>
      </c>
      <c r="CX1046">
        <f>'T_TTAFStock'!CV48</f>
        <v/>
      </c>
      <c r="CY1046">
        <f>'T_TTAFStock'!CW48</f>
        <v/>
      </c>
      <c r="CZ1046">
        <f>'T_TTAFStock'!CX48</f>
        <v/>
      </c>
      <c r="DA1046">
        <f>'T_TTAFStock'!CY48</f>
        <v/>
      </c>
      <c r="DB1046">
        <f>'T_TTAFStock'!CZ48</f>
        <v/>
      </c>
      <c r="DC1046">
        <f>'T_TTAFStock'!DA48</f>
        <v/>
      </c>
    </row>
    <row r="1047">
      <c r="B1047" t="inlineStr">
        <is>
          <t>自社在庫(実績,kg)</t>
        </is>
      </c>
      <c r="D1047">
        <f>'T_SelfStock'!B48</f>
        <v/>
      </c>
      <c r="E1047">
        <f>'T_SelfStock'!C48</f>
        <v/>
      </c>
      <c r="F1047">
        <f>'T_SelfStock'!D48</f>
        <v/>
      </c>
      <c r="G1047">
        <f>'T_SelfStock'!E48</f>
        <v/>
      </c>
      <c r="H1047">
        <f>'T_SelfStock'!F48</f>
        <v/>
      </c>
      <c r="I1047">
        <f>'T_SelfStock'!G48</f>
        <v/>
      </c>
      <c r="J1047">
        <f>'T_SelfStock'!H48</f>
        <v/>
      </c>
      <c r="K1047">
        <f>'T_SelfStock'!I48</f>
        <v/>
      </c>
      <c r="L1047">
        <f>'T_SelfStock'!J48</f>
        <v/>
      </c>
      <c r="M1047">
        <f>'T_SelfStock'!K48</f>
        <v/>
      </c>
      <c r="N1047">
        <f>'T_SelfStock'!L48</f>
        <v/>
      </c>
      <c r="O1047">
        <f>'T_SelfStock'!M48</f>
        <v/>
      </c>
      <c r="P1047">
        <f>'T_SelfStock'!N48</f>
        <v/>
      </c>
      <c r="Q1047">
        <f>'T_SelfStock'!O48</f>
        <v/>
      </c>
      <c r="R1047">
        <f>'T_SelfStock'!P48</f>
        <v/>
      </c>
      <c r="S1047">
        <f>'T_SelfStock'!Q48</f>
        <v/>
      </c>
      <c r="T1047">
        <f>'T_SelfStock'!R48</f>
        <v/>
      </c>
      <c r="U1047">
        <f>'T_SelfStock'!S48</f>
        <v/>
      </c>
      <c r="V1047">
        <f>'T_SelfStock'!T48</f>
        <v/>
      </c>
      <c r="W1047">
        <f>'T_SelfStock'!U48</f>
        <v/>
      </c>
      <c r="X1047">
        <f>'T_SelfStock'!V48</f>
        <v/>
      </c>
      <c r="Y1047">
        <f>'T_SelfStock'!W48</f>
        <v/>
      </c>
      <c r="Z1047">
        <f>'T_SelfStock'!X48</f>
        <v/>
      </c>
      <c r="AA1047">
        <f>'T_SelfStock'!Y48</f>
        <v/>
      </c>
      <c r="AB1047">
        <f>'T_SelfStock'!Z48</f>
        <v/>
      </c>
      <c r="AC1047">
        <f>'T_SelfStock'!AA48</f>
        <v/>
      </c>
      <c r="AD1047">
        <f>'T_SelfStock'!AB48</f>
        <v/>
      </c>
      <c r="AE1047">
        <f>'T_SelfStock'!AC48</f>
        <v/>
      </c>
      <c r="AF1047">
        <f>'T_SelfStock'!AD48</f>
        <v/>
      </c>
      <c r="AG1047">
        <f>'T_SelfStock'!AE48</f>
        <v/>
      </c>
      <c r="AH1047">
        <f>'T_SelfStock'!AF48</f>
        <v/>
      </c>
      <c r="AI1047">
        <f>'T_SelfStock'!AG48</f>
        <v/>
      </c>
      <c r="AJ1047">
        <f>'T_SelfStock'!AH48</f>
        <v/>
      </c>
      <c r="AK1047">
        <f>'T_SelfStock'!AI48</f>
        <v/>
      </c>
      <c r="AL1047">
        <f>'T_SelfStock'!AJ48</f>
        <v/>
      </c>
      <c r="AM1047">
        <f>'T_SelfStock'!AK48</f>
        <v/>
      </c>
      <c r="AN1047">
        <f>'T_SelfStock'!AL48</f>
        <v/>
      </c>
      <c r="AO1047">
        <f>'T_SelfStock'!AM48</f>
        <v/>
      </c>
      <c r="AP1047">
        <f>'T_SelfStock'!AN48</f>
        <v/>
      </c>
      <c r="AQ1047">
        <f>'T_SelfStock'!AO48</f>
        <v/>
      </c>
      <c r="AR1047">
        <f>'T_SelfStock'!AP48</f>
        <v/>
      </c>
      <c r="AS1047">
        <f>'T_SelfStock'!AQ48</f>
        <v/>
      </c>
      <c r="AT1047">
        <f>'T_SelfStock'!AR48</f>
        <v/>
      </c>
      <c r="AU1047">
        <f>'T_SelfStock'!AS48</f>
        <v/>
      </c>
      <c r="AV1047">
        <f>'T_SelfStock'!AT48</f>
        <v/>
      </c>
      <c r="AW1047">
        <f>'T_SelfStock'!AU48</f>
        <v/>
      </c>
      <c r="AX1047">
        <f>'T_SelfStock'!AV48</f>
        <v/>
      </c>
      <c r="AY1047">
        <f>'T_SelfStock'!AW48</f>
        <v/>
      </c>
      <c r="AZ1047">
        <f>'T_SelfStock'!AX48</f>
        <v/>
      </c>
      <c r="BA1047">
        <f>'T_SelfStock'!AY48</f>
        <v/>
      </c>
      <c r="BB1047">
        <f>'T_SelfStock'!AZ48</f>
        <v/>
      </c>
      <c r="BC1047">
        <f>'T_SelfStock'!BA48</f>
        <v/>
      </c>
      <c r="BD1047">
        <f>'T_SelfStock'!BB48</f>
        <v/>
      </c>
      <c r="BE1047">
        <f>'T_SelfStock'!BC48</f>
        <v/>
      </c>
      <c r="BF1047">
        <f>'T_SelfStock'!BD48</f>
        <v/>
      </c>
      <c r="BG1047">
        <f>'T_SelfStock'!BE48</f>
        <v/>
      </c>
      <c r="BH1047">
        <f>'T_SelfStock'!BF48</f>
        <v/>
      </c>
      <c r="BI1047">
        <f>'T_SelfStock'!BG48</f>
        <v/>
      </c>
      <c r="BJ1047">
        <f>'T_SelfStock'!BH48</f>
        <v/>
      </c>
      <c r="BK1047">
        <f>'T_SelfStock'!BI48</f>
        <v/>
      </c>
      <c r="BL1047">
        <f>'T_SelfStock'!BJ48</f>
        <v/>
      </c>
      <c r="BM1047">
        <f>'T_SelfStock'!BK48</f>
        <v/>
      </c>
      <c r="BN1047">
        <f>'T_SelfStock'!BL48</f>
        <v/>
      </c>
      <c r="BO1047">
        <f>'T_SelfStock'!BM48</f>
        <v/>
      </c>
      <c r="BP1047">
        <f>'T_SelfStock'!BN48</f>
        <v/>
      </c>
      <c r="BQ1047">
        <f>'T_SelfStock'!BO48</f>
        <v/>
      </c>
      <c r="BR1047">
        <f>'T_SelfStock'!BP48</f>
        <v/>
      </c>
      <c r="BS1047">
        <f>'T_SelfStock'!BQ48</f>
        <v/>
      </c>
      <c r="BT1047">
        <f>'T_SelfStock'!BR48</f>
        <v/>
      </c>
      <c r="BU1047">
        <f>'T_SelfStock'!BS48</f>
        <v/>
      </c>
      <c r="BV1047">
        <f>'T_SelfStock'!BT48</f>
        <v/>
      </c>
      <c r="BW1047">
        <f>'T_SelfStock'!BU48</f>
        <v/>
      </c>
      <c r="BX1047">
        <f>'T_SelfStock'!BV48</f>
        <v/>
      </c>
      <c r="BY1047">
        <f>'T_SelfStock'!BW48</f>
        <v/>
      </c>
      <c r="BZ1047">
        <f>'T_SelfStock'!BX48</f>
        <v/>
      </c>
      <c r="CA1047">
        <f>'T_SelfStock'!BY48</f>
        <v/>
      </c>
      <c r="CB1047">
        <f>'T_SelfStock'!BZ48</f>
        <v/>
      </c>
      <c r="CC1047">
        <f>'T_SelfStock'!CA48</f>
        <v/>
      </c>
      <c r="CD1047">
        <f>'T_SelfStock'!CB48</f>
        <v/>
      </c>
      <c r="CE1047">
        <f>'T_SelfStock'!CC48</f>
        <v/>
      </c>
      <c r="CF1047">
        <f>'T_SelfStock'!CD48</f>
        <v/>
      </c>
      <c r="CG1047">
        <f>'T_SelfStock'!CE48</f>
        <v/>
      </c>
      <c r="CH1047">
        <f>'T_SelfStock'!CF48</f>
        <v/>
      </c>
      <c r="CI1047">
        <f>'T_SelfStock'!CG48</f>
        <v/>
      </c>
      <c r="CJ1047">
        <f>'T_SelfStock'!CH48</f>
        <v/>
      </c>
      <c r="CK1047">
        <f>'T_SelfStock'!CI48</f>
        <v/>
      </c>
      <c r="CL1047">
        <f>'T_SelfStock'!CJ48</f>
        <v/>
      </c>
      <c r="CM1047">
        <f>'T_SelfStock'!CK48</f>
        <v/>
      </c>
      <c r="CN1047">
        <f>'T_SelfStock'!CL48</f>
        <v/>
      </c>
      <c r="CO1047">
        <f>'T_SelfStock'!CM48</f>
        <v/>
      </c>
      <c r="CP1047">
        <f>'T_SelfStock'!CN48</f>
        <v/>
      </c>
      <c r="CQ1047">
        <f>'T_SelfStock'!CO48</f>
        <v/>
      </c>
      <c r="CR1047">
        <f>'T_SelfStock'!CP48</f>
        <v/>
      </c>
      <c r="CS1047">
        <f>'T_SelfStock'!CQ48</f>
        <v/>
      </c>
      <c r="CT1047">
        <f>'T_SelfStock'!CR48</f>
        <v/>
      </c>
      <c r="CU1047">
        <f>'T_SelfStock'!CS48</f>
        <v/>
      </c>
      <c r="CV1047">
        <f>'T_SelfStock'!CT48</f>
        <v/>
      </c>
      <c r="CW1047">
        <f>'T_SelfStock'!CU48</f>
        <v/>
      </c>
      <c r="CX1047">
        <f>'T_SelfStock'!CV48</f>
        <v/>
      </c>
      <c r="CY1047">
        <f>'T_SelfStock'!CW48</f>
        <v/>
      </c>
      <c r="CZ1047">
        <f>'T_SelfStock'!CX48</f>
        <v/>
      </c>
      <c r="DA1047">
        <f>'T_SelfStock'!CY48</f>
        <v/>
      </c>
      <c r="DB1047">
        <f>'T_SelfStock'!CZ48</f>
        <v/>
      </c>
      <c r="DC1047">
        <f>'T_SelfStock'!DA48</f>
        <v/>
      </c>
    </row>
    <row r="1048">
      <c r="B1048" s="4" t="inlineStr">
        <is>
          <t>合計在庫(週末時点,kg)</t>
        </is>
      </c>
      <c r="D1048">
        <f>'Grid_Stock'!B44</f>
        <v/>
      </c>
      <c r="E1048">
        <f>'Grid_Stock'!C44</f>
        <v/>
      </c>
      <c r="F1048">
        <f>'Grid_Stock'!D44</f>
        <v/>
      </c>
      <c r="G1048">
        <f>'Grid_Stock'!E44</f>
        <v/>
      </c>
      <c r="H1048">
        <f>'Grid_Stock'!F44</f>
        <v/>
      </c>
      <c r="I1048">
        <f>'Grid_Stock'!G44</f>
        <v/>
      </c>
      <c r="J1048">
        <f>'Grid_Stock'!H44</f>
        <v/>
      </c>
      <c r="K1048">
        <f>'Grid_Stock'!I44</f>
        <v/>
      </c>
      <c r="L1048">
        <f>'Grid_Stock'!J44</f>
        <v/>
      </c>
      <c r="M1048">
        <f>'Grid_Stock'!K44</f>
        <v/>
      </c>
      <c r="N1048">
        <f>'Grid_Stock'!L44</f>
        <v/>
      </c>
      <c r="O1048">
        <f>'Grid_Stock'!M44</f>
        <v/>
      </c>
      <c r="P1048">
        <f>'Grid_Stock'!N44</f>
        <v/>
      </c>
      <c r="Q1048">
        <f>'Grid_Stock'!O44</f>
        <v/>
      </c>
      <c r="R1048">
        <f>'Grid_Stock'!P44</f>
        <v/>
      </c>
      <c r="S1048">
        <f>'Grid_Stock'!Q44</f>
        <v/>
      </c>
      <c r="T1048">
        <f>'Grid_Stock'!R44</f>
        <v/>
      </c>
      <c r="U1048">
        <f>'Grid_Stock'!S44</f>
        <v/>
      </c>
      <c r="V1048">
        <f>'Grid_Stock'!T44</f>
        <v/>
      </c>
      <c r="W1048">
        <f>'Grid_Stock'!U44</f>
        <v/>
      </c>
      <c r="X1048">
        <f>'Grid_Stock'!V44</f>
        <v/>
      </c>
      <c r="Y1048">
        <f>'Grid_Stock'!W44</f>
        <v/>
      </c>
      <c r="Z1048">
        <f>'Grid_Stock'!X44</f>
        <v/>
      </c>
      <c r="AA1048">
        <f>'Grid_Stock'!Y44</f>
        <v/>
      </c>
      <c r="AB1048">
        <f>'Grid_Stock'!Z44</f>
        <v/>
      </c>
      <c r="AC1048">
        <f>'Grid_Stock'!AA44</f>
        <v/>
      </c>
      <c r="AD1048">
        <f>'Grid_Stock'!AB44</f>
        <v/>
      </c>
      <c r="AE1048">
        <f>'Grid_Stock'!AC44</f>
        <v/>
      </c>
      <c r="AF1048">
        <f>'Grid_Stock'!AD44</f>
        <v/>
      </c>
      <c r="AG1048">
        <f>'Grid_Stock'!AE44</f>
        <v/>
      </c>
      <c r="AH1048">
        <f>'Grid_Stock'!AF44</f>
        <v/>
      </c>
      <c r="AI1048">
        <f>'Grid_Stock'!AG44</f>
        <v/>
      </c>
      <c r="AJ1048">
        <f>'Grid_Stock'!AH44</f>
        <v/>
      </c>
      <c r="AK1048">
        <f>'Grid_Stock'!AI44</f>
        <v/>
      </c>
      <c r="AL1048">
        <f>'Grid_Stock'!AJ44</f>
        <v/>
      </c>
      <c r="AM1048">
        <f>'Grid_Stock'!AK44</f>
        <v/>
      </c>
      <c r="AN1048">
        <f>'Grid_Stock'!AL44</f>
        <v/>
      </c>
      <c r="AO1048">
        <f>'Grid_Stock'!AM44</f>
        <v/>
      </c>
      <c r="AP1048">
        <f>'Grid_Stock'!AN44</f>
        <v/>
      </c>
      <c r="AQ1048">
        <f>'Grid_Stock'!AO44</f>
        <v/>
      </c>
      <c r="AR1048">
        <f>'Grid_Stock'!AP44</f>
        <v/>
      </c>
      <c r="AS1048">
        <f>'Grid_Stock'!AQ44</f>
        <v/>
      </c>
      <c r="AT1048">
        <f>'Grid_Stock'!AR44</f>
        <v/>
      </c>
      <c r="AU1048">
        <f>'Grid_Stock'!AS44</f>
        <v/>
      </c>
      <c r="AV1048">
        <f>'Grid_Stock'!AT44</f>
        <v/>
      </c>
      <c r="AW1048">
        <f>'Grid_Stock'!AU44</f>
        <v/>
      </c>
      <c r="AX1048">
        <f>'Grid_Stock'!AV44</f>
        <v/>
      </c>
      <c r="AY1048">
        <f>'Grid_Stock'!AW44</f>
        <v/>
      </c>
      <c r="AZ1048">
        <f>'Grid_Stock'!AX44</f>
        <v/>
      </c>
      <c r="BA1048">
        <f>'Grid_Stock'!AY44</f>
        <v/>
      </c>
      <c r="BB1048">
        <f>'Grid_Stock'!AZ44</f>
        <v/>
      </c>
      <c r="BC1048">
        <f>'Grid_Stock'!BA44</f>
        <v/>
      </c>
      <c r="BD1048">
        <f>'Grid_Stock'!BB44</f>
        <v/>
      </c>
      <c r="BE1048">
        <f>'Grid_Stock'!BC44</f>
        <v/>
      </c>
      <c r="BF1048">
        <f>'Grid_Stock'!BD44</f>
        <v/>
      </c>
      <c r="BG1048">
        <f>'Grid_Stock'!BE44</f>
        <v/>
      </c>
      <c r="BH1048">
        <f>'Grid_Stock'!BF44</f>
        <v/>
      </c>
      <c r="BI1048">
        <f>'Grid_Stock'!BG44</f>
        <v/>
      </c>
      <c r="BJ1048">
        <f>'Grid_Stock'!BH44</f>
        <v/>
      </c>
      <c r="BK1048">
        <f>'Grid_Stock'!BI44</f>
        <v/>
      </c>
      <c r="BL1048">
        <f>'Grid_Stock'!BJ44</f>
        <v/>
      </c>
      <c r="BM1048">
        <f>'Grid_Stock'!BK44</f>
        <v/>
      </c>
      <c r="BN1048">
        <f>'Grid_Stock'!BL44</f>
        <v/>
      </c>
      <c r="BO1048">
        <f>'Grid_Stock'!BM44</f>
        <v/>
      </c>
      <c r="BP1048">
        <f>'Grid_Stock'!BN44</f>
        <v/>
      </c>
      <c r="BQ1048">
        <f>'Grid_Stock'!BO44</f>
        <v/>
      </c>
      <c r="BR1048">
        <f>'Grid_Stock'!BP44</f>
        <v/>
      </c>
      <c r="BS1048">
        <f>'Grid_Stock'!BQ44</f>
        <v/>
      </c>
      <c r="BT1048">
        <f>'Grid_Stock'!BR44</f>
        <v/>
      </c>
      <c r="BU1048">
        <f>'Grid_Stock'!BS44</f>
        <v/>
      </c>
      <c r="BV1048">
        <f>'Grid_Stock'!BT44</f>
        <v/>
      </c>
      <c r="BW1048">
        <f>'Grid_Stock'!BU44</f>
        <v/>
      </c>
      <c r="BX1048">
        <f>'Grid_Stock'!BV44</f>
        <v/>
      </c>
      <c r="BY1048">
        <f>'Grid_Stock'!BW44</f>
        <v/>
      </c>
      <c r="BZ1048">
        <f>'Grid_Stock'!BX44</f>
        <v/>
      </c>
      <c r="CA1048">
        <f>'Grid_Stock'!BY44</f>
        <v/>
      </c>
      <c r="CB1048">
        <f>'Grid_Stock'!BZ44</f>
        <v/>
      </c>
      <c r="CC1048">
        <f>'Grid_Stock'!CA44</f>
        <v/>
      </c>
      <c r="CD1048">
        <f>'Grid_Stock'!CB44</f>
        <v/>
      </c>
      <c r="CE1048">
        <f>'Grid_Stock'!CC44</f>
        <v/>
      </c>
      <c r="CF1048">
        <f>'Grid_Stock'!CD44</f>
        <v/>
      </c>
      <c r="CG1048">
        <f>'Grid_Stock'!CE44</f>
        <v/>
      </c>
      <c r="CH1048">
        <f>'Grid_Stock'!CF44</f>
        <v/>
      </c>
      <c r="CI1048">
        <f>'Grid_Stock'!CG44</f>
        <v/>
      </c>
      <c r="CJ1048">
        <f>'Grid_Stock'!CH44</f>
        <v/>
      </c>
      <c r="CK1048">
        <f>'Grid_Stock'!CI44</f>
        <v/>
      </c>
      <c r="CL1048">
        <f>'Grid_Stock'!CJ44</f>
        <v/>
      </c>
      <c r="CM1048">
        <f>'Grid_Stock'!CK44</f>
        <v/>
      </c>
      <c r="CN1048">
        <f>'Grid_Stock'!CL44</f>
        <v/>
      </c>
      <c r="CO1048">
        <f>'Grid_Stock'!CM44</f>
        <v/>
      </c>
      <c r="CP1048">
        <f>'Grid_Stock'!CN44</f>
        <v/>
      </c>
      <c r="CQ1048">
        <f>'Grid_Stock'!CO44</f>
        <v/>
      </c>
      <c r="CR1048">
        <f>'Grid_Stock'!CP44</f>
        <v/>
      </c>
      <c r="CS1048">
        <f>'Grid_Stock'!CQ44</f>
        <v/>
      </c>
      <c r="CT1048">
        <f>'Grid_Stock'!CR44</f>
        <v/>
      </c>
      <c r="CU1048">
        <f>'Grid_Stock'!CS44</f>
        <v/>
      </c>
      <c r="CV1048">
        <f>'Grid_Stock'!CT44</f>
        <v/>
      </c>
      <c r="CW1048">
        <f>'Grid_Stock'!CU44</f>
        <v/>
      </c>
      <c r="CX1048">
        <f>'Grid_Stock'!CV44</f>
        <v/>
      </c>
      <c r="CY1048">
        <f>'Grid_Stock'!CW44</f>
        <v/>
      </c>
      <c r="CZ1048">
        <f>'Grid_Stock'!CX44</f>
        <v/>
      </c>
      <c r="DA1048">
        <f>'Grid_Stock'!CY44</f>
        <v/>
      </c>
      <c r="DB1048">
        <f>'Grid_Stock'!CZ44</f>
        <v/>
      </c>
      <c r="DC1048">
        <f>'Grid_Stock'!DA44</f>
        <v/>
      </c>
    </row>
    <row r="1049">
      <c r="B1049" s="16" t="inlineStr">
        <is>
          <t>（発注の目安はDashboardの基準在庫[下限/上限]と色分けを参照）</t>
        </is>
      </c>
    </row>
    <row r="1051">
      <c r="A1051" s="14" t="inlineStr">
        <is>
          <t>9RN</t>
        </is>
      </c>
      <c r="B1051" s="14" t="inlineStr">
        <is>
          <t>N30S89R11WF7  4FK13117080</t>
        </is>
      </c>
      <c r="C1051" s="15" t="n"/>
      <c r="D1051" s="14" t="n"/>
      <c r="E1051" s="14" t="n"/>
      <c r="F1051" s="14" t="n"/>
      <c r="G1051" s="14" t="n"/>
      <c r="H1051" s="14" t="n"/>
      <c r="I1051" s="14" t="n"/>
      <c r="J1051" s="14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  <c r="S1051" s="14" t="n"/>
      <c r="T1051" s="14" t="n"/>
      <c r="U1051" s="14" t="n"/>
      <c r="V1051" s="14" t="n"/>
      <c r="W1051" s="14" t="n"/>
      <c r="X1051" s="14" t="n"/>
      <c r="Y1051" s="14" t="n"/>
      <c r="Z1051" s="14" t="n"/>
      <c r="AA1051" s="14" t="n"/>
      <c r="AB1051" s="14" t="n"/>
      <c r="AC1051" s="14" t="n"/>
      <c r="AD1051" s="14" t="n"/>
      <c r="AE1051" s="14" t="n"/>
      <c r="AF1051" s="14" t="n"/>
      <c r="AG1051" s="14" t="n"/>
      <c r="AH1051" s="14" t="n"/>
      <c r="AI1051" s="14" t="n"/>
      <c r="AJ1051" s="14" t="n"/>
      <c r="AK1051" s="14" t="n"/>
      <c r="AL1051" s="14" t="n"/>
      <c r="AM1051" s="14" t="n"/>
      <c r="AN1051" s="14" t="n"/>
      <c r="AO1051" s="14" t="n"/>
      <c r="AP1051" s="14" t="n"/>
      <c r="AQ1051" s="14" t="n"/>
      <c r="AR1051" s="14" t="n"/>
      <c r="AS1051" s="14" t="n"/>
      <c r="AT1051" s="14" t="n"/>
      <c r="AU1051" s="14" t="n"/>
      <c r="AV1051" s="14" t="n"/>
      <c r="AW1051" s="14" t="n"/>
      <c r="AX1051" s="14" t="n"/>
      <c r="AY1051" s="14" t="n"/>
      <c r="AZ1051" s="14" t="n"/>
      <c r="BA1051" s="14" t="n"/>
      <c r="BB1051" s="14" t="n"/>
      <c r="BC1051" s="14" t="n"/>
      <c r="BD1051" s="14" t="n"/>
      <c r="BE1051" s="14" t="n"/>
      <c r="BF1051" s="14" t="n"/>
      <c r="BG1051" s="14" t="n"/>
      <c r="BH1051" s="14" t="n"/>
      <c r="BI1051" s="14" t="n"/>
      <c r="BJ1051" s="14" t="n"/>
      <c r="BK1051" s="14" t="n"/>
      <c r="BL1051" s="14" t="n"/>
      <c r="BM1051" s="14" t="n"/>
      <c r="BN1051" s="14" t="n"/>
      <c r="BO1051" s="14" t="n"/>
      <c r="BP1051" s="14" t="n"/>
      <c r="BQ1051" s="14" t="n"/>
      <c r="BR1051" s="14" t="n"/>
      <c r="BS1051" s="14" t="n"/>
      <c r="BT1051" s="14" t="n"/>
      <c r="BU1051" s="14" t="n"/>
      <c r="BV1051" s="14" t="n"/>
      <c r="BW1051" s="14" t="n"/>
      <c r="BX1051" s="14" t="n"/>
      <c r="BY1051" s="14" t="n"/>
      <c r="BZ1051" s="14" t="n"/>
      <c r="CA1051" s="14" t="n"/>
      <c r="CB1051" s="14" t="n"/>
      <c r="CC1051" s="14" t="n"/>
      <c r="CD1051" s="14" t="n"/>
      <c r="CE1051" s="14" t="n"/>
      <c r="CF1051" s="14" t="n"/>
      <c r="CG1051" s="14" t="n"/>
      <c r="CH1051" s="14" t="n"/>
      <c r="CI1051" s="14" t="n"/>
      <c r="CJ1051" s="14" t="n"/>
      <c r="CK1051" s="14" t="n"/>
      <c r="CL1051" s="14" t="n"/>
      <c r="CM1051" s="14" t="n"/>
      <c r="CN1051" s="14" t="n"/>
      <c r="CO1051" s="14" t="n"/>
      <c r="CP1051" s="14" t="n"/>
      <c r="CQ1051" s="14" t="n"/>
      <c r="CR1051" s="14" t="n"/>
      <c r="CS1051" s="14" t="n"/>
      <c r="CT1051" s="14" t="n"/>
      <c r="CU1051" s="14" t="n"/>
      <c r="CV1051" s="14" t="n"/>
      <c r="CW1051" s="14" t="n"/>
      <c r="CX1051" s="14" t="n"/>
      <c r="CY1051" s="14" t="n"/>
      <c r="CZ1051" s="14" t="n"/>
      <c r="DA1051" s="14" t="n"/>
      <c r="DB1051" s="14" t="n"/>
      <c r="DC1051" s="14" t="n"/>
    </row>
    <row r="1052">
      <c r="B1052" t="inlineStr">
        <is>
          <t>K0050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Name],$A1051)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4" t="inlineStr">
        <is>
          <t>合計使用量(kg)/週</t>
        </is>
      </c>
      <c r="D1054">
        <f>'Grid_Requirement'!B14</f>
        <v/>
      </c>
      <c r="E1054">
        <f>'Grid_Requirement'!C14</f>
        <v/>
      </c>
      <c r="F1054">
        <f>'Grid_Requirement'!D14</f>
        <v/>
      </c>
      <c r="G1054">
        <f>'Grid_Requirement'!E14</f>
        <v/>
      </c>
      <c r="H1054">
        <f>'Grid_Requirement'!F14</f>
        <v/>
      </c>
      <c r="I1054">
        <f>'Grid_Requirement'!G14</f>
        <v/>
      </c>
      <c r="J1054">
        <f>'Grid_Requirement'!H14</f>
        <v/>
      </c>
      <c r="K1054">
        <f>'Grid_Requirement'!I14</f>
        <v/>
      </c>
      <c r="L1054">
        <f>'Grid_Requirement'!J14</f>
        <v/>
      </c>
      <c r="M1054">
        <f>'Grid_Requirement'!K14</f>
        <v/>
      </c>
      <c r="N1054">
        <f>'Grid_Requirement'!L14</f>
        <v/>
      </c>
      <c r="O1054">
        <f>'Grid_Requirement'!M14</f>
        <v/>
      </c>
      <c r="P1054">
        <f>'Grid_Requirement'!N14</f>
        <v/>
      </c>
      <c r="Q1054">
        <f>'Grid_Requirement'!O14</f>
        <v/>
      </c>
      <c r="R1054">
        <f>'Grid_Requirement'!P14</f>
        <v/>
      </c>
      <c r="S1054">
        <f>'Grid_Requirement'!Q14</f>
        <v/>
      </c>
      <c r="T1054">
        <f>'Grid_Requirement'!R14</f>
        <v/>
      </c>
      <c r="U1054">
        <f>'Grid_Requirement'!S14</f>
        <v/>
      </c>
      <c r="V1054">
        <f>'Grid_Requirement'!T14</f>
        <v/>
      </c>
      <c r="W1054">
        <f>'Grid_Requirement'!U14</f>
        <v/>
      </c>
      <c r="X1054">
        <f>'Grid_Requirement'!V14</f>
        <v/>
      </c>
      <c r="Y1054">
        <f>'Grid_Requirement'!W14</f>
        <v/>
      </c>
      <c r="Z1054">
        <f>'Grid_Requirement'!X14</f>
        <v/>
      </c>
      <c r="AA1054">
        <f>'Grid_Requirement'!Y14</f>
        <v/>
      </c>
      <c r="AB1054">
        <f>'Grid_Requirement'!Z14</f>
        <v/>
      </c>
      <c r="AC1054">
        <f>'Grid_Requirement'!AA14</f>
        <v/>
      </c>
      <c r="AD1054">
        <f>'Grid_Requirement'!AB14</f>
        <v/>
      </c>
      <c r="AE1054">
        <f>'Grid_Requirement'!AC14</f>
        <v/>
      </c>
      <c r="AF1054">
        <f>'Grid_Requirement'!AD14</f>
        <v/>
      </c>
      <c r="AG1054">
        <f>'Grid_Requirement'!AE14</f>
        <v/>
      </c>
      <c r="AH1054">
        <f>'Grid_Requirement'!AF14</f>
        <v/>
      </c>
      <c r="AI1054">
        <f>'Grid_Requirement'!AG14</f>
        <v/>
      </c>
      <c r="AJ1054">
        <f>'Grid_Requirement'!AH14</f>
        <v/>
      </c>
      <c r="AK1054">
        <f>'Grid_Requirement'!AI14</f>
        <v/>
      </c>
      <c r="AL1054">
        <f>'Grid_Requirement'!AJ14</f>
        <v/>
      </c>
      <c r="AM1054">
        <f>'Grid_Requirement'!AK14</f>
        <v/>
      </c>
      <c r="AN1054">
        <f>'Grid_Requirement'!AL14</f>
        <v/>
      </c>
      <c r="AO1054">
        <f>'Grid_Requirement'!AM14</f>
        <v/>
      </c>
      <c r="AP1054">
        <f>'Grid_Requirement'!AN14</f>
        <v/>
      </c>
      <c r="AQ1054">
        <f>'Grid_Requirement'!AO14</f>
        <v/>
      </c>
      <c r="AR1054">
        <f>'Grid_Requirement'!AP14</f>
        <v/>
      </c>
      <c r="AS1054">
        <f>'Grid_Requirement'!AQ14</f>
        <v/>
      </c>
      <c r="AT1054">
        <f>'Grid_Requirement'!AR14</f>
        <v/>
      </c>
      <c r="AU1054">
        <f>'Grid_Requirement'!AS14</f>
        <v/>
      </c>
      <c r="AV1054">
        <f>'Grid_Requirement'!AT14</f>
        <v/>
      </c>
      <c r="AW1054">
        <f>'Grid_Requirement'!AU14</f>
        <v/>
      </c>
      <c r="AX1054">
        <f>'Grid_Requirement'!AV14</f>
        <v/>
      </c>
      <c r="AY1054">
        <f>'Grid_Requirement'!AW14</f>
        <v/>
      </c>
      <c r="AZ1054">
        <f>'Grid_Requirement'!AX14</f>
        <v/>
      </c>
      <c r="BA1054">
        <f>'Grid_Requirement'!AY14</f>
        <v/>
      </c>
      <c r="BB1054">
        <f>'Grid_Requirement'!AZ14</f>
        <v/>
      </c>
      <c r="BC1054">
        <f>'Grid_Requirement'!BA14</f>
        <v/>
      </c>
      <c r="BD1054">
        <f>'Grid_Requirement'!BB14</f>
        <v/>
      </c>
      <c r="BE1054">
        <f>'Grid_Requirement'!BC14</f>
        <v/>
      </c>
      <c r="BF1054">
        <f>'Grid_Requirement'!BD14</f>
        <v/>
      </c>
      <c r="BG1054">
        <f>'Grid_Requirement'!BE14</f>
        <v/>
      </c>
      <c r="BH1054">
        <f>'Grid_Requirement'!BF14</f>
        <v/>
      </c>
      <c r="BI1054">
        <f>'Grid_Requirement'!BG14</f>
        <v/>
      </c>
      <c r="BJ1054">
        <f>'Grid_Requirement'!BH14</f>
        <v/>
      </c>
      <c r="BK1054">
        <f>'Grid_Requirement'!BI14</f>
        <v/>
      </c>
      <c r="BL1054">
        <f>'Grid_Requirement'!BJ14</f>
        <v/>
      </c>
      <c r="BM1054">
        <f>'Grid_Requirement'!BK14</f>
        <v/>
      </c>
      <c r="BN1054">
        <f>'Grid_Requirement'!BL14</f>
        <v/>
      </c>
      <c r="BO1054">
        <f>'Grid_Requirement'!BM14</f>
        <v/>
      </c>
      <c r="BP1054">
        <f>'Grid_Requirement'!BN14</f>
        <v/>
      </c>
      <c r="BQ1054">
        <f>'Grid_Requirement'!BO14</f>
        <v/>
      </c>
      <c r="BR1054">
        <f>'Grid_Requirement'!BP14</f>
        <v/>
      </c>
      <c r="BS1054">
        <f>'Grid_Requirement'!BQ14</f>
        <v/>
      </c>
      <c r="BT1054">
        <f>'Grid_Requirement'!BR14</f>
        <v/>
      </c>
      <c r="BU1054">
        <f>'Grid_Requirement'!BS14</f>
        <v/>
      </c>
      <c r="BV1054">
        <f>'Grid_Requirement'!BT14</f>
        <v/>
      </c>
      <c r="BW1054">
        <f>'Grid_Requirement'!BU14</f>
        <v/>
      </c>
      <c r="BX1054">
        <f>'Grid_Requirement'!BV14</f>
        <v/>
      </c>
      <c r="BY1054">
        <f>'Grid_Requirement'!BW14</f>
        <v/>
      </c>
      <c r="BZ1054">
        <f>'Grid_Requirement'!BX14</f>
        <v/>
      </c>
      <c r="CA1054">
        <f>'Grid_Requirement'!BY14</f>
        <v/>
      </c>
      <c r="CB1054">
        <f>'Grid_Requirement'!BZ14</f>
        <v/>
      </c>
      <c r="CC1054">
        <f>'Grid_Requirement'!CA14</f>
        <v/>
      </c>
      <c r="CD1054">
        <f>'Grid_Requirement'!CB14</f>
        <v/>
      </c>
      <c r="CE1054">
        <f>'Grid_Requirement'!CC14</f>
        <v/>
      </c>
      <c r="CF1054">
        <f>'Grid_Requirement'!CD14</f>
        <v/>
      </c>
      <c r="CG1054">
        <f>'Grid_Requirement'!CE14</f>
        <v/>
      </c>
      <c r="CH1054">
        <f>'Grid_Requirement'!CF14</f>
        <v/>
      </c>
      <c r="CI1054">
        <f>'Grid_Requirement'!CG14</f>
        <v/>
      </c>
      <c r="CJ1054">
        <f>'Grid_Requirement'!CH14</f>
        <v/>
      </c>
      <c r="CK1054">
        <f>'Grid_Requirement'!CI14</f>
        <v/>
      </c>
      <c r="CL1054">
        <f>'Grid_Requirement'!CJ14</f>
        <v/>
      </c>
      <c r="CM1054">
        <f>'Grid_Requirement'!CK14</f>
        <v/>
      </c>
      <c r="CN1054">
        <f>'Grid_Requirement'!CL14</f>
        <v/>
      </c>
      <c r="CO1054">
        <f>'Grid_Requirement'!CM14</f>
        <v/>
      </c>
      <c r="CP1054">
        <f>'Grid_Requirement'!CN14</f>
        <v/>
      </c>
      <c r="CQ1054">
        <f>'Grid_Requirement'!CO14</f>
        <v/>
      </c>
      <c r="CR1054">
        <f>'Grid_Requirement'!CP14</f>
        <v/>
      </c>
      <c r="CS1054">
        <f>'Grid_Requirement'!CQ14</f>
        <v/>
      </c>
      <c r="CT1054">
        <f>'Grid_Requirement'!CR14</f>
        <v/>
      </c>
      <c r="CU1054">
        <f>'Grid_Requirement'!CS14</f>
        <v/>
      </c>
      <c r="CV1054">
        <f>'Grid_Requirement'!CT14</f>
        <v/>
      </c>
      <c r="CW1054">
        <f>'Grid_Requirement'!CU14</f>
        <v/>
      </c>
      <c r="CX1054">
        <f>'Grid_Requirement'!CV14</f>
        <v/>
      </c>
      <c r="CY1054">
        <f>'Grid_Requirement'!CW14</f>
        <v/>
      </c>
      <c r="CZ1054">
        <f>'Grid_Requirement'!CX14</f>
        <v/>
      </c>
      <c r="DA1054">
        <f>'Grid_Requirement'!CY14</f>
        <v/>
      </c>
      <c r="DB1054">
        <f>'Grid_Requirement'!CZ14</f>
        <v/>
      </c>
      <c r="DC1054">
        <f>'Grid_Requirement'!DA14</f>
        <v/>
      </c>
    </row>
    <row r="1055">
      <c r="B1055" t="inlineStr">
        <is>
          <t>TTAF在庫(実績,kg)</t>
        </is>
      </c>
      <c r="D1055">
        <f>'T_TTAFStock'!B18</f>
        <v/>
      </c>
      <c r="E1055">
        <f>'T_TTAFStock'!C18</f>
        <v/>
      </c>
      <c r="F1055">
        <f>'T_TTAFStock'!D18</f>
        <v/>
      </c>
      <c r="G1055">
        <f>'T_TTAFStock'!E18</f>
        <v/>
      </c>
      <c r="H1055">
        <f>'T_TTAFStock'!F18</f>
        <v/>
      </c>
      <c r="I1055">
        <f>'T_TTAFStock'!G18</f>
        <v/>
      </c>
      <c r="J1055">
        <f>'T_TTAFStock'!H18</f>
        <v/>
      </c>
      <c r="K1055">
        <f>'T_TTAFStock'!I18</f>
        <v/>
      </c>
      <c r="L1055">
        <f>'T_TTAFStock'!J18</f>
        <v/>
      </c>
      <c r="M1055">
        <f>'T_TTAFStock'!K18</f>
        <v/>
      </c>
      <c r="N1055">
        <f>'T_TTAFStock'!L18</f>
        <v/>
      </c>
      <c r="O1055">
        <f>'T_TTAFStock'!M18</f>
        <v/>
      </c>
      <c r="P1055">
        <f>'T_TTAFStock'!N18</f>
        <v/>
      </c>
      <c r="Q1055">
        <f>'T_TTAFStock'!O18</f>
        <v/>
      </c>
      <c r="R1055">
        <f>'T_TTAFStock'!P18</f>
        <v/>
      </c>
      <c r="S1055">
        <f>'T_TTAFStock'!Q18</f>
        <v/>
      </c>
      <c r="T1055">
        <f>'T_TTAFStock'!R18</f>
        <v/>
      </c>
      <c r="U1055">
        <f>'T_TTAFStock'!S18</f>
        <v/>
      </c>
      <c r="V1055">
        <f>'T_TTAFStock'!T18</f>
        <v/>
      </c>
      <c r="W1055">
        <f>'T_TTAFStock'!U18</f>
        <v/>
      </c>
      <c r="X1055">
        <f>'T_TTAFStock'!V18</f>
        <v/>
      </c>
      <c r="Y1055">
        <f>'T_TTAFStock'!W18</f>
        <v/>
      </c>
      <c r="Z1055">
        <f>'T_TTAFStock'!X18</f>
        <v/>
      </c>
      <c r="AA1055">
        <f>'T_TTAFStock'!Y18</f>
        <v/>
      </c>
      <c r="AB1055">
        <f>'T_TTAFStock'!Z18</f>
        <v/>
      </c>
      <c r="AC1055">
        <f>'T_TTAFStock'!AA18</f>
        <v/>
      </c>
      <c r="AD1055">
        <f>'T_TTAFStock'!AB18</f>
        <v/>
      </c>
      <c r="AE1055">
        <f>'T_TTAFStock'!AC18</f>
        <v/>
      </c>
      <c r="AF1055">
        <f>'T_TTAFStock'!AD18</f>
        <v/>
      </c>
      <c r="AG1055">
        <f>'T_TTAFStock'!AE18</f>
        <v/>
      </c>
      <c r="AH1055">
        <f>'T_TTAFStock'!AF18</f>
        <v/>
      </c>
      <c r="AI1055">
        <f>'T_TTAFStock'!AG18</f>
        <v/>
      </c>
      <c r="AJ1055">
        <f>'T_TTAFStock'!AH18</f>
        <v/>
      </c>
      <c r="AK1055">
        <f>'T_TTAFStock'!AI18</f>
        <v/>
      </c>
      <c r="AL1055">
        <f>'T_TTAFStock'!AJ18</f>
        <v/>
      </c>
      <c r="AM1055">
        <f>'T_TTAFStock'!AK18</f>
        <v/>
      </c>
      <c r="AN1055">
        <f>'T_TTAFStock'!AL18</f>
        <v/>
      </c>
      <c r="AO1055">
        <f>'T_TTAFStock'!AM18</f>
        <v/>
      </c>
      <c r="AP1055">
        <f>'T_TTAFStock'!AN18</f>
        <v/>
      </c>
      <c r="AQ1055">
        <f>'T_TTAFStock'!AO18</f>
        <v/>
      </c>
      <c r="AR1055">
        <f>'T_TTAFStock'!AP18</f>
        <v/>
      </c>
      <c r="AS1055">
        <f>'T_TTAFStock'!AQ18</f>
        <v/>
      </c>
      <c r="AT1055">
        <f>'T_TTAFStock'!AR18</f>
        <v/>
      </c>
      <c r="AU1055">
        <f>'T_TTAFStock'!AS18</f>
        <v/>
      </c>
      <c r="AV1055">
        <f>'T_TTAFStock'!AT18</f>
        <v/>
      </c>
      <c r="AW1055">
        <f>'T_TTAFStock'!AU18</f>
        <v/>
      </c>
      <c r="AX1055">
        <f>'T_TTAFStock'!AV18</f>
        <v/>
      </c>
      <c r="AY1055">
        <f>'T_TTAFStock'!AW18</f>
        <v/>
      </c>
      <c r="AZ1055">
        <f>'T_TTAFStock'!AX18</f>
        <v/>
      </c>
      <c r="BA1055">
        <f>'T_TTAFStock'!AY18</f>
        <v/>
      </c>
      <c r="BB1055">
        <f>'T_TTAFStock'!AZ18</f>
        <v/>
      </c>
      <c r="BC1055">
        <f>'T_TTAFStock'!BA18</f>
        <v/>
      </c>
      <c r="BD1055">
        <f>'T_TTAFStock'!BB18</f>
        <v/>
      </c>
      <c r="BE1055">
        <f>'T_TTAFStock'!BC18</f>
        <v/>
      </c>
      <c r="BF1055">
        <f>'T_TTAFStock'!BD18</f>
        <v/>
      </c>
      <c r="BG1055">
        <f>'T_TTAFStock'!BE18</f>
        <v/>
      </c>
      <c r="BH1055">
        <f>'T_TTAFStock'!BF18</f>
        <v/>
      </c>
      <c r="BI1055">
        <f>'T_TTAFStock'!BG18</f>
        <v/>
      </c>
      <c r="BJ1055">
        <f>'T_TTAFStock'!BH18</f>
        <v/>
      </c>
      <c r="BK1055">
        <f>'T_TTAFStock'!BI18</f>
        <v/>
      </c>
      <c r="BL1055">
        <f>'T_TTAFStock'!BJ18</f>
        <v/>
      </c>
      <c r="BM1055">
        <f>'T_TTAFStock'!BK18</f>
        <v/>
      </c>
      <c r="BN1055">
        <f>'T_TTAFStock'!BL18</f>
        <v/>
      </c>
      <c r="BO1055">
        <f>'T_TTAFStock'!BM18</f>
        <v/>
      </c>
      <c r="BP1055">
        <f>'T_TTAFStock'!BN18</f>
        <v/>
      </c>
      <c r="BQ1055">
        <f>'T_TTAFStock'!BO18</f>
        <v/>
      </c>
      <c r="BR1055">
        <f>'T_TTAFStock'!BP18</f>
        <v/>
      </c>
      <c r="BS1055">
        <f>'T_TTAFStock'!BQ18</f>
        <v/>
      </c>
      <c r="BT1055">
        <f>'T_TTAFStock'!BR18</f>
        <v/>
      </c>
      <c r="BU1055">
        <f>'T_TTAFStock'!BS18</f>
        <v/>
      </c>
      <c r="BV1055">
        <f>'T_TTAFStock'!BT18</f>
        <v/>
      </c>
      <c r="BW1055">
        <f>'T_TTAFStock'!BU18</f>
        <v/>
      </c>
      <c r="BX1055">
        <f>'T_TTAFStock'!BV18</f>
        <v/>
      </c>
      <c r="BY1055">
        <f>'T_TTAFStock'!BW18</f>
        <v/>
      </c>
      <c r="BZ1055">
        <f>'T_TTAFStock'!BX18</f>
        <v/>
      </c>
      <c r="CA1055">
        <f>'T_TTAFStock'!BY18</f>
        <v/>
      </c>
      <c r="CB1055">
        <f>'T_TTAFStock'!BZ18</f>
        <v/>
      </c>
      <c r="CC1055">
        <f>'T_TTAFStock'!CA18</f>
        <v/>
      </c>
      <c r="CD1055">
        <f>'T_TTAFStock'!CB18</f>
        <v/>
      </c>
      <c r="CE1055">
        <f>'T_TTAFStock'!CC18</f>
        <v/>
      </c>
      <c r="CF1055">
        <f>'T_TTAFStock'!CD18</f>
        <v/>
      </c>
      <c r="CG1055">
        <f>'T_TTAFStock'!CE18</f>
        <v/>
      </c>
      <c r="CH1055">
        <f>'T_TTAFStock'!CF18</f>
        <v/>
      </c>
      <c r="CI1055">
        <f>'T_TTAFStock'!CG18</f>
        <v/>
      </c>
      <c r="CJ1055">
        <f>'T_TTAFStock'!CH18</f>
        <v/>
      </c>
      <c r="CK1055">
        <f>'T_TTAFStock'!CI18</f>
        <v/>
      </c>
      <c r="CL1055">
        <f>'T_TTAFStock'!CJ18</f>
        <v/>
      </c>
      <c r="CM1055">
        <f>'T_TTAFStock'!CK18</f>
        <v/>
      </c>
      <c r="CN1055">
        <f>'T_TTAFStock'!CL18</f>
        <v/>
      </c>
      <c r="CO1055">
        <f>'T_TTAFStock'!CM18</f>
        <v/>
      </c>
      <c r="CP1055">
        <f>'T_TTAFStock'!CN18</f>
        <v/>
      </c>
      <c r="CQ1055">
        <f>'T_TTAFStock'!CO18</f>
        <v/>
      </c>
      <c r="CR1055">
        <f>'T_TTAFStock'!CP18</f>
        <v/>
      </c>
      <c r="CS1055">
        <f>'T_TTAFStock'!CQ18</f>
        <v/>
      </c>
      <c r="CT1055">
        <f>'T_TTAFStock'!CR18</f>
        <v/>
      </c>
      <c r="CU1055">
        <f>'T_TTAFStock'!CS18</f>
        <v/>
      </c>
      <c r="CV1055">
        <f>'T_TTAFStock'!CT18</f>
        <v/>
      </c>
      <c r="CW1055">
        <f>'T_TTAFStock'!CU18</f>
        <v/>
      </c>
      <c r="CX1055">
        <f>'T_TTAFStock'!CV18</f>
        <v/>
      </c>
      <c r="CY1055">
        <f>'T_TTAFStock'!CW18</f>
        <v/>
      </c>
      <c r="CZ1055">
        <f>'T_TTAFStock'!CX18</f>
        <v/>
      </c>
      <c r="DA1055">
        <f>'T_TTAFStock'!CY18</f>
        <v/>
      </c>
      <c r="DB1055">
        <f>'T_TTAFStock'!CZ18</f>
        <v/>
      </c>
      <c r="DC1055">
        <f>'T_TTAFStock'!DA18</f>
        <v/>
      </c>
    </row>
    <row r="1056">
      <c r="B1056" t="inlineStr">
        <is>
          <t>自社在庫(実績,kg)</t>
        </is>
      </c>
      <c r="D1056">
        <f>'T_SelfStock'!B18</f>
        <v/>
      </c>
      <c r="E1056">
        <f>'T_SelfStock'!C18</f>
        <v/>
      </c>
      <c r="F1056">
        <f>'T_SelfStock'!D18</f>
        <v/>
      </c>
      <c r="G1056">
        <f>'T_SelfStock'!E18</f>
        <v/>
      </c>
      <c r="H1056">
        <f>'T_SelfStock'!F18</f>
        <v/>
      </c>
      <c r="I1056">
        <f>'T_SelfStock'!G18</f>
        <v/>
      </c>
      <c r="J1056">
        <f>'T_SelfStock'!H18</f>
        <v/>
      </c>
      <c r="K1056">
        <f>'T_SelfStock'!I18</f>
        <v/>
      </c>
      <c r="L1056">
        <f>'T_SelfStock'!J18</f>
        <v/>
      </c>
      <c r="M1056">
        <f>'T_SelfStock'!K18</f>
        <v/>
      </c>
      <c r="N1056">
        <f>'T_SelfStock'!L18</f>
        <v/>
      </c>
      <c r="O1056">
        <f>'T_SelfStock'!M18</f>
        <v/>
      </c>
      <c r="P1056">
        <f>'T_SelfStock'!N18</f>
        <v/>
      </c>
      <c r="Q1056">
        <f>'T_SelfStock'!O18</f>
        <v/>
      </c>
      <c r="R1056">
        <f>'T_SelfStock'!P18</f>
        <v/>
      </c>
      <c r="S1056">
        <f>'T_SelfStock'!Q18</f>
        <v/>
      </c>
      <c r="T1056">
        <f>'T_SelfStock'!R18</f>
        <v/>
      </c>
      <c r="U1056">
        <f>'T_SelfStock'!S18</f>
        <v/>
      </c>
      <c r="V1056">
        <f>'T_SelfStock'!T18</f>
        <v/>
      </c>
      <c r="W1056">
        <f>'T_SelfStock'!U18</f>
        <v/>
      </c>
      <c r="X1056">
        <f>'T_SelfStock'!V18</f>
        <v/>
      </c>
      <c r="Y1056">
        <f>'T_SelfStock'!W18</f>
        <v/>
      </c>
      <c r="Z1056">
        <f>'T_SelfStock'!X18</f>
        <v/>
      </c>
      <c r="AA1056">
        <f>'T_SelfStock'!Y18</f>
        <v/>
      </c>
      <c r="AB1056">
        <f>'T_SelfStock'!Z18</f>
        <v/>
      </c>
      <c r="AC1056">
        <f>'T_SelfStock'!AA18</f>
        <v/>
      </c>
      <c r="AD1056">
        <f>'T_SelfStock'!AB18</f>
        <v/>
      </c>
      <c r="AE1056">
        <f>'T_SelfStock'!AC18</f>
        <v/>
      </c>
      <c r="AF1056">
        <f>'T_SelfStock'!AD18</f>
        <v/>
      </c>
      <c r="AG1056">
        <f>'T_SelfStock'!AE18</f>
        <v/>
      </c>
      <c r="AH1056">
        <f>'T_SelfStock'!AF18</f>
        <v/>
      </c>
      <c r="AI1056">
        <f>'T_SelfStock'!AG18</f>
        <v/>
      </c>
      <c r="AJ1056">
        <f>'T_SelfStock'!AH18</f>
        <v/>
      </c>
      <c r="AK1056">
        <f>'T_SelfStock'!AI18</f>
        <v/>
      </c>
      <c r="AL1056">
        <f>'T_SelfStock'!AJ18</f>
        <v/>
      </c>
      <c r="AM1056">
        <f>'T_SelfStock'!AK18</f>
        <v/>
      </c>
      <c r="AN1056">
        <f>'T_SelfStock'!AL18</f>
        <v/>
      </c>
      <c r="AO1056">
        <f>'T_SelfStock'!AM18</f>
        <v/>
      </c>
      <c r="AP1056">
        <f>'T_SelfStock'!AN18</f>
        <v/>
      </c>
      <c r="AQ1056">
        <f>'T_SelfStock'!AO18</f>
        <v/>
      </c>
      <c r="AR1056">
        <f>'T_SelfStock'!AP18</f>
        <v/>
      </c>
      <c r="AS1056">
        <f>'T_SelfStock'!AQ18</f>
        <v/>
      </c>
      <c r="AT1056">
        <f>'T_SelfStock'!AR18</f>
        <v/>
      </c>
      <c r="AU1056">
        <f>'T_SelfStock'!AS18</f>
        <v/>
      </c>
      <c r="AV1056">
        <f>'T_SelfStock'!AT18</f>
        <v/>
      </c>
      <c r="AW1056">
        <f>'T_SelfStock'!AU18</f>
        <v/>
      </c>
      <c r="AX1056">
        <f>'T_SelfStock'!AV18</f>
        <v/>
      </c>
      <c r="AY1056">
        <f>'T_SelfStock'!AW18</f>
        <v/>
      </c>
      <c r="AZ1056">
        <f>'T_SelfStock'!AX18</f>
        <v/>
      </c>
      <c r="BA1056">
        <f>'T_SelfStock'!AY18</f>
        <v/>
      </c>
      <c r="BB1056">
        <f>'T_SelfStock'!AZ18</f>
        <v/>
      </c>
      <c r="BC1056">
        <f>'T_SelfStock'!BA18</f>
        <v/>
      </c>
      <c r="BD1056">
        <f>'T_SelfStock'!BB18</f>
        <v/>
      </c>
      <c r="BE1056">
        <f>'T_SelfStock'!BC18</f>
        <v/>
      </c>
      <c r="BF1056">
        <f>'T_SelfStock'!BD18</f>
        <v/>
      </c>
      <c r="BG1056">
        <f>'T_SelfStock'!BE18</f>
        <v/>
      </c>
      <c r="BH1056">
        <f>'T_SelfStock'!BF18</f>
        <v/>
      </c>
      <c r="BI1056">
        <f>'T_SelfStock'!BG18</f>
        <v/>
      </c>
      <c r="BJ1056">
        <f>'T_SelfStock'!BH18</f>
        <v/>
      </c>
      <c r="BK1056">
        <f>'T_SelfStock'!BI18</f>
        <v/>
      </c>
      <c r="BL1056">
        <f>'T_SelfStock'!BJ18</f>
        <v/>
      </c>
      <c r="BM1056">
        <f>'T_SelfStock'!BK18</f>
        <v/>
      </c>
      <c r="BN1056">
        <f>'T_SelfStock'!BL18</f>
        <v/>
      </c>
      <c r="BO1056">
        <f>'T_SelfStock'!BM18</f>
        <v/>
      </c>
      <c r="BP1056">
        <f>'T_SelfStock'!BN18</f>
        <v/>
      </c>
      <c r="BQ1056">
        <f>'T_SelfStock'!BO18</f>
        <v/>
      </c>
      <c r="BR1056">
        <f>'T_SelfStock'!BP18</f>
        <v/>
      </c>
      <c r="BS1056">
        <f>'T_SelfStock'!BQ18</f>
        <v/>
      </c>
      <c r="BT1056">
        <f>'T_SelfStock'!BR18</f>
        <v/>
      </c>
      <c r="BU1056">
        <f>'T_SelfStock'!BS18</f>
        <v/>
      </c>
      <c r="BV1056">
        <f>'T_SelfStock'!BT18</f>
        <v/>
      </c>
      <c r="BW1056">
        <f>'T_SelfStock'!BU18</f>
        <v/>
      </c>
      <c r="BX1056">
        <f>'T_SelfStock'!BV18</f>
        <v/>
      </c>
      <c r="BY1056">
        <f>'T_SelfStock'!BW18</f>
        <v/>
      </c>
      <c r="BZ1056">
        <f>'T_SelfStock'!BX18</f>
        <v/>
      </c>
      <c r="CA1056">
        <f>'T_SelfStock'!BY18</f>
        <v/>
      </c>
      <c r="CB1056">
        <f>'T_SelfStock'!BZ18</f>
        <v/>
      </c>
      <c r="CC1056">
        <f>'T_SelfStock'!CA18</f>
        <v/>
      </c>
      <c r="CD1056">
        <f>'T_SelfStock'!CB18</f>
        <v/>
      </c>
      <c r="CE1056">
        <f>'T_SelfStock'!CC18</f>
        <v/>
      </c>
      <c r="CF1056">
        <f>'T_SelfStock'!CD18</f>
        <v/>
      </c>
      <c r="CG1056">
        <f>'T_SelfStock'!CE18</f>
        <v/>
      </c>
      <c r="CH1056">
        <f>'T_SelfStock'!CF18</f>
        <v/>
      </c>
      <c r="CI1056">
        <f>'T_SelfStock'!CG18</f>
        <v/>
      </c>
      <c r="CJ1056">
        <f>'T_SelfStock'!CH18</f>
        <v/>
      </c>
      <c r="CK1056">
        <f>'T_SelfStock'!CI18</f>
        <v/>
      </c>
      <c r="CL1056">
        <f>'T_SelfStock'!CJ18</f>
        <v/>
      </c>
      <c r="CM1056">
        <f>'T_SelfStock'!CK18</f>
        <v/>
      </c>
      <c r="CN1056">
        <f>'T_SelfStock'!CL18</f>
        <v/>
      </c>
      <c r="CO1056">
        <f>'T_SelfStock'!CM18</f>
        <v/>
      </c>
      <c r="CP1056">
        <f>'T_SelfStock'!CN18</f>
        <v/>
      </c>
      <c r="CQ1056">
        <f>'T_SelfStock'!CO18</f>
        <v/>
      </c>
      <c r="CR1056">
        <f>'T_SelfStock'!CP18</f>
        <v/>
      </c>
      <c r="CS1056">
        <f>'T_SelfStock'!CQ18</f>
        <v/>
      </c>
      <c r="CT1056">
        <f>'T_SelfStock'!CR18</f>
        <v/>
      </c>
      <c r="CU1056">
        <f>'T_SelfStock'!CS18</f>
        <v/>
      </c>
      <c r="CV1056">
        <f>'T_SelfStock'!CT18</f>
        <v/>
      </c>
      <c r="CW1056">
        <f>'T_SelfStock'!CU18</f>
        <v/>
      </c>
      <c r="CX1056">
        <f>'T_SelfStock'!CV18</f>
        <v/>
      </c>
      <c r="CY1056">
        <f>'T_SelfStock'!CW18</f>
        <v/>
      </c>
      <c r="CZ1056">
        <f>'T_SelfStock'!CX18</f>
        <v/>
      </c>
      <c r="DA1056">
        <f>'T_SelfStock'!CY18</f>
        <v/>
      </c>
      <c r="DB1056">
        <f>'T_SelfStock'!CZ18</f>
        <v/>
      </c>
      <c r="DC1056">
        <f>'T_SelfStock'!DA18</f>
        <v/>
      </c>
    </row>
    <row r="1057">
      <c r="B1057" s="4" t="inlineStr">
        <is>
          <t>合計在庫(週末時点,kg)</t>
        </is>
      </c>
      <c r="D1057">
        <f>'Grid_Stock'!B14</f>
        <v/>
      </c>
      <c r="E1057">
        <f>'Grid_Stock'!C14</f>
        <v/>
      </c>
      <c r="F1057">
        <f>'Grid_Stock'!D14</f>
        <v/>
      </c>
      <c r="G1057">
        <f>'Grid_Stock'!E14</f>
        <v/>
      </c>
      <c r="H1057">
        <f>'Grid_Stock'!F14</f>
        <v/>
      </c>
      <c r="I1057">
        <f>'Grid_Stock'!G14</f>
        <v/>
      </c>
      <c r="J1057">
        <f>'Grid_Stock'!H14</f>
        <v/>
      </c>
      <c r="K1057">
        <f>'Grid_Stock'!I14</f>
        <v/>
      </c>
      <c r="L1057">
        <f>'Grid_Stock'!J14</f>
        <v/>
      </c>
      <c r="M1057">
        <f>'Grid_Stock'!K14</f>
        <v/>
      </c>
      <c r="N1057">
        <f>'Grid_Stock'!L14</f>
        <v/>
      </c>
      <c r="O1057">
        <f>'Grid_Stock'!M14</f>
        <v/>
      </c>
      <c r="P1057">
        <f>'Grid_Stock'!N14</f>
        <v/>
      </c>
      <c r="Q1057">
        <f>'Grid_Stock'!O14</f>
        <v/>
      </c>
      <c r="R1057">
        <f>'Grid_Stock'!P14</f>
        <v/>
      </c>
      <c r="S1057">
        <f>'Grid_Stock'!Q14</f>
        <v/>
      </c>
      <c r="T1057">
        <f>'Grid_Stock'!R14</f>
        <v/>
      </c>
      <c r="U1057">
        <f>'Grid_Stock'!S14</f>
        <v/>
      </c>
      <c r="V1057">
        <f>'Grid_Stock'!T14</f>
        <v/>
      </c>
      <c r="W1057">
        <f>'Grid_Stock'!U14</f>
        <v/>
      </c>
      <c r="X1057">
        <f>'Grid_Stock'!V14</f>
        <v/>
      </c>
      <c r="Y1057">
        <f>'Grid_Stock'!W14</f>
        <v/>
      </c>
      <c r="Z1057">
        <f>'Grid_Stock'!X14</f>
        <v/>
      </c>
      <c r="AA1057">
        <f>'Grid_Stock'!Y14</f>
        <v/>
      </c>
      <c r="AB1057">
        <f>'Grid_Stock'!Z14</f>
        <v/>
      </c>
      <c r="AC1057">
        <f>'Grid_Stock'!AA14</f>
        <v/>
      </c>
      <c r="AD1057">
        <f>'Grid_Stock'!AB14</f>
        <v/>
      </c>
      <c r="AE1057">
        <f>'Grid_Stock'!AC14</f>
        <v/>
      </c>
      <c r="AF1057">
        <f>'Grid_Stock'!AD14</f>
        <v/>
      </c>
      <c r="AG1057">
        <f>'Grid_Stock'!AE14</f>
        <v/>
      </c>
      <c r="AH1057">
        <f>'Grid_Stock'!AF14</f>
        <v/>
      </c>
      <c r="AI1057">
        <f>'Grid_Stock'!AG14</f>
        <v/>
      </c>
      <c r="AJ1057">
        <f>'Grid_Stock'!AH14</f>
        <v/>
      </c>
      <c r="AK1057">
        <f>'Grid_Stock'!AI14</f>
        <v/>
      </c>
      <c r="AL1057">
        <f>'Grid_Stock'!AJ14</f>
        <v/>
      </c>
      <c r="AM1057">
        <f>'Grid_Stock'!AK14</f>
        <v/>
      </c>
      <c r="AN1057">
        <f>'Grid_Stock'!AL14</f>
        <v/>
      </c>
      <c r="AO1057">
        <f>'Grid_Stock'!AM14</f>
        <v/>
      </c>
      <c r="AP1057">
        <f>'Grid_Stock'!AN14</f>
        <v/>
      </c>
      <c r="AQ1057">
        <f>'Grid_Stock'!AO14</f>
        <v/>
      </c>
      <c r="AR1057">
        <f>'Grid_Stock'!AP14</f>
        <v/>
      </c>
      <c r="AS1057">
        <f>'Grid_Stock'!AQ14</f>
        <v/>
      </c>
      <c r="AT1057">
        <f>'Grid_Stock'!AR14</f>
        <v/>
      </c>
      <c r="AU1057">
        <f>'Grid_Stock'!AS14</f>
        <v/>
      </c>
      <c r="AV1057">
        <f>'Grid_Stock'!AT14</f>
        <v/>
      </c>
      <c r="AW1057">
        <f>'Grid_Stock'!AU14</f>
        <v/>
      </c>
      <c r="AX1057">
        <f>'Grid_Stock'!AV14</f>
        <v/>
      </c>
      <c r="AY1057">
        <f>'Grid_Stock'!AW14</f>
        <v/>
      </c>
      <c r="AZ1057">
        <f>'Grid_Stock'!AX14</f>
        <v/>
      </c>
      <c r="BA1057">
        <f>'Grid_Stock'!AY14</f>
        <v/>
      </c>
      <c r="BB1057">
        <f>'Grid_Stock'!AZ14</f>
        <v/>
      </c>
      <c r="BC1057">
        <f>'Grid_Stock'!BA14</f>
        <v/>
      </c>
      <c r="BD1057">
        <f>'Grid_Stock'!BB14</f>
        <v/>
      </c>
      <c r="BE1057">
        <f>'Grid_Stock'!BC14</f>
        <v/>
      </c>
      <c r="BF1057">
        <f>'Grid_Stock'!BD14</f>
        <v/>
      </c>
      <c r="BG1057">
        <f>'Grid_Stock'!BE14</f>
        <v/>
      </c>
      <c r="BH1057">
        <f>'Grid_Stock'!BF14</f>
        <v/>
      </c>
      <c r="BI1057">
        <f>'Grid_Stock'!BG14</f>
        <v/>
      </c>
      <c r="BJ1057">
        <f>'Grid_Stock'!BH14</f>
        <v/>
      </c>
      <c r="BK1057">
        <f>'Grid_Stock'!BI14</f>
        <v/>
      </c>
      <c r="BL1057">
        <f>'Grid_Stock'!BJ14</f>
        <v/>
      </c>
      <c r="BM1057">
        <f>'Grid_Stock'!BK14</f>
        <v/>
      </c>
      <c r="BN1057">
        <f>'Grid_Stock'!BL14</f>
        <v/>
      </c>
      <c r="BO1057">
        <f>'Grid_Stock'!BM14</f>
        <v/>
      </c>
      <c r="BP1057">
        <f>'Grid_Stock'!BN14</f>
        <v/>
      </c>
      <c r="BQ1057">
        <f>'Grid_Stock'!BO14</f>
        <v/>
      </c>
      <c r="BR1057">
        <f>'Grid_Stock'!BP14</f>
        <v/>
      </c>
      <c r="BS1057">
        <f>'Grid_Stock'!BQ14</f>
        <v/>
      </c>
      <c r="BT1057">
        <f>'Grid_Stock'!BR14</f>
        <v/>
      </c>
      <c r="BU1057">
        <f>'Grid_Stock'!BS14</f>
        <v/>
      </c>
      <c r="BV1057">
        <f>'Grid_Stock'!BT14</f>
        <v/>
      </c>
      <c r="BW1057">
        <f>'Grid_Stock'!BU14</f>
        <v/>
      </c>
      <c r="BX1057">
        <f>'Grid_Stock'!BV14</f>
        <v/>
      </c>
      <c r="BY1057">
        <f>'Grid_Stock'!BW14</f>
        <v/>
      </c>
      <c r="BZ1057">
        <f>'Grid_Stock'!BX14</f>
        <v/>
      </c>
      <c r="CA1057">
        <f>'Grid_Stock'!BY14</f>
        <v/>
      </c>
      <c r="CB1057">
        <f>'Grid_Stock'!BZ14</f>
        <v/>
      </c>
      <c r="CC1057">
        <f>'Grid_Stock'!CA14</f>
        <v/>
      </c>
      <c r="CD1057">
        <f>'Grid_Stock'!CB14</f>
        <v/>
      </c>
      <c r="CE1057">
        <f>'Grid_Stock'!CC14</f>
        <v/>
      </c>
      <c r="CF1057">
        <f>'Grid_Stock'!CD14</f>
        <v/>
      </c>
      <c r="CG1057">
        <f>'Grid_Stock'!CE14</f>
        <v/>
      </c>
      <c r="CH1057">
        <f>'Grid_Stock'!CF14</f>
        <v/>
      </c>
      <c r="CI1057">
        <f>'Grid_Stock'!CG14</f>
        <v/>
      </c>
      <c r="CJ1057">
        <f>'Grid_Stock'!CH14</f>
        <v/>
      </c>
      <c r="CK1057">
        <f>'Grid_Stock'!CI14</f>
        <v/>
      </c>
      <c r="CL1057">
        <f>'Grid_Stock'!CJ14</f>
        <v/>
      </c>
      <c r="CM1057">
        <f>'Grid_Stock'!CK14</f>
        <v/>
      </c>
      <c r="CN1057">
        <f>'Grid_Stock'!CL14</f>
        <v/>
      </c>
      <c r="CO1057">
        <f>'Grid_Stock'!CM14</f>
        <v/>
      </c>
      <c r="CP1057">
        <f>'Grid_Stock'!CN14</f>
        <v/>
      </c>
      <c r="CQ1057">
        <f>'Grid_Stock'!CO14</f>
        <v/>
      </c>
      <c r="CR1057">
        <f>'Grid_Stock'!CP14</f>
        <v/>
      </c>
      <c r="CS1057">
        <f>'Grid_Stock'!CQ14</f>
        <v/>
      </c>
      <c r="CT1057">
        <f>'Grid_Stock'!CR14</f>
        <v/>
      </c>
      <c r="CU1057">
        <f>'Grid_Stock'!CS14</f>
        <v/>
      </c>
      <c r="CV1057">
        <f>'Grid_Stock'!CT14</f>
        <v/>
      </c>
      <c r="CW1057">
        <f>'Grid_Stock'!CU14</f>
        <v/>
      </c>
      <c r="CX1057">
        <f>'Grid_Stock'!CV14</f>
        <v/>
      </c>
      <c r="CY1057">
        <f>'Grid_Stock'!CW14</f>
        <v/>
      </c>
      <c r="CZ1057">
        <f>'Grid_Stock'!CX14</f>
        <v/>
      </c>
      <c r="DA1057">
        <f>'Grid_Stock'!CY14</f>
        <v/>
      </c>
      <c r="DB1057">
        <f>'Grid_Stock'!CZ14</f>
        <v/>
      </c>
      <c r="DC1057">
        <f>'Grid_Stock'!DA14</f>
        <v/>
      </c>
    </row>
    <row r="1058">
      <c r="B1058" s="16" t="inlineStr">
        <is>
          <t>（発注の目安はDashboardの基準在庫[下限/上限]と色分けを参照）</t>
        </is>
      </c>
    </row>
    <row r="1060">
      <c r="A1060" s="14" t="inlineStr">
        <is>
          <t>PP Film</t>
        </is>
      </c>
      <c r="B1060" s="14" t="inlineStr">
        <is>
          <t>PP Film</t>
        </is>
      </c>
      <c r="C1060" s="15" t="n"/>
      <c r="D1060" s="14" t="n"/>
      <c r="E1060" s="14" t="n"/>
      <c r="F1060" s="14" t="n"/>
      <c r="G1060" s="14" t="n"/>
      <c r="H1060" s="14" t="n"/>
      <c r="I1060" s="14" t="n"/>
      <c r="J1060" s="14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  <c r="S1060" s="14" t="n"/>
      <c r="T1060" s="14" t="n"/>
      <c r="U1060" s="14" t="n"/>
      <c r="V1060" s="14" t="n"/>
      <c r="W1060" s="14" t="n"/>
      <c r="X1060" s="14" t="n"/>
      <c r="Y1060" s="14" t="n"/>
      <c r="Z1060" s="14" t="n"/>
      <c r="AA1060" s="14" t="n"/>
      <c r="AB1060" s="14" t="n"/>
      <c r="AC1060" s="14" t="n"/>
      <c r="AD1060" s="14" t="n"/>
      <c r="AE1060" s="14" t="n"/>
      <c r="AF1060" s="14" t="n"/>
      <c r="AG1060" s="14" t="n"/>
      <c r="AH1060" s="14" t="n"/>
      <c r="AI1060" s="14" t="n"/>
      <c r="AJ1060" s="14" t="n"/>
      <c r="AK1060" s="14" t="n"/>
      <c r="AL1060" s="14" t="n"/>
      <c r="AM1060" s="14" t="n"/>
      <c r="AN1060" s="14" t="n"/>
      <c r="AO1060" s="14" t="n"/>
      <c r="AP1060" s="14" t="n"/>
      <c r="AQ1060" s="14" t="n"/>
      <c r="AR1060" s="14" t="n"/>
      <c r="AS1060" s="14" t="n"/>
      <c r="AT1060" s="14" t="n"/>
      <c r="AU1060" s="14" t="n"/>
      <c r="AV1060" s="14" t="n"/>
      <c r="AW1060" s="14" t="n"/>
      <c r="AX1060" s="14" t="n"/>
      <c r="AY1060" s="14" t="n"/>
      <c r="AZ1060" s="14" t="n"/>
      <c r="BA1060" s="14" t="n"/>
      <c r="BB1060" s="14" t="n"/>
      <c r="BC1060" s="14" t="n"/>
      <c r="BD1060" s="14" t="n"/>
      <c r="BE1060" s="14" t="n"/>
      <c r="BF1060" s="14" t="n"/>
      <c r="BG1060" s="14" t="n"/>
      <c r="BH1060" s="14" t="n"/>
      <c r="BI1060" s="14" t="n"/>
      <c r="BJ1060" s="14" t="n"/>
      <c r="BK1060" s="14" t="n"/>
      <c r="BL1060" s="14" t="n"/>
      <c r="BM1060" s="14" t="n"/>
      <c r="BN1060" s="14" t="n"/>
      <c r="BO1060" s="14" t="n"/>
      <c r="BP1060" s="14" t="n"/>
      <c r="BQ1060" s="14" t="n"/>
      <c r="BR1060" s="14" t="n"/>
      <c r="BS1060" s="14" t="n"/>
      <c r="BT1060" s="14" t="n"/>
      <c r="BU1060" s="14" t="n"/>
      <c r="BV1060" s="14" t="n"/>
      <c r="BW1060" s="14" t="n"/>
      <c r="BX1060" s="14" t="n"/>
      <c r="BY1060" s="14" t="n"/>
      <c r="BZ1060" s="14" t="n"/>
      <c r="CA1060" s="14" t="n"/>
      <c r="CB1060" s="14" t="n"/>
      <c r="CC1060" s="14" t="n"/>
      <c r="CD1060" s="14" t="n"/>
      <c r="CE1060" s="14" t="n"/>
      <c r="CF1060" s="14" t="n"/>
      <c r="CG1060" s="14" t="n"/>
      <c r="CH1060" s="14" t="n"/>
      <c r="CI1060" s="14" t="n"/>
      <c r="CJ1060" s="14" t="n"/>
      <c r="CK1060" s="14" t="n"/>
      <c r="CL1060" s="14" t="n"/>
      <c r="CM1060" s="14" t="n"/>
      <c r="CN1060" s="14" t="n"/>
      <c r="CO1060" s="14" t="n"/>
      <c r="CP1060" s="14" t="n"/>
      <c r="CQ1060" s="14" t="n"/>
      <c r="CR1060" s="14" t="n"/>
      <c r="CS1060" s="14" t="n"/>
      <c r="CT1060" s="14" t="n"/>
      <c r="CU1060" s="14" t="n"/>
      <c r="CV1060" s="14" t="n"/>
      <c r="CW1060" s="14" t="n"/>
      <c r="CX1060" s="14" t="n"/>
      <c r="CY1060" s="14" t="n"/>
      <c r="CZ1060" s="14" t="n"/>
      <c r="DA1060" s="14" t="n"/>
      <c r="DB1060" s="14" t="n"/>
      <c r="DC1060" s="14" t="n"/>
    </row>
    <row r="1061">
      <c r="B1061" t="inlineStr">
        <is>
          <t>PP Film</t>
        </is>
      </c>
      <c r="C1061" t="inlineStr">
        <is>
          <t>No. of batches</t>
        </is>
      </c>
      <c r="D1061">
        <f>IFERROR(INDEX(PP_Grid[#Data],$DD1061,2),0)</f>
        <v/>
      </c>
      <c r="E1061">
        <f>IFERROR(INDEX(PP_Grid[#Data],$DD1061,3),0)</f>
        <v/>
      </c>
      <c r="F1061">
        <f>IFERROR(INDEX(PP_Grid[#Data],$DD1061,4),0)</f>
        <v/>
      </c>
      <c r="G1061">
        <f>IFERROR(INDEX(PP_Grid[#Data],$DD1061,5),0)</f>
        <v/>
      </c>
      <c r="H1061">
        <f>IFERROR(INDEX(PP_Grid[#Data],$DD1061,6),0)</f>
        <v/>
      </c>
      <c r="I1061">
        <f>IFERROR(INDEX(PP_Grid[#Data],$DD1061,7),0)</f>
        <v/>
      </c>
      <c r="J1061">
        <f>IFERROR(INDEX(PP_Grid[#Data],$DD1061,8),0)</f>
        <v/>
      </c>
      <c r="K1061">
        <f>IFERROR(INDEX(PP_Grid[#Data],$DD1061,9),0)</f>
        <v/>
      </c>
      <c r="L1061">
        <f>IFERROR(INDEX(PP_Grid[#Data],$DD1061,10),0)</f>
        <v/>
      </c>
      <c r="M1061">
        <f>IFERROR(INDEX(PP_Grid[#Data],$DD1061,11),0)</f>
        <v/>
      </c>
      <c r="N1061">
        <f>IFERROR(INDEX(PP_Grid[#Data],$DD1061,12),0)</f>
        <v/>
      </c>
      <c r="O1061">
        <f>IFERROR(INDEX(PP_Grid[#Data],$DD1061,13),0)</f>
        <v/>
      </c>
      <c r="P1061">
        <f>IFERROR(INDEX(PP_Grid[#Data],$DD1061,14),0)</f>
        <v/>
      </c>
      <c r="Q1061">
        <f>IFERROR(INDEX(PP_Grid[#Data],$DD1061,15),0)</f>
        <v/>
      </c>
      <c r="R1061">
        <f>IFERROR(INDEX(PP_Grid[#Data],$DD1061,16),0)</f>
        <v/>
      </c>
      <c r="S1061">
        <f>IFERROR(INDEX(PP_Grid[#Data],$DD1061,17),0)</f>
        <v/>
      </c>
      <c r="T1061">
        <f>IFERROR(INDEX(PP_Grid[#Data],$DD1061,18),0)</f>
        <v/>
      </c>
      <c r="U1061">
        <f>IFERROR(INDEX(PP_Grid[#Data],$DD1061,19),0)</f>
        <v/>
      </c>
      <c r="V1061">
        <f>IFERROR(INDEX(PP_Grid[#Data],$DD1061,20),0)</f>
        <v/>
      </c>
      <c r="W1061">
        <f>IFERROR(INDEX(PP_Grid[#Data],$DD1061,21),0)</f>
        <v/>
      </c>
      <c r="X1061">
        <f>IFERROR(INDEX(PP_Grid[#Data],$DD1061,22),0)</f>
        <v/>
      </c>
      <c r="Y1061">
        <f>IFERROR(INDEX(PP_Grid[#Data],$DD1061,23),0)</f>
        <v/>
      </c>
      <c r="Z1061">
        <f>IFERROR(INDEX(PP_Grid[#Data],$DD1061,24),0)</f>
        <v/>
      </c>
      <c r="AA1061">
        <f>IFERROR(INDEX(PP_Grid[#Data],$DD1061,25),0)</f>
        <v/>
      </c>
      <c r="AB1061">
        <f>IFERROR(INDEX(PP_Grid[#Data],$DD1061,26),0)</f>
        <v/>
      </c>
      <c r="AC1061">
        <f>IFERROR(INDEX(PP_Grid[#Data],$DD1061,27),0)</f>
        <v/>
      </c>
      <c r="AD1061">
        <f>IFERROR(INDEX(PP_Grid[#Data],$DD1061,28),0)</f>
        <v/>
      </c>
      <c r="AE1061">
        <f>IFERROR(INDEX(PP_Grid[#Data],$DD1061,29),0)</f>
        <v/>
      </c>
      <c r="AF1061">
        <f>IFERROR(INDEX(PP_Grid[#Data],$DD1061,30),0)</f>
        <v/>
      </c>
      <c r="AG1061">
        <f>IFERROR(INDEX(PP_Grid[#Data],$DD1061,31),0)</f>
        <v/>
      </c>
      <c r="AH1061">
        <f>IFERROR(INDEX(PP_Grid[#Data],$DD1061,32),0)</f>
        <v/>
      </c>
      <c r="AI1061">
        <f>IFERROR(INDEX(PP_Grid[#Data],$DD1061,33),0)</f>
        <v/>
      </c>
      <c r="AJ1061">
        <f>IFERROR(INDEX(PP_Grid[#Data],$DD1061,34),0)</f>
        <v/>
      </c>
      <c r="AK1061">
        <f>IFERROR(INDEX(PP_Grid[#Data],$DD1061,35),0)</f>
        <v/>
      </c>
      <c r="AL1061">
        <f>IFERROR(INDEX(PP_Grid[#Data],$DD1061,36),0)</f>
        <v/>
      </c>
      <c r="AM1061">
        <f>IFERROR(INDEX(PP_Grid[#Data],$DD1061,37),0)</f>
        <v/>
      </c>
      <c r="AN1061">
        <f>IFERROR(INDEX(PP_Grid[#Data],$DD1061,38),0)</f>
        <v/>
      </c>
      <c r="AO1061">
        <f>IFERROR(INDEX(PP_Grid[#Data],$DD1061,39),0)</f>
        <v/>
      </c>
      <c r="AP1061">
        <f>IFERROR(INDEX(PP_Grid[#Data],$DD1061,40),0)</f>
        <v/>
      </c>
      <c r="AQ1061">
        <f>IFERROR(INDEX(PP_Grid[#Data],$DD1061,41),0)</f>
        <v/>
      </c>
      <c r="AR1061">
        <f>IFERROR(INDEX(PP_Grid[#Data],$DD1061,42),0)</f>
        <v/>
      </c>
      <c r="AS1061">
        <f>IFERROR(INDEX(PP_Grid[#Data],$DD1061,43),0)</f>
        <v/>
      </c>
      <c r="AT1061">
        <f>IFERROR(INDEX(PP_Grid[#Data],$DD1061,44),0)</f>
        <v/>
      </c>
      <c r="AU1061">
        <f>IFERROR(INDEX(PP_Grid[#Data],$DD1061,45),0)</f>
        <v/>
      </c>
      <c r="AV1061">
        <f>IFERROR(INDEX(PP_Grid[#Data],$DD1061,46),0)</f>
        <v/>
      </c>
      <c r="AW1061">
        <f>IFERROR(INDEX(PP_Grid[#Data],$DD1061,47),0)</f>
        <v/>
      </c>
      <c r="AX1061">
        <f>IFERROR(INDEX(PP_Grid[#Data],$DD1061,48),0)</f>
        <v/>
      </c>
      <c r="AY1061">
        <f>IFERROR(INDEX(PP_Grid[#Data],$DD1061,49),0)</f>
        <v/>
      </c>
      <c r="AZ1061">
        <f>IFERROR(INDEX(PP_Grid[#Data],$DD1061,50),0)</f>
        <v/>
      </c>
      <c r="BA1061">
        <f>IFERROR(INDEX(PP_Grid[#Data],$DD1061,51),0)</f>
        <v/>
      </c>
      <c r="BB1061">
        <f>IFERROR(INDEX(PP_Grid[#Data],$DD1061,52),0)</f>
        <v/>
      </c>
      <c r="BC1061">
        <f>IFERROR(INDEX(PP_Grid[#Data],$DD1061,53),0)</f>
        <v/>
      </c>
      <c r="BD1061">
        <f>IFERROR(INDEX(PP_Grid[#Data],$DD1061,54),0)</f>
        <v/>
      </c>
      <c r="BE1061">
        <f>IFERROR(INDEX(PP_Grid[#Data],$DD1061,55),0)</f>
        <v/>
      </c>
      <c r="BF1061">
        <f>IFERROR(INDEX(PP_Grid[#Data],$DD1061,56),0)</f>
        <v/>
      </c>
      <c r="BG1061">
        <f>IFERROR(INDEX(PP_Grid[#Data],$DD1061,57),0)</f>
        <v/>
      </c>
      <c r="BH1061">
        <f>IFERROR(INDEX(PP_Grid[#Data],$DD1061,58),0)</f>
        <v/>
      </c>
      <c r="BI1061">
        <f>IFERROR(INDEX(PP_Grid[#Data],$DD1061,59),0)</f>
        <v/>
      </c>
      <c r="BJ1061">
        <f>IFERROR(INDEX(PP_Grid[#Data],$DD1061,60),0)</f>
        <v/>
      </c>
      <c r="BK1061">
        <f>IFERROR(INDEX(PP_Grid[#Data],$DD1061,61),0)</f>
        <v/>
      </c>
      <c r="BL1061">
        <f>IFERROR(INDEX(PP_Grid[#Data],$DD1061,62),0)</f>
        <v/>
      </c>
      <c r="BM1061">
        <f>IFERROR(INDEX(PP_Grid[#Data],$DD1061,63),0)</f>
        <v/>
      </c>
      <c r="BN1061">
        <f>IFERROR(INDEX(PP_Grid[#Data],$DD1061,64),0)</f>
        <v/>
      </c>
      <c r="BO1061">
        <f>IFERROR(INDEX(PP_Grid[#Data],$DD1061,65),0)</f>
        <v/>
      </c>
      <c r="BP1061">
        <f>IFERROR(INDEX(PP_Grid[#Data],$DD1061,66),0)</f>
        <v/>
      </c>
      <c r="BQ1061">
        <f>IFERROR(INDEX(PP_Grid[#Data],$DD1061,67),0)</f>
        <v/>
      </c>
      <c r="BR1061">
        <f>IFERROR(INDEX(PP_Grid[#Data],$DD1061,68),0)</f>
        <v/>
      </c>
      <c r="BS1061">
        <f>IFERROR(INDEX(PP_Grid[#Data],$DD1061,69),0)</f>
        <v/>
      </c>
      <c r="BT1061">
        <f>IFERROR(INDEX(PP_Grid[#Data],$DD1061,70),0)</f>
        <v/>
      </c>
      <c r="BU1061">
        <f>IFERROR(INDEX(PP_Grid[#Data],$DD1061,71),0)</f>
        <v/>
      </c>
      <c r="BV1061">
        <f>IFERROR(INDEX(PP_Grid[#Data],$DD1061,72),0)</f>
        <v/>
      </c>
      <c r="BW1061">
        <f>IFERROR(INDEX(PP_Grid[#Data],$DD1061,73),0)</f>
        <v/>
      </c>
      <c r="BX1061">
        <f>IFERROR(INDEX(PP_Grid[#Data],$DD1061,74),0)</f>
        <v/>
      </c>
      <c r="BY1061">
        <f>IFERROR(INDEX(PP_Grid[#Data],$DD1061,75),0)</f>
        <v/>
      </c>
      <c r="BZ1061">
        <f>IFERROR(INDEX(PP_Grid[#Data],$DD1061,76),0)</f>
        <v/>
      </c>
      <c r="CA1061">
        <f>IFERROR(INDEX(PP_Grid[#Data],$DD1061,77),0)</f>
        <v/>
      </c>
      <c r="CB1061">
        <f>IFERROR(INDEX(PP_Grid[#Data],$DD1061,78),0)</f>
        <v/>
      </c>
      <c r="CC1061">
        <f>IFERROR(INDEX(PP_Grid[#Data],$DD1061,79),0)</f>
        <v/>
      </c>
      <c r="CD1061">
        <f>IFERROR(INDEX(PP_Grid[#Data],$DD1061,80),0)</f>
        <v/>
      </c>
      <c r="CE1061">
        <f>IFERROR(INDEX(PP_Grid[#Data],$DD1061,81),0)</f>
        <v/>
      </c>
      <c r="CF1061">
        <f>IFERROR(INDEX(PP_Grid[#Data],$DD1061,82),0)</f>
        <v/>
      </c>
      <c r="CG1061">
        <f>IFERROR(INDEX(PP_Grid[#Data],$DD1061,83),0)</f>
        <v/>
      </c>
      <c r="CH1061">
        <f>IFERROR(INDEX(PP_Grid[#Data],$DD1061,84),0)</f>
        <v/>
      </c>
      <c r="CI1061">
        <f>IFERROR(INDEX(PP_Grid[#Data],$DD1061,85),0)</f>
        <v/>
      </c>
      <c r="CJ1061">
        <f>IFERROR(INDEX(PP_Grid[#Data],$DD1061,86),0)</f>
        <v/>
      </c>
      <c r="CK1061">
        <f>IFERROR(INDEX(PP_Grid[#Data],$DD1061,87),0)</f>
        <v/>
      </c>
      <c r="CL1061">
        <f>IFERROR(INDEX(PP_Grid[#Data],$DD1061,88),0)</f>
        <v/>
      </c>
      <c r="CM1061">
        <f>IFERROR(INDEX(PP_Grid[#Data],$DD1061,89),0)</f>
        <v/>
      </c>
      <c r="CN1061">
        <f>IFERROR(INDEX(PP_Grid[#Data],$DD1061,90),0)</f>
        <v/>
      </c>
      <c r="CO1061">
        <f>IFERROR(INDEX(PP_Grid[#Data],$DD1061,91),0)</f>
        <v/>
      </c>
      <c r="CP1061">
        <f>IFERROR(INDEX(PP_Grid[#Data],$DD1061,92),0)</f>
        <v/>
      </c>
      <c r="CQ1061">
        <f>IFERROR(INDEX(PP_Grid[#Data],$DD1061,93),0)</f>
        <v/>
      </c>
      <c r="CR1061">
        <f>IFERROR(INDEX(PP_Grid[#Data],$DD1061,94),0)</f>
        <v/>
      </c>
      <c r="CS1061">
        <f>IFERROR(INDEX(PP_Grid[#Data],$DD1061,95),0)</f>
        <v/>
      </c>
      <c r="CT1061">
        <f>IFERROR(INDEX(PP_Grid[#Data],$DD1061,96),0)</f>
        <v/>
      </c>
      <c r="CU1061">
        <f>IFERROR(INDEX(PP_Grid[#Data],$DD1061,97),0)</f>
        <v/>
      </c>
      <c r="CV1061">
        <f>IFERROR(INDEX(PP_Grid[#Data],$DD1061,98),0)</f>
        <v/>
      </c>
      <c r="CW1061">
        <f>IFERROR(INDEX(PP_Grid[#Data],$DD1061,99),0)</f>
        <v/>
      </c>
      <c r="CX1061">
        <f>IFERROR(INDEX(PP_Grid[#Data],$DD1061,100),0)</f>
        <v/>
      </c>
      <c r="CY1061">
        <f>IFERROR(INDEX(PP_Grid[#Data],$DD1061,101),0)</f>
        <v/>
      </c>
      <c r="CZ1061">
        <f>IFERROR(INDEX(PP_Grid[#Data],$DD1061,102),0)</f>
        <v/>
      </c>
      <c r="DA1061">
        <f>IFERROR(INDEX(PP_Grid[#Data],$DD1061,103),0)</f>
        <v/>
      </c>
      <c r="DB1061">
        <f>IFERROR(INDEX(PP_Grid[#Data],$DD1061,104),0)</f>
        <v/>
      </c>
      <c r="DC1061">
        <f>IFERROR(INDEX(PP_Grid[#Data],$DD1061,105),0)</f>
        <v/>
      </c>
      <c r="DD1061" s="7">
        <f>IFERROR(MATCH($B1061,PP_Grid[Intermediate],0),99999)</f>
        <v/>
      </c>
    </row>
    <row r="1062">
      <c r="B1062" t="inlineStr">
        <is>
          <t>使用量(kg)</t>
        </is>
      </c>
      <c r="C1062">
        <f>SUMIFS(M_BOM[RM_Qty_Per_Batch],M_BOM[Intermediate],$B1061,M_BOM[Part Name],$A1060)</f>
        <v/>
      </c>
      <c r="D1062">
        <f>$C1062*D1061</f>
        <v/>
      </c>
      <c r="E1062">
        <f>$C1062*E1061</f>
        <v/>
      </c>
      <c r="F1062">
        <f>$C1062*F1061</f>
        <v/>
      </c>
      <c r="G1062">
        <f>$C1062*G1061</f>
        <v/>
      </c>
      <c r="H1062">
        <f>$C1062*H1061</f>
        <v/>
      </c>
      <c r="I1062">
        <f>$C1062*I1061</f>
        <v/>
      </c>
      <c r="J1062">
        <f>$C1062*J1061</f>
        <v/>
      </c>
      <c r="K1062">
        <f>$C1062*K1061</f>
        <v/>
      </c>
      <c r="L1062">
        <f>$C1062*L1061</f>
        <v/>
      </c>
      <c r="M1062">
        <f>$C1062*M1061</f>
        <v/>
      </c>
      <c r="N1062">
        <f>$C1062*N1061</f>
        <v/>
      </c>
      <c r="O1062">
        <f>$C1062*O1061</f>
        <v/>
      </c>
      <c r="P1062">
        <f>$C1062*P1061</f>
        <v/>
      </c>
      <c r="Q1062">
        <f>$C1062*Q1061</f>
        <v/>
      </c>
      <c r="R1062">
        <f>$C1062*R1061</f>
        <v/>
      </c>
      <c r="S1062">
        <f>$C1062*S1061</f>
        <v/>
      </c>
      <c r="T1062">
        <f>$C1062*T1061</f>
        <v/>
      </c>
      <c r="U1062">
        <f>$C1062*U1061</f>
        <v/>
      </c>
      <c r="V1062">
        <f>$C1062*V1061</f>
        <v/>
      </c>
      <c r="W1062">
        <f>$C1062*W1061</f>
        <v/>
      </c>
      <c r="X1062">
        <f>$C1062*X1061</f>
        <v/>
      </c>
      <c r="Y1062">
        <f>$C1062*Y1061</f>
        <v/>
      </c>
      <c r="Z1062">
        <f>$C1062*Z1061</f>
        <v/>
      </c>
      <c r="AA1062">
        <f>$C1062*AA1061</f>
        <v/>
      </c>
      <c r="AB1062">
        <f>$C1062*AB1061</f>
        <v/>
      </c>
      <c r="AC1062">
        <f>$C1062*AC1061</f>
        <v/>
      </c>
      <c r="AD1062">
        <f>$C1062*AD1061</f>
        <v/>
      </c>
      <c r="AE1062">
        <f>$C1062*AE1061</f>
        <v/>
      </c>
      <c r="AF1062">
        <f>$C1062*AF1061</f>
        <v/>
      </c>
      <c r="AG1062">
        <f>$C1062*AG1061</f>
        <v/>
      </c>
      <c r="AH1062">
        <f>$C1062*AH1061</f>
        <v/>
      </c>
      <c r="AI1062">
        <f>$C1062*AI1061</f>
        <v/>
      </c>
      <c r="AJ1062">
        <f>$C1062*AJ1061</f>
        <v/>
      </c>
      <c r="AK1062">
        <f>$C1062*AK1061</f>
        <v/>
      </c>
      <c r="AL1062">
        <f>$C1062*AL1061</f>
        <v/>
      </c>
      <c r="AM1062">
        <f>$C1062*AM1061</f>
        <v/>
      </c>
      <c r="AN1062">
        <f>$C1062*AN1061</f>
        <v/>
      </c>
      <c r="AO1062">
        <f>$C1062*AO1061</f>
        <v/>
      </c>
      <c r="AP1062">
        <f>$C1062*AP1061</f>
        <v/>
      </c>
      <c r="AQ1062">
        <f>$C1062*AQ1061</f>
        <v/>
      </c>
      <c r="AR1062">
        <f>$C1062*AR1061</f>
        <v/>
      </c>
      <c r="AS1062">
        <f>$C1062*AS1061</f>
        <v/>
      </c>
      <c r="AT1062">
        <f>$C1062*AT1061</f>
        <v/>
      </c>
      <c r="AU1062">
        <f>$C1062*AU1061</f>
        <v/>
      </c>
      <c r="AV1062">
        <f>$C1062*AV1061</f>
        <v/>
      </c>
      <c r="AW1062">
        <f>$C1062*AW1061</f>
        <v/>
      </c>
      <c r="AX1062">
        <f>$C1062*AX1061</f>
        <v/>
      </c>
      <c r="AY1062">
        <f>$C1062*AY1061</f>
        <v/>
      </c>
      <c r="AZ1062">
        <f>$C1062*AZ1061</f>
        <v/>
      </c>
      <c r="BA1062">
        <f>$C1062*BA1061</f>
        <v/>
      </c>
      <c r="BB1062">
        <f>$C1062*BB1061</f>
        <v/>
      </c>
      <c r="BC1062">
        <f>$C1062*BC1061</f>
        <v/>
      </c>
      <c r="BD1062">
        <f>$C1062*BD1061</f>
        <v/>
      </c>
      <c r="BE1062">
        <f>$C1062*BE1061</f>
        <v/>
      </c>
      <c r="BF1062">
        <f>$C1062*BF1061</f>
        <v/>
      </c>
      <c r="BG1062">
        <f>$C1062*BG1061</f>
        <v/>
      </c>
      <c r="BH1062">
        <f>$C1062*BH1061</f>
        <v/>
      </c>
      <c r="BI1062">
        <f>$C1062*BI1061</f>
        <v/>
      </c>
      <c r="BJ1062">
        <f>$C1062*BJ1061</f>
        <v/>
      </c>
      <c r="BK1062">
        <f>$C1062*BK1061</f>
        <v/>
      </c>
      <c r="BL1062">
        <f>$C1062*BL1061</f>
        <v/>
      </c>
      <c r="BM1062">
        <f>$C1062*BM1061</f>
        <v/>
      </c>
      <c r="BN1062">
        <f>$C1062*BN1061</f>
        <v/>
      </c>
      <c r="BO1062">
        <f>$C1062*BO1061</f>
        <v/>
      </c>
      <c r="BP1062">
        <f>$C1062*BP1061</f>
        <v/>
      </c>
      <c r="BQ1062">
        <f>$C1062*BQ1061</f>
        <v/>
      </c>
      <c r="BR1062">
        <f>$C1062*BR1061</f>
        <v/>
      </c>
      <c r="BS1062">
        <f>$C1062*BS1061</f>
        <v/>
      </c>
      <c r="BT1062">
        <f>$C1062*BT1061</f>
        <v/>
      </c>
      <c r="BU1062">
        <f>$C1062*BU1061</f>
        <v/>
      </c>
      <c r="BV1062">
        <f>$C1062*BV1061</f>
        <v/>
      </c>
      <c r="BW1062">
        <f>$C1062*BW1061</f>
        <v/>
      </c>
      <c r="BX1062">
        <f>$C1062*BX1061</f>
        <v/>
      </c>
      <c r="BY1062">
        <f>$C1062*BY1061</f>
        <v/>
      </c>
      <c r="BZ1062">
        <f>$C1062*BZ1061</f>
        <v/>
      </c>
      <c r="CA1062">
        <f>$C1062*CA1061</f>
        <v/>
      </c>
      <c r="CB1062">
        <f>$C1062*CB1061</f>
        <v/>
      </c>
      <c r="CC1062">
        <f>$C1062*CC1061</f>
        <v/>
      </c>
      <c r="CD1062">
        <f>$C1062*CD1061</f>
        <v/>
      </c>
      <c r="CE1062">
        <f>$C1062*CE1061</f>
        <v/>
      </c>
      <c r="CF1062">
        <f>$C1062*CF1061</f>
        <v/>
      </c>
      <c r="CG1062">
        <f>$C1062*CG1061</f>
        <v/>
      </c>
      <c r="CH1062">
        <f>$C1062*CH1061</f>
        <v/>
      </c>
      <c r="CI1062">
        <f>$C1062*CI1061</f>
        <v/>
      </c>
      <c r="CJ1062">
        <f>$C1062*CJ1061</f>
        <v/>
      </c>
      <c r="CK1062">
        <f>$C1062*CK1061</f>
        <v/>
      </c>
      <c r="CL1062">
        <f>$C1062*CL1061</f>
        <v/>
      </c>
      <c r="CM1062">
        <f>$C1062*CM1061</f>
        <v/>
      </c>
      <c r="CN1062">
        <f>$C1062*CN1061</f>
        <v/>
      </c>
      <c r="CO1062">
        <f>$C1062*CO1061</f>
        <v/>
      </c>
      <c r="CP1062">
        <f>$C1062*CP1061</f>
        <v/>
      </c>
      <c r="CQ1062">
        <f>$C1062*CQ1061</f>
        <v/>
      </c>
      <c r="CR1062">
        <f>$C1062*CR1061</f>
        <v/>
      </c>
      <c r="CS1062">
        <f>$C1062*CS1061</f>
        <v/>
      </c>
      <c r="CT1062">
        <f>$C1062*CT1061</f>
        <v/>
      </c>
      <c r="CU1062">
        <f>$C1062*CU1061</f>
        <v/>
      </c>
      <c r="CV1062">
        <f>$C1062*CV1061</f>
        <v/>
      </c>
      <c r="CW1062">
        <f>$C1062*CW1061</f>
        <v/>
      </c>
      <c r="CX1062">
        <f>$C1062*CX1061</f>
        <v/>
      </c>
      <c r="CY1062">
        <f>$C1062*CY1061</f>
        <v/>
      </c>
      <c r="CZ1062">
        <f>$C1062*CZ1061</f>
        <v/>
      </c>
      <c r="DA1062">
        <f>$C1062*DA1061</f>
        <v/>
      </c>
      <c r="DB1062">
        <f>$C1062*DB1061</f>
        <v/>
      </c>
      <c r="DC1062">
        <f>$C1062*DC1061</f>
        <v/>
      </c>
    </row>
    <row r="1063">
      <c r="B1063" s="4" t="inlineStr">
        <is>
          <t>合計使用量(kg)/週</t>
        </is>
      </c>
      <c r="D1063">
        <f>'Grid_Requirement'!B39</f>
        <v/>
      </c>
      <c r="E1063">
        <f>'Grid_Requirement'!C39</f>
        <v/>
      </c>
      <c r="F1063">
        <f>'Grid_Requirement'!D39</f>
        <v/>
      </c>
      <c r="G1063">
        <f>'Grid_Requirement'!E39</f>
        <v/>
      </c>
      <c r="H1063">
        <f>'Grid_Requirement'!F39</f>
        <v/>
      </c>
      <c r="I1063">
        <f>'Grid_Requirement'!G39</f>
        <v/>
      </c>
      <c r="J1063">
        <f>'Grid_Requirement'!H39</f>
        <v/>
      </c>
      <c r="K1063">
        <f>'Grid_Requirement'!I39</f>
        <v/>
      </c>
      <c r="L1063">
        <f>'Grid_Requirement'!J39</f>
        <v/>
      </c>
      <c r="M1063">
        <f>'Grid_Requirement'!K39</f>
        <v/>
      </c>
      <c r="N1063">
        <f>'Grid_Requirement'!L39</f>
        <v/>
      </c>
      <c r="O1063">
        <f>'Grid_Requirement'!M39</f>
        <v/>
      </c>
      <c r="P1063">
        <f>'Grid_Requirement'!N39</f>
        <v/>
      </c>
      <c r="Q1063">
        <f>'Grid_Requirement'!O39</f>
        <v/>
      </c>
      <c r="R1063">
        <f>'Grid_Requirement'!P39</f>
        <v/>
      </c>
      <c r="S1063">
        <f>'Grid_Requirement'!Q39</f>
        <v/>
      </c>
      <c r="T1063">
        <f>'Grid_Requirement'!R39</f>
        <v/>
      </c>
      <c r="U1063">
        <f>'Grid_Requirement'!S39</f>
        <v/>
      </c>
      <c r="V1063">
        <f>'Grid_Requirement'!T39</f>
        <v/>
      </c>
      <c r="W1063">
        <f>'Grid_Requirement'!U39</f>
        <v/>
      </c>
      <c r="X1063">
        <f>'Grid_Requirement'!V39</f>
        <v/>
      </c>
      <c r="Y1063">
        <f>'Grid_Requirement'!W39</f>
        <v/>
      </c>
      <c r="Z1063">
        <f>'Grid_Requirement'!X39</f>
        <v/>
      </c>
      <c r="AA1063">
        <f>'Grid_Requirement'!Y39</f>
        <v/>
      </c>
      <c r="AB1063">
        <f>'Grid_Requirement'!Z39</f>
        <v/>
      </c>
      <c r="AC1063">
        <f>'Grid_Requirement'!AA39</f>
        <v/>
      </c>
      <c r="AD1063">
        <f>'Grid_Requirement'!AB39</f>
        <v/>
      </c>
      <c r="AE1063">
        <f>'Grid_Requirement'!AC39</f>
        <v/>
      </c>
      <c r="AF1063">
        <f>'Grid_Requirement'!AD39</f>
        <v/>
      </c>
      <c r="AG1063">
        <f>'Grid_Requirement'!AE39</f>
        <v/>
      </c>
      <c r="AH1063">
        <f>'Grid_Requirement'!AF39</f>
        <v/>
      </c>
      <c r="AI1063">
        <f>'Grid_Requirement'!AG39</f>
        <v/>
      </c>
      <c r="AJ1063">
        <f>'Grid_Requirement'!AH39</f>
        <v/>
      </c>
      <c r="AK1063">
        <f>'Grid_Requirement'!AI39</f>
        <v/>
      </c>
      <c r="AL1063">
        <f>'Grid_Requirement'!AJ39</f>
        <v/>
      </c>
      <c r="AM1063">
        <f>'Grid_Requirement'!AK39</f>
        <v/>
      </c>
      <c r="AN1063">
        <f>'Grid_Requirement'!AL39</f>
        <v/>
      </c>
      <c r="AO1063">
        <f>'Grid_Requirement'!AM39</f>
        <v/>
      </c>
      <c r="AP1063">
        <f>'Grid_Requirement'!AN39</f>
        <v/>
      </c>
      <c r="AQ1063">
        <f>'Grid_Requirement'!AO39</f>
        <v/>
      </c>
      <c r="AR1063">
        <f>'Grid_Requirement'!AP39</f>
        <v/>
      </c>
      <c r="AS1063">
        <f>'Grid_Requirement'!AQ39</f>
        <v/>
      </c>
      <c r="AT1063">
        <f>'Grid_Requirement'!AR39</f>
        <v/>
      </c>
      <c r="AU1063">
        <f>'Grid_Requirement'!AS39</f>
        <v/>
      </c>
      <c r="AV1063">
        <f>'Grid_Requirement'!AT39</f>
        <v/>
      </c>
      <c r="AW1063">
        <f>'Grid_Requirement'!AU39</f>
        <v/>
      </c>
      <c r="AX1063">
        <f>'Grid_Requirement'!AV39</f>
        <v/>
      </c>
      <c r="AY1063">
        <f>'Grid_Requirement'!AW39</f>
        <v/>
      </c>
      <c r="AZ1063">
        <f>'Grid_Requirement'!AX39</f>
        <v/>
      </c>
      <c r="BA1063">
        <f>'Grid_Requirement'!AY39</f>
        <v/>
      </c>
      <c r="BB1063">
        <f>'Grid_Requirement'!AZ39</f>
        <v/>
      </c>
      <c r="BC1063">
        <f>'Grid_Requirement'!BA39</f>
        <v/>
      </c>
      <c r="BD1063">
        <f>'Grid_Requirement'!BB39</f>
        <v/>
      </c>
      <c r="BE1063">
        <f>'Grid_Requirement'!BC39</f>
        <v/>
      </c>
      <c r="BF1063">
        <f>'Grid_Requirement'!BD39</f>
        <v/>
      </c>
      <c r="BG1063">
        <f>'Grid_Requirement'!BE39</f>
        <v/>
      </c>
      <c r="BH1063">
        <f>'Grid_Requirement'!BF39</f>
        <v/>
      </c>
      <c r="BI1063">
        <f>'Grid_Requirement'!BG39</f>
        <v/>
      </c>
      <c r="BJ1063">
        <f>'Grid_Requirement'!BH39</f>
        <v/>
      </c>
      <c r="BK1063">
        <f>'Grid_Requirement'!BI39</f>
        <v/>
      </c>
      <c r="BL1063">
        <f>'Grid_Requirement'!BJ39</f>
        <v/>
      </c>
      <c r="BM1063">
        <f>'Grid_Requirement'!BK39</f>
        <v/>
      </c>
      <c r="BN1063">
        <f>'Grid_Requirement'!BL39</f>
        <v/>
      </c>
      <c r="BO1063">
        <f>'Grid_Requirement'!BM39</f>
        <v/>
      </c>
      <c r="BP1063">
        <f>'Grid_Requirement'!BN39</f>
        <v/>
      </c>
      <c r="BQ1063">
        <f>'Grid_Requirement'!BO39</f>
        <v/>
      </c>
      <c r="BR1063">
        <f>'Grid_Requirement'!BP39</f>
        <v/>
      </c>
      <c r="BS1063">
        <f>'Grid_Requirement'!BQ39</f>
        <v/>
      </c>
      <c r="BT1063">
        <f>'Grid_Requirement'!BR39</f>
        <v/>
      </c>
      <c r="BU1063">
        <f>'Grid_Requirement'!BS39</f>
        <v/>
      </c>
      <c r="BV1063">
        <f>'Grid_Requirement'!BT39</f>
        <v/>
      </c>
      <c r="BW1063">
        <f>'Grid_Requirement'!BU39</f>
        <v/>
      </c>
      <c r="BX1063">
        <f>'Grid_Requirement'!BV39</f>
        <v/>
      </c>
      <c r="BY1063">
        <f>'Grid_Requirement'!BW39</f>
        <v/>
      </c>
      <c r="BZ1063">
        <f>'Grid_Requirement'!BX39</f>
        <v/>
      </c>
      <c r="CA1063">
        <f>'Grid_Requirement'!BY39</f>
        <v/>
      </c>
      <c r="CB1063">
        <f>'Grid_Requirement'!BZ39</f>
        <v/>
      </c>
      <c r="CC1063">
        <f>'Grid_Requirement'!CA39</f>
        <v/>
      </c>
      <c r="CD1063">
        <f>'Grid_Requirement'!CB39</f>
        <v/>
      </c>
      <c r="CE1063">
        <f>'Grid_Requirement'!CC39</f>
        <v/>
      </c>
      <c r="CF1063">
        <f>'Grid_Requirement'!CD39</f>
        <v/>
      </c>
      <c r="CG1063">
        <f>'Grid_Requirement'!CE39</f>
        <v/>
      </c>
      <c r="CH1063">
        <f>'Grid_Requirement'!CF39</f>
        <v/>
      </c>
      <c r="CI1063">
        <f>'Grid_Requirement'!CG39</f>
        <v/>
      </c>
      <c r="CJ1063">
        <f>'Grid_Requirement'!CH39</f>
        <v/>
      </c>
      <c r="CK1063">
        <f>'Grid_Requirement'!CI39</f>
        <v/>
      </c>
      <c r="CL1063">
        <f>'Grid_Requirement'!CJ39</f>
        <v/>
      </c>
      <c r="CM1063">
        <f>'Grid_Requirement'!CK39</f>
        <v/>
      </c>
      <c r="CN1063">
        <f>'Grid_Requirement'!CL39</f>
        <v/>
      </c>
      <c r="CO1063">
        <f>'Grid_Requirement'!CM39</f>
        <v/>
      </c>
      <c r="CP1063">
        <f>'Grid_Requirement'!CN39</f>
        <v/>
      </c>
      <c r="CQ1063">
        <f>'Grid_Requirement'!CO39</f>
        <v/>
      </c>
      <c r="CR1063">
        <f>'Grid_Requirement'!CP39</f>
        <v/>
      </c>
      <c r="CS1063">
        <f>'Grid_Requirement'!CQ39</f>
        <v/>
      </c>
      <c r="CT1063">
        <f>'Grid_Requirement'!CR39</f>
        <v/>
      </c>
      <c r="CU1063">
        <f>'Grid_Requirement'!CS39</f>
        <v/>
      </c>
      <c r="CV1063">
        <f>'Grid_Requirement'!CT39</f>
        <v/>
      </c>
      <c r="CW1063">
        <f>'Grid_Requirement'!CU39</f>
        <v/>
      </c>
      <c r="CX1063">
        <f>'Grid_Requirement'!CV39</f>
        <v/>
      </c>
      <c r="CY1063">
        <f>'Grid_Requirement'!CW39</f>
        <v/>
      </c>
      <c r="CZ1063">
        <f>'Grid_Requirement'!CX39</f>
        <v/>
      </c>
      <c r="DA1063">
        <f>'Grid_Requirement'!CY39</f>
        <v/>
      </c>
      <c r="DB1063">
        <f>'Grid_Requirement'!CZ39</f>
        <v/>
      </c>
      <c r="DC1063">
        <f>'Grid_Requirement'!DA39</f>
        <v/>
      </c>
    </row>
    <row r="1064">
      <c r="B1064" t="inlineStr">
        <is>
          <t>TTAF在庫(実績,kg)</t>
        </is>
      </c>
      <c r="D1064">
        <f>'T_TTAFStock'!B43</f>
        <v/>
      </c>
      <c r="E1064">
        <f>'T_TTAFStock'!C43</f>
        <v/>
      </c>
      <c r="F1064">
        <f>'T_TTAFStock'!D43</f>
        <v/>
      </c>
      <c r="G1064">
        <f>'T_TTAFStock'!E43</f>
        <v/>
      </c>
      <c r="H1064">
        <f>'T_TTAFStock'!F43</f>
        <v/>
      </c>
      <c r="I1064">
        <f>'T_TTAFStock'!G43</f>
        <v/>
      </c>
      <c r="J1064">
        <f>'T_TTAFStock'!H43</f>
        <v/>
      </c>
      <c r="K1064">
        <f>'T_TTAFStock'!I43</f>
        <v/>
      </c>
      <c r="L1064">
        <f>'T_TTAFStock'!J43</f>
        <v/>
      </c>
      <c r="M1064">
        <f>'T_TTAFStock'!K43</f>
        <v/>
      </c>
      <c r="N1064">
        <f>'T_TTAFStock'!L43</f>
        <v/>
      </c>
      <c r="O1064">
        <f>'T_TTAFStock'!M43</f>
        <v/>
      </c>
      <c r="P1064">
        <f>'T_TTAFStock'!N43</f>
        <v/>
      </c>
      <c r="Q1064">
        <f>'T_TTAFStock'!O43</f>
        <v/>
      </c>
      <c r="R1064">
        <f>'T_TTAFStock'!P43</f>
        <v/>
      </c>
      <c r="S1064">
        <f>'T_TTAFStock'!Q43</f>
        <v/>
      </c>
      <c r="T1064">
        <f>'T_TTAFStock'!R43</f>
        <v/>
      </c>
      <c r="U1064">
        <f>'T_TTAFStock'!S43</f>
        <v/>
      </c>
      <c r="V1064">
        <f>'T_TTAFStock'!T43</f>
        <v/>
      </c>
      <c r="W1064">
        <f>'T_TTAFStock'!U43</f>
        <v/>
      </c>
      <c r="X1064">
        <f>'T_TTAFStock'!V43</f>
        <v/>
      </c>
      <c r="Y1064">
        <f>'T_TTAFStock'!W43</f>
        <v/>
      </c>
      <c r="Z1064">
        <f>'T_TTAFStock'!X43</f>
        <v/>
      </c>
      <c r="AA1064">
        <f>'T_TTAFStock'!Y43</f>
        <v/>
      </c>
      <c r="AB1064">
        <f>'T_TTAFStock'!Z43</f>
        <v/>
      </c>
      <c r="AC1064">
        <f>'T_TTAFStock'!AA43</f>
        <v/>
      </c>
      <c r="AD1064">
        <f>'T_TTAFStock'!AB43</f>
        <v/>
      </c>
      <c r="AE1064">
        <f>'T_TTAFStock'!AC43</f>
        <v/>
      </c>
      <c r="AF1064">
        <f>'T_TTAFStock'!AD43</f>
        <v/>
      </c>
      <c r="AG1064">
        <f>'T_TTAFStock'!AE43</f>
        <v/>
      </c>
      <c r="AH1064">
        <f>'T_TTAFStock'!AF43</f>
        <v/>
      </c>
      <c r="AI1064">
        <f>'T_TTAFStock'!AG43</f>
        <v/>
      </c>
      <c r="AJ1064">
        <f>'T_TTAFStock'!AH43</f>
        <v/>
      </c>
      <c r="AK1064">
        <f>'T_TTAFStock'!AI43</f>
        <v/>
      </c>
      <c r="AL1064">
        <f>'T_TTAFStock'!AJ43</f>
        <v/>
      </c>
      <c r="AM1064">
        <f>'T_TTAFStock'!AK43</f>
        <v/>
      </c>
      <c r="AN1064">
        <f>'T_TTAFStock'!AL43</f>
        <v/>
      </c>
      <c r="AO1064">
        <f>'T_TTAFStock'!AM43</f>
        <v/>
      </c>
      <c r="AP1064">
        <f>'T_TTAFStock'!AN43</f>
        <v/>
      </c>
      <c r="AQ1064">
        <f>'T_TTAFStock'!AO43</f>
        <v/>
      </c>
      <c r="AR1064">
        <f>'T_TTAFStock'!AP43</f>
        <v/>
      </c>
      <c r="AS1064">
        <f>'T_TTAFStock'!AQ43</f>
        <v/>
      </c>
      <c r="AT1064">
        <f>'T_TTAFStock'!AR43</f>
        <v/>
      </c>
      <c r="AU1064">
        <f>'T_TTAFStock'!AS43</f>
        <v/>
      </c>
      <c r="AV1064">
        <f>'T_TTAFStock'!AT43</f>
        <v/>
      </c>
      <c r="AW1064">
        <f>'T_TTAFStock'!AU43</f>
        <v/>
      </c>
      <c r="AX1064">
        <f>'T_TTAFStock'!AV43</f>
        <v/>
      </c>
      <c r="AY1064">
        <f>'T_TTAFStock'!AW43</f>
        <v/>
      </c>
      <c r="AZ1064">
        <f>'T_TTAFStock'!AX43</f>
        <v/>
      </c>
      <c r="BA1064">
        <f>'T_TTAFStock'!AY43</f>
        <v/>
      </c>
      <c r="BB1064">
        <f>'T_TTAFStock'!AZ43</f>
        <v/>
      </c>
      <c r="BC1064">
        <f>'T_TTAFStock'!BA43</f>
        <v/>
      </c>
      <c r="BD1064">
        <f>'T_TTAFStock'!BB43</f>
        <v/>
      </c>
      <c r="BE1064">
        <f>'T_TTAFStock'!BC43</f>
        <v/>
      </c>
      <c r="BF1064">
        <f>'T_TTAFStock'!BD43</f>
        <v/>
      </c>
      <c r="BG1064">
        <f>'T_TTAFStock'!BE43</f>
        <v/>
      </c>
      <c r="BH1064">
        <f>'T_TTAFStock'!BF43</f>
        <v/>
      </c>
      <c r="BI1064">
        <f>'T_TTAFStock'!BG43</f>
        <v/>
      </c>
      <c r="BJ1064">
        <f>'T_TTAFStock'!BH43</f>
        <v/>
      </c>
      <c r="BK1064">
        <f>'T_TTAFStock'!BI43</f>
        <v/>
      </c>
      <c r="BL1064">
        <f>'T_TTAFStock'!BJ43</f>
        <v/>
      </c>
      <c r="BM1064">
        <f>'T_TTAFStock'!BK43</f>
        <v/>
      </c>
      <c r="BN1064">
        <f>'T_TTAFStock'!BL43</f>
        <v/>
      </c>
      <c r="BO1064">
        <f>'T_TTAFStock'!BM43</f>
        <v/>
      </c>
      <c r="BP1064">
        <f>'T_TTAFStock'!BN43</f>
        <v/>
      </c>
      <c r="BQ1064">
        <f>'T_TTAFStock'!BO43</f>
        <v/>
      </c>
      <c r="BR1064">
        <f>'T_TTAFStock'!BP43</f>
        <v/>
      </c>
      <c r="BS1064">
        <f>'T_TTAFStock'!BQ43</f>
        <v/>
      </c>
      <c r="BT1064">
        <f>'T_TTAFStock'!BR43</f>
        <v/>
      </c>
      <c r="BU1064">
        <f>'T_TTAFStock'!BS43</f>
        <v/>
      </c>
      <c r="BV1064">
        <f>'T_TTAFStock'!BT43</f>
        <v/>
      </c>
      <c r="BW1064">
        <f>'T_TTAFStock'!BU43</f>
        <v/>
      </c>
      <c r="BX1064">
        <f>'T_TTAFStock'!BV43</f>
        <v/>
      </c>
      <c r="BY1064">
        <f>'T_TTAFStock'!BW43</f>
        <v/>
      </c>
      <c r="BZ1064">
        <f>'T_TTAFStock'!BX43</f>
        <v/>
      </c>
      <c r="CA1064">
        <f>'T_TTAFStock'!BY43</f>
        <v/>
      </c>
      <c r="CB1064">
        <f>'T_TTAFStock'!BZ43</f>
        <v/>
      </c>
      <c r="CC1064">
        <f>'T_TTAFStock'!CA43</f>
        <v/>
      </c>
      <c r="CD1064">
        <f>'T_TTAFStock'!CB43</f>
        <v/>
      </c>
      <c r="CE1064">
        <f>'T_TTAFStock'!CC43</f>
        <v/>
      </c>
      <c r="CF1064">
        <f>'T_TTAFStock'!CD43</f>
        <v/>
      </c>
      <c r="CG1064">
        <f>'T_TTAFStock'!CE43</f>
        <v/>
      </c>
      <c r="CH1064">
        <f>'T_TTAFStock'!CF43</f>
        <v/>
      </c>
      <c r="CI1064">
        <f>'T_TTAFStock'!CG43</f>
        <v/>
      </c>
      <c r="CJ1064">
        <f>'T_TTAFStock'!CH43</f>
        <v/>
      </c>
      <c r="CK1064">
        <f>'T_TTAFStock'!CI43</f>
        <v/>
      </c>
      <c r="CL1064">
        <f>'T_TTAFStock'!CJ43</f>
        <v/>
      </c>
      <c r="CM1064">
        <f>'T_TTAFStock'!CK43</f>
        <v/>
      </c>
      <c r="CN1064">
        <f>'T_TTAFStock'!CL43</f>
        <v/>
      </c>
      <c r="CO1064">
        <f>'T_TTAFStock'!CM43</f>
        <v/>
      </c>
      <c r="CP1064">
        <f>'T_TTAFStock'!CN43</f>
        <v/>
      </c>
      <c r="CQ1064">
        <f>'T_TTAFStock'!CO43</f>
        <v/>
      </c>
      <c r="CR1064">
        <f>'T_TTAFStock'!CP43</f>
        <v/>
      </c>
      <c r="CS1064">
        <f>'T_TTAFStock'!CQ43</f>
        <v/>
      </c>
      <c r="CT1064">
        <f>'T_TTAFStock'!CR43</f>
        <v/>
      </c>
      <c r="CU1064">
        <f>'T_TTAFStock'!CS43</f>
        <v/>
      </c>
      <c r="CV1064">
        <f>'T_TTAFStock'!CT43</f>
        <v/>
      </c>
      <c r="CW1064">
        <f>'T_TTAFStock'!CU43</f>
        <v/>
      </c>
      <c r="CX1064">
        <f>'T_TTAFStock'!CV43</f>
        <v/>
      </c>
      <c r="CY1064">
        <f>'T_TTAFStock'!CW43</f>
        <v/>
      </c>
      <c r="CZ1064">
        <f>'T_TTAFStock'!CX43</f>
        <v/>
      </c>
      <c r="DA1064">
        <f>'T_TTAFStock'!CY43</f>
        <v/>
      </c>
      <c r="DB1064">
        <f>'T_TTAFStock'!CZ43</f>
        <v/>
      </c>
      <c r="DC1064">
        <f>'T_TTAFStock'!DA43</f>
        <v/>
      </c>
    </row>
    <row r="1065">
      <c r="B1065" t="inlineStr">
        <is>
          <t>自社在庫(実績,kg)</t>
        </is>
      </c>
      <c r="D1065">
        <f>'T_SelfStock'!B43</f>
        <v/>
      </c>
      <c r="E1065">
        <f>'T_SelfStock'!C43</f>
        <v/>
      </c>
      <c r="F1065">
        <f>'T_SelfStock'!D43</f>
        <v/>
      </c>
      <c r="G1065">
        <f>'T_SelfStock'!E43</f>
        <v/>
      </c>
      <c r="H1065">
        <f>'T_SelfStock'!F43</f>
        <v/>
      </c>
      <c r="I1065">
        <f>'T_SelfStock'!G43</f>
        <v/>
      </c>
      <c r="J1065">
        <f>'T_SelfStock'!H43</f>
        <v/>
      </c>
      <c r="K1065">
        <f>'T_SelfStock'!I43</f>
        <v/>
      </c>
      <c r="L1065">
        <f>'T_SelfStock'!J43</f>
        <v/>
      </c>
      <c r="M1065">
        <f>'T_SelfStock'!K43</f>
        <v/>
      </c>
      <c r="N1065">
        <f>'T_SelfStock'!L43</f>
        <v/>
      </c>
      <c r="O1065">
        <f>'T_SelfStock'!M43</f>
        <v/>
      </c>
      <c r="P1065">
        <f>'T_SelfStock'!N43</f>
        <v/>
      </c>
      <c r="Q1065">
        <f>'T_SelfStock'!O43</f>
        <v/>
      </c>
      <c r="R1065">
        <f>'T_SelfStock'!P43</f>
        <v/>
      </c>
      <c r="S1065">
        <f>'T_SelfStock'!Q43</f>
        <v/>
      </c>
      <c r="T1065">
        <f>'T_SelfStock'!R43</f>
        <v/>
      </c>
      <c r="U1065">
        <f>'T_SelfStock'!S43</f>
        <v/>
      </c>
      <c r="V1065">
        <f>'T_SelfStock'!T43</f>
        <v/>
      </c>
      <c r="W1065">
        <f>'T_SelfStock'!U43</f>
        <v/>
      </c>
      <c r="X1065">
        <f>'T_SelfStock'!V43</f>
        <v/>
      </c>
      <c r="Y1065">
        <f>'T_SelfStock'!W43</f>
        <v/>
      </c>
      <c r="Z1065">
        <f>'T_SelfStock'!X43</f>
        <v/>
      </c>
      <c r="AA1065">
        <f>'T_SelfStock'!Y43</f>
        <v/>
      </c>
      <c r="AB1065">
        <f>'T_SelfStock'!Z43</f>
        <v/>
      </c>
      <c r="AC1065">
        <f>'T_SelfStock'!AA43</f>
        <v/>
      </c>
      <c r="AD1065">
        <f>'T_SelfStock'!AB43</f>
        <v/>
      </c>
      <c r="AE1065">
        <f>'T_SelfStock'!AC43</f>
        <v/>
      </c>
      <c r="AF1065">
        <f>'T_SelfStock'!AD43</f>
        <v/>
      </c>
      <c r="AG1065">
        <f>'T_SelfStock'!AE43</f>
        <v/>
      </c>
      <c r="AH1065">
        <f>'T_SelfStock'!AF43</f>
        <v/>
      </c>
      <c r="AI1065">
        <f>'T_SelfStock'!AG43</f>
        <v/>
      </c>
      <c r="AJ1065">
        <f>'T_SelfStock'!AH43</f>
        <v/>
      </c>
      <c r="AK1065">
        <f>'T_SelfStock'!AI43</f>
        <v/>
      </c>
      <c r="AL1065">
        <f>'T_SelfStock'!AJ43</f>
        <v/>
      </c>
      <c r="AM1065">
        <f>'T_SelfStock'!AK43</f>
        <v/>
      </c>
      <c r="AN1065">
        <f>'T_SelfStock'!AL43</f>
        <v/>
      </c>
      <c r="AO1065">
        <f>'T_SelfStock'!AM43</f>
        <v/>
      </c>
      <c r="AP1065">
        <f>'T_SelfStock'!AN43</f>
        <v/>
      </c>
      <c r="AQ1065">
        <f>'T_SelfStock'!AO43</f>
        <v/>
      </c>
      <c r="AR1065">
        <f>'T_SelfStock'!AP43</f>
        <v/>
      </c>
      <c r="AS1065">
        <f>'T_SelfStock'!AQ43</f>
        <v/>
      </c>
      <c r="AT1065">
        <f>'T_SelfStock'!AR43</f>
        <v/>
      </c>
      <c r="AU1065">
        <f>'T_SelfStock'!AS43</f>
        <v/>
      </c>
      <c r="AV1065">
        <f>'T_SelfStock'!AT43</f>
        <v/>
      </c>
      <c r="AW1065">
        <f>'T_SelfStock'!AU43</f>
        <v/>
      </c>
      <c r="AX1065">
        <f>'T_SelfStock'!AV43</f>
        <v/>
      </c>
      <c r="AY1065">
        <f>'T_SelfStock'!AW43</f>
        <v/>
      </c>
      <c r="AZ1065">
        <f>'T_SelfStock'!AX43</f>
        <v/>
      </c>
      <c r="BA1065">
        <f>'T_SelfStock'!AY43</f>
        <v/>
      </c>
      <c r="BB1065">
        <f>'T_SelfStock'!AZ43</f>
        <v/>
      </c>
      <c r="BC1065">
        <f>'T_SelfStock'!BA43</f>
        <v/>
      </c>
      <c r="BD1065">
        <f>'T_SelfStock'!BB43</f>
        <v/>
      </c>
      <c r="BE1065">
        <f>'T_SelfStock'!BC43</f>
        <v/>
      </c>
      <c r="BF1065">
        <f>'T_SelfStock'!BD43</f>
        <v/>
      </c>
      <c r="BG1065">
        <f>'T_SelfStock'!BE43</f>
        <v/>
      </c>
      <c r="BH1065">
        <f>'T_SelfStock'!BF43</f>
        <v/>
      </c>
      <c r="BI1065">
        <f>'T_SelfStock'!BG43</f>
        <v/>
      </c>
      <c r="BJ1065">
        <f>'T_SelfStock'!BH43</f>
        <v/>
      </c>
      <c r="BK1065">
        <f>'T_SelfStock'!BI43</f>
        <v/>
      </c>
      <c r="BL1065">
        <f>'T_SelfStock'!BJ43</f>
        <v/>
      </c>
      <c r="BM1065">
        <f>'T_SelfStock'!BK43</f>
        <v/>
      </c>
      <c r="BN1065">
        <f>'T_SelfStock'!BL43</f>
        <v/>
      </c>
      <c r="BO1065">
        <f>'T_SelfStock'!BM43</f>
        <v/>
      </c>
      <c r="BP1065">
        <f>'T_SelfStock'!BN43</f>
        <v/>
      </c>
      <c r="BQ1065">
        <f>'T_SelfStock'!BO43</f>
        <v/>
      </c>
      <c r="BR1065">
        <f>'T_SelfStock'!BP43</f>
        <v/>
      </c>
      <c r="BS1065">
        <f>'T_SelfStock'!BQ43</f>
        <v/>
      </c>
      <c r="BT1065">
        <f>'T_SelfStock'!BR43</f>
        <v/>
      </c>
      <c r="BU1065">
        <f>'T_SelfStock'!BS43</f>
        <v/>
      </c>
      <c r="BV1065">
        <f>'T_SelfStock'!BT43</f>
        <v/>
      </c>
      <c r="BW1065">
        <f>'T_SelfStock'!BU43</f>
        <v/>
      </c>
      <c r="BX1065">
        <f>'T_SelfStock'!BV43</f>
        <v/>
      </c>
      <c r="BY1065">
        <f>'T_SelfStock'!BW43</f>
        <v/>
      </c>
      <c r="BZ1065">
        <f>'T_SelfStock'!BX43</f>
        <v/>
      </c>
      <c r="CA1065">
        <f>'T_SelfStock'!BY43</f>
        <v/>
      </c>
      <c r="CB1065">
        <f>'T_SelfStock'!BZ43</f>
        <v/>
      </c>
      <c r="CC1065">
        <f>'T_SelfStock'!CA43</f>
        <v/>
      </c>
      <c r="CD1065">
        <f>'T_SelfStock'!CB43</f>
        <v/>
      </c>
      <c r="CE1065">
        <f>'T_SelfStock'!CC43</f>
        <v/>
      </c>
      <c r="CF1065">
        <f>'T_SelfStock'!CD43</f>
        <v/>
      </c>
      <c r="CG1065">
        <f>'T_SelfStock'!CE43</f>
        <v/>
      </c>
      <c r="CH1065">
        <f>'T_SelfStock'!CF43</f>
        <v/>
      </c>
      <c r="CI1065">
        <f>'T_SelfStock'!CG43</f>
        <v/>
      </c>
      <c r="CJ1065">
        <f>'T_SelfStock'!CH43</f>
        <v/>
      </c>
      <c r="CK1065">
        <f>'T_SelfStock'!CI43</f>
        <v/>
      </c>
      <c r="CL1065">
        <f>'T_SelfStock'!CJ43</f>
        <v/>
      </c>
      <c r="CM1065">
        <f>'T_SelfStock'!CK43</f>
        <v/>
      </c>
      <c r="CN1065">
        <f>'T_SelfStock'!CL43</f>
        <v/>
      </c>
      <c r="CO1065">
        <f>'T_SelfStock'!CM43</f>
        <v/>
      </c>
      <c r="CP1065">
        <f>'T_SelfStock'!CN43</f>
        <v/>
      </c>
      <c r="CQ1065">
        <f>'T_SelfStock'!CO43</f>
        <v/>
      </c>
      <c r="CR1065">
        <f>'T_SelfStock'!CP43</f>
        <v/>
      </c>
      <c r="CS1065">
        <f>'T_SelfStock'!CQ43</f>
        <v/>
      </c>
      <c r="CT1065">
        <f>'T_SelfStock'!CR43</f>
        <v/>
      </c>
      <c r="CU1065">
        <f>'T_SelfStock'!CS43</f>
        <v/>
      </c>
      <c r="CV1065">
        <f>'T_SelfStock'!CT43</f>
        <v/>
      </c>
      <c r="CW1065">
        <f>'T_SelfStock'!CU43</f>
        <v/>
      </c>
      <c r="CX1065">
        <f>'T_SelfStock'!CV43</f>
        <v/>
      </c>
      <c r="CY1065">
        <f>'T_SelfStock'!CW43</f>
        <v/>
      </c>
      <c r="CZ1065">
        <f>'T_SelfStock'!CX43</f>
        <v/>
      </c>
      <c r="DA1065">
        <f>'T_SelfStock'!CY43</f>
        <v/>
      </c>
      <c r="DB1065">
        <f>'T_SelfStock'!CZ43</f>
        <v/>
      </c>
      <c r="DC1065">
        <f>'T_SelfStock'!DA43</f>
        <v/>
      </c>
    </row>
    <row r="1066">
      <c r="B1066" s="4" t="inlineStr">
        <is>
          <t>合計在庫(週末時点,kg)</t>
        </is>
      </c>
      <c r="D1066">
        <f>'Grid_Stock'!B39</f>
        <v/>
      </c>
      <c r="E1066">
        <f>'Grid_Stock'!C39</f>
        <v/>
      </c>
      <c r="F1066">
        <f>'Grid_Stock'!D39</f>
        <v/>
      </c>
      <c r="G1066">
        <f>'Grid_Stock'!E39</f>
        <v/>
      </c>
      <c r="H1066">
        <f>'Grid_Stock'!F39</f>
        <v/>
      </c>
      <c r="I1066">
        <f>'Grid_Stock'!G39</f>
        <v/>
      </c>
      <c r="J1066">
        <f>'Grid_Stock'!H39</f>
        <v/>
      </c>
      <c r="K1066">
        <f>'Grid_Stock'!I39</f>
        <v/>
      </c>
      <c r="L1066">
        <f>'Grid_Stock'!J39</f>
        <v/>
      </c>
      <c r="M1066">
        <f>'Grid_Stock'!K39</f>
        <v/>
      </c>
      <c r="N1066">
        <f>'Grid_Stock'!L39</f>
        <v/>
      </c>
      <c r="O1066">
        <f>'Grid_Stock'!M39</f>
        <v/>
      </c>
      <c r="P1066">
        <f>'Grid_Stock'!N39</f>
        <v/>
      </c>
      <c r="Q1066">
        <f>'Grid_Stock'!O39</f>
        <v/>
      </c>
      <c r="R1066">
        <f>'Grid_Stock'!P39</f>
        <v/>
      </c>
      <c r="S1066">
        <f>'Grid_Stock'!Q39</f>
        <v/>
      </c>
      <c r="T1066">
        <f>'Grid_Stock'!R39</f>
        <v/>
      </c>
      <c r="U1066">
        <f>'Grid_Stock'!S39</f>
        <v/>
      </c>
      <c r="V1066">
        <f>'Grid_Stock'!T39</f>
        <v/>
      </c>
      <c r="W1066">
        <f>'Grid_Stock'!U39</f>
        <v/>
      </c>
      <c r="X1066">
        <f>'Grid_Stock'!V39</f>
        <v/>
      </c>
      <c r="Y1066">
        <f>'Grid_Stock'!W39</f>
        <v/>
      </c>
      <c r="Z1066">
        <f>'Grid_Stock'!X39</f>
        <v/>
      </c>
      <c r="AA1066">
        <f>'Grid_Stock'!Y39</f>
        <v/>
      </c>
      <c r="AB1066">
        <f>'Grid_Stock'!Z39</f>
        <v/>
      </c>
      <c r="AC1066">
        <f>'Grid_Stock'!AA39</f>
        <v/>
      </c>
      <c r="AD1066">
        <f>'Grid_Stock'!AB39</f>
        <v/>
      </c>
      <c r="AE1066">
        <f>'Grid_Stock'!AC39</f>
        <v/>
      </c>
      <c r="AF1066">
        <f>'Grid_Stock'!AD39</f>
        <v/>
      </c>
      <c r="AG1066">
        <f>'Grid_Stock'!AE39</f>
        <v/>
      </c>
      <c r="AH1066">
        <f>'Grid_Stock'!AF39</f>
        <v/>
      </c>
      <c r="AI1066">
        <f>'Grid_Stock'!AG39</f>
        <v/>
      </c>
      <c r="AJ1066">
        <f>'Grid_Stock'!AH39</f>
        <v/>
      </c>
      <c r="AK1066">
        <f>'Grid_Stock'!AI39</f>
        <v/>
      </c>
      <c r="AL1066">
        <f>'Grid_Stock'!AJ39</f>
        <v/>
      </c>
      <c r="AM1066">
        <f>'Grid_Stock'!AK39</f>
        <v/>
      </c>
      <c r="AN1066">
        <f>'Grid_Stock'!AL39</f>
        <v/>
      </c>
      <c r="AO1066">
        <f>'Grid_Stock'!AM39</f>
        <v/>
      </c>
      <c r="AP1066">
        <f>'Grid_Stock'!AN39</f>
        <v/>
      </c>
      <c r="AQ1066">
        <f>'Grid_Stock'!AO39</f>
        <v/>
      </c>
      <c r="AR1066">
        <f>'Grid_Stock'!AP39</f>
        <v/>
      </c>
      <c r="AS1066">
        <f>'Grid_Stock'!AQ39</f>
        <v/>
      </c>
      <c r="AT1066">
        <f>'Grid_Stock'!AR39</f>
        <v/>
      </c>
      <c r="AU1066">
        <f>'Grid_Stock'!AS39</f>
        <v/>
      </c>
      <c r="AV1066">
        <f>'Grid_Stock'!AT39</f>
        <v/>
      </c>
      <c r="AW1066">
        <f>'Grid_Stock'!AU39</f>
        <v/>
      </c>
      <c r="AX1066">
        <f>'Grid_Stock'!AV39</f>
        <v/>
      </c>
      <c r="AY1066">
        <f>'Grid_Stock'!AW39</f>
        <v/>
      </c>
      <c r="AZ1066">
        <f>'Grid_Stock'!AX39</f>
        <v/>
      </c>
      <c r="BA1066">
        <f>'Grid_Stock'!AY39</f>
        <v/>
      </c>
      <c r="BB1066">
        <f>'Grid_Stock'!AZ39</f>
        <v/>
      </c>
      <c r="BC1066">
        <f>'Grid_Stock'!BA39</f>
        <v/>
      </c>
      <c r="BD1066">
        <f>'Grid_Stock'!BB39</f>
        <v/>
      </c>
      <c r="BE1066">
        <f>'Grid_Stock'!BC39</f>
        <v/>
      </c>
      <c r="BF1066">
        <f>'Grid_Stock'!BD39</f>
        <v/>
      </c>
      <c r="BG1066">
        <f>'Grid_Stock'!BE39</f>
        <v/>
      </c>
      <c r="BH1066">
        <f>'Grid_Stock'!BF39</f>
        <v/>
      </c>
      <c r="BI1066">
        <f>'Grid_Stock'!BG39</f>
        <v/>
      </c>
      <c r="BJ1066">
        <f>'Grid_Stock'!BH39</f>
        <v/>
      </c>
      <c r="BK1066">
        <f>'Grid_Stock'!BI39</f>
        <v/>
      </c>
      <c r="BL1066">
        <f>'Grid_Stock'!BJ39</f>
        <v/>
      </c>
      <c r="BM1066">
        <f>'Grid_Stock'!BK39</f>
        <v/>
      </c>
      <c r="BN1066">
        <f>'Grid_Stock'!BL39</f>
        <v/>
      </c>
      <c r="BO1066">
        <f>'Grid_Stock'!BM39</f>
        <v/>
      </c>
      <c r="BP1066">
        <f>'Grid_Stock'!BN39</f>
        <v/>
      </c>
      <c r="BQ1066">
        <f>'Grid_Stock'!BO39</f>
        <v/>
      </c>
      <c r="BR1066">
        <f>'Grid_Stock'!BP39</f>
        <v/>
      </c>
      <c r="BS1066">
        <f>'Grid_Stock'!BQ39</f>
        <v/>
      </c>
      <c r="BT1066">
        <f>'Grid_Stock'!BR39</f>
        <v/>
      </c>
      <c r="BU1066">
        <f>'Grid_Stock'!BS39</f>
        <v/>
      </c>
      <c r="BV1066">
        <f>'Grid_Stock'!BT39</f>
        <v/>
      </c>
      <c r="BW1066">
        <f>'Grid_Stock'!BU39</f>
        <v/>
      </c>
      <c r="BX1066">
        <f>'Grid_Stock'!BV39</f>
        <v/>
      </c>
      <c r="BY1066">
        <f>'Grid_Stock'!BW39</f>
        <v/>
      </c>
      <c r="BZ1066">
        <f>'Grid_Stock'!BX39</f>
        <v/>
      </c>
      <c r="CA1066">
        <f>'Grid_Stock'!BY39</f>
        <v/>
      </c>
      <c r="CB1066">
        <f>'Grid_Stock'!BZ39</f>
        <v/>
      </c>
      <c r="CC1066">
        <f>'Grid_Stock'!CA39</f>
        <v/>
      </c>
      <c r="CD1066">
        <f>'Grid_Stock'!CB39</f>
        <v/>
      </c>
      <c r="CE1066">
        <f>'Grid_Stock'!CC39</f>
        <v/>
      </c>
      <c r="CF1066">
        <f>'Grid_Stock'!CD39</f>
        <v/>
      </c>
      <c r="CG1066">
        <f>'Grid_Stock'!CE39</f>
        <v/>
      </c>
      <c r="CH1066">
        <f>'Grid_Stock'!CF39</f>
        <v/>
      </c>
      <c r="CI1066">
        <f>'Grid_Stock'!CG39</f>
        <v/>
      </c>
      <c r="CJ1066">
        <f>'Grid_Stock'!CH39</f>
        <v/>
      </c>
      <c r="CK1066">
        <f>'Grid_Stock'!CI39</f>
        <v/>
      </c>
      <c r="CL1066">
        <f>'Grid_Stock'!CJ39</f>
        <v/>
      </c>
      <c r="CM1066">
        <f>'Grid_Stock'!CK39</f>
        <v/>
      </c>
      <c r="CN1066">
        <f>'Grid_Stock'!CL39</f>
        <v/>
      </c>
      <c r="CO1066">
        <f>'Grid_Stock'!CM39</f>
        <v/>
      </c>
      <c r="CP1066">
        <f>'Grid_Stock'!CN39</f>
        <v/>
      </c>
      <c r="CQ1066">
        <f>'Grid_Stock'!CO39</f>
        <v/>
      </c>
      <c r="CR1066">
        <f>'Grid_Stock'!CP39</f>
        <v/>
      </c>
      <c r="CS1066">
        <f>'Grid_Stock'!CQ39</f>
        <v/>
      </c>
      <c r="CT1066">
        <f>'Grid_Stock'!CR39</f>
        <v/>
      </c>
      <c r="CU1066">
        <f>'Grid_Stock'!CS39</f>
        <v/>
      </c>
      <c r="CV1066">
        <f>'Grid_Stock'!CT39</f>
        <v/>
      </c>
      <c r="CW1066">
        <f>'Grid_Stock'!CU39</f>
        <v/>
      </c>
      <c r="CX1066">
        <f>'Grid_Stock'!CV39</f>
        <v/>
      </c>
      <c r="CY1066">
        <f>'Grid_Stock'!CW39</f>
        <v/>
      </c>
      <c r="CZ1066">
        <f>'Grid_Stock'!CX39</f>
        <v/>
      </c>
      <c r="DA1066">
        <f>'Grid_Stock'!CY39</f>
        <v/>
      </c>
      <c r="DB1066">
        <f>'Grid_Stock'!CZ39</f>
        <v/>
      </c>
      <c r="DC1066">
        <f>'Grid_Stock'!DA39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CHEM-1820</t>
        </is>
      </c>
      <c r="B1069" s="14" t="inlineStr">
        <is>
          <t>JCK-472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TPP-1459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TPP-1466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t="inlineStr">
        <is>
          <t>TSP-219</t>
        </is>
      </c>
      <c r="C1074" t="inlineStr">
        <is>
          <t>No. of batches</t>
        </is>
      </c>
      <c r="D1074">
        <f>IFERROR(INDEX(PP_Grid[#Data],$DD1074,2),0)</f>
        <v/>
      </c>
      <c r="E1074">
        <f>IFERROR(INDEX(PP_Grid[#Data],$DD1074,3),0)</f>
        <v/>
      </c>
      <c r="F1074">
        <f>IFERROR(INDEX(PP_Grid[#Data],$DD1074,4),0)</f>
        <v/>
      </c>
      <c r="G1074">
        <f>IFERROR(INDEX(PP_Grid[#Data],$DD1074,5),0)</f>
        <v/>
      </c>
      <c r="H1074">
        <f>IFERROR(INDEX(PP_Grid[#Data],$DD1074,6),0)</f>
        <v/>
      </c>
      <c r="I1074">
        <f>IFERROR(INDEX(PP_Grid[#Data],$DD1074,7),0)</f>
        <v/>
      </c>
      <c r="J1074">
        <f>IFERROR(INDEX(PP_Grid[#Data],$DD1074,8),0)</f>
        <v/>
      </c>
      <c r="K1074">
        <f>IFERROR(INDEX(PP_Grid[#Data],$DD1074,9),0)</f>
        <v/>
      </c>
      <c r="L1074">
        <f>IFERROR(INDEX(PP_Grid[#Data],$DD1074,10),0)</f>
        <v/>
      </c>
      <c r="M1074">
        <f>IFERROR(INDEX(PP_Grid[#Data],$DD1074,11),0)</f>
        <v/>
      </c>
      <c r="N1074">
        <f>IFERROR(INDEX(PP_Grid[#Data],$DD1074,12),0)</f>
        <v/>
      </c>
      <c r="O1074">
        <f>IFERROR(INDEX(PP_Grid[#Data],$DD1074,13),0)</f>
        <v/>
      </c>
      <c r="P1074">
        <f>IFERROR(INDEX(PP_Grid[#Data],$DD1074,14),0)</f>
        <v/>
      </c>
      <c r="Q1074">
        <f>IFERROR(INDEX(PP_Grid[#Data],$DD1074,15),0)</f>
        <v/>
      </c>
      <c r="R1074">
        <f>IFERROR(INDEX(PP_Grid[#Data],$DD1074,16),0)</f>
        <v/>
      </c>
      <c r="S1074">
        <f>IFERROR(INDEX(PP_Grid[#Data],$DD1074,17),0)</f>
        <v/>
      </c>
      <c r="T1074">
        <f>IFERROR(INDEX(PP_Grid[#Data],$DD1074,18),0)</f>
        <v/>
      </c>
      <c r="U1074">
        <f>IFERROR(INDEX(PP_Grid[#Data],$DD1074,19),0)</f>
        <v/>
      </c>
      <c r="V1074">
        <f>IFERROR(INDEX(PP_Grid[#Data],$DD1074,20),0)</f>
        <v/>
      </c>
      <c r="W1074">
        <f>IFERROR(INDEX(PP_Grid[#Data],$DD1074,21),0)</f>
        <v/>
      </c>
      <c r="X1074">
        <f>IFERROR(INDEX(PP_Grid[#Data],$DD1074,22),0)</f>
        <v/>
      </c>
      <c r="Y1074">
        <f>IFERROR(INDEX(PP_Grid[#Data],$DD1074,23),0)</f>
        <v/>
      </c>
      <c r="Z1074">
        <f>IFERROR(INDEX(PP_Grid[#Data],$DD1074,24),0)</f>
        <v/>
      </c>
      <c r="AA1074">
        <f>IFERROR(INDEX(PP_Grid[#Data],$DD1074,25),0)</f>
        <v/>
      </c>
      <c r="AB1074">
        <f>IFERROR(INDEX(PP_Grid[#Data],$DD1074,26),0)</f>
        <v/>
      </c>
      <c r="AC1074">
        <f>IFERROR(INDEX(PP_Grid[#Data],$DD1074,27),0)</f>
        <v/>
      </c>
      <c r="AD1074">
        <f>IFERROR(INDEX(PP_Grid[#Data],$DD1074,28),0)</f>
        <v/>
      </c>
      <c r="AE1074">
        <f>IFERROR(INDEX(PP_Grid[#Data],$DD1074,29),0)</f>
        <v/>
      </c>
      <c r="AF1074">
        <f>IFERROR(INDEX(PP_Grid[#Data],$DD1074,30),0)</f>
        <v/>
      </c>
      <c r="AG1074">
        <f>IFERROR(INDEX(PP_Grid[#Data],$DD1074,31),0)</f>
        <v/>
      </c>
      <c r="AH1074">
        <f>IFERROR(INDEX(PP_Grid[#Data],$DD1074,32),0)</f>
        <v/>
      </c>
      <c r="AI1074">
        <f>IFERROR(INDEX(PP_Grid[#Data],$DD1074,33),0)</f>
        <v/>
      </c>
      <c r="AJ1074">
        <f>IFERROR(INDEX(PP_Grid[#Data],$DD1074,34),0)</f>
        <v/>
      </c>
      <c r="AK1074">
        <f>IFERROR(INDEX(PP_Grid[#Data],$DD1074,35),0)</f>
        <v/>
      </c>
      <c r="AL1074">
        <f>IFERROR(INDEX(PP_Grid[#Data],$DD1074,36),0)</f>
        <v/>
      </c>
      <c r="AM1074">
        <f>IFERROR(INDEX(PP_Grid[#Data],$DD1074,37),0)</f>
        <v/>
      </c>
      <c r="AN1074">
        <f>IFERROR(INDEX(PP_Grid[#Data],$DD1074,38),0)</f>
        <v/>
      </c>
      <c r="AO1074">
        <f>IFERROR(INDEX(PP_Grid[#Data],$DD1074,39),0)</f>
        <v/>
      </c>
      <c r="AP1074">
        <f>IFERROR(INDEX(PP_Grid[#Data],$DD1074,40),0)</f>
        <v/>
      </c>
      <c r="AQ1074">
        <f>IFERROR(INDEX(PP_Grid[#Data],$DD1074,41),0)</f>
        <v/>
      </c>
      <c r="AR1074">
        <f>IFERROR(INDEX(PP_Grid[#Data],$DD1074,42),0)</f>
        <v/>
      </c>
      <c r="AS1074">
        <f>IFERROR(INDEX(PP_Grid[#Data],$DD1074,43),0)</f>
        <v/>
      </c>
      <c r="AT1074">
        <f>IFERROR(INDEX(PP_Grid[#Data],$DD1074,44),0)</f>
        <v/>
      </c>
      <c r="AU1074">
        <f>IFERROR(INDEX(PP_Grid[#Data],$DD1074,45),0)</f>
        <v/>
      </c>
      <c r="AV1074">
        <f>IFERROR(INDEX(PP_Grid[#Data],$DD1074,46),0)</f>
        <v/>
      </c>
      <c r="AW1074">
        <f>IFERROR(INDEX(PP_Grid[#Data],$DD1074,47),0)</f>
        <v/>
      </c>
      <c r="AX1074">
        <f>IFERROR(INDEX(PP_Grid[#Data],$DD1074,48),0)</f>
        <v/>
      </c>
      <c r="AY1074">
        <f>IFERROR(INDEX(PP_Grid[#Data],$DD1074,49),0)</f>
        <v/>
      </c>
      <c r="AZ1074">
        <f>IFERROR(INDEX(PP_Grid[#Data],$DD1074,50),0)</f>
        <v/>
      </c>
      <c r="BA1074">
        <f>IFERROR(INDEX(PP_Grid[#Data],$DD1074,51),0)</f>
        <v/>
      </c>
      <c r="BB1074">
        <f>IFERROR(INDEX(PP_Grid[#Data],$DD1074,52),0)</f>
        <v/>
      </c>
      <c r="BC1074">
        <f>IFERROR(INDEX(PP_Grid[#Data],$DD1074,53),0)</f>
        <v/>
      </c>
      <c r="BD1074">
        <f>IFERROR(INDEX(PP_Grid[#Data],$DD1074,54),0)</f>
        <v/>
      </c>
      <c r="BE1074">
        <f>IFERROR(INDEX(PP_Grid[#Data],$DD1074,55),0)</f>
        <v/>
      </c>
      <c r="BF1074">
        <f>IFERROR(INDEX(PP_Grid[#Data],$DD1074,56),0)</f>
        <v/>
      </c>
      <c r="BG1074">
        <f>IFERROR(INDEX(PP_Grid[#Data],$DD1074,57),0)</f>
        <v/>
      </c>
      <c r="BH1074">
        <f>IFERROR(INDEX(PP_Grid[#Data],$DD1074,58),0)</f>
        <v/>
      </c>
      <c r="BI1074">
        <f>IFERROR(INDEX(PP_Grid[#Data],$DD1074,59),0)</f>
        <v/>
      </c>
      <c r="BJ1074">
        <f>IFERROR(INDEX(PP_Grid[#Data],$DD1074,60),0)</f>
        <v/>
      </c>
      <c r="BK1074">
        <f>IFERROR(INDEX(PP_Grid[#Data],$DD1074,61),0)</f>
        <v/>
      </c>
      <c r="BL1074">
        <f>IFERROR(INDEX(PP_Grid[#Data],$DD1074,62),0)</f>
        <v/>
      </c>
      <c r="BM1074">
        <f>IFERROR(INDEX(PP_Grid[#Data],$DD1074,63),0)</f>
        <v/>
      </c>
      <c r="BN1074">
        <f>IFERROR(INDEX(PP_Grid[#Data],$DD1074,64),0)</f>
        <v/>
      </c>
      <c r="BO1074">
        <f>IFERROR(INDEX(PP_Grid[#Data],$DD1074,65),0)</f>
        <v/>
      </c>
      <c r="BP1074">
        <f>IFERROR(INDEX(PP_Grid[#Data],$DD1074,66),0)</f>
        <v/>
      </c>
      <c r="BQ1074">
        <f>IFERROR(INDEX(PP_Grid[#Data],$DD1074,67),0)</f>
        <v/>
      </c>
      <c r="BR1074">
        <f>IFERROR(INDEX(PP_Grid[#Data],$DD1074,68),0)</f>
        <v/>
      </c>
      <c r="BS1074">
        <f>IFERROR(INDEX(PP_Grid[#Data],$DD1074,69),0)</f>
        <v/>
      </c>
      <c r="BT1074">
        <f>IFERROR(INDEX(PP_Grid[#Data],$DD1074,70),0)</f>
        <v/>
      </c>
      <c r="BU1074">
        <f>IFERROR(INDEX(PP_Grid[#Data],$DD1074,71),0)</f>
        <v/>
      </c>
      <c r="BV1074">
        <f>IFERROR(INDEX(PP_Grid[#Data],$DD1074,72),0)</f>
        <v/>
      </c>
      <c r="BW1074">
        <f>IFERROR(INDEX(PP_Grid[#Data],$DD1074,73),0)</f>
        <v/>
      </c>
      <c r="BX1074">
        <f>IFERROR(INDEX(PP_Grid[#Data],$DD1074,74),0)</f>
        <v/>
      </c>
      <c r="BY1074">
        <f>IFERROR(INDEX(PP_Grid[#Data],$DD1074,75),0)</f>
        <v/>
      </c>
      <c r="BZ1074">
        <f>IFERROR(INDEX(PP_Grid[#Data],$DD1074,76),0)</f>
        <v/>
      </c>
      <c r="CA1074">
        <f>IFERROR(INDEX(PP_Grid[#Data],$DD1074,77),0)</f>
        <v/>
      </c>
      <c r="CB1074">
        <f>IFERROR(INDEX(PP_Grid[#Data],$DD1074,78),0)</f>
        <v/>
      </c>
      <c r="CC1074">
        <f>IFERROR(INDEX(PP_Grid[#Data],$DD1074,79),0)</f>
        <v/>
      </c>
      <c r="CD1074">
        <f>IFERROR(INDEX(PP_Grid[#Data],$DD1074,80),0)</f>
        <v/>
      </c>
      <c r="CE1074">
        <f>IFERROR(INDEX(PP_Grid[#Data],$DD1074,81),0)</f>
        <v/>
      </c>
      <c r="CF1074">
        <f>IFERROR(INDEX(PP_Grid[#Data],$DD1074,82),0)</f>
        <v/>
      </c>
      <c r="CG1074">
        <f>IFERROR(INDEX(PP_Grid[#Data],$DD1074,83),0)</f>
        <v/>
      </c>
      <c r="CH1074">
        <f>IFERROR(INDEX(PP_Grid[#Data],$DD1074,84),0)</f>
        <v/>
      </c>
      <c r="CI1074">
        <f>IFERROR(INDEX(PP_Grid[#Data],$DD1074,85),0)</f>
        <v/>
      </c>
      <c r="CJ1074">
        <f>IFERROR(INDEX(PP_Grid[#Data],$DD1074,86),0)</f>
        <v/>
      </c>
      <c r="CK1074">
        <f>IFERROR(INDEX(PP_Grid[#Data],$DD1074,87),0)</f>
        <v/>
      </c>
      <c r="CL1074">
        <f>IFERROR(INDEX(PP_Grid[#Data],$DD1074,88),0)</f>
        <v/>
      </c>
      <c r="CM1074">
        <f>IFERROR(INDEX(PP_Grid[#Data],$DD1074,89),0)</f>
        <v/>
      </c>
      <c r="CN1074">
        <f>IFERROR(INDEX(PP_Grid[#Data],$DD1074,90),0)</f>
        <v/>
      </c>
      <c r="CO1074">
        <f>IFERROR(INDEX(PP_Grid[#Data],$DD1074,91),0)</f>
        <v/>
      </c>
      <c r="CP1074">
        <f>IFERROR(INDEX(PP_Grid[#Data],$DD1074,92),0)</f>
        <v/>
      </c>
      <c r="CQ1074">
        <f>IFERROR(INDEX(PP_Grid[#Data],$DD1074,93),0)</f>
        <v/>
      </c>
      <c r="CR1074">
        <f>IFERROR(INDEX(PP_Grid[#Data],$DD1074,94),0)</f>
        <v/>
      </c>
      <c r="CS1074">
        <f>IFERROR(INDEX(PP_Grid[#Data],$DD1074,95),0)</f>
        <v/>
      </c>
      <c r="CT1074">
        <f>IFERROR(INDEX(PP_Grid[#Data],$DD1074,96),0)</f>
        <v/>
      </c>
      <c r="CU1074">
        <f>IFERROR(INDEX(PP_Grid[#Data],$DD1074,97),0)</f>
        <v/>
      </c>
      <c r="CV1074">
        <f>IFERROR(INDEX(PP_Grid[#Data],$DD1074,98),0)</f>
        <v/>
      </c>
      <c r="CW1074">
        <f>IFERROR(INDEX(PP_Grid[#Data],$DD1074,99),0)</f>
        <v/>
      </c>
      <c r="CX1074">
        <f>IFERROR(INDEX(PP_Grid[#Data],$DD1074,100),0)</f>
        <v/>
      </c>
      <c r="CY1074">
        <f>IFERROR(INDEX(PP_Grid[#Data],$DD1074,101),0)</f>
        <v/>
      </c>
      <c r="CZ1074">
        <f>IFERROR(INDEX(PP_Grid[#Data],$DD1074,102),0)</f>
        <v/>
      </c>
      <c r="DA1074">
        <f>IFERROR(INDEX(PP_Grid[#Data],$DD1074,103),0)</f>
        <v/>
      </c>
      <c r="DB1074">
        <f>IFERROR(INDEX(PP_Grid[#Data],$DD1074,104),0)</f>
        <v/>
      </c>
      <c r="DC1074">
        <f>IFERROR(INDEX(PP_Grid[#Data],$DD1074,105),0)</f>
        <v/>
      </c>
      <c r="DD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SUMIFS(M_BOM[RM_Qty_Per_Batch],M_BOM[Intermediate],$B1074,M_BOM[Part Name],$A1069)</f>
        <v/>
      </c>
      <c r="D1075">
        <f>$C1075*D1074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</row>
    <row r="1076">
      <c r="B1076" s="4" t="inlineStr">
        <is>
          <t>合計使用量(kg)/週</t>
        </is>
      </c>
      <c r="D1076">
        <f>'Grid_Requirement'!B28</f>
        <v/>
      </c>
      <c r="E1076">
        <f>'Grid_Requirement'!C28</f>
        <v/>
      </c>
      <c r="F1076">
        <f>'Grid_Requirement'!D28</f>
        <v/>
      </c>
      <c r="G1076">
        <f>'Grid_Requirement'!E28</f>
        <v/>
      </c>
      <c r="H1076">
        <f>'Grid_Requirement'!F28</f>
        <v/>
      </c>
      <c r="I1076">
        <f>'Grid_Requirement'!G28</f>
        <v/>
      </c>
      <c r="J1076">
        <f>'Grid_Requirement'!H28</f>
        <v/>
      </c>
      <c r="K1076">
        <f>'Grid_Requirement'!I28</f>
        <v/>
      </c>
      <c r="L1076">
        <f>'Grid_Requirement'!J28</f>
        <v/>
      </c>
      <c r="M1076">
        <f>'Grid_Requirement'!K28</f>
        <v/>
      </c>
      <c r="N1076">
        <f>'Grid_Requirement'!L28</f>
        <v/>
      </c>
      <c r="O1076">
        <f>'Grid_Requirement'!M28</f>
        <v/>
      </c>
      <c r="P1076">
        <f>'Grid_Requirement'!N28</f>
        <v/>
      </c>
      <c r="Q1076">
        <f>'Grid_Requirement'!O28</f>
        <v/>
      </c>
      <c r="R1076">
        <f>'Grid_Requirement'!P28</f>
        <v/>
      </c>
      <c r="S1076">
        <f>'Grid_Requirement'!Q28</f>
        <v/>
      </c>
      <c r="T1076">
        <f>'Grid_Requirement'!R28</f>
        <v/>
      </c>
      <c r="U1076">
        <f>'Grid_Requirement'!S28</f>
        <v/>
      </c>
      <c r="V1076">
        <f>'Grid_Requirement'!T28</f>
        <v/>
      </c>
      <c r="W1076">
        <f>'Grid_Requirement'!U28</f>
        <v/>
      </c>
      <c r="X1076">
        <f>'Grid_Requirement'!V28</f>
        <v/>
      </c>
      <c r="Y1076">
        <f>'Grid_Requirement'!W28</f>
        <v/>
      </c>
      <c r="Z1076">
        <f>'Grid_Requirement'!X28</f>
        <v/>
      </c>
      <c r="AA1076">
        <f>'Grid_Requirement'!Y28</f>
        <v/>
      </c>
      <c r="AB1076">
        <f>'Grid_Requirement'!Z28</f>
        <v/>
      </c>
      <c r="AC1076">
        <f>'Grid_Requirement'!AA28</f>
        <v/>
      </c>
      <c r="AD1076">
        <f>'Grid_Requirement'!AB28</f>
        <v/>
      </c>
      <c r="AE1076">
        <f>'Grid_Requirement'!AC28</f>
        <v/>
      </c>
      <c r="AF1076">
        <f>'Grid_Requirement'!AD28</f>
        <v/>
      </c>
      <c r="AG1076">
        <f>'Grid_Requirement'!AE28</f>
        <v/>
      </c>
      <c r="AH1076">
        <f>'Grid_Requirement'!AF28</f>
        <v/>
      </c>
      <c r="AI1076">
        <f>'Grid_Requirement'!AG28</f>
        <v/>
      </c>
      <c r="AJ1076">
        <f>'Grid_Requirement'!AH28</f>
        <v/>
      </c>
      <c r="AK1076">
        <f>'Grid_Requirement'!AI28</f>
        <v/>
      </c>
      <c r="AL1076">
        <f>'Grid_Requirement'!AJ28</f>
        <v/>
      </c>
      <c r="AM1076">
        <f>'Grid_Requirement'!AK28</f>
        <v/>
      </c>
      <c r="AN1076">
        <f>'Grid_Requirement'!AL28</f>
        <v/>
      </c>
      <c r="AO1076">
        <f>'Grid_Requirement'!AM28</f>
        <v/>
      </c>
      <c r="AP1076">
        <f>'Grid_Requirement'!AN28</f>
        <v/>
      </c>
      <c r="AQ1076">
        <f>'Grid_Requirement'!AO28</f>
        <v/>
      </c>
      <c r="AR1076">
        <f>'Grid_Requirement'!AP28</f>
        <v/>
      </c>
      <c r="AS1076">
        <f>'Grid_Requirement'!AQ28</f>
        <v/>
      </c>
      <c r="AT1076">
        <f>'Grid_Requirement'!AR28</f>
        <v/>
      </c>
      <c r="AU1076">
        <f>'Grid_Requirement'!AS28</f>
        <v/>
      </c>
      <c r="AV1076">
        <f>'Grid_Requirement'!AT28</f>
        <v/>
      </c>
      <c r="AW1076">
        <f>'Grid_Requirement'!AU28</f>
        <v/>
      </c>
      <c r="AX1076">
        <f>'Grid_Requirement'!AV28</f>
        <v/>
      </c>
      <c r="AY1076">
        <f>'Grid_Requirement'!AW28</f>
        <v/>
      </c>
      <c r="AZ1076">
        <f>'Grid_Requirement'!AX28</f>
        <v/>
      </c>
      <c r="BA1076">
        <f>'Grid_Requirement'!AY28</f>
        <v/>
      </c>
      <c r="BB1076">
        <f>'Grid_Requirement'!AZ28</f>
        <v/>
      </c>
      <c r="BC1076">
        <f>'Grid_Requirement'!BA28</f>
        <v/>
      </c>
      <c r="BD1076">
        <f>'Grid_Requirement'!BB28</f>
        <v/>
      </c>
      <c r="BE1076">
        <f>'Grid_Requirement'!BC28</f>
        <v/>
      </c>
      <c r="BF1076">
        <f>'Grid_Requirement'!BD28</f>
        <v/>
      </c>
      <c r="BG1076">
        <f>'Grid_Requirement'!BE28</f>
        <v/>
      </c>
      <c r="BH1076">
        <f>'Grid_Requirement'!BF28</f>
        <v/>
      </c>
      <c r="BI1076">
        <f>'Grid_Requirement'!BG28</f>
        <v/>
      </c>
      <c r="BJ1076">
        <f>'Grid_Requirement'!BH28</f>
        <v/>
      </c>
      <c r="BK1076">
        <f>'Grid_Requirement'!BI28</f>
        <v/>
      </c>
      <c r="BL1076">
        <f>'Grid_Requirement'!BJ28</f>
        <v/>
      </c>
      <c r="BM1076">
        <f>'Grid_Requirement'!BK28</f>
        <v/>
      </c>
      <c r="BN1076">
        <f>'Grid_Requirement'!BL28</f>
        <v/>
      </c>
      <c r="BO1076">
        <f>'Grid_Requirement'!BM28</f>
        <v/>
      </c>
      <c r="BP1076">
        <f>'Grid_Requirement'!BN28</f>
        <v/>
      </c>
      <c r="BQ1076">
        <f>'Grid_Requirement'!BO28</f>
        <v/>
      </c>
      <c r="BR1076">
        <f>'Grid_Requirement'!BP28</f>
        <v/>
      </c>
      <c r="BS1076">
        <f>'Grid_Requirement'!BQ28</f>
        <v/>
      </c>
      <c r="BT1076">
        <f>'Grid_Requirement'!BR28</f>
        <v/>
      </c>
      <c r="BU1076">
        <f>'Grid_Requirement'!BS28</f>
        <v/>
      </c>
      <c r="BV1076">
        <f>'Grid_Requirement'!BT28</f>
        <v/>
      </c>
      <c r="BW1076">
        <f>'Grid_Requirement'!BU28</f>
        <v/>
      </c>
      <c r="BX1076">
        <f>'Grid_Requirement'!BV28</f>
        <v/>
      </c>
      <c r="BY1076">
        <f>'Grid_Requirement'!BW28</f>
        <v/>
      </c>
      <c r="BZ1076">
        <f>'Grid_Requirement'!BX28</f>
        <v/>
      </c>
      <c r="CA1076">
        <f>'Grid_Requirement'!BY28</f>
        <v/>
      </c>
      <c r="CB1076">
        <f>'Grid_Requirement'!BZ28</f>
        <v/>
      </c>
      <c r="CC1076">
        <f>'Grid_Requirement'!CA28</f>
        <v/>
      </c>
      <c r="CD1076">
        <f>'Grid_Requirement'!CB28</f>
        <v/>
      </c>
      <c r="CE1076">
        <f>'Grid_Requirement'!CC28</f>
        <v/>
      </c>
      <c r="CF1076">
        <f>'Grid_Requirement'!CD28</f>
        <v/>
      </c>
      <c r="CG1076">
        <f>'Grid_Requirement'!CE28</f>
        <v/>
      </c>
      <c r="CH1076">
        <f>'Grid_Requirement'!CF28</f>
        <v/>
      </c>
      <c r="CI1076">
        <f>'Grid_Requirement'!CG28</f>
        <v/>
      </c>
      <c r="CJ1076">
        <f>'Grid_Requirement'!CH28</f>
        <v/>
      </c>
      <c r="CK1076">
        <f>'Grid_Requirement'!CI28</f>
        <v/>
      </c>
      <c r="CL1076">
        <f>'Grid_Requirement'!CJ28</f>
        <v/>
      </c>
      <c r="CM1076">
        <f>'Grid_Requirement'!CK28</f>
        <v/>
      </c>
      <c r="CN1076">
        <f>'Grid_Requirement'!CL28</f>
        <v/>
      </c>
      <c r="CO1076">
        <f>'Grid_Requirement'!CM28</f>
        <v/>
      </c>
      <c r="CP1076">
        <f>'Grid_Requirement'!CN28</f>
        <v/>
      </c>
      <c r="CQ1076">
        <f>'Grid_Requirement'!CO28</f>
        <v/>
      </c>
      <c r="CR1076">
        <f>'Grid_Requirement'!CP28</f>
        <v/>
      </c>
      <c r="CS1076">
        <f>'Grid_Requirement'!CQ28</f>
        <v/>
      </c>
      <c r="CT1076">
        <f>'Grid_Requirement'!CR28</f>
        <v/>
      </c>
      <c r="CU1076">
        <f>'Grid_Requirement'!CS28</f>
        <v/>
      </c>
      <c r="CV1076">
        <f>'Grid_Requirement'!CT28</f>
        <v/>
      </c>
      <c r="CW1076">
        <f>'Grid_Requirement'!CU28</f>
        <v/>
      </c>
      <c r="CX1076">
        <f>'Grid_Requirement'!CV28</f>
        <v/>
      </c>
      <c r="CY1076">
        <f>'Grid_Requirement'!CW28</f>
        <v/>
      </c>
      <c r="CZ1076">
        <f>'Grid_Requirement'!CX28</f>
        <v/>
      </c>
      <c r="DA1076">
        <f>'Grid_Requirement'!CY28</f>
        <v/>
      </c>
      <c r="DB1076">
        <f>'Grid_Requirement'!CZ28</f>
        <v/>
      </c>
      <c r="DC1076">
        <f>'Grid_Requirement'!DA28</f>
        <v/>
      </c>
    </row>
    <row r="1077">
      <c r="B1077" t="inlineStr">
        <is>
          <t>TTAF在庫(実績,kg)</t>
        </is>
      </c>
      <c r="D1077">
        <f>'T_TTAFStock'!B32</f>
        <v/>
      </c>
      <c r="E1077">
        <f>'T_TTAFStock'!C32</f>
        <v/>
      </c>
      <c r="F1077">
        <f>'T_TTAFStock'!D32</f>
        <v/>
      </c>
      <c r="G1077">
        <f>'T_TTAFStock'!E32</f>
        <v/>
      </c>
      <c r="H1077">
        <f>'T_TTAFStock'!F32</f>
        <v/>
      </c>
      <c r="I1077">
        <f>'T_TTAFStock'!G32</f>
        <v/>
      </c>
      <c r="J1077">
        <f>'T_TTAFStock'!H32</f>
        <v/>
      </c>
      <c r="K1077">
        <f>'T_TTAFStock'!I32</f>
        <v/>
      </c>
      <c r="L1077">
        <f>'T_TTAFStock'!J32</f>
        <v/>
      </c>
      <c r="M1077">
        <f>'T_TTAFStock'!K32</f>
        <v/>
      </c>
      <c r="N1077">
        <f>'T_TTAFStock'!L32</f>
        <v/>
      </c>
      <c r="O1077">
        <f>'T_TTAFStock'!M32</f>
        <v/>
      </c>
      <c r="P1077">
        <f>'T_TTAFStock'!N32</f>
        <v/>
      </c>
      <c r="Q1077">
        <f>'T_TTAFStock'!O32</f>
        <v/>
      </c>
      <c r="R1077">
        <f>'T_TTAFStock'!P32</f>
        <v/>
      </c>
      <c r="S1077">
        <f>'T_TTAFStock'!Q32</f>
        <v/>
      </c>
      <c r="T1077">
        <f>'T_TTAFStock'!R32</f>
        <v/>
      </c>
      <c r="U1077">
        <f>'T_TTAFStock'!S32</f>
        <v/>
      </c>
      <c r="V1077">
        <f>'T_TTAFStock'!T32</f>
        <v/>
      </c>
      <c r="W1077">
        <f>'T_TTAFStock'!U32</f>
        <v/>
      </c>
      <c r="X1077">
        <f>'T_TTAFStock'!V32</f>
        <v/>
      </c>
      <c r="Y1077">
        <f>'T_TTAFStock'!W32</f>
        <v/>
      </c>
      <c r="Z1077">
        <f>'T_TTAFStock'!X32</f>
        <v/>
      </c>
      <c r="AA1077">
        <f>'T_TTAFStock'!Y32</f>
        <v/>
      </c>
      <c r="AB1077">
        <f>'T_TTAFStock'!Z32</f>
        <v/>
      </c>
      <c r="AC1077">
        <f>'T_TTAFStock'!AA32</f>
        <v/>
      </c>
      <c r="AD1077">
        <f>'T_TTAFStock'!AB32</f>
        <v/>
      </c>
      <c r="AE1077">
        <f>'T_TTAFStock'!AC32</f>
        <v/>
      </c>
      <c r="AF1077">
        <f>'T_TTAFStock'!AD32</f>
        <v/>
      </c>
      <c r="AG1077">
        <f>'T_TTAFStock'!AE32</f>
        <v/>
      </c>
      <c r="AH1077">
        <f>'T_TTAFStock'!AF32</f>
        <v/>
      </c>
      <c r="AI1077">
        <f>'T_TTAFStock'!AG32</f>
        <v/>
      </c>
      <c r="AJ1077">
        <f>'T_TTAFStock'!AH32</f>
        <v/>
      </c>
      <c r="AK1077">
        <f>'T_TTAFStock'!AI32</f>
        <v/>
      </c>
      <c r="AL1077">
        <f>'T_TTAFStock'!AJ32</f>
        <v/>
      </c>
      <c r="AM1077">
        <f>'T_TTAFStock'!AK32</f>
        <v/>
      </c>
      <c r="AN1077">
        <f>'T_TTAFStock'!AL32</f>
        <v/>
      </c>
      <c r="AO1077">
        <f>'T_TTAFStock'!AM32</f>
        <v/>
      </c>
      <c r="AP1077">
        <f>'T_TTAFStock'!AN32</f>
        <v/>
      </c>
      <c r="AQ1077">
        <f>'T_TTAFStock'!AO32</f>
        <v/>
      </c>
      <c r="AR1077">
        <f>'T_TTAFStock'!AP32</f>
        <v/>
      </c>
      <c r="AS1077">
        <f>'T_TTAFStock'!AQ32</f>
        <v/>
      </c>
      <c r="AT1077">
        <f>'T_TTAFStock'!AR32</f>
        <v/>
      </c>
      <c r="AU1077">
        <f>'T_TTAFStock'!AS32</f>
        <v/>
      </c>
      <c r="AV1077">
        <f>'T_TTAFStock'!AT32</f>
        <v/>
      </c>
      <c r="AW1077">
        <f>'T_TTAFStock'!AU32</f>
        <v/>
      </c>
      <c r="AX1077">
        <f>'T_TTAFStock'!AV32</f>
        <v/>
      </c>
      <c r="AY1077">
        <f>'T_TTAFStock'!AW32</f>
        <v/>
      </c>
      <c r="AZ1077">
        <f>'T_TTAFStock'!AX32</f>
        <v/>
      </c>
      <c r="BA1077">
        <f>'T_TTAFStock'!AY32</f>
        <v/>
      </c>
      <c r="BB1077">
        <f>'T_TTAFStock'!AZ32</f>
        <v/>
      </c>
      <c r="BC1077">
        <f>'T_TTAFStock'!BA32</f>
        <v/>
      </c>
      <c r="BD1077">
        <f>'T_TTAFStock'!BB32</f>
        <v/>
      </c>
      <c r="BE1077">
        <f>'T_TTAFStock'!BC32</f>
        <v/>
      </c>
      <c r="BF1077">
        <f>'T_TTAFStock'!BD32</f>
        <v/>
      </c>
      <c r="BG1077">
        <f>'T_TTAFStock'!BE32</f>
        <v/>
      </c>
      <c r="BH1077">
        <f>'T_TTAFStock'!BF32</f>
        <v/>
      </c>
      <c r="BI1077">
        <f>'T_TTAFStock'!BG32</f>
        <v/>
      </c>
      <c r="BJ1077">
        <f>'T_TTAFStock'!BH32</f>
        <v/>
      </c>
      <c r="BK1077">
        <f>'T_TTAFStock'!BI32</f>
        <v/>
      </c>
      <c r="BL1077">
        <f>'T_TTAFStock'!BJ32</f>
        <v/>
      </c>
      <c r="BM1077">
        <f>'T_TTAFStock'!BK32</f>
        <v/>
      </c>
      <c r="BN1077">
        <f>'T_TTAFStock'!BL32</f>
        <v/>
      </c>
      <c r="BO1077">
        <f>'T_TTAFStock'!BM32</f>
        <v/>
      </c>
      <c r="BP1077">
        <f>'T_TTAFStock'!BN32</f>
        <v/>
      </c>
      <c r="BQ1077">
        <f>'T_TTAFStock'!BO32</f>
        <v/>
      </c>
      <c r="BR1077">
        <f>'T_TTAFStock'!BP32</f>
        <v/>
      </c>
      <c r="BS1077">
        <f>'T_TTAFStock'!BQ32</f>
        <v/>
      </c>
      <c r="BT1077">
        <f>'T_TTAFStock'!BR32</f>
        <v/>
      </c>
      <c r="BU1077">
        <f>'T_TTAFStock'!BS32</f>
        <v/>
      </c>
      <c r="BV1077">
        <f>'T_TTAFStock'!BT32</f>
        <v/>
      </c>
      <c r="BW1077">
        <f>'T_TTAFStock'!BU32</f>
        <v/>
      </c>
      <c r="BX1077">
        <f>'T_TTAFStock'!BV32</f>
        <v/>
      </c>
      <c r="BY1077">
        <f>'T_TTAFStock'!BW32</f>
        <v/>
      </c>
      <c r="BZ1077">
        <f>'T_TTAFStock'!BX32</f>
        <v/>
      </c>
      <c r="CA1077">
        <f>'T_TTAFStock'!BY32</f>
        <v/>
      </c>
      <c r="CB1077">
        <f>'T_TTAFStock'!BZ32</f>
        <v/>
      </c>
      <c r="CC1077">
        <f>'T_TTAFStock'!CA32</f>
        <v/>
      </c>
      <c r="CD1077">
        <f>'T_TTAFStock'!CB32</f>
        <v/>
      </c>
      <c r="CE1077">
        <f>'T_TTAFStock'!CC32</f>
        <v/>
      </c>
      <c r="CF1077">
        <f>'T_TTAFStock'!CD32</f>
        <v/>
      </c>
      <c r="CG1077">
        <f>'T_TTAFStock'!CE32</f>
        <v/>
      </c>
      <c r="CH1077">
        <f>'T_TTAFStock'!CF32</f>
        <v/>
      </c>
      <c r="CI1077">
        <f>'T_TTAFStock'!CG32</f>
        <v/>
      </c>
      <c r="CJ1077">
        <f>'T_TTAFStock'!CH32</f>
        <v/>
      </c>
      <c r="CK1077">
        <f>'T_TTAFStock'!CI32</f>
        <v/>
      </c>
      <c r="CL1077">
        <f>'T_TTAFStock'!CJ32</f>
        <v/>
      </c>
      <c r="CM1077">
        <f>'T_TTAFStock'!CK32</f>
        <v/>
      </c>
      <c r="CN1077">
        <f>'T_TTAFStock'!CL32</f>
        <v/>
      </c>
      <c r="CO1077">
        <f>'T_TTAFStock'!CM32</f>
        <v/>
      </c>
      <c r="CP1077">
        <f>'T_TTAFStock'!CN32</f>
        <v/>
      </c>
      <c r="CQ1077">
        <f>'T_TTAFStock'!CO32</f>
        <v/>
      </c>
      <c r="CR1077">
        <f>'T_TTAFStock'!CP32</f>
        <v/>
      </c>
      <c r="CS1077">
        <f>'T_TTAFStock'!CQ32</f>
        <v/>
      </c>
      <c r="CT1077">
        <f>'T_TTAFStock'!CR32</f>
        <v/>
      </c>
      <c r="CU1077">
        <f>'T_TTAFStock'!CS32</f>
        <v/>
      </c>
      <c r="CV1077">
        <f>'T_TTAFStock'!CT32</f>
        <v/>
      </c>
      <c r="CW1077">
        <f>'T_TTAFStock'!CU32</f>
        <v/>
      </c>
      <c r="CX1077">
        <f>'T_TTAFStock'!CV32</f>
        <v/>
      </c>
      <c r="CY1077">
        <f>'T_TTAFStock'!CW32</f>
        <v/>
      </c>
      <c r="CZ1077">
        <f>'T_TTAFStock'!CX32</f>
        <v/>
      </c>
      <c r="DA1077">
        <f>'T_TTAFStock'!CY32</f>
        <v/>
      </c>
      <c r="DB1077">
        <f>'T_TTAFStock'!CZ32</f>
        <v/>
      </c>
      <c r="DC1077">
        <f>'T_TTAFStock'!DA32</f>
        <v/>
      </c>
    </row>
    <row r="1078">
      <c r="B1078" t="inlineStr">
        <is>
          <t>自社在庫(実績,kg)</t>
        </is>
      </c>
      <c r="D1078">
        <f>'T_SelfStock'!B32</f>
        <v/>
      </c>
      <c r="E1078">
        <f>'T_SelfStock'!C32</f>
        <v/>
      </c>
      <c r="F1078">
        <f>'T_SelfStock'!D32</f>
        <v/>
      </c>
      <c r="G1078">
        <f>'T_SelfStock'!E32</f>
        <v/>
      </c>
      <c r="H1078">
        <f>'T_SelfStock'!F32</f>
        <v/>
      </c>
      <c r="I1078">
        <f>'T_SelfStock'!G32</f>
        <v/>
      </c>
      <c r="J1078">
        <f>'T_SelfStock'!H32</f>
        <v/>
      </c>
      <c r="K1078">
        <f>'T_SelfStock'!I32</f>
        <v/>
      </c>
      <c r="L1078">
        <f>'T_SelfStock'!J32</f>
        <v/>
      </c>
      <c r="M1078">
        <f>'T_SelfStock'!K32</f>
        <v/>
      </c>
      <c r="N1078">
        <f>'T_SelfStock'!L32</f>
        <v/>
      </c>
      <c r="O1078">
        <f>'T_SelfStock'!M32</f>
        <v/>
      </c>
      <c r="P1078">
        <f>'T_SelfStock'!N32</f>
        <v/>
      </c>
      <c r="Q1078">
        <f>'T_SelfStock'!O32</f>
        <v/>
      </c>
      <c r="R1078">
        <f>'T_SelfStock'!P32</f>
        <v/>
      </c>
      <c r="S1078">
        <f>'T_SelfStock'!Q32</f>
        <v/>
      </c>
      <c r="T1078">
        <f>'T_SelfStock'!R32</f>
        <v/>
      </c>
      <c r="U1078">
        <f>'T_SelfStock'!S32</f>
        <v/>
      </c>
      <c r="V1078">
        <f>'T_SelfStock'!T32</f>
        <v/>
      </c>
      <c r="W1078">
        <f>'T_SelfStock'!U32</f>
        <v/>
      </c>
      <c r="X1078">
        <f>'T_SelfStock'!V32</f>
        <v/>
      </c>
      <c r="Y1078">
        <f>'T_SelfStock'!W32</f>
        <v/>
      </c>
      <c r="Z1078">
        <f>'T_SelfStock'!X32</f>
        <v/>
      </c>
      <c r="AA1078">
        <f>'T_SelfStock'!Y32</f>
        <v/>
      </c>
      <c r="AB1078">
        <f>'T_SelfStock'!Z32</f>
        <v/>
      </c>
      <c r="AC1078">
        <f>'T_SelfStock'!AA32</f>
        <v/>
      </c>
      <c r="AD1078">
        <f>'T_SelfStock'!AB32</f>
        <v/>
      </c>
      <c r="AE1078">
        <f>'T_SelfStock'!AC32</f>
        <v/>
      </c>
      <c r="AF1078">
        <f>'T_SelfStock'!AD32</f>
        <v/>
      </c>
      <c r="AG1078">
        <f>'T_SelfStock'!AE32</f>
        <v/>
      </c>
      <c r="AH1078">
        <f>'T_SelfStock'!AF32</f>
        <v/>
      </c>
      <c r="AI1078">
        <f>'T_SelfStock'!AG32</f>
        <v/>
      </c>
      <c r="AJ1078">
        <f>'T_SelfStock'!AH32</f>
        <v/>
      </c>
      <c r="AK1078">
        <f>'T_SelfStock'!AI32</f>
        <v/>
      </c>
      <c r="AL1078">
        <f>'T_SelfStock'!AJ32</f>
        <v/>
      </c>
      <c r="AM1078">
        <f>'T_SelfStock'!AK32</f>
        <v/>
      </c>
      <c r="AN1078">
        <f>'T_SelfStock'!AL32</f>
        <v/>
      </c>
      <c r="AO1078">
        <f>'T_SelfStock'!AM32</f>
        <v/>
      </c>
      <c r="AP1078">
        <f>'T_SelfStock'!AN32</f>
        <v/>
      </c>
      <c r="AQ1078">
        <f>'T_SelfStock'!AO32</f>
        <v/>
      </c>
      <c r="AR1078">
        <f>'T_SelfStock'!AP32</f>
        <v/>
      </c>
      <c r="AS1078">
        <f>'T_SelfStock'!AQ32</f>
        <v/>
      </c>
      <c r="AT1078">
        <f>'T_SelfStock'!AR32</f>
        <v/>
      </c>
      <c r="AU1078">
        <f>'T_SelfStock'!AS32</f>
        <v/>
      </c>
      <c r="AV1078">
        <f>'T_SelfStock'!AT32</f>
        <v/>
      </c>
      <c r="AW1078">
        <f>'T_SelfStock'!AU32</f>
        <v/>
      </c>
      <c r="AX1078">
        <f>'T_SelfStock'!AV32</f>
        <v/>
      </c>
      <c r="AY1078">
        <f>'T_SelfStock'!AW32</f>
        <v/>
      </c>
      <c r="AZ1078">
        <f>'T_SelfStock'!AX32</f>
        <v/>
      </c>
      <c r="BA1078">
        <f>'T_SelfStock'!AY32</f>
        <v/>
      </c>
      <c r="BB1078">
        <f>'T_SelfStock'!AZ32</f>
        <v/>
      </c>
      <c r="BC1078">
        <f>'T_SelfStock'!BA32</f>
        <v/>
      </c>
      <c r="BD1078">
        <f>'T_SelfStock'!BB32</f>
        <v/>
      </c>
      <c r="BE1078">
        <f>'T_SelfStock'!BC32</f>
        <v/>
      </c>
      <c r="BF1078">
        <f>'T_SelfStock'!BD32</f>
        <v/>
      </c>
      <c r="BG1078">
        <f>'T_SelfStock'!BE32</f>
        <v/>
      </c>
      <c r="BH1078">
        <f>'T_SelfStock'!BF32</f>
        <v/>
      </c>
      <c r="BI1078">
        <f>'T_SelfStock'!BG32</f>
        <v/>
      </c>
      <c r="BJ1078">
        <f>'T_SelfStock'!BH32</f>
        <v/>
      </c>
      <c r="BK1078">
        <f>'T_SelfStock'!BI32</f>
        <v/>
      </c>
      <c r="BL1078">
        <f>'T_SelfStock'!BJ32</f>
        <v/>
      </c>
      <c r="BM1078">
        <f>'T_SelfStock'!BK32</f>
        <v/>
      </c>
      <c r="BN1078">
        <f>'T_SelfStock'!BL32</f>
        <v/>
      </c>
      <c r="BO1078">
        <f>'T_SelfStock'!BM32</f>
        <v/>
      </c>
      <c r="BP1078">
        <f>'T_SelfStock'!BN32</f>
        <v/>
      </c>
      <c r="BQ1078">
        <f>'T_SelfStock'!BO32</f>
        <v/>
      </c>
      <c r="BR1078">
        <f>'T_SelfStock'!BP32</f>
        <v/>
      </c>
      <c r="BS1078">
        <f>'T_SelfStock'!BQ32</f>
        <v/>
      </c>
      <c r="BT1078">
        <f>'T_SelfStock'!BR32</f>
        <v/>
      </c>
      <c r="BU1078">
        <f>'T_SelfStock'!BS32</f>
        <v/>
      </c>
      <c r="BV1078">
        <f>'T_SelfStock'!BT32</f>
        <v/>
      </c>
      <c r="BW1078">
        <f>'T_SelfStock'!BU32</f>
        <v/>
      </c>
      <c r="BX1078">
        <f>'T_SelfStock'!BV32</f>
        <v/>
      </c>
      <c r="BY1078">
        <f>'T_SelfStock'!BW32</f>
        <v/>
      </c>
      <c r="BZ1078">
        <f>'T_SelfStock'!BX32</f>
        <v/>
      </c>
      <c r="CA1078">
        <f>'T_SelfStock'!BY32</f>
        <v/>
      </c>
      <c r="CB1078">
        <f>'T_SelfStock'!BZ32</f>
        <v/>
      </c>
      <c r="CC1078">
        <f>'T_SelfStock'!CA32</f>
        <v/>
      </c>
      <c r="CD1078">
        <f>'T_SelfStock'!CB32</f>
        <v/>
      </c>
      <c r="CE1078">
        <f>'T_SelfStock'!CC32</f>
        <v/>
      </c>
      <c r="CF1078">
        <f>'T_SelfStock'!CD32</f>
        <v/>
      </c>
      <c r="CG1078">
        <f>'T_SelfStock'!CE32</f>
        <v/>
      </c>
      <c r="CH1078">
        <f>'T_SelfStock'!CF32</f>
        <v/>
      </c>
      <c r="CI1078">
        <f>'T_SelfStock'!CG32</f>
        <v/>
      </c>
      <c r="CJ1078">
        <f>'T_SelfStock'!CH32</f>
        <v/>
      </c>
      <c r="CK1078">
        <f>'T_SelfStock'!CI32</f>
        <v/>
      </c>
      <c r="CL1078">
        <f>'T_SelfStock'!CJ32</f>
        <v/>
      </c>
      <c r="CM1078">
        <f>'T_SelfStock'!CK32</f>
        <v/>
      </c>
      <c r="CN1078">
        <f>'T_SelfStock'!CL32</f>
        <v/>
      </c>
      <c r="CO1078">
        <f>'T_SelfStock'!CM32</f>
        <v/>
      </c>
      <c r="CP1078">
        <f>'T_SelfStock'!CN32</f>
        <v/>
      </c>
      <c r="CQ1078">
        <f>'T_SelfStock'!CO32</f>
        <v/>
      </c>
      <c r="CR1078">
        <f>'T_SelfStock'!CP32</f>
        <v/>
      </c>
      <c r="CS1078">
        <f>'T_SelfStock'!CQ32</f>
        <v/>
      </c>
      <c r="CT1078">
        <f>'T_SelfStock'!CR32</f>
        <v/>
      </c>
      <c r="CU1078">
        <f>'T_SelfStock'!CS32</f>
        <v/>
      </c>
      <c r="CV1078">
        <f>'T_SelfStock'!CT32</f>
        <v/>
      </c>
      <c r="CW1078">
        <f>'T_SelfStock'!CU32</f>
        <v/>
      </c>
      <c r="CX1078">
        <f>'T_SelfStock'!CV32</f>
        <v/>
      </c>
      <c r="CY1078">
        <f>'T_SelfStock'!CW32</f>
        <v/>
      </c>
      <c r="CZ1078">
        <f>'T_SelfStock'!CX32</f>
        <v/>
      </c>
      <c r="DA1078">
        <f>'T_SelfStock'!CY32</f>
        <v/>
      </c>
      <c r="DB1078">
        <f>'T_SelfStock'!CZ32</f>
        <v/>
      </c>
      <c r="DC1078">
        <f>'T_SelfStock'!DA32</f>
        <v/>
      </c>
    </row>
    <row r="1079">
      <c r="B1079" s="4" t="inlineStr">
        <is>
          <t>合計在庫(週末時点,kg)</t>
        </is>
      </c>
      <c r="D1079">
        <f>'Grid_Stock'!B28</f>
        <v/>
      </c>
      <c r="E1079">
        <f>'Grid_Stock'!C28</f>
        <v/>
      </c>
      <c r="F1079">
        <f>'Grid_Stock'!D28</f>
        <v/>
      </c>
      <c r="G1079">
        <f>'Grid_Stock'!E28</f>
        <v/>
      </c>
      <c r="H1079">
        <f>'Grid_Stock'!F28</f>
        <v/>
      </c>
      <c r="I1079">
        <f>'Grid_Stock'!G28</f>
        <v/>
      </c>
      <c r="J1079">
        <f>'Grid_Stock'!H28</f>
        <v/>
      </c>
      <c r="K1079">
        <f>'Grid_Stock'!I28</f>
        <v/>
      </c>
      <c r="L1079">
        <f>'Grid_Stock'!J28</f>
        <v/>
      </c>
      <c r="M1079">
        <f>'Grid_Stock'!K28</f>
        <v/>
      </c>
      <c r="N1079">
        <f>'Grid_Stock'!L28</f>
        <v/>
      </c>
      <c r="O1079">
        <f>'Grid_Stock'!M28</f>
        <v/>
      </c>
      <c r="P1079">
        <f>'Grid_Stock'!N28</f>
        <v/>
      </c>
      <c r="Q1079">
        <f>'Grid_Stock'!O28</f>
        <v/>
      </c>
      <c r="R1079">
        <f>'Grid_Stock'!P28</f>
        <v/>
      </c>
      <c r="S1079">
        <f>'Grid_Stock'!Q28</f>
        <v/>
      </c>
      <c r="T1079">
        <f>'Grid_Stock'!R28</f>
        <v/>
      </c>
      <c r="U1079">
        <f>'Grid_Stock'!S28</f>
        <v/>
      </c>
      <c r="V1079">
        <f>'Grid_Stock'!T28</f>
        <v/>
      </c>
      <c r="W1079">
        <f>'Grid_Stock'!U28</f>
        <v/>
      </c>
      <c r="X1079">
        <f>'Grid_Stock'!V28</f>
        <v/>
      </c>
      <c r="Y1079">
        <f>'Grid_Stock'!W28</f>
        <v/>
      </c>
      <c r="Z1079">
        <f>'Grid_Stock'!X28</f>
        <v/>
      </c>
      <c r="AA1079">
        <f>'Grid_Stock'!Y28</f>
        <v/>
      </c>
      <c r="AB1079">
        <f>'Grid_Stock'!Z28</f>
        <v/>
      </c>
      <c r="AC1079">
        <f>'Grid_Stock'!AA28</f>
        <v/>
      </c>
      <c r="AD1079">
        <f>'Grid_Stock'!AB28</f>
        <v/>
      </c>
      <c r="AE1079">
        <f>'Grid_Stock'!AC28</f>
        <v/>
      </c>
      <c r="AF1079">
        <f>'Grid_Stock'!AD28</f>
        <v/>
      </c>
      <c r="AG1079">
        <f>'Grid_Stock'!AE28</f>
        <v/>
      </c>
      <c r="AH1079">
        <f>'Grid_Stock'!AF28</f>
        <v/>
      </c>
      <c r="AI1079">
        <f>'Grid_Stock'!AG28</f>
        <v/>
      </c>
      <c r="AJ1079">
        <f>'Grid_Stock'!AH28</f>
        <v/>
      </c>
      <c r="AK1079">
        <f>'Grid_Stock'!AI28</f>
        <v/>
      </c>
      <c r="AL1079">
        <f>'Grid_Stock'!AJ28</f>
        <v/>
      </c>
      <c r="AM1079">
        <f>'Grid_Stock'!AK28</f>
        <v/>
      </c>
      <c r="AN1079">
        <f>'Grid_Stock'!AL28</f>
        <v/>
      </c>
      <c r="AO1079">
        <f>'Grid_Stock'!AM28</f>
        <v/>
      </c>
      <c r="AP1079">
        <f>'Grid_Stock'!AN28</f>
        <v/>
      </c>
      <c r="AQ1079">
        <f>'Grid_Stock'!AO28</f>
        <v/>
      </c>
      <c r="AR1079">
        <f>'Grid_Stock'!AP28</f>
        <v/>
      </c>
      <c r="AS1079">
        <f>'Grid_Stock'!AQ28</f>
        <v/>
      </c>
      <c r="AT1079">
        <f>'Grid_Stock'!AR28</f>
        <v/>
      </c>
      <c r="AU1079">
        <f>'Grid_Stock'!AS28</f>
        <v/>
      </c>
      <c r="AV1079">
        <f>'Grid_Stock'!AT28</f>
        <v/>
      </c>
      <c r="AW1079">
        <f>'Grid_Stock'!AU28</f>
        <v/>
      </c>
      <c r="AX1079">
        <f>'Grid_Stock'!AV28</f>
        <v/>
      </c>
      <c r="AY1079">
        <f>'Grid_Stock'!AW28</f>
        <v/>
      </c>
      <c r="AZ1079">
        <f>'Grid_Stock'!AX28</f>
        <v/>
      </c>
      <c r="BA1079">
        <f>'Grid_Stock'!AY28</f>
        <v/>
      </c>
      <c r="BB1079">
        <f>'Grid_Stock'!AZ28</f>
        <v/>
      </c>
      <c r="BC1079">
        <f>'Grid_Stock'!BA28</f>
        <v/>
      </c>
      <c r="BD1079">
        <f>'Grid_Stock'!BB28</f>
        <v/>
      </c>
      <c r="BE1079">
        <f>'Grid_Stock'!BC28</f>
        <v/>
      </c>
      <c r="BF1079">
        <f>'Grid_Stock'!BD28</f>
        <v/>
      </c>
      <c r="BG1079">
        <f>'Grid_Stock'!BE28</f>
        <v/>
      </c>
      <c r="BH1079">
        <f>'Grid_Stock'!BF28</f>
        <v/>
      </c>
      <c r="BI1079">
        <f>'Grid_Stock'!BG28</f>
        <v/>
      </c>
      <c r="BJ1079">
        <f>'Grid_Stock'!BH28</f>
        <v/>
      </c>
      <c r="BK1079">
        <f>'Grid_Stock'!BI28</f>
        <v/>
      </c>
      <c r="BL1079">
        <f>'Grid_Stock'!BJ28</f>
        <v/>
      </c>
      <c r="BM1079">
        <f>'Grid_Stock'!BK28</f>
        <v/>
      </c>
      <c r="BN1079">
        <f>'Grid_Stock'!BL28</f>
        <v/>
      </c>
      <c r="BO1079">
        <f>'Grid_Stock'!BM28</f>
        <v/>
      </c>
      <c r="BP1079">
        <f>'Grid_Stock'!BN28</f>
        <v/>
      </c>
      <c r="BQ1079">
        <f>'Grid_Stock'!BO28</f>
        <v/>
      </c>
      <c r="BR1079">
        <f>'Grid_Stock'!BP28</f>
        <v/>
      </c>
      <c r="BS1079">
        <f>'Grid_Stock'!BQ28</f>
        <v/>
      </c>
      <c r="BT1079">
        <f>'Grid_Stock'!BR28</f>
        <v/>
      </c>
      <c r="BU1079">
        <f>'Grid_Stock'!BS28</f>
        <v/>
      </c>
      <c r="BV1079">
        <f>'Grid_Stock'!BT28</f>
        <v/>
      </c>
      <c r="BW1079">
        <f>'Grid_Stock'!BU28</f>
        <v/>
      </c>
      <c r="BX1079">
        <f>'Grid_Stock'!BV28</f>
        <v/>
      </c>
      <c r="BY1079">
        <f>'Grid_Stock'!BW28</f>
        <v/>
      </c>
      <c r="BZ1079">
        <f>'Grid_Stock'!BX28</f>
        <v/>
      </c>
      <c r="CA1079">
        <f>'Grid_Stock'!BY28</f>
        <v/>
      </c>
      <c r="CB1079">
        <f>'Grid_Stock'!BZ28</f>
        <v/>
      </c>
      <c r="CC1079">
        <f>'Grid_Stock'!CA28</f>
        <v/>
      </c>
      <c r="CD1079">
        <f>'Grid_Stock'!CB28</f>
        <v/>
      </c>
      <c r="CE1079">
        <f>'Grid_Stock'!CC28</f>
        <v/>
      </c>
      <c r="CF1079">
        <f>'Grid_Stock'!CD28</f>
        <v/>
      </c>
      <c r="CG1079">
        <f>'Grid_Stock'!CE28</f>
        <v/>
      </c>
      <c r="CH1079">
        <f>'Grid_Stock'!CF28</f>
        <v/>
      </c>
      <c r="CI1079">
        <f>'Grid_Stock'!CG28</f>
        <v/>
      </c>
      <c r="CJ1079">
        <f>'Grid_Stock'!CH28</f>
        <v/>
      </c>
      <c r="CK1079">
        <f>'Grid_Stock'!CI28</f>
        <v/>
      </c>
      <c r="CL1079">
        <f>'Grid_Stock'!CJ28</f>
        <v/>
      </c>
      <c r="CM1079">
        <f>'Grid_Stock'!CK28</f>
        <v/>
      </c>
      <c r="CN1079">
        <f>'Grid_Stock'!CL28</f>
        <v/>
      </c>
      <c r="CO1079">
        <f>'Grid_Stock'!CM28</f>
        <v/>
      </c>
      <c r="CP1079">
        <f>'Grid_Stock'!CN28</f>
        <v/>
      </c>
      <c r="CQ1079">
        <f>'Grid_Stock'!CO28</f>
        <v/>
      </c>
      <c r="CR1079">
        <f>'Grid_Stock'!CP28</f>
        <v/>
      </c>
      <c r="CS1079">
        <f>'Grid_Stock'!CQ28</f>
        <v/>
      </c>
      <c r="CT1079">
        <f>'Grid_Stock'!CR28</f>
        <v/>
      </c>
      <c r="CU1079">
        <f>'Grid_Stock'!CS28</f>
        <v/>
      </c>
      <c r="CV1079">
        <f>'Grid_Stock'!CT28</f>
        <v/>
      </c>
      <c r="CW1079">
        <f>'Grid_Stock'!CU28</f>
        <v/>
      </c>
      <c r="CX1079">
        <f>'Grid_Stock'!CV28</f>
        <v/>
      </c>
      <c r="CY1079">
        <f>'Grid_Stock'!CW28</f>
        <v/>
      </c>
      <c r="CZ1079">
        <f>'Grid_Stock'!CX28</f>
        <v/>
      </c>
      <c r="DA1079">
        <f>'Grid_Stock'!CY28</f>
        <v/>
      </c>
      <c r="DB1079">
        <f>'Grid_Stock'!CZ28</f>
        <v/>
      </c>
      <c r="DC1079">
        <f>'Grid_Stock'!DA28</f>
        <v/>
      </c>
    </row>
    <row r="1080">
      <c r="B1080" s="16" t="inlineStr">
        <is>
          <t>（発注の目安はDashboardの基準在庫[下限/上限]と色分けを参照）</t>
        </is>
      </c>
    </row>
    <row r="1082">
      <c r="A1082" s="14" t="inlineStr">
        <is>
          <t>CHEM-1830</t>
        </is>
      </c>
      <c r="B1082" s="14" t="inlineStr">
        <is>
          <t>RCT-43</t>
        </is>
      </c>
      <c r="C1082" s="15" t="n"/>
      <c r="D1082" s="14" t="n"/>
      <c r="E1082" s="14" t="n"/>
      <c r="F1082" s="14" t="n"/>
      <c r="G1082" s="14" t="n"/>
      <c r="H1082" s="14" t="n"/>
      <c r="I1082" s="14" t="n"/>
      <c r="J1082" s="14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  <c r="S1082" s="14" t="n"/>
      <c r="T1082" s="14" t="n"/>
      <c r="U1082" s="14" t="n"/>
      <c r="V1082" s="14" t="n"/>
      <c r="W1082" s="14" t="n"/>
      <c r="X1082" s="14" t="n"/>
      <c r="Y1082" s="14" t="n"/>
      <c r="Z1082" s="14" t="n"/>
      <c r="AA1082" s="14" t="n"/>
      <c r="AB1082" s="14" t="n"/>
      <c r="AC1082" s="14" t="n"/>
      <c r="AD1082" s="14" t="n"/>
      <c r="AE1082" s="14" t="n"/>
      <c r="AF1082" s="14" t="n"/>
      <c r="AG1082" s="14" t="n"/>
      <c r="AH1082" s="14" t="n"/>
      <c r="AI1082" s="14" t="n"/>
      <c r="AJ1082" s="14" t="n"/>
      <c r="AK1082" s="14" t="n"/>
      <c r="AL1082" s="14" t="n"/>
      <c r="AM1082" s="14" t="n"/>
      <c r="AN1082" s="14" t="n"/>
      <c r="AO1082" s="14" t="n"/>
      <c r="AP1082" s="14" t="n"/>
      <c r="AQ1082" s="14" t="n"/>
      <c r="AR1082" s="14" t="n"/>
      <c r="AS1082" s="14" t="n"/>
      <c r="AT1082" s="14" t="n"/>
      <c r="AU1082" s="14" t="n"/>
      <c r="AV1082" s="14" t="n"/>
      <c r="AW1082" s="14" t="n"/>
      <c r="AX1082" s="14" t="n"/>
      <c r="AY1082" s="14" t="n"/>
      <c r="AZ1082" s="14" t="n"/>
      <c r="BA1082" s="14" t="n"/>
      <c r="BB1082" s="14" t="n"/>
      <c r="BC1082" s="14" t="n"/>
      <c r="BD1082" s="14" t="n"/>
      <c r="BE1082" s="14" t="n"/>
      <c r="BF1082" s="14" t="n"/>
      <c r="BG1082" s="14" t="n"/>
      <c r="BH1082" s="14" t="n"/>
      <c r="BI1082" s="14" t="n"/>
      <c r="BJ1082" s="14" t="n"/>
      <c r="BK1082" s="14" t="n"/>
      <c r="BL1082" s="14" t="n"/>
      <c r="BM1082" s="14" t="n"/>
      <c r="BN1082" s="14" t="n"/>
      <c r="BO1082" s="14" t="n"/>
      <c r="BP1082" s="14" t="n"/>
      <c r="BQ1082" s="14" t="n"/>
      <c r="BR1082" s="14" t="n"/>
      <c r="BS1082" s="14" t="n"/>
      <c r="BT1082" s="14" t="n"/>
      <c r="BU1082" s="14" t="n"/>
      <c r="BV1082" s="14" t="n"/>
      <c r="BW1082" s="14" t="n"/>
      <c r="BX1082" s="14" t="n"/>
      <c r="BY1082" s="14" t="n"/>
      <c r="BZ1082" s="14" t="n"/>
      <c r="CA1082" s="14" t="n"/>
      <c r="CB1082" s="14" t="n"/>
      <c r="CC1082" s="14" t="n"/>
      <c r="CD1082" s="14" t="n"/>
      <c r="CE1082" s="14" t="n"/>
      <c r="CF1082" s="14" t="n"/>
      <c r="CG1082" s="14" t="n"/>
      <c r="CH1082" s="14" t="n"/>
      <c r="CI1082" s="14" t="n"/>
      <c r="CJ1082" s="14" t="n"/>
      <c r="CK1082" s="14" t="n"/>
      <c r="CL1082" s="14" t="n"/>
      <c r="CM1082" s="14" t="n"/>
      <c r="CN1082" s="14" t="n"/>
      <c r="CO1082" s="14" t="n"/>
      <c r="CP1082" s="14" t="n"/>
      <c r="CQ1082" s="14" t="n"/>
      <c r="CR1082" s="14" t="n"/>
      <c r="CS1082" s="14" t="n"/>
      <c r="CT1082" s="14" t="n"/>
      <c r="CU1082" s="14" t="n"/>
      <c r="CV1082" s="14" t="n"/>
      <c r="CW1082" s="14" t="n"/>
      <c r="CX1082" s="14" t="n"/>
      <c r="CY1082" s="14" t="n"/>
      <c r="CZ1082" s="14" t="n"/>
      <c r="DA1082" s="14" t="n"/>
      <c r="DB1082" s="14" t="n"/>
      <c r="DC1082" s="14" t="n"/>
    </row>
    <row r="1083">
      <c r="B1083" t="inlineStr">
        <is>
          <t>TPP-2245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7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TSP-1558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7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t="inlineStr">
        <is>
          <t>TSP-1559</t>
        </is>
      </c>
      <c r="C1087" t="inlineStr">
        <is>
          <t>No. of batches</t>
        </is>
      </c>
      <c r="D1087">
        <f>IFERROR(INDEX(PP_Grid[#Data],$DD1087,2),0)</f>
        <v/>
      </c>
      <c r="E1087">
        <f>IFERROR(INDEX(PP_Grid[#Data],$DD1087,3),0)</f>
        <v/>
      </c>
      <c r="F1087">
        <f>IFERROR(INDEX(PP_Grid[#Data],$DD1087,4),0)</f>
        <v/>
      </c>
      <c r="G1087">
        <f>IFERROR(INDEX(PP_Grid[#Data],$DD1087,5),0)</f>
        <v/>
      </c>
      <c r="H1087">
        <f>IFERROR(INDEX(PP_Grid[#Data],$DD1087,6),0)</f>
        <v/>
      </c>
      <c r="I1087">
        <f>IFERROR(INDEX(PP_Grid[#Data],$DD1087,7),0)</f>
        <v/>
      </c>
      <c r="J1087">
        <f>IFERROR(INDEX(PP_Grid[#Data],$DD1087,8),0)</f>
        <v/>
      </c>
      <c r="K1087">
        <f>IFERROR(INDEX(PP_Grid[#Data],$DD1087,9),0)</f>
        <v/>
      </c>
      <c r="L1087">
        <f>IFERROR(INDEX(PP_Grid[#Data],$DD1087,10),0)</f>
        <v/>
      </c>
      <c r="M1087">
        <f>IFERROR(INDEX(PP_Grid[#Data],$DD1087,11),0)</f>
        <v/>
      </c>
      <c r="N1087">
        <f>IFERROR(INDEX(PP_Grid[#Data],$DD1087,12),0)</f>
        <v/>
      </c>
      <c r="O1087">
        <f>IFERROR(INDEX(PP_Grid[#Data],$DD1087,13),0)</f>
        <v/>
      </c>
      <c r="P1087">
        <f>IFERROR(INDEX(PP_Grid[#Data],$DD1087,14),0)</f>
        <v/>
      </c>
      <c r="Q1087">
        <f>IFERROR(INDEX(PP_Grid[#Data],$DD1087,15),0)</f>
        <v/>
      </c>
      <c r="R1087">
        <f>IFERROR(INDEX(PP_Grid[#Data],$DD1087,16),0)</f>
        <v/>
      </c>
      <c r="S1087">
        <f>IFERROR(INDEX(PP_Grid[#Data],$DD1087,17),0)</f>
        <v/>
      </c>
      <c r="T1087">
        <f>IFERROR(INDEX(PP_Grid[#Data],$DD1087,18),0)</f>
        <v/>
      </c>
      <c r="U1087">
        <f>IFERROR(INDEX(PP_Grid[#Data],$DD1087,19),0)</f>
        <v/>
      </c>
      <c r="V1087">
        <f>IFERROR(INDEX(PP_Grid[#Data],$DD1087,20),0)</f>
        <v/>
      </c>
      <c r="W1087">
        <f>IFERROR(INDEX(PP_Grid[#Data],$DD1087,21),0)</f>
        <v/>
      </c>
      <c r="X1087">
        <f>IFERROR(INDEX(PP_Grid[#Data],$DD1087,22),0)</f>
        <v/>
      </c>
      <c r="Y1087">
        <f>IFERROR(INDEX(PP_Grid[#Data],$DD1087,23),0)</f>
        <v/>
      </c>
      <c r="Z1087">
        <f>IFERROR(INDEX(PP_Grid[#Data],$DD1087,24),0)</f>
        <v/>
      </c>
      <c r="AA1087">
        <f>IFERROR(INDEX(PP_Grid[#Data],$DD1087,25),0)</f>
        <v/>
      </c>
      <c r="AB1087">
        <f>IFERROR(INDEX(PP_Grid[#Data],$DD1087,26),0)</f>
        <v/>
      </c>
      <c r="AC1087">
        <f>IFERROR(INDEX(PP_Grid[#Data],$DD1087,27),0)</f>
        <v/>
      </c>
      <c r="AD1087">
        <f>IFERROR(INDEX(PP_Grid[#Data],$DD1087,28),0)</f>
        <v/>
      </c>
      <c r="AE1087">
        <f>IFERROR(INDEX(PP_Grid[#Data],$DD1087,29),0)</f>
        <v/>
      </c>
      <c r="AF1087">
        <f>IFERROR(INDEX(PP_Grid[#Data],$DD1087,30),0)</f>
        <v/>
      </c>
      <c r="AG1087">
        <f>IFERROR(INDEX(PP_Grid[#Data],$DD1087,31),0)</f>
        <v/>
      </c>
      <c r="AH1087">
        <f>IFERROR(INDEX(PP_Grid[#Data],$DD1087,32),0)</f>
        <v/>
      </c>
      <c r="AI1087">
        <f>IFERROR(INDEX(PP_Grid[#Data],$DD1087,33),0)</f>
        <v/>
      </c>
      <c r="AJ1087">
        <f>IFERROR(INDEX(PP_Grid[#Data],$DD1087,34),0)</f>
        <v/>
      </c>
      <c r="AK1087">
        <f>IFERROR(INDEX(PP_Grid[#Data],$DD1087,35),0)</f>
        <v/>
      </c>
      <c r="AL1087">
        <f>IFERROR(INDEX(PP_Grid[#Data],$DD1087,36),0)</f>
        <v/>
      </c>
      <c r="AM1087">
        <f>IFERROR(INDEX(PP_Grid[#Data],$DD1087,37),0)</f>
        <v/>
      </c>
      <c r="AN1087">
        <f>IFERROR(INDEX(PP_Grid[#Data],$DD1087,38),0)</f>
        <v/>
      </c>
      <c r="AO1087">
        <f>IFERROR(INDEX(PP_Grid[#Data],$DD1087,39),0)</f>
        <v/>
      </c>
      <c r="AP1087">
        <f>IFERROR(INDEX(PP_Grid[#Data],$DD1087,40),0)</f>
        <v/>
      </c>
      <c r="AQ1087">
        <f>IFERROR(INDEX(PP_Grid[#Data],$DD1087,41),0)</f>
        <v/>
      </c>
      <c r="AR1087">
        <f>IFERROR(INDEX(PP_Grid[#Data],$DD1087,42),0)</f>
        <v/>
      </c>
      <c r="AS1087">
        <f>IFERROR(INDEX(PP_Grid[#Data],$DD1087,43),0)</f>
        <v/>
      </c>
      <c r="AT1087">
        <f>IFERROR(INDEX(PP_Grid[#Data],$DD1087,44),0)</f>
        <v/>
      </c>
      <c r="AU1087">
        <f>IFERROR(INDEX(PP_Grid[#Data],$DD1087,45),0)</f>
        <v/>
      </c>
      <c r="AV1087">
        <f>IFERROR(INDEX(PP_Grid[#Data],$DD1087,46),0)</f>
        <v/>
      </c>
      <c r="AW1087">
        <f>IFERROR(INDEX(PP_Grid[#Data],$DD1087,47),0)</f>
        <v/>
      </c>
      <c r="AX1087">
        <f>IFERROR(INDEX(PP_Grid[#Data],$DD1087,48),0)</f>
        <v/>
      </c>
      <c r="AY1087">
        <f>IFERROR(INDEX(PP_Grid[#Data],$DD1087,49),0)</f>
        <v/>
      </c>
      <c r="AZ1087">
        <f>IFERROR(INDEX(PP_Grid[#Data],$DD1087,50),0)</f>
        <v/>
      </c>
      <c r="BA1087">
        <f>IFERROR(INDEX(PP_Grid[#Data],$DD1087,51),0)</f>
        <v/>
      </c>
      <c r="BB1087">
        <f>IFERROR(INDEX(PP_Grid[#Data],$DD1087,52),0)</f>
        <v/>
      </c>
      <c r="BC1087">
        <f>IFERROR(INDEX(PP_Grid[#Data],$DD1087,53),0)</f>
        <v/>
      </c>
      <c r="BD1087">
        <f>IFERROR(INDEX(PP_Grid[#Data],$DD1087,54),0)</f>
        <v/>
      </c>
      <c r="BE1087">
        <f>IFERROR(INDEX(PP_Grid[#Data],$DD1087,55),0)</f>
        <v/>
      </c>
      <c r="BF1087">
        <f>IFERROR(INDEX(PP_Grid[#Data],$DD1087,56),0)</f>
        <v/>
      </c>
      <c r="BG1087">
        <f>IFERROR(INDEX(PP_Grid[#Data],$DD1087,57),0)</f>
        <v/>
      </c>
      <c r="BH1087">
        <f>IFERROR(INDEX(PP_Grid[#Data],$DD1087,58),0)</f>
        <v/>
      </c>
      <c r="BI1087">
        <f>IFERROR(INDEX(PP_Grid[#Data],$DD1087,59),0)</f>
        <v/>
      </c>
      <c r="BJ1087">
        <f>IFERROR(INDEX(PP_Grid[#Data],$DD1087,60),0)</f>
        <v/>
      </c>
      <c r="BK1087">
        <f>IFERROR(INDEX(PP_Grid[#Data],$DD1087,61),0)</f>
        <v/>
      </c>
      <c r="BL1087">
        <f>IFERROR(INDEX(PP_Grid[#Data],$DD1087,62),0)</f>
        <v/>
      </c>
      <c r="BM1087">
        <f>IFERROR(INDEX(PP_Grid[#Data],$DD1087,63),0)</f>
        <v/>
      </c>
      <c r="BN1087">
        <f>IFERROR(INDEX(PP_Grid[#Data],$DD1087,64),0)</f>
        <v/>
      </c>
      <c r="BO1087">
        <f>IFERROR(INDEX(PP_Grid[#Data],$DD1087,65),0)</f>
        <v/>
      </c>
      <c r="BP1087">
        <f>IFERROR(INDEX(PP_Grid[#Data],$DD1087,66),0)</f>
        <v/>
      </c>
      <c r="BQ1087">
        <f>IFERROR(INDEX(PP_Grid[#Data],$DD1087,67),0)</f>
        <v/>
      </c>
      <c r="BR1087">
        <f>IFERROR(INDEX(PP_Grid[#Data],$DD1087,68),0)</f>
        <v/>
      </c>
      <c r="BS1087">
        <f>IFERROR(INDEX(PP_Grid[#Data],$DD1087,69),0)</f>
        <v/>
      </c>
      <c r="BT1087">
        <f>IFERROR(INDEX(PP_Grid[#Data],$DD1087,70),0)</f>
        <v/>
      </c>
      <c r="BU1087">
        <f>IFERROR(INDEX(PP_Grid[#Data],$DD1087,71),0)</f>
        <v/>
      </c>
      <c r="BV1087">
        <f>IFERROR(INDEX(PP_Grid[#Data],$DD1087,72),0)</f>
        <v/>
      </c>
      <c r="BW1087">
        <f>IFERROR(INDEX(PP_Grid[#Data],$DD1087,73),0)</f>
        <v/>
      </c>
      <c r="BX1087">
        <f>IFERROR(INDEX(PP_Grid[#Data],$DD1087,74),0)</f>
        <v/>
      </c>
      <c r="BY1087">
        <f>IFERROR(INDEX(PP_Grid[#Data],$DD1087,75),0)</f>
        <v/>
      </c>
      <c r="BZ1087">
        <f>IFERROR(INDEX(PP_Grid[#Data],$DD1087,76),0)</f>
        <v/>
      </c>
      <c r="CA1087">
        <f>IFERROR(INDEX(PP_Grid[#Data],$DD1087,77),0)</f>
        <v/>
      </c>
      <c r="CB1087">
        <f>IFERROR(INDEX(PP_Grid[#Data],$DD1087,78),0)</f>
        <v/>
      </c>
      <c r="CC1087">
        <f>IFERROR(INDEX(PP_Grid[#Data],$DD1087,79),0)</f>
        <v/>
      </c>
      <c r="CD1087">
        <f>IFERROR(INDEX(PP_Grid[#Data],$DD1087,80),0)</f>
        <v/>
      </c>
      <c r="CE1087">
        <f>IFERROR(INDEX(PP_Grid[#Data],$DD1087,81),0)</f>
        <v/>
      </c>
      <c r="CF1087">
        <f>IFERROR(INDEX(PP_Grid[#Data],$DD1087,82),0)</f>
        <v/>
      </c>
      <c r="CG1087">
        <f>IFERROR(INDEX(PP_Grid[#Data],$DD1087,83),0)</f>
        <v/>
      </c>
      <c r="CH1087">
        <f>IFERROR(INDEX(PP_Grid[#Data],$DD1087,84),0)</f>
        <v/>
      </c>
      <c r="CI1087">
        <f>IFERROR(INDEX(PP_Grid[#Data],$DD1087,85),0)</f>
        <v/>
      </c>
      <c r="CJ1087">
        <f>IFERROR(INDEX(PP_Grid[#Data],$DD1087,86),0)</f>
        <v/>
      </c>
      <c r="CK1087">
        <f>IFERROR(INDEX(PP_Grid[#Data],$DD1087,87),0)</f>
        <v/>
      </c>
      <c r="CL1087">
        <f>IFERROR(INDEX(PP_Grid[#Data],$DD1087,88),0)</f>
        <v/>
      </c>
      <c r="CM1087">
        <f>IFERROR(INDEX(PP_Grid[#Data],$DD1087,89),0)</f>
        <v/>
      </c>
      <c r="CN1087">
        <f>IFERROR(INDEX(PP_Grid[#Data],$DD1087,90),0)</f>
        <v/>
      </c>
      <c r="CO1087">
        <f>IFERROR(INDEX(PP_Grid[#Data],$DD1087,91),0)</f>
        <v/>
      </c>
      <c r="CP1087">
        <f>IFERROR(INDEX(PP_Grid[#Data],$DD1087,92),0)</f>
        <v/>
      </c>
      <c r="CQ1087">
        <f>IFERROR(INDEX(PP_Grid[#Data],$DD1087,93),0)</f>
        <v/>
      </c>
      <c r="CR1087">
        <f>IFERROR(INDEX(PP_Grid[#Data],$DD1087,94),0)</f>
        <v/>
      </c>
      <c r="CS1087">
        <f>IFERROR(INDEX(PP_Grid[#Data],$DD1087,95),0)</f>
        <v/>
      </c>
      <c r="CT1087">
        <f>IFERROR(INDEX(PP_Grid[#Data],$DD1087,96),0)</f>
        <v/>
      </c>
      <c r="CU1087">
        <f>IFERROR(INDEX(PP_Grid[#Data],$DD1087,97),0)</f>
        <v/>
      </c>
      <c r="CV1087">
        <f>IFERROR(INDEX(PP_Grid[#Data],$DD1087,98),0)</f>
        <v/>
      </c>
      <c r="CW1087">
        <f>IFERROR(INDEX(PP_Grid[#Data],$DD1087,99),0)</f>
        <v/>
      </c>
      <c r="CX1087">
        <f>IFERROR(INDEX(PP_Grid[#Data],$DD1087,100),0)</f>
        <v/>
      </c>
      <c r="CY1087">
        <f>IFERROR(INDEX(PP_Grid[#Data],$DD1087,101),0)</f>
        <v/>
      </c>
      <c r="CZ1087">
        <f>IFERROR(INDEX(PP_Grid[#Data],$DD1087,102),0)</f>
        <v/>
      </c>
      <c r="DA1087">
        <f>IFERROR(INDEX(PP_Grid[#Data],$DD1087,103),0)</f>
        <v/>
      </c>
      <c r="DB1087">
        <f>IFERROR(INDEX(PP_Grid[#Data],$DD1087,104),0)</f>
        <v/>
      </c>
      <c r="DC1087">
        <f>IFERROR(INDEX(PP_Grid[#Data],$DD1087,105),0)</f>
        <v/>
      </c>
      <c r="DD1087" s="7">
        <f>IFERROR(MATCH($B1087,PP_Grid[Intermediate],0),99999)</f>
        <v/>
      </c>
    </row>
    <row r="1088">
      <c r="B1088" t="inlineStr">
        <is>
          <t>使用量(kg)</t>
        </is>
      </c>
      <c r="C1088">
        <f>SUMIFS(M_BOM[RM_Qty_Per_Batch],M_BOM[Intermediate],$B1087,M_BOM[Part Name],$A1082)</f>
        <v/>
      </c>
      <c r="D1088">
        <f>$C1088*D1087</f>
        <v/>
      </c>
      <c r="E1088">
        <f>$C1088*E1087</f>
        <v/>
      </c>
      <c r="F1088">
        <f>$C1088*F1087</f>
        <v/>
      </c>
      <c r="G1088">
        <f>$C1088*G1087</f>
        <v/>
      </c>
      <c r="H1088">
        <f>$C1088*H1087</f>
        <v/>
      </c>
      <c r="I1088">
        <f>$C1088*I1087</f>
        <v/>
      </c>
      <c r="J1088">
        <f>$C1088*J1087</f>
        <v/>
      </c>
      <c r="K1088">
        <f>$C1088*K1087</f>
        <v/>
      </c>
      <c r="L1088">
        <f>$C1088*L1087</f>
        <v/>
      </c>
      <c r="M1088">
        <f>$C1088*M1087</f>
        <v/>
      </c>
      <c r="N1088">
        <f>$C1088*N1087</f>
        <v/>
      </c>
      <c r="O1088">
        <f>$C1088*O1087</f>
        <v/>
      </c>
      <c r="P1088">
        <f>$C1088*P1087</f>
        <v/>
      </c>
      <c r="Q1088">
        <f>$C1088*Q1087</f>
        <v/>
      </c>
      <c r="R1088">
        <f>$C1088*R1087</f>
        <v/>
      </c>
      <c r="S1088">
        <f>$C1088*S1087</f>
        <v/>
      </c>
      <c r="T1088">
        <f>$C1088*T1087</f>
        <v/>
      </c>
      <c r="U1088">
        <f>$C1088*U1087</f>
        <v/>
      </c>
      <c r="V1088">
        <f>$C1088*V1087</f>
        <v/>
      </c>
      <c r="W1088">
        <f>$C1088*W1087</f>
        <v/>
      </c>
      <c r="X1088">
        <f>$C1088*X1087</f>
        <v/>
      </c>
      <c r="Y1088">
        <f>$C1088*Y1087</f>
        <v/>
      </c>
      <c r="Z1088">
        <f>$C1088*Z1087</f>
        <v/>
      </c>
      <c r="AA1088">
        <f>$C1088*AA1087</f>
        <v/>
      </c>
      <c r="AB1088">
        <f>$C1088*AB1087</f>
        <v/>
      </c>
      <c r="AC1088">
        <f>$C1088*AC1087</f>
        <v/>
      </c>
      <c r="AD1088">
        <f>$C1088*AD1087</f>
        <v/>
      </c>
      <c r="AE1088">
        <f>$C1088*AE1087</f>
        <v/>
      </c>
      <c r="AF1088">
        <f>$C1088*AF1087</f>
        <v/>
      </c>
      <c r="AG1088">
        <f>$C1088*AG1087</f>
        <v/>
      </c>
      <c r="AH1088">
        <f>$C1088*AH1087</f>
        <v/>
      </c>
      <c r="AI1088">
        <f>$C1088*AI1087</f>
        <v/>
      </c>
      <c r="AJ1088">
        <f>$C1088*AJ1087</f>
        <v/>
      </c>
      <c r="AK1088">
        <f>$C1088*AK1087</f>
        <v/>
      </c>
      <c r="AL1088">
        <f>$C1088*AL1087</f>
        <v/>
      </c>
      <c r="AM1088">
        <f>$C1088*AM1087</f>
        <v/>
      </c>
      <c r="AN1088">
        <f>$C1088*AN1087</f>
        <v/>
      </c>
      <c r="AO1088">
        <f>$C1088*AO1087</f>
        <v/>
      </c>
      <c r="AP1088">
        <f>$C1088*AP1087</f>
        <v/>
      </c>
      <c r="AQ1088">
        <f>$C1088*AQ1087</f>
        <v/>
      </c>
      <c r="AR1088">
        <f>$C1088*AR1087</f>
        <v/>
      </c>
      <c r="AS1088">
        <f>$C1088*AS1087</f>
        <v/>
      </c>
      <c r="AT1088">
        <f>$C1088*AT1087</f>
        <v/>
      </c>
      <c r="AU1088">
        <f>$C1088*AU1087</f>
        <v/>
      </c>
      <c r="AV1088">
        <f>$C1088*AV1087</f>
        <v/>
      </c>
      <c r="AW1088">
        <f>$C1088*AW1087</f>
        <v/>
      </c>
      <c r="AX1088">
        <f>$C1088*AX1087</f>
        <v/>
      </c>
      <c r="AY1088">
        <f>$C1088*AY1087</f>
        <v/>
      </c>
      <c r="AZ1088">
        <f>$C1088*AZ1087</f>
        <v/>
      </c>
      <c r="BA1088">
        <f>$C1088*BA1087</f>
        <v/>
      </c>
      <c r="BB1088">
        <f>$C1088*BB1087</f>
        <v/>
      </c>
      <c r="BC1088">
        <f>$C1088*BC1087</f>
        <v/>
      </c>
      <c r="BD1088">
        <f>$C1088*BD1087</f>
        <v/>
      </c>
      <c r="BE1088">
        <f>$C1088*BE1087</f>
        <v/>
      </c>
      <c r="BF1088">
        <f>$C1088*BF1087</f>
        <v/>
      </c>
      <c r="BG1088">
        <f>$C1088*BG1087</f>
        <v/>
      </c>
      <c r="BH1088">
        <f>$C1088*BH1087</f>
        <v/>
      </c>
      <c r="BI1088">
        <f>$C1088*BI1087</f>
        <v/>
      </c>
      <c r="BJ1088">
        <f>$C1088*BJ1087</f>
        <v/>
      </c>
      <c r="BK1088">
        <f>$C1088*BK1087</f>
        <v/>
      </c>
      <c r="BL1088">
        <f>$C1088*BL1087</f>
        <v/>
      </c>
      <c r="BM1088">
        <f>$C1088*BM1087</f>
        <v/>
      </c>
      <c r="BN1088">
        <f>$C1088*BN1087</f>
        <v/>
      </c>
      <c r="BO1088">
        <f>$C1088*BO1087</f>
        <v/>
      </c>
      <c r="BP1088">
        <f>$C1088*BP1087</f>
        <v/>
      </c>
      <c r="BQ1088">
        <f>$C1088*BQ1087</f>
        <v/>
      </c>
      <c r="BR1088">
        <f>$C1088*BR1087</f>
        <v/>
      </c>
      <c r="BS1088">
        <f>$C1088*BS1087</f>
        <v/>
      </c>
      <c r="BT1088">
        <f>$C1088*BT1087</f>
        <v/>
      </c>
      <c r="BU1088">
        <f>$C1088*BU1087</f>
        <v/>
      </c>
      <c r="BV1088">
        <f>$C1088*BV1087</f>
        <v/>
      </c>
      <c r="BW1088">
        <f>$C1088*BW1087</f>
        <v/>
      </c>
      <c r="BX1088">
        <f>$C1088*BX1087</f>
        <v/>
      </c>
      <c r="BY1088">
        <f>$C1088*BY1087</f>
        <v/>
      </c>
      <c r="BZ1088">
        <f>$C1088*BZ1087</f>
        <v/>
      </c>
      <c r="CA1088">
        <f>$C1088*CA1087</f>
        <v/>
      </c>
      <c r="CB1088">
        <f>$C1088*CB1087</f>
        <v/>
      </c>
      <c r="CC1088">
        <f>$C1088*CC1087</f>
        <v/>
      </c>
      <c r="CD1088">
        <f>$C1088*CD1087</f>
        <v/>
      </c>
      <c r="CE1088">
        <f>$C1088*CE1087</f>
        <v/>
      </c>
      <c r="CF1088">
        <f>$C1088*CF1087</f>
        <v/>
      </c>
      <c r="CG1088">
        <f>$C1088*CG1087</f>
        <v/>
      </c>
      <c r="CH1088">
        <f>$C1088*CH1087</f>
        <v/>
      </c>
      <c r="CI1088">
        <f>$C1088*CI1087</f>
        <v/>
      </c>
      <c r="CJ1088">
        <f>$C1088*CJ1087</f>
        <v/>
      </c>
      <c r="CK1088">
        <f>$C1088*CK1087</f>
        <v/>
      </c>
      <c r="CL1088">
        <f>$C1088*CL1087</f>
        <v/>
      </c>
      <c r="CM1088">
        <f>$C1088*CM1087</f>
        <v/>
      </c>
      <c r="CN1088">
        <f>$C1088*CN1087</f>
        <v/>
      </c>
      <c r="CO1088">
        <f>$C1088*CO1087</f>
        <v/>
      </c>
      <c r="CP1088">
        <f>$C1088*CP1087</f>
        <v/>
      </c>
      <c r="CQ1088">
        <f>$C1088*CQ1087</f>
        <v/>
      </c>
      <c r="CR1088">
        <f>$C1088*CR1087</f>
        <v/>
      </c>
      <c r="CS1088">
        <f>$C1088*CS1087</f>
        <v/>
      </c>
      <c r="CT1088">
        <f>$C1088*CT1087</f>
        <v/>
      </c>
      <c r="CU1088">
        <f>$C1088*CU1087</f>
        <v/>
      </c>
      <c r="CV1088">
        <f>$C1088*CV1087</f>
        <v/>
      </c>
      <c r="CW1088">
        <f>$C1088*CW1087</f>
        <v/>
      </c>
      <c r="CX1088">
        <f>$C1088*CX1087</f>
        <v/>
      </c>
      <c r="CY1088">
        <f>$C1088*CY1087</f>
        <v/>
      </c>
      <c r="CZ1088">
        <f>$C1088*CZ1087</f>
        <v/>
      </c>
      <c r="DA1088">
        <f>$C1088*DA1087</f>
        <v/>
      </c>
      <c r="DB1088">
        <f>$C1088*DB1087</f>
        <v/>
      </c>
      <c r="DC1088">
        <f>$C1088*DC1087</f>
        <v/>
      </c>
    </row>
    <row r="1089">
      <c r="B1089" t="inlineStr">
        <is>
          <t>TSP-2157</t>
        </is>
      </c>
      <c r="C1089" t="inlineStr">
        <is>
          <t>No. of batches</t>
        </is>
      </c>
      <c r="D1089">
        <f>IFERROR(INDEX(PP_Grid[#Data],$DD1089,2),0)</f>
        <v/>
      </c>
      <c r="E1089">
        <f>IFERROR(INDEX(PP_Grid[#Data],$DD1089,3),0)</f>
        <v/>
      </c>
      <c r="F1089">
        <f>IFERROR(INDEX(PP_Grid[#Data],$DD1089,4),0)</f>
        <v/>
      </c>
      <c r="G1089">
        <f>IFERROR(INDEX(PP_Grid[#Data],$DD1089,5),0)</f>
        <v/>
      </c>
      <c r="H1089">
        <f>IFERROR(INDEX(PP_Grid[#Data],$DD1089,6),0)</f>
        <v/>
      </c>
      <c r="I1089">
        <f>IFERROR(INDEX(PP_Grid[#Data],$DD1089,7),0)</f>
        <v/>
      </c>
      <c r="J1089">
        <f>IFERROR(INDEX(PP_Grid[#Data],$DD1089,8),0)</f>
        <v/>
      </c>
      <c r="K1089">
        <f>IFERROR(INDEX(PP_Grid[#Data],$DD1089,9),0)</f>
        <v/>
      </c>
      <c r="L1089">
        <f>IFERROR(INDEX(PP_Grid[#Data],$DD1089,10),0)</f>
        <v/>
      </c>
      <c r="M1089">
        <f>IFERROR(INDEX(PP_Grid[#Data],$DD1089,11),0)</f>
        <v/>
      </c>
      <c r="N1089">
        <f>IFERROR(INDEX(PP_Grid[#Data],$DD1089,12),0)</f>
        <v/>
      </c>
      <c r="O1089">
        <f>IFERROR(INDEX(PP_Grid[#Data],$DD1089,13),0)</f>
        <v/>
      </c>
      <c r="P1089">
        <f>IFERROR(INDEX(PP_Grid[#Data],$DD1089,14),0)</f>
        <v/>
      </c>
      <c r="Q1089">
        <f>IFERROR(INDEX(PP_Grid[#Data],$DD1089,15),0)</f>
        <v/>
      </c>
      <c r="R1089">
        <f>IFERROR(INDEX(PP_Grid[#Data],$DD1089,16),0)</f>
        <v/>
      </c>
      <c r="S1089">
        <f>IFERROR(INDEX(PP_Grid[#Data],$DD1089,17),0)</f>
        <v/>
      </c>
      <c r="T1089">
        <f>IFERROR(INDEX(PP_Grid[#Data],$DD1089,18),0)</f>
        <v/>
      </c>
      <c r="U1089">
        <f>IFERROR(INDEX(PP_Grid[#Data],$DD1089,19),0)</f>
        <v/>
      </c>
      <c r="V1089">
        <f>IFERROR(INDEX(PP_Grid[#Data],$DD1089,20),0)</f>
        <v/>
      </c>
      <c r="W1089">
        <f>IFERROR(INDEX(PP_Grid[#Data],$DD1089,21),0)</f>
        <v/>
      </c>
      <c r="X1089">
        <f>IFERROR(INDEX(PP_Grid[#Data],$DD1089,22),0)</f>
        <v/>
      </c>
      <c r="Y1089">
        <f>IFERROR(INDEX(PP_Grid[#Data],$DD1089,23),0)</f>
        <v/>
      </c>
      <c r="Z1089">
        <f>IFERROR(INDEX(PP_Grid[#Data],$DD1089,24),0)</f>
        <v/>
      </c>
      <c r="AA1089">
        <f>IFERROR(INDEX(PP_Grid[#Data],$DD1089,25),0)</f>
        <v/>
      </c>
      <c r="AB1089">
        <f>IFERROR(INDEX(PP_Grid[#Data],$DD1089,26),0)</f>
        <v/>
      </c>
      <c r="AC1089">
        <f>IFERROR(INDEX(PP_Grid[#Data],$DD1089,27),0)</f>
        <v/>
      </c>
      <c r="AD1089">
        <f>IFERROR(INDEX(PP_Grid[#Data],$DD1089,28),0)</f>
        <v/>
      </c>
      <c r="AE1089">
        <f>IFERROR(INDEX(PP_Grid[#Data],$DD1089,29),0)</f>
        <v/>
      </c>
      <c r="AF1089">
        <f>IFERROR(INDEX(PP_Grid[#Data],$DD1089,30),0)</f>
        <v/>
      </c>
      <c r="AG1089">
        <f>IFERROR(INDEX(PP_Grid[#Data],$DD1089,31),0)</f>
        <v/>
      </c>
      <c r="AH1089">
        <f>IFERROR(INDEX(PP_Grid[#Data],$DD1089,32),0)</f>
        <v/>
      </c>
      <c r="AI1089">
        <f>IFERROR(INDEX(PP_Grid[#Data],$DD1089,33),0)</f>
        <v/>
      </c>
      <c r="AJ1089">
        <f>IFERROR(INDEX(PP_Grid[#Data],$DD1089,34),0)</f>
        <v/>
      </c>
      <c r="AK1089">
        <f>IFERROR(INDEX(PP_Grid[#Data],$DD1089,35),0)</f>
        <v/>
      </c>
      <c r="AL1089">
        <f>IFERROR(INDEX(PP_Grid[#Data],$DD1089,36),0)</f>
        <v/>
      </c>
      <c r="AM1089">
        <f>IFERROR(INDEX(PP_Grid[#Data],$DD1089,37),0)</f>
        <v/>
      </c>
      <c r="AN1089">
        <f>IFERROR(INDEX(PP_Grid[#Data],$DD1089,38),0)</f>
        <v/>
      </c>
      <c r="AO1089">
        <f>IFERROR(INDEX(PP_Grid[#Data],$DD1089,39),0)</f>
        <v/>
      </c>
      <c r="AP1089">
        <f>IFERROR(INDEX(PP_Grid[#Data],$DD1089,40),0)</f>
        <v/>
      </c>
      <c r="AQ1089">
        <f>IFERROR(INDEX(PP_Grid[#Data],$DD1089,41),0)</f>
        <v/>
      </c>
      <c r="AR1089">
        <f>IFERROR(INDEX(PP_Grid[#Data],$DD1089,42),0)</f>
        <v/>
      </c>
      <c r="AS1089">
        <f>IFERROR(INDEX(PP_Grid[#Data],$DD1089,43),0)</f>
        <v/>
      </c>
      <c r="AT1089">
        <f>IFERROR(INDEX(PP_Grid[#Data],$DD1089,44),0)</f>
        <v/>
      </c>
      <c r="AU1089">
        <f>IFERROR(INDEX(PP_Grid[#Data],$DD1089,45),0)</f>
        <v/>
      </c>
      <c r="AV1089">
        <f>IFERROR(INDEX(PP_Grid[#Data],$DD1089,46),0)</f>
        <v/>
      </c>
      <c r="AW1089">
        <f>IFERROR(INDEX(PP_Grid[#Data],$DD1089,47),0)</f>
        <v/>
      </c>
      <c r="AX1089">
        <f>IFERROR(INDEX(PP_Grid[#Data],$DD1089,48),0)</f>
        <v/>
      </c>
      <c r="AY1089">
        <f>IFERROR(INDEX(PP_Grid[#Data],$DD1089,49),0)</f>
        <v/>
      </c>
      <c r="AZ1089">
        <f>IFERROR(INDEX(PP_Grid[#Data],$DD1089,50),0)</f>
        <v/>
      </c>
      <c r="BA1089">
        <f>IFERROR(INDEX(PP_Grid[#Data],$DD1089,51),0)</f>
        <v/>
      </c>
      <c r="BB1089">
        <f>IFERROR(INDEX(PP_Grid[#Data],$DD1089,52),0)</f>
        <v/>
      </c>
      <c r="BC1089">
        <f>IFERROR(INDEX(PP_Grid[#Data],$DD1089,53),0)</f>
        <v/>
      </c>
      <c r="BD1089">
        <f>IFERROR(INDEX(PP_Grid[#Data],$DD1089,54),0)</f>
        <v/>
      </c>
      <c r="BE1089">
        <f>IFERROR(INDEX(PP_Grid[#Data],$DD1089,55),0)</f>
        <v/>
      </c>
      <c r="BF1089">
        <f>IFERROR(INDEX(PP_Grid[#Data],$DD1089,56),0)</f>
        <v/>
      </c>
      <c r="BG1089">
        <f>IFERROR(INDEX(PP_Grid[#Data],$DD1089,57),0)</f>
        <v/>
      </c>
      <c r="BH1089">
        <f>IFERROR(INDEX(PP_Grid[#Data],$DD1089,58),0)</f>
        <v/>
      </c>
      <c r="BI1089">
        <f>IFERROR(INDEX(PP_Grid[#Data],$DD1089,59),0)</f>
        <v/>
      </c>
      <c r="BJ1089">
        <f>IFERROR(INDEX(PP_Grid[#Data],$DD1089,60),0)</f>
        <v/>
      </c>
      <c r="BK1089">
        <f>IFERROR(INDEX(PP_Grid[#Data],$DD1089,61),0)</f>
        <v/>
      </c>
      <c r="BL1089">
        <f>IFERROR(INDEX(PP_Grid[#Data],$DD1089,62),0)</f>
        <v/>
      </c>
      <c r="BM1089">
        <f>IFERROR(INDEX(PP_Grid[#Data],$DD1089,63),0)</f>
        <v/>
      </c>
      <c r="BN1089">
        <f>IFERROR(INDEX(PP_Grid[#Data],$DD1089,64),0)</f>
        <v/>
      </c>
      <c r="BO1089">
        <f>IFERROR(INDEX(PP_Grid[#Data],$DD1089,65),0)</f>
        <v/>
      </c>
      <c r="BP1089">
        <f>IFERROR(INDEX(PP_Grid[#Data],$DD1089,66),0)</f>
        <v/>
      </c>
      <c r="BQ1089">
        <f>IFERROR(INDEX(PP_Grid[#Data],$DD1089,67),0)</f>
        <v/>
      </c>
      <c r="BR1089">
        <f>IFERROR(INDEX(PP_Grid[#Data],$DD1089,68),0)</f>
        <v/>
      </c>
      <c r="BS1089">
        <f>IFERROR(INDEX(PP_Grid[#Data],$DD1089,69),0)</f>
        <v/>
      </c>
      <c r="BT1089">
        <f>IFERROR(INDEX(PP_Grid[#Data],$DD1089,70),0)</f>
        <v/>
      </c>
      <c r="BU1089">
        <f>IFERROR(INDEX(PP_Grid[#Data],$DD1089,71),0)</f>
        <v/>
      </c>
      <c r="BV1089">
        <f>IFERROR(INDEX(PP_Grid[#Data],$DD1089,72),0)</f>
        <v/>
      </c>
      <c r="BW1089">
        <f>IFERROR(INDEX(PP_Grid[#Data],$DD1089,73),0)</f>
        <v/>
      </c>
      <c r="BX1089">
        <f>IFERROR(INDEX(PP_Grid[#Data],$DD1089,74),0)</f>
        <v/>
      </c>
      <c r="BY1089">
        <f>IFERROR(INDEX(PP_Grid[#Data],$DD1089,75),0)</f>
        <v/>
      </c>
      <c r="BZ1089">
        <f>IFERROR(INDEX(PP_Grid[#Data],$DD1089,76),0)</f>
        <v/>
      </c>
      <c r="CA1089">
        <f>IFERROR(INDEX(PP_Grid[#Data],$DD1089,77),0)</f>
        <v/>
      </c>
      <c r="CB1089">
        <f>IFERROR(INDEX(PP_Grid[#Data],$DD1089,78),0)</f>
        <v/>
      </c>
      <c r="CC1089">
        <f>IFERROR(INDEX(PP_Grid[#Data],$DD1089,79),0)</f>
        <v/>
      </c>
      <c r="CD1089">
        <f>IFERROR(INDEX(PP_Grid[#Data],$DD1089,80),0)</f>
        <v/>
      </c>
      <c r="CE1089">
        <f>IFERROR(INDEX(PP_Grid[#Data],$DD1089,81),0)</f>
        <v/>
      </c>
      <c r="CF1089">
        <f>IFERROR(INDEX(PP_Grid[#Data],$DD1089,82),0)</f>
        <v/>
      </c>
      <c r="CG1089">
        <f>IFERROR(INDEX(PP_Grid[#Data],$DD1089,83),0)</f>
        <v/>
      </c>
      <c r="CH1089">
        <f>IFERROR(INDEX(PP_Grid[#Data],$DD1089,84),0)</f>
        <v/>
      </c>
      <c r="CI1089">
        <f>IFERROR(INDEX(PP_Grid[#Data],$DD1089,85),0)</f>
        <v/>
      </c>
      <c r="CJ1089">
        <f>IFERROR(INDEX(PP_Grid[#Data],$DD1089,86),0)</f>
        <v/>
      </c>
      <c r="CK1089">
        <f>IFERROR(INDEX(PP_Grid[#Data],$DD1089,87),0)</f>
        <v/>
      </c>
      <c r="CL1089">
        <f>IFERROR(INDEX(PP_Grid[#Data],$DD1089,88),0)</f>
        <v/>
      </c>
      <c r="CM1089">
        <f>IFERROR(INDEX(PP_Grid[#Data],$DD1089,89),0)</f>
        <v/>
      </c>
      <c r="CN1089">
        <f>IFERROR(INDEX(PP_Grid[#Data],$DD1089,90),0)</f>
        <v/>
      </c>
      <c r="CO1089">
        <f>IFERROR(INDEX(PP_Grid[#Data],$DD1089,91),0)</f>
        <v/>
      </c>
      <c r="CP1089">
        <f>IFERROR(INDEX(PP_Grid[#Data],$DD1089,92),0)</f>
        <v/>
      </c>
      <c r="CQ1089">
        <f>IFERROR(INDEX(PP_Grid[#Data],$DD1089,93),0)</f>
        <v/>
      </c>
      <c r="CR1089">
        <f>IFERROR(INDEX(PP_Grid[#Data],$DD1089,94),0)</f>
        <v/>
      </c>
      <c r="CS1089">
        <f>IFERROR(INDEX(PP_Grid[#Data],$DD1089,95),0)</f>
        <v/>
      </c>
      <c r="CT1089">
        <f>IFERROR(INDEX(PP_Grid[#Data],$DD1089,96),0)</f>
        <v/>
      </c>
      <c r="CU1089">
        <f>IFERROR(INDEX(PP_Grid[#Data],$DD1089,97),0)</f>
        <v/>
      </c>
      <c r="CV1089">
        <f>IFERROR(INDEX(PP_Grid[#Data],$DD1089,98),0)</f>
        <v/>
      </c>
      <c r="CW1089">
        <f>IFERROR(INDEX(PP_Grid[#Data],$DD1089,99),0)</f>
        <v/>
      </c>
      <c r="CX1089">
        <f>IFERROR(INDEX(PP_Grid[#Data],$DD1089,100),0)</f>
        <v/>
      </c>
      <c r="CY1089">
        <f>IFERROR(INDEX(PP_Grid[#Data],$DD1089,101),0)</f>
        <v/>
      </c>
      <c r="CZ1089">
        <f>IFERROR(INDEX(PP_Grid[#Data],$DD1089,102),0)</f>
        <v/>
      </c>
      <c r="DA1089">
        <f>IFERROR(INDEX(PP_Grid[#Data],$DD1089,103),0)</f>
        <v/>
      </c>
      <c r="DB1089">
        <f>IFERROR(INDEX(PP_Grid[#Data],$DD1089,104),0)</f>
        <v/>
      </c>
      <c r="DC1089">
        <f>IFERROR(INDEX(PP_Grid[#Data],$DD1089,105),0)</f>
        <v/>
      </c>
      <c r="DD1089" s="7">
        <f>IFERROR(MATCH($B1089,PP_Grid[Intermediate],0),99999)</f>
        <v/>
      </c>
    </row>
    <row r="1090">
      <c r="B1090" t="inlineStr">
        <is>
          <t>使用量(kg)</t>
        </is>
      </c>
      <c r="C1090">
        <f>SUMIFS(M_BOM[RM_Qty_Per_Batch],M_BOM[Intermediate],$B1089,M_BOM[Part Name],$A1082)</f>
        <v/>
      </c>
      <c r="D1090">
        <f>$C1090*D1089</f>
        <v/>
      </c>
      <c r="E1090">
        <f>$C1090*E1089</f>
        <v/>
      </c>
      <c r="F1090">
        <f>$C1090*F1089</f>
        <v/>
      </c>
      <c r="G1090">
        <f>$C1090*G1089</f>
        <v/>
      </c>
      <c r="H1090">
        <f>$C1090*H1089</f>
        <v/>
      </c>
      <c r="I1090">
        <f>$C1090*I1089</f>
        <v/>
      </c>
      <c r="J1090">
        <f>$C1090*J1089</f>
        <v/>
      </c>
      <c r="K1090">
        <f>$C1090*K1089</f>
        <v/>
      </c>
      <c r="L1090">
        <f>$C1090*L1089</f>
        <v/>
      </c>
      <c r="M1090">
        <f>$C1090*M1089</f>
        <v/>
      </c>
      <c r="N1090">
        <f>$C1090*N1089</f>
        <v/>
      </c>
      <c r="O1090">
        <f>$C1090*O1089</f>
        <v/>
      </c>
      <c r="P1090">
        <f>$C1090*P1089</f>
        <v/>
      </c>
      <c r="Q1090">
        <f>$C1090*Q1089</f>
        <v/>
      </c>
      <c r="R1090">
        <f>$C1090*R1089</f>
        <v/>
      </c>
      <c r="S1090">
        <f>$C1090*S1089</f>
        <v/>
      </c>
      <c r="T1090">
        <f>$C1090*T1089</f>
        <v/>
      </c>
      <c r="U1090">
        <f>$C1090*U1089</f>
        <v/>
      </c>
      <c r="V1090">
        <f>$C1090*V1089</f>
        <v/>
      </c>
      <c r="W1090">
        <f>$C1090*W1089</f>
        <v/>
      </c>
      <c r="X1090">
        <f>$C1090*X1089</f>
        <v/>
      </c>
      <c r="Y1090">
        <f>$C1090*Y1089</f>
        <v/>
      </c>
      <c r="Z1090">
        <f>$C1090*Z1089</f>
        <v/>
      </c>
      <c r="AA1090">
        <f>$C1090*AA1089</f>
        <v/>
      </c>
      <c r="AB1090">
        <f>$C1090*AB1089</f>
        <v/>
      </c>
      <c r="AC1090">
        <f>$C1090*AC1089</f>
        <v/>
      </c>
      <c r="AD1090">
        <f>$C1090*AD1089</f>
        <v/>
      </c>
      <c r="AE1090">
        <f>$C1090*AE1089</f>
        <v/>
      </c>
      <c r="AF1090">
        <f>$C1090*AF1089</f>
        <v/>
      </c>
      <c r="AG1090">
        <f>$C1090*AG1089</f>
        <v/>
      </c>
      <c r="AH1090">
        <f>$C1090*AH1089</f>
        <v/>
      </c>
      <c r="AI1090">
        <f>$C1090*AI1089</f>
        <v/>
      </c>
      <c r="AJ1090">
        <f>$C1090*AJ1089</f>
        <v/>
      </c>
      <c r="AK1090">
        <f>$C1090*AK1089</f>
        <v/>
      </c>
      <c r="AL1090">
        <f>$C1090*AL1089</f>
        <v/>
      </c>
      <c r="AM1090">
        <f>$C1090*AM1089</f>
        <v/>
      </c>
      <c r="AN1090">
        <f>$C1090*AN1089</f>
        <v/>
      </c>
      <c r="AO1090">
        <f>$C1090*AO1089</f>
        <v/>
      </c>
      <c r="AP1090">
        <f>$C1090*AP1089</f>
        <v/>
      </c>
      <c r="AQ1090">
        <f>$C1090*AQ1089</f>
        <v/>
      </c>
      <c r="AR1090">
        <f>$C1090*AR1089</f>
        <v/>
      </c>
      <c r="AS1090">
        <f>$C1090*AS1089</f>
        <v/>
      </c>
      <c r="AT1090">
        <f>$C1090*AT1089</f>
        <v/>
      </c>
      <c r="AU1090">
        <f>$C1090*AU1089</f>
        <v/>
      </c>
      <c r="AV1090">
        <f>$C1090*AV1089</f>
        <v/>
      </c>
      <c r="AW1090">
        <f>$C1090*AW1089</f>
        <v/>
      </c>
      <c r="AX1090">
        <f>$C1090*AX1089</f>
        <v/>
      </c>
      <c r="AY1090">
        <f>$C1090*AY1089</f>
        <v/>
      </c>
      <c r="AZ1090">
        <f>$C1090*AZ1089</f>
        <v/>
      </c>
      <c r="BA1090">
        <f>$C1090*BA1089</f>
        <v/>
      </c>
      <c r="BB1090">
        <f>$C1090*BB1089</f>
        <v/>
      </c>
      <c r="BC1090">
        <f>$C1090*BC1089</f>
        <v/>
      </c>
      <c r="BD1090">
        <f>$C1090*BD1089</f>
        <v/>
      </c>
      <c r="BE1090">
        <f>$C1090*BE1089</f>
        <v/>
      </c>
      <c r="BF1090">
        <f>$C1090*BF1089</f>
        <v/>
      </c>
      <c r="BG1090">
        <f>$C1090*BG1089</f>
        <v/>
      </c>
      <c r="BH1090">
        <f>$C1090*BH1089</f>
        <v/>
      </c>
      <c r="BI1090">
        <f>$C1090*BI1089</f>
        <v/>
      </c>
      <c r="BJ1090">
        <f>$C1090*BJ1089</f>
        <v/>
      </c>
      <c r="BK1090">
        <f>$C1090*BK1089</f>
        <v/>
      </c>
      <c r="BL1090">
        <f>$C1090*BL1089</f>
        <v/>
      </c>
      <c r="BM1090">
        <f>$C1090*BM1089</f>
        <v/>
      </c>
      <c r="BN1090">
        <f>$C1090*BN1089</f>
        <v/>
      </c>
      <c r="BO1090">
        <f>$C1090*BO1089</f>
        <v/>
      </c>
      <c r="BP1090">
        <f>$C1090*BP1089</f>
        <v/>
      </c>
      <c r="BQ1090">
        <f>$C1090*BQ1089</f>
        <v/>
      </c>
      <c r="BR1090">
        <f>$C1090*BR1089</f>
        <v/>
      </c>
      <c r="BS1090">
        <f>$C1090*BS1089</f>
        <v/>
      </c>
      <c r="BT1090">
        <f>$C1090*BT1089</f>
        <v/>
      </c>
      <c r="BU1090">
        <f>$C1090*BU1089</f>
        <v/>
      </c>
      <c r="BV1090">
        <f>$C1090*BV1089</f>
        <v/>
      </c>
      <c r="BW1090">
        <f>$C1090*BW1089</f>
        <v/>
      </c>
      <c r="BX1090">
        <f>$C1090*BX1089</f>
        <v/>
      </c>
      <c r="BY1090">
        <f>$C1090*BY1089</f>
        <v/>
      </c>
      <c r="BZ1090">
        <f>$C1090*BZ1089</f>
        <v/>
      </c>
      <c r="CA1090">
        <f>$C1090*CA1089</f>
        <v/>
      </c>
      <c r="CB1090">
        <f>$C1090*CB1089</f>
        <v/>
      </c>
      <c r="CC1090">
        <f>$C1090*CC1089</f>
        <v/>
      </c>
      <c r="CD1090">
        <f>$C1090*CD1089</f>
        <v/>
      </c>
      <c r="CE1090">
        <f>$C1090*CE1089</f>
        <v/>
      </c>
      <c r="CF1090">
        <f>$C1090*CF1089</f>
        <v/>
      </c>
      <c r="CG1090">
        <f>$C1090*CG1089</f>
        <v/>
      </c>
      <c r="CH1090">
        <f>$C1090*CH1089</f>
        <v/>
      </c>
      <c r="CI1090">
        <f>$C1090*CI1089</f>
        <v/>
      </c>
      <c r="CJ1090">
        <f>$C1090*CJ1089</f>
        <v/>
      </c>
      <c r="CK1090">
        <f>$C1090*CK1089</f>
        <v/>
      </c>
      <c r="CL1090">
        <f>$C1090*CL1089</f>
        <v/>
      </c>
      <c r="CM1090">
        <f>$C1090*CM1089</f>
        <v/>
      </c>
      <c r="CN1090">
        <f>$C1090*CN1089</f>
        <v/>
      </c>
      <c r="CO1090">
        <f>$C1090*CO1089</f>
        <v/>
      </c>
      <c r="CP1090">
        <f>$C1090*CP1089</f>
        <v/>
      </c>
      <c r="CQ1090">
        <f>$C1090*CQ1089</f>
        <v/>
      </c>
      <c r="CR1090">
        <f>$C1090*CR1089</f>
        <v/>
      </c>
      <c r="CS1090">
        <f>$C1090*CS1089</f>
        <v/>
      </c>
      <c r="CT1090">
        <f>$C1090*CT1089</f>
        <v/>
      </c>
      <c r="CU1090">
        <f>$C1090*CU1089</f>
        <v/>
      </c>
      <c r="CV1090">
        <f>$C1090*CV1089</f>
        <v/>
      </c>
      <c r="CW1090">
        <f>$C1090*CW1089</f>
        <v/>
      </c>
      <c r="CX1090">
        <f>$C1090*CX1089</f>
        <v/>
      </c>
      <c r="CY1090">
        <f>$C1090*CY1089</f>
        <v/>
      </c>
      <c r="CZ1090">
        <f>$C1090*CZ1089</f>
        <v/>
      </c>
      <c r="DA1090">
        <f>$C1090*DA1089</f>
        <v/>
      </c>
      <c r="DB1090">
        <f>$C1090*DB1089</f>
        <v/>
      </c>
      <c r="DC1090">
        <f>$C1090*DC1089</f>
        <v/>
      </c>
    </row>
    <row r="1091">
      <c r="B1091" t="inlineStr">
        <is>
          <t>TSP-2168</t>
        </is>
      </c>
      <c r="C1091" t="inlineStr">
        <is>
          <t>No. of batches</t>
        </is>
      </c>
      <c r="D1091">
        <f>IFERROR(INDEX(PP_Grid[#Data],$DD1091,2),0)</f>
        <v/>
      </c>
      <c r="E1091">
        <f>IFERROR(INDEX(PP_Grid[#Data],$DD1091,3),0)</f>
        <v/>
      </c>
      <c r="F1091">
        <f>IFERROR(INDEX(PP_Grid[#Data],$DD1091,4),0)</f>
        <v/>
      </c>
      <c r="G1091">
        <f>IFERROR(INDEX(PP_Grid[#Data],$DD1091,5),0)</f>
        <v/>
      </c>
      <c r="H1091">
        <f>IFERROR(INDEX(PP_Grid[#Data],$DD1091,6),0)</f>
        <v/>
      </c>
      <c r="I1091">
        <f>IFERROR(INDEX(PP_Grid[#Data],$DD1091,7),0)</f>
        <v/>
      </c>
      <c r="J1091">
        <f>IFERROR(INDEX(PP_Grid[#Data],$DD1091,8),0)</f>
        <v/>
      </c>
      <c r="K1091">
        <f>IFERROR(INDEX(PP_Grid[#Data],$DD1091,9),0)</f>
        <v/>
      </c>
      <c r="L1091">
        <f>IFERROR(INDEX(PP_Grid[#Data],$DD1091,10),0)</f>
        <v/>
      </c>
      <c r="M1091">
        <f>IFERROR(INDEX(PP_Grid[#Data],$DD1091,11),0)</f>
        <v/>
      </c>
      <c r="N1091">
        <f>IFERROR(INDEX(PP_Grid[#Data],$DD1091,12),0)</f>
        <v/>
      </c>
      <c r="O1091">
        <f>IFERROR(INDEX(PP_Grid[#Data],$DD1091,13),0)</f>
        <v/>
      </c>
      <c r="P1091">
        <f>IFERROR(INDEX(PP_Grid[#Data],$DD1091,14),0)</f>
        <v/>
      </c>
      <c r="Q1091">
        <f>IFERROR(INDEX(PP_Grid[#Data],$DD1091,15),0)</f>
        <v/>
      </c>
      <c r="R1091">
        <f>IFERROR(INDEX(PP_Grid[#Data],$DD1091,16),0)</f>
        <v/>
      </c>
      <c r="S1091">
        <f>IFERROR(INDEX(PP_Grid[#Data],$DD1091,17),0)</f>
        <v/>
      </c>
      <c r="T1091">
        <f>IFERROR(INDEX(PP_Grid[#Data],$DD1091,18),0)</f>
        <v/>
      </c>
      <c r="U1091">
        <f>IFERROR(INDEX(PP_Grid[#Data],$DD1091,19),0)</f>
        <v/>
      </c>
      <c r="V1091">
        <f>IFERROR(INDEX(PP_Grid[#Data],$DD1091,20),0)</f>
        <v/>
      </c>
      <c r="W1091">
        <f>IFERROR(INDEX(PP_Grid[#Data],$DD1091,21),0)</f>
        <v/>
      </c>
      <c r="X1091">
        <f>IFERROR(INDEX(PP_Grid[#Data],$DD1091,22),0)</f>
        <v/>
      </c>
      <c r="Y1091">
        <f>IFERROR(INDEX(PP_Grid[#Data],$DD1091,23),0)</f>
        <v/>
      </c>
      <c r="Z1091">
        <f>IFERROR(INDEX(PP_Grid[#Data],$DD1091,24),0)</f>
        <v/>
      </c>
      <c r="AA1091">
        <f>IFERROR(INDEX(PP_Grid[#Data],$DD1091,25),0)</f>
        <v/>
      </c>
      <c r="AB1091">
        <f>IFERROR(INDEX(PP_Grid[#Data],$DD1091,26),0)</f>
        <v/>
      </c>
      <c r="AC1091">
        <f>IFERROR(INDEX(PP_Grid[#Data],$DD1091,27),0)</f>
        <v/>
      </c>
      <c r="AD1091">
        <f>IFERROR(INDEX(PP_Grid[#Data],$DD1091,28),0)</f>
        <v/>
      </c>
      <c r="AE1091">
        <f>IFERROR(INDEX(PP_Grid[#Data],$DD1091,29),0)</f>
        <v/>
      </c>
      <c r="AF1091">
        <f>IFERROR(INDEX(PP_Grid[#Data],$DD1091,30),0)</f>
        <v/>
      </c>
      <c r="AG1091">
        <f>IFERROR(INDEX(PP_Grid[#Data],$DD1091,31),0)</f>
        <v/>
      </c>
      <c r="AH1091">
        <f>IFERROR(INDEX(PP_Grid[#Data],$DD1091,32),0)</f>
        <v/>
      </c>
      <c r="AI1091">
        <f>IFERROR(INDEX(PP_Grid[#Data],$DD1091,33),0)</f>
        <v/>
      </c>
      <c r="AJ1091">
        <f>IFERROR(INDEX(PP_Grid[#Data],$DD1091,34),0)</f>
        <v/>
      </c>
      <c r="AK1091">
        <f>IFERROR(INDEX(PP_Grid[#Data],$DD1091,35),0)</f>
        <v/>
      </c>
      <c r="AL1091">
        <f>IFERROR(INDEX(PP_Grid[#Data],$DD1091,36),0)</f>
        <v/>
      </c>
      <c r="AM1091">
        <f>IFERROR(INDEX(PP_Grid[#Data],$DD1091,37),0)</f>
        <v/>
      </c>
      <c r="AN1091">
        <f>IFERROR(INDEX(PP_Grid[#Data],$DD1091,38),0)</f>
        <v/>
      </c>
      <c r="AO1091">
        <f>IFERROR(INDEX(PP_Grid[#Data],$DD1091,39),0)</f>
        <v/>
      </c>
      <c r="AP1091">
        <f>IFERROR(INDEX(PP_Grid[#Data],$DD1091,40),0)</f>
        <v/>
      </c>
      <c r="AQ1091">
        <f>IFERROR(INDEX(PP_Grid[#Data],$DD1091,41),0)</f>
        <v/>
      </c>
      <c r="AR1091">
        <f>IFERROR(INDEX(PP_Grid[#Data],$DD1091,42),0)</f>
        <v/>
      </c>
      <c r="AS1091">
        <f>IFERROR(INDEX(PP_Grid[#Data],$DD1091,43),0)</f>
        <v/>
      </c>
      <c r="AT1091">
        <f>IFERROR(INDEX(PP_Grid[#Data],$DD1091,44),0)</f>
        <v/>
      </c>
      <c r="AU1091">
        <f>IFERROR(INDEX(PP_Grid[#Data],$DD1091,45),0)</f>
        <v/>
      </c>
      <c r="AV1091">
        <f>IFERROR(INDEX(PP_Grid[#Data],$DD1091,46),0)</f>
        <v/>
      </c>
      <c r="AW1091">
        <f>IFERROR(INDEX(PP_Grid[#Data],$DD1091,47),0)</f>
        <v/>
      </c>
      <c r="AX1091">
        <f>IFERROR(INDEX(PP_Grid[#Data],$DD1091,48),0)</f>
        <v/>
      </c>
      <c r="AY1091">
        <f>IFERROR(INDEX(PP_Grid[#Data],$DD1091,49),0)</f>
        <v/>
      </c>
      <c r="AZ1091">
        <f>IFERROR(INDEX(PP_Grid[#Data],$DD1091,50),0)</f>
        <v/>
      </c>
      <c r="BA1091">
        <f>IFERROR(INDEX(PP_Grid[#Data],$DD1091,51),0)</f>
        <v/>
      </c>
      <c r="BB1091">
        <f>IFERROR(INDEX(PP_Grid[#Data],$DD1091,52),0)</f>
        <v/>
      </c>
      <c r="BC1091">
        <f>IFERROR(INDEX(PP_Grid[#Data],$DD1091,53),0)</f>
        <v/>
      </c>
      <c r="BD1091">
        <f>IFERROR(INDEX(PP_Grid[#Data],$DD1091,54),0)</f>
        <v/>
      </c>
      <c r="BE1091">
        <f>IFERROR(INDEX(PP_Grid[#Data],$DD1091,55),0)</f>
        <v/>
      </c>
      <c r="BF1091">
        <f>IFERROR(INDEX(PP_Grid[#Data],$DD1091,56),0)</f>
        <v/>
      </c>
      <c r="BG1091">
        <f>IFERROR(INDEX(PP_Grid[#Data],$DD1091,57),0)</f>
        <v/>
      </c>
      <c r="BH1091">
        <f>IFERROR(INDEX(PP_Grid[#Data],$DD1091,58),0)</f>
        <v/>
      </c>
      <c r="BI1091">
        <f>IFERROR(INDEX(PP_Grid[#Data],$DD1091,59),0)</f>
        <v/>
      </c>
      <c r="BJ1091">
        <f>IFERROR(INDEX(PP_Grid[#Data],$DD1091,60),0)</f>
        <v/>
      </c>
      <c r="BK1091">
        <f>IFERROR(INDEX(PP_Grid[#Data],$DD1091,61),0)</f>
        <v/>
      </c>
      <c r="BL1091">
        <f>IFERROR(INDEX(PP_Grid[#Data],$DD1091,62),0)</f>
        <v/>
      </c>
      <c r="BM1091">
        <f>IFERROR(INDEX(PP_Grid[#Data],$DD1091,63),0)</f>
        <v/>
      </c>
      <c r="BN1091">
        <f>IFERROR(INDEX(PP_Grid[#Data],$DD1091,64),0)</f>
        <v/>
      </c>
      <c r="BO1091">
        <f>IFERROR(INDEX(PP_Grid[#Data],$DD1091,65),0)</f>
        <v/>
      </c>
      <c r="BP1091">
        <f>IFERROR(INDEX(PP_Grid[#Data],$DD1091,66),0)</f>
        <v/>
      </c>
      <c r="BQ1091">
        <f>IFERROR(INDEX(PP_Grid[#Data],$DD1091,67),0)</f>
        <v/>
      </c>
      <c r="BR1091">
        <f>IFERROR(INDEX(PP_Grid[#Data],$DD1091,68),0)</f>
        <v/>
      </c>
      <c r="BS1091">
        <f>IFERROR(INDEX(PP_Grid[#Data],$DD1091,69),0)</f>
        <v/>
      </c>
      <c r="BT1091">
        <f>IFERROR(INDEX(PP_Grid[#Data],$DD1091,70),0)</f>
        <v/>
      </c>
      <c r="BU1091">
        <f>IFERROR(INDEX(PP_Grid[#Data],$DD1091,71),0)</f>
        <v/>
      </c>
      <c r="BV1091">
        <f>IFERROR(INDEX(PP_Grid[#Data],$DD1091,72),0)</f>
        <v/>
      </c>
      <c r="BW1091">
        <f>IFERROR(INDEX(PP_Grid[#Data],$DD1091,73),0)</f>
        <v/>
      </c>
      <c r="BX1091">
        <f>IFERROR(INDEX(PP_Grid[#Data],$DD1091,74),0)</f>
        <v/>
      </c>
      <c r="BY1091">
        <f>IFERROR(INDEX(PP_Grid[#Data],$DD1091,75),0)</f>
        <v/>
      </c>
      <c r="BZ1091">
        <f>IFERROR(INDEX(PP_Grid[#Data],$DD1091,76),0)</f>
        <v/>
      </c>
      <c r="CA1091">
        <f>IFERROR(INDEX(PP_Grid[#Data],$DD1091,77),0)</f>
        <v/>
      </c>
      <c r="CB1091">
        <f>IFERROR(INDEX(PP_Grid[#Data],$DD1091,78),0)</f>
        <v/>
      </c>
      <c r="CC1091">
        <f>IFERROR(INDEX(PP_Grid[#Data],$DD1091,79),0)</f>
        <v/>
      </c>
      <c r="CD1091">
        <f>IFERROR(INDEX(PP_Grid[#Data],$DD1091,80),0)</f>
        <v/>
      </c>
      <c r="CE1091">
        <f>IFERROR(INDEX(PP_Grid[#Data],$DD1091,81),0)</f>
        <v/>
      </c>
      <c r="CF1091">
        <f>IFERROR(INDEX(PP_Grid[#Data],$DD1091,82),0)</f>
        <v/>
      </c>
      <c r="CG1091">
        <f>IFERROR(INDEX(PP_Grid[#Data],$DD1091,83),0)</f>
        <v/>
      </c>
      <c r="CH1091">
        <f>IFERROR(INDEX(PP_Grid[#Data],$DD1091,84),0)</f>
        <v/>
      </c>
      <c r="CI1091">
        <f>IFERROR(INDEX(PP_Grid[#Data],$DD1091,85),0)</f>
        <v/>
      </c>
      <c r="CJ1091">
        <f>IFERROR(INDEX(PP_Grid[#Data],$DD1091,86),0)</f>
        <v/>
      </c>
      <c r="CK1091">
        <f>IFERROR(INDEX(PP_Grid[#Data],$DD1091,87),0)</f>
        <v/>
      </c>
      <c r="CL1091">
        <f>IFERROR(INDEX(PP_Grid[#Data],$DD1091,88),0)</f>
        <v/>
      </c>
      <c r="CM1091">
        <f>IFERROR(INDEX(PP_Grid[#Data],$DD1091,89),0)</f>
        <v/>
      </c>
      <c r="CN1091">
        <f>IFERROR(INDEX(PP_Grid[#Data],$DD1091,90),0)</f>
        <v/>
      </c>
      <c r="CO1091">
        <f>IFERROR(INDEX(PP_Grid[#Data],$DD1091,91),0)</f>
        <v/>
      </c>
      <c r="CP1091">
        <f>IFERROR(INDEX(PP_Grid[#Data],$DD1091,92),0)</f>
        <v/>
      </c>
      <c r="CQ1091">
        <f>IFERROR(INDEX(PP_Grid[#Data],$DD1091,93),0)</f>
        <v/>
      </c>
      <c r="CR1091">
        <f>IFERROR(INDEX(PP_Grid[#Data],$DD1091,94),0)</f>
        <v/>
      </c>
      <c r="CS1091">
        <f>IFERROR(INDEX(PP_Grid[#Data],$DD1091,95),0)</f>
        <v/>
      </c>
      <c r="CT1091">
        <f>IFERROR(INDEX(PP_Grid[#Data],$DD1091,96),0)</f>
        <v/>
      </c>
      <c r="CU1091">
        <f>IFERROR(INDEX(PP_Grid[#Data],$DD1091,97),0)</f>
        <v/>
      </c>
      <c r="CV1091">
        <f>IFERROR(INDEX(PP_Grid[#Data],$DD1091,98),0)</f>
        <v/>
      </c>
      <c r="CW1091">
        <f>IFERROR(INDEX(PP_Grid[#Data],$DD1091,99),0)</f>
        <v/>
      </c>
      <c r="CX1091">
        <f>IFERROR(INDEX(PP_Grid[#Data],$DD1091,100),0)</f>
        <v/>
      </c>
      <c r="CY1091">
        <f>IFERROR(INDEX(PP_Grid[#Data],$DD1091,101),0)</f>
        <v/>
      </c>
      <c r="CZ1091">
        <f>IFERROR(INDEX(PP_Grid[#Data],$DD1091,102),0)</f>
        <v/>
      </c>
      <c r="DA1091">
        <f>IFERROR(INDEX(PP_Grid[#Data],$DD1091,103),0)</f>
        <v/>
      </c>
      <c r="DB1091">
        <f>IFERROR(INDEX(PP_Grid[#Data],$DD1091,104),0)</f>
        <v/>
      </c>
      <c r="DC1091">
        <f>IFERROR(INDEX(PP_Grid[#Data],$DD1091,105),0)</f>
        <v/>
      </c>
      <c r="DD1091" s="7">
        <f>IFERROR(MATCH($B1091,PP_Grid[Intermediate],0),99999)</f>
        <v/>
      </c>
    </row>
    <row r="1092">
      <c r="B1092" t="inlineStr">
        <is>
          <t>使用量(kg)</t>
        </is>
      </c>
      <c r="C1092">
        <f>SUMIFS(M_BOM[RM_Qty_Per_Batch],M_BOM[Intermediate],$B1091,M_BOM[Part Name],$A1082)</f>
        <v/>
      </c>
      <c r="D1092">
        <f>$C1092*D1091</f>
        <v/>
      </c>
      <c r="E1092">
        <f>$C1092*E1091</f>
        <v/>
      </c>
      <c r="F1092">
        <f>$C1092*F1091</f>
        <v/>
      </c>
      <c r="G1092">
        <f>$C1092*G1091</f>
        <v/>
      </c>
      <c r="H1092">
        <f>$C1092*H1091</f>
        <v/>
      </c>
      <c r="I1092">
        <f>$C1092*I1091</f>
        <v/>
      </c>
      <c r="J1092">
        <f>$C1092*J1091</f>
        <v/>
      </c>
      <c r="K1092">
        <f>$C1092*K1091</f>
        <v/>
      </c>
      <c r="L1092">
        <f>$C1092*L1091</f>
        <v/>
      </c>
      <c r="M1092">
        <f>$C1092*M1091</f>
        <v/>
      </c>
      <c r="N1092">
        <f>$C1092*N1091</f>
        <v/>
      </c>
      <c r="O1092">
        <f>$C1092*O1091</f>
        <v/>
      </c>
      <c r="P1092">
        <f>$C1092*P1091</f>
        <v/>
      </c>
      <c r="Q1092">
        <f>$C1092*Q1091</f>
        <v/>
      </c>
      <c r="R1092">
        <f>$C1092*R1091</f>
        <v/>
      </c>
      <c r="S1092">
        <f>$C1092*S1091</f>
        <v/>
      </c>
      <c r="T1092">
        <f>$C1092*T1091</f>
        <v/>
      </c>
      <c r="U1092">
        <f>$C1092*U1091</f>
        <v/>
      </c>
      <c r="V1092">
        <f>$C1092*V1091</f>
        <v/>
      </c>
      <c r="W1092">
        <f>$C1092*W1091</f>
        <v/>
      </c>
      <c r="X1092">
        <f>$C1092*X1091</f>
        <v/>
      </c>
      <c r="Y1092">
        <f>$C1092*Y1091</f>
        <v/>
      </c>
      <c r="Z1092">
        <f>$C1092*Z1091</f>
        <v/>
      </c>
      <c r="AA1092">
        <f>$C1092*AA1091</f>
        <v/>
      </c>
      <c r="AB1092">
        <f>$C1092*AB1091</f>
        <v/>
      </c>
      <c r="AC1092">
        <f>$C1092*AC1091</f>
        <v/>
      </c>
      <c r="AD1092">
        <f>$C1092*AD1091</f>
        <v/>
      </c>
      <c r="AE1092">
        <f>$C1092*AE1091</f>
        <v/>
      </c>
      <c r="AF1092">
        <f>$C1092*AF1091</f>
        <v/>
      </c>
      <c r="AG1092">
        <f>$C1092*AG1091</f>
        <v/>
      </c>
      <c r="AH1092">
        <f>$C1092*AH1091</f>
        <v/>
      </c>
      <c r="AI1092">
        <f>$C1092*AI1091</f>
        <v/>
      </c>
      <c r="AJ1092">
        <f>$C1092*AJ1091</f>
        <v/>
      </c>
      <c r="AK1092">
        <f>$C1092*AK1091</f>
        <v/>
      </c>
      <c r="AL1092">
        <f>$C1092*AL1091</f>
        <v/>
      </c>
      <c r="AM1092">
        <f>$C1092*AM1091</f>
        <v/>
      </c>
      <c r="AN1092">
        <f>$C1092*AN1091</f>
        <v/>
      </c>
      <c r="AO1092">
        <f>$C1092*AO1091</f>
        <v/>
      </c>
      <c r="AP1092">
        <f>$C1092*AP1091</f>
        <v/>
      </c>
      <c r="AQ1092">
        <f>$C1092*AQ1091</f>
        <v/>
      </c>
      <c r="AR1092">
        <f>$C1092*AR1091</f>
        <v/>
      </c>
      <c r="AS1092">
        <f>$C1092*AS1091</f>
        <v/>
      </c>
      <c r="AT1092">
        <f>$C1092*AT1091</f>
        <v/>
      </c>
      <c r="AU1092">
        <f>$C1092*AU1091</f>
        <v/>
      </c>
      <c r="AV1092">
        <f>$C1092*AV1091</f>
        <v/>
      </c>
      <c r="AW1092">
        <f>$C1092*AW1091</f>
        <v/>
      </c>
      <c r="AX1092">
        <f>$C1092*AX1091</f>
        <v/>
      </c>
      <c r="AY1092">
        <f>$C1092*AY1091</f>
        <v/>
      </c>
      <c r="AZ1092">
        <f>$C1092*AZ1091</f>
        <v/>
      </c>
      <c r="BA1092">
        <f>$C1092*BA1091</f>
        <v/>
      </c>
      <c r="BB1092">
        <f>$C1092*BB1091</f>
        <v/>
      </c>
      <c r="BC1092">
        <f>$C1092*BC1091</f>
        <v/>
      </c>
      <c r="BD1092">
        <f>$C1092*BD1091</f>
        <v/>
      </c>
      <c r="BE1092">
        <f>$C1092*BE1091</f>
        <v/>
      </c>
      <c r="BF1092">
        <f>$C1092*BF1091</f>
        <v/>
      </c>
      <c r="BG1092">
        <f>$C1092*BG1091</f>
        <v/>
      </c>
      <c r="BH1092">
        <f>$C1092*BH1091</f>
        <v/>
      </c>
      <c r="BI1092">
        <f>$C1092*BI1091</f>
        <v/>
      </c>
      <c r="BJ1092">
        <f>$C1092*BJ1091</f>
        <v/>
      </c>
      <c r="BK1092">
        <f>$C1092*BK1091</f>
        <v/>
      </c>
      <c r="BL1092">
        <f>$C1092*BL1091</f>
        <v/>
      </c>
      <c r="BM1092">
        <f>$C1092*BM1091</f>
        <v/>
      </c>
      <c r="BN1092">
        <f>$C1092*BN1091</f>
        <v/>
      </c>
      <c r="BO1092">
        <f>$C1092*BO1091</f>
        <v/>
      </c>
      <c r="BP1092">
        <f>$C1092*BP1091</f>
        <v/>
      </c>
      <c r="BQ1092">
        <f>$C1092*BQ1091</f>
        <v/>
      </c>
      <c r="BR1092">
        <f>$C1092*BR1091</f>
        <v/>
      </c>
      <c r="BS1092">
        <f>$C1092*BS1091</f>
        <v/>
      </c>
      <c r="BT1092">
        <f>$C1092*BT1091</f>
        <v/>
      </c>
      <c r="BU1092">
        <f>$C1092*BU1091</f>
        <v/>
      </c>
      <c r="BV1092">
        <f>$C1092*BV1091</f>
        <v/>
      </c>
      <c r="BW1092">
        <f>$C1092*BW1091</f>
        <v/>
      </c>
      <c r="BX1092">
        <f>$C1092*BX1091</f>
        <v/>
      </c>
      <c r="BY1092">
        <f>$C1092*BY1091</f>
        <v/>
      </c>
      <c r="BZ1092">
        <f>$C1092*BZ1091</f>
        <v/>
      </c>
      <c r="CA1092">
        <f>$C1092*CA1091</f>
        <v/>
      </c>
      <c r="CB1092">
        <f>$C1092*CB1091</f>
        <v/>
      </c>
      <c r="CC1092">
        <f>$C1092*CC1091</f>
        <v/>
      </c>
      <c r="CD1092">
        <f>$C1092*CD1091</f>
        <v/>
      </c>
      <c r="CE1092">
        <f>$C1092*CE1091</f>
        <v/>
      </c>
      <c r="CF1092">
        <f>$C1092*CF1091</f>
        <v/>
      </c>
      <c r="CG1092">
        <f>$C1092*CG1091</f>
        <v/>
      </c>
      <c r="CH1092">
        <f>$C1092*CH1091</f>
        <v/>
      </c>
      <c r="CI1092">
        <f>$C1092*CI1091</f>
        <v/>
      </c>
      <c r="CJ1092">
        <f>$C1092*CJ1091</f>
        <v/>
      </c>
      <c r="CK1092">
        <f>$C1092*CK1091</f>
        <v/>
      </c>
      <c r="CL1092">
        <f>$C1092*CL1091</f>
        <v/>
      </c>
      <c r="CM1092">
        <f>$C1092*CM1091</f>
        <v/>
      </c>
      <c r="CN1092">
        <f>$C1092*CN1091</f>
        <v/>
      </c>
      <c r="CO1092">
        <f>$C1092*CO1091</f>
        <v/>
      </c>
      <c r="CP1092">
        <f>$C1092*CP1091</f>
        <v/>
      </c>
      <c r="CQ1092">
        <f>$C1092*CQ1091</f>
        <v/>
      </c>
      <c r="CR1092">
        <f>$C1092*CR1091</f>
        <v/>
      </c>
      <c r="CS1092">
        <f>$C1092*CS1091</f>
        <v/>
      </c>
      <c r="CT1092">
        <f>$C1092*CT1091</f>
        <v/>
      </c>
      <c r="CU1092">
        <f>$C1092*CU1091</f>
        <v/>
      </c>
      <c r="CV1092">
        <f>$C1092*CV1091</f>
        <v/>
      </c>
      <c r="CW1092">
        <f>$C1092*CW1091</f>
        <v/>
      </c>
      <c r="CX1092">
        <f>$C1092*CX1091</f>
        <v/>
      </c>
      <c r="CY1092">
        <f>$C1092*CY1091</f>
        <v/>
      </c>
      <c r="CZ1092">
        <f>$C1092*CZ1091</f>
        <v/>
      </c>
      <c r="DA1092">
        <f>$C1092*DA1091</f>
        <v/>
      </c>
      <c r="DB1092">
        <f>$C1092*DB1091</f>
        <v/>
      </c>
      <c r="DC1092">
        <f>$C1092*DC1091</f>
        <v/>
      </c>
    </row>
    <row r="1093">
      <c r="B1093" s="4" t="inlineStr">
        <is>
          <t>合計使用量(kg)/週</t>
        </is>
      </c>
      <c r="D1093">
        <f>'Grid_Requirement'!B26</f>
        <v/>
      </c>
      <c r="E1093">
        <f>'Grid_Requirement'!C26</f>
        <v/>
      </c>
      <c r="F1093">
        <f>'Grid_Requirement'!D26</f>
        <v/>
      </c>
      <c r="G1093">
        <f>'Grid_Requirement'!E26</f>
        <v/>
      </c>
      <c r="H1093">
        <f>'Grid_Requirement'!F26</f>
        <v/>
      </c>
      <c r="I1093">
        <f>'Grid_Requirement'!G26</f>
        <v/>
      </c>
      <c r="J1093">
        <f>'Grid_Requirement'!H26</f>
        <v/>
      </c>
      <c r="K1093">
        <f>'Grid_Requirement'!I26</f>
        <v/>
      </c>
      <c r="L1093">
        <f>'Grid_Requirement'!J26</f>
        <v/>
      </c>
      <c r="M1093">
        <f>'Grid_Requirement'!K26</f>
        <v/>
      </c>
      <c r="N1093">
        <f>'Grid_Requirement'!L26</f>
        <v/>
      </c>
      <c r="O1093">
        <f>'Grid_Requirement'!M26</f>
        <v/>
      </c>
      <c r="P1093">
        <f>'Grid_Requirement'!N26</f>
        <v/>
      </c>
      <c r="Q1093">
        <f>'Grid_Requirement'!O26</f>
        <v/>
      </c>
      <c r="R1093">
        <f>'Grid_Requirement'!P26</f>
        <v/>
      </c>
      <c r="S1093">
        <f>'Grid_Requirement'!Q26</f>
        <v/>
      </c>
      <c r="T1093">
        <f>'Grid_Requirement'!R26</f>
        <v/>
      </c>
      <c r="U1093">
        <f>'Grid_Requirement'!S26</f>
        <v/>
      </c>
      <c r="V1093">
        <f>'Grid_Requirement'!T26</f>
        <v/>
      </c>
      <c r="W1093">
        <f>'Grid_Requirement'!U26</f>
        <v/>
      </c>
      <c r="X1093">
        <f>'Grid_Requirement'!V26</f>
        <v/>
      </c>
      <c r="Y1093">
        <f>'Grid_Requirement'!W26</f>
        <v/>
      </c>
      <c r="Z1093">
        <f>'Grid_Requirement'!X26</f>
        <v/>
      </c>
      <c r="AA1093">
        <f>'Grid_Requirement'!Y26</f>
        <v/>
      </c>
      <c r="AB1093">
        <f>'Grid_Requirement'!Z26</f>
        <v/>
      </c>
      <c r="AC1093">
        <f>'Grid_Requirement'!AA26</f>
        <v/>
      </c>
      <c r="AD1093">
        <f>'Grid_Requirement'!AB26</f>
        <v/>
      </c>
      <c r="AE1093">
        <f>'Grid_Requirement'!AC26</f>
        <v/>
      </c>
      <c r="AF1093">
        <f>'Grid_Requirement'!AD26</f>
        <v/>
      </c>
      <c r="AG1093">
        <f>'Grid_Requirement'!AE26</f>
        <v/>
      </c>
      <c r="AH1093">
        <f>'Grid_Requirement'!AF26</f>
        <v/>
      </c>
      <c r="AI1093">
        <f>'Grid_Requirement'!AG26</f>
        <v/>
      </c>
      <c r="AJ1093">
        <f>'Grid_Requirement'!AH26</f>
        <v/>
      </c>
      <c r="AK1093">
        <f>'Grid_Requirement'!AI26</f>
        <v/>
      </c>
      <c r="AL1093">
        <f>'Grid_Requirement'!AJ26</f>
        <v/>
      </c>
      <c r="AM1093">
        <f>'Grid_Requirement'!AK26</f>
        <v/>
      </c>
      <c r="AN1093">
        <f>'Grid_Requirement'!AL26</f>
        <v/>
      </c>
      <c r="AO1093">
        <f>'Grid_Requirement'!AM26</f>
        <v/>
      </c>
      <c r="AP1093">
        <f>'Grid_Requirement'!AN26</f>
        <v/>
      </c>
      <c r="AQ1093">
        <f>'Grid_Requirement'!AO26</f>
        <v/>
      </c>
      <c r="AR1093">
        <f>'Grid_Requirement'!AP26</f>
        <v/>
      </c>
      <c r="AS1093">
        <f>'Grid_Requirement'!AQ26</f>
        <v/>
      </c>
      <c r="AT1093">
        <f>'Grid_Requirement'!AR26</f>
        <v/>
      </c>
      <c r="AU1093">
        <f>'Grid_Requirement'!AS26</f>
        <v/>
      </c>
      <c r="AV1093">
        <f>'Grid_Requirement'!AT26</f>
        <v/>
      </c>
      <c r="AW1093">
        <f>'Grid_Requirement'!AU26</f>
        <v/>
      </c>
      <c r="AX1093">
        <f>'Grid_Requirement'!AV26</f>
        <v/>
      </c>
      <c r="AY1093">
        <f>'Grid_Requirement'!AW26</f>
        <v/>
      </c>
      <c r="AZ1093">
        <f>'Grid_Requirement'!AX26</f>
        <v/>
      </c>
      <c r="BA1093">
        <f>'Grid_Requirement'!AY26</f>
        <v/>
      </c>
      <c r="BB1093">
        <f>'Grid_Requirement'!AZ26</f>
        <v/>
      </c>
      <c r="BC1093">
        <f>'Grid_Requirement'!BA26</f>
        <v/>
      </c>
      <c r="BD1093">
        <f>'Grid_Requirement'!BB26</f>
        <v/>
      </c>
      <c r="BE1093">
        <f>'Grid_Requirement'!BC26</f>
        <v/>
      </c>
      <c r="BF1093">
        <f>'Grid_Requirement'!BD26</f>
        <v/>
      </c>
      <c r="BG1093">
        <f>'Grid_Requirement'!BE26</f>
        <v/>
      </c>
      <c r="BH1093">
        <f>'Grid_Requirement'!BF26</f>
        <v/>
      </c>
      <c r="BI1093">
        <f>'Grid_Requirement'!BG26</f>
        <v/>
      </c>
      <c r="BJ1093">
        <f>'Grid_Requirement'!BH26</f>
        <v/>
      </c>
      <c r="BK1093">
        <f>'Grid_Requirement'!BI26</f>
        <v/>
      </c>
      <c r="BL1093">
        <f>'Grid_Requirement'!BJ26</f>
        <v/>
      </c>
      <c r="BM1093">
        <f>'Grid_Requirement'!BK26</f>
        <v/>
      </c>
      <c r="BN1093">
        <f>'Grid_Requirement'!BL26</f>
        <v/>
      </c>
      <c r="BO1093">
        <f>'Grid_Requirement'!BM26</f>
        <v/>
      </c>
      <c r="BP1093">
        <f>'Grid_Requirement'!BN26</f>
        <v/>
      </c>
      <c r="BQ1093">
        <f>'Grid_Requirement'!BO26</f>
        <v/>
      </c>
      <c r="BR1093">
        <f>'Grid_Requirement'!BP26</f>
        <v/>
      </c>
      <c r="BS1093">
        <f>'Grid_Requirement'!BQ26</f>
        <v/>
      </c>
      <c r="BT1093">
        <f>'Grid_Requirement'!BR26</f>
        <v/>
      </c>
      <c r="BU1093">
        <f>'Grid_Requirement'!BS26</f>
        <v/>
      </c>
      <c r="BV1093">
        <f>'Grid_Requirement'!BT26</f>
        <v/>
      </c>
      <c r="BW1093">
        <f>'Grid_Requirement'!BU26</f>
        <v/>
      </c>
      <c r="BX1093">
        <f>'Grid_Requirement'!BV26</f>
        <v/>
      </c>
      <c r="BY1093">
        <f>'Grid_Requirement'!BW26</f>
        <v/>
      </c>
      <c r="BZ1093">
        <f>'Grid_Requirement'!BX26</f>
        <v/>
      </c>
      <c r="CA1093">
        <f>'Grid_Requirement'!BY26</f>
        <v/>
      </c>
      <c r="CB1093">
        <f>'Grid_Requirement'!BZ26</f>
        <v/>
      </c>
      <c r="CC1093">
        <f>'Grid_Requirement'!CA26</f>
        <v/>
      </c>
      <c r="CD1093">
        <f>'Grid_Requirement'!CB26</f>
        <v/>
      </c>
      <c r="CE1093">
        <f>'Grid_Requirement'!CC26</f>
        <v/>
      </c>
      <c r="CF1093">
        <f>'Grid_Requirement'!CD26</f>
        <v/>
      </c>
      <c r="CG1093">
        <f>'Grid_Requirement'!CE26</f>
        <v/>
      </c>
      <c r="CH1093">
        <f>'Grid_Requirement'!CF26</f>
        <v/>
      </c>
      <c r="CI1093">
        <f>'Grid_Requirement'!CG26</f>
        <v/>
      </c>
      <c r="CJ1093">
        <f>'Grid_Requirement'!CH26</f>
        <v/>
      </c>
      <c r="CK1093">
        <f>'Grid_Requirement'!CI26</f>
        <v/>
      </c>
      <c r="CL1093">
        <f>'Grid_Requirement'!CJ26</f>
        <v/>
      </c>
      <c r="CM1093">
        <f>'Grid_Requirement'!CK26</f>
        <v/>
      </c>
      <c r="CN1093">
        <f>'Grid_Requirement'!CL26</f>
        <v/>
      </c>
      <c r="CO1093">
        <f>'Grid_Requirement'!CM26</f>
        <v/>
      </c>
      <c r="CP1093">
        <f>'Grid_Requirement'!CN26</f>
        <v/>
      </c>
      <c r="CQ1093">
        <f>'Grid_Requirement'!CO26</f>
        <v/>
      </c>
      <c r="CR1093">
        <f>'Grid_Requirement'!CP26</f>
        <v/>
      </c>
      <c r="CS1093">
        <f>'Grid_Requirement'!CQ26</f>
        <v/>
      </c>
      <c r="CT1093">
        <f>'Grid_Requirement'!CR26</f>
        <v/>
      </c>
      <c r="CU1093">
        <f>'Grid_Requirement'!CS26</f>
        <v/>
      </c>
      <c r="CV1093">
        <f>'Grid_Requirement'!CT26</f>
        <v/>
      </c>
      <c r="CW1093">
        <f>'Grid_Requirement'!CU26</f>
        <v/>
      </c>
      <c r="CX1093">
        <f>'Grid_Requirement'!CV26</f>
        <v/>
      </c>
      <c r="CY1093">
        <f>'Grid_Requirement'!CW26</f>
        <v/>
      </c>
      <c r="CZ1093">
        <f>'Grid_Requirement'!CX26</f>
        <v/>
      </c>
      <c r="DA1093">
        <f>'Grid_Requirement'!CY26</f>
        <v/>
      </c>
      <c r="DB1093">
        <f>'Grid_Requirement'!CZ26</f>
        <v/>
      </c>
      <c r="DC1093">
        <f>'Grid_Requirement'!DA26</f>
        <v/>
      </c>
    </row>
    <row r="1094">
      <c r="B1094" t="inlineStr">
        <is>
          <t>TTAF在庫(実績,kg)</t>
        </is>
      </c>
      <c r="D1094">
        <f>'T_TTAFStock'!B30</f>
        <v/>
      </c>
      <c r="E1094">
        <f>'T_TTAFStock'!C30</f>
        <v/>
      </c>
      <c r="F1094">
        <f>'T_TTAFStock'!D30</f>
        <v/>
      </c>
      <c r="G1094">
        <f>'T_TTAFStock'!E30</f>
        <v/>
      </c>
      <c r="H1094">
        <f>'T_TTAFStock'!F30</f>
        <v/>
      </c>
      <c r="I1094">
        <f>'T_TTAFStock'!G30</f>
        <v/>
      </c>
      <c r="J1094">
        <f>'T_TTAFStock'!H30</f>
        <v/>
      </c>
      <c r="K1094">
        <f>'T_TTAFStock'!I30</f>
        <v/>
      </c>
      <c r="L1094">
        <f>'T_TTAFStock'!J30</f>
        <v/>
      </c>
      <c r="M1094">
        <f>'T_TTAFStock'!K30</f>
        <v/>
      </c>
      <c r="N1094">
        <f>'T_TTAFStock'!L30</f>
        <v/>
      </c>
      <c r="O1094">
        <f>'T_TTAFStock'!M30</f>
        <v/>
      </c>
      <c r="P1094">
        <f>'T_TTAFStock'!N30</f>
        <v/>
      </c>
      <c r="Q1094">
        <f>'T_TTAFStock'!O30</f>
        <v/>
      </c>
      <c r="R1094">
        <f>'T_TTAFStock'!P30</f>
        <v/>
      </c>
      <c r="S1094">
        <f>'T_TTAFStock'!Q30</f>
        <v/>
      </c>
      <c r="T1094">
        <f>'T_TTAFStock'!R30</f>
        <v/>
      </c>
      <c r="U1094">
        <f>'T_TTAFStock'!S30</f>
        <v/>
      </c>
      <c r="V1094">
        <f>'T_TTAFStock'!T30</f>
        <v/>
      </c>
      <c r="W1094">
        <f>'T_TTAFStock'!U30</f>
        <v/>
      </c>
      <c r="X1094">
        <f>'T_TTAFStock'!V30</f>
        <v/>
      </c>
      <c r="Y1094">
        <f>'T_TTAFStock'!W30</f>
        <v/>
      </c>
      <c r="Z1094">
        <f>'T_TTAFStock'!X30</f>
        <v/>
      </c>
      <c r="AA1094">
        <f>'T_TTAFStock'!Y30</f>
        <v/>
      </c>
      <c r="AB1094">
        <f>'T_TTAFStock'!Z30</f>
        <v/>
      </c>
      <c r="AC1094">
        <f>'T_TTAFStock'!AA30</f>
        <v/>
      </c>
      <c r="AD1094">
        <f>'T_TTAFStock'!AB30</f>
        <v/>
      </c>
      <c r="AE1094">
        <f>'T_TTAFStock'!AC30</f>
        <v/>
      </c>
      <c r="AF1094">
        <f>'T_TTAFStock'!AD30</f>
        <v/>
      </c>
      <c r="AG1094">
        <f>'T_TTAFStock'!AE30</f>
        <v/>
      </c>
      <c r="AH1094">
        <f>'T_TTAFStock'!AF30</f>
        <v/>
      </c>
      <c r="AI1094">
        <f>'T_TTAFStock'!AG30</f>
        <v/>
      </c>
      <c r="AJ1094">
        <f>'T_TTAFStock'!AH30</f>
        <v/>
      </c>
      <c r="AK1094">
        <f>'T_TTAFStock'!AI30</f>
        <v/>
      </c>
      <c r="AL1094">
        <f>'T_TTAFStock'!AJ30</f>
        <v/>
      </c>
      <c r="AM1094">
        <f>'T_TTAFStock'!AK30</f>
        <v/>
      </c>
      <c r="AN1094">
        <f>'T_TTAFStock'!AL30</f>
        <v/>
      </c>
      <c r="AO1094">
        <f>'T_TTAFStock'!AM30</f>
        <v/>
      </c>
      <c r="AP1094">
        <f>'T_TTAFStock'!AN30</f>
        <v/>
      </c>
      <c r="AQ1094">
        <f>'T_TTAFStock'!AO30</f>
        <v/>
      </c>
      <c r="AR1094">
        <f>'T_TTAFStock'!AP30</f>
        <v/>
      </c>
      <c r="AS1094">
        <f>'T_TTAFStock'!AQ30</f>
        <v/>
      </c>
      <c r="AT1094">
        <f>'T_TTAFStock'!AR30</f>
        <v/>
      </c>
      <c r="AU1094">
        <f>'T_TTAFStock'!AS30</f>
        <v/>
      </c>
      <c r="AV1094">
        <f>'T_TTAFStock'!AT30</f>
        <v/>
      </c>
      <c r="AW1094">
        <f>'T_TTAFStock'!AU30</f>
        <v/>
      </c>
      <c r="AX1094">
        <f>'T_TTAFStock'!AV30</f>
        <v/>
      </c>
      <c r="AY1094">
        <f>'T_TTAFStock'!AW30</f>
        <v/>
      </c>
      <c r="AZ1094">
        <f>'T_TTAFStock'!AX30</f>
        <v/>
      </c>
      <c r="BA1094">
        <f>'T_TTAFStock'!AY30</f>
        <v/>
      </c>
      <c r="BB1094">
        <f>'T_TTAFStock'!AZ30</f>
        <v/>
      </c>
      <c r="BC1094">
        <f>'T_TTAFStock'!BA30</f>
        <v/>
      </c>
      <c r="BD1094">
        <f>'T_TTAFStock'!BB30</f>
        <v/>
      </c>
      <c r="BE1094">
        <f>'T_TTAFStock'!BC30</f>
        <v/>
      </c>
      <c r="BF1094">
        <f>'T_TTAFStock'!BD30</f>
        <v/>
      </c>
      <c r="BG1094">
        <f>'T_TTAFStock'!BE30</f>
        <v/>
      </c>
      <c r="BH1094">
        <f>'T_TTAFStock'!BF30</f>
        <v/>
      </c>
      <c r="BI1094">
        <f>'T_TTAFStock'!BG30</f>
        <v/>
      </c>
      <c r="BJ1094">
        <f>'T_TTAFStock'!BH30</f>
        <v/>
      </c>
      <c r="BK1094">
        <f>'T_TTAFStock'!BI30</f>
        <v/>
      </c>
      <c r="BL1094">
        <f>'T_TTAFStock'!BJ30</f>
        <v/>
      </c>
      <c r="BM1094">
        <f>'T_TTAFStock'!BK30</f>
        <v/>
      </c>
      <c r="BN1094">
        <f>'T_TTAFStock'!BL30</f>
        <v/>
      </c>
      <c r="BO1094">
        <f>'T_TTAFStock'!BM30</f>
        <v/>
      </c>
      <c r="BP1094">
        <f>'T_TTAFStock'!BN30</f>
        <v/>
      </c>
      <c r="BQ1094">
        <f>'T_TTAFStock'!BO30</f>
        <v/>
      </c>
      <c r="BR1094">
        <f>'T_TTAFStock'!BP30</f>
        <v/>
      </c>
      <c r="BS1094">
        <f>'T_TTAFStock'!BQ30</f>
        <v/>
      </c>
      <c r="BT1094">
        <f>'T_TTAFStock'!BR30</f>
        <v/>
      </c>
      <c r="BU1094">
        <f>'T_TTAFStock'!BS30</f>
        <v/>
      </c>
      <c r="BV1094">
        <f>'T_TTAFStock'!BT30</f>
        <v/>
      </c>
      <c r="BW1094">
        <f>'T_TTAFStock'!BU30</f>
        <v/>
      </c>
      <c r="BX1094">
        <f>'T_TTAFStock'!BV30</f>
        <v/>
      </c>
      <c r="BY1094">
        <f>'T_TTAFStock'!BW30</f>
        <v/>
      </c>
      <c r="BZ1094">
        <f>'T_TTAFStock'!BX30</f>
        <v/>
      </c>
      <c r="CA1094">
        <f>'T_TTAFStock'!BY30</f>
        <v/>
      </c>
      <c r="CB1094">
        <f>'T_TTAFStock'!BZ30</f>
        <v/>
      </c>
      <c r="CC1094">
        <f>'T_TTAFStock'!CA30</f>
        <v/>
      </c>
      <c r="CD1094">
        <f>'T_TTAFStock'!CB30</f>
        <v/>
      </c>
      <c r="CE1094">
        <f>'T_TTAFStock'!CC30</f>
        <v/>
      </c>
      <c r="CF1094">
        <f>'T_TTAFStock'!CD30</f>
        <v/>
      </c>
      <c r="CG1094">
        <f>'T_TTAFStock'!CE30</f>
        <v/>
      </c>
      <c r="CH1094">
        <f>'T_TTAFStock'!CF30</f>
        <v/>
      </c>
      <c r="CI1094">
        <f>'T_TTAFStock'!CG30</f>
        <v/>
      </c>
      <c r="CJ1094">
        <f>'T_TTAFStock'!CH30</f>
        <v/>
      </c>
      <c r="CK1094">
        <f>'T_TTAFStock'!CI30</f>
        <v/>
      </c>
      <c r="CL1094">
        <f>'T_TTAFStock'!CJ30</f>
        <v/>
      </c>
      <c r="CM1094">
        <f>'T_TTAFStock'!CK30</f>
        <v/>
      </c>
      <c r="CN1094">
        <f>'T_TTAFStock'!CL30</f>
        <v/>
      </c>
      <c r="CO1094">
        <f>'T_TTAFStock'!CM30</f>
        <v/>
      </c>
      <c r="CP1094">
        <f>'T_TTAFStock'!CN30</f>
        <v/>
      </c>
      <c r="CQ1094">
        <f>'T_TTAFStock'!CO30</f>
        <v/>
      </c>
      <c r="CR1094">
        <f>'T_TTAFStock'!CP30</f>
        <v/>
      </c>
      <c r="CS1094">
        <f>'T_TTAFStock'!CQ30</f>
        <v/>
      </c>
      <c r="CT1094">
        <f>'T_TTAFStock'!CR30</f>
        <v/>
      </c>
      <c r="CU1094">
        <f>'T_TTAFStock'!CS30</f>
        <v/>
      </c>
      <c r="CV1094">
        <f>'T_TTAFStock'!CT30</f>
        <v/>
      </c>
      <c r="CW1094">
        <f>'T_TTAFStock'!CU30</f>
        <v/>
      </c>
      <c r="CX1094">
        <f>'T_TTAFStock'!CV30</f>
        <v/>
      </c>
      <c r="CY1094">
        <f>'T_TTAFStock'!CW30</f>
        <v/>
      </c>
      <c r="CZ1094">
        <f>'T_TTAFStock'!CX30</f>
        <v/>
      </c>
      <c r="DA1094">
        <f>'T_TTAFStock'!CY30</f>
        <v/>
      </c>
      <c r="DB1094">
        <f>'T_TTAFStock'!CZ30</f>
        <v/>
      </c>
      <c r="DC1094">
        <f>'T_TTAFStock'!DA30</f>
        <v/>
      </c>
    </row>
    <row r="1095">
      <c r="B1095" t="inlineStr">
        <is>
          <t>自社在庫(実績,kg)</t>
        </is>
      </c>
      <c r="D1095">
        <f>'T_SelfStock'!B30</f>
        <v/>
      </c>
      <c r="E1095">
        <f>'T_SelfStock'!C30</f>
        <v/>
      </c>
      <c r="F1095">
        <f>'T_SelfStock'!D30</f>
        <v/>
      </c>
      <c r="G1095">
        <f>'T_SelfStock'!E30</f>
        <v/>
      </c>
      <c r="H1095">
        <f>'T_SelfStock'!F30</f>
        <v/>
      </c>
      <c r="I1095">
        <f>'T_SelfStock'!G30</f>
        <v/>
      </c>
      <c r="J1095">
        <f>'T_SelfStock'!H30</f>
        <v/>
      </c>
      <c r="K1095">
        <f>'T_SelfStock'!I30</f>
        <v/>
      </c>
      <c r="L1095">
        <f>'T_SelfStock'!J30</f>
        <v/>
      </c>
      <c r="M1095">
        <f>'T_SelfStock'!K30</f>
        <v/>
      </c>
      <c r="N1095">
        <f>'T_SelfStock'!L30</f>
        <v/>
      </c>
      <c r="O1095">
        <f>'T_SelfStock'!M30</f>
        <v/>
      </c>
      <c r="P1095">
        <f>'T_SelfStock'!N30</f>
        <v/>
      </c>
      <c r="Q1095">
        <f>'T_SelfStock'!O30</f>
        <v/>
      </c>
      <c r="R1095">
        <f>'T_SelfStock'!P30</f>
        <v/>
      </c>
      <c r="S1095">
        <f>'T_SelfStock'!Q30</f>
        <v/>
      </c>
      <c r="T1095">
        <f>'T_SelfStock'!R30</f>
        <v/>
      </c>
      <c r="U1095">
        <f>'T_SelfStock'!S30</f>
        <v/>
      </c>
      <c r="V1095">
        <f>'T_SelfStock'!T30</f>
        <v/>
      </c>
      <c r="W1095">
        <f>'T_SelfStock'!U30</f>
        <v/>
      </c>
      <c r="X1095">
        <f>'T_SelfStock'!V30</f>
        <v/>
      </c>
      <c r="Y1095">
        <f>'T_SelfStock'!W30</f>
        <v/>
      </c>
      <c r="Z1095">
        <f>'T_SelfStock'!X30</f>
        <v/>
      </c>
      <c r="AA1095">
        <f>'T_SelfStock'!Y30</f>
        <v/>
      </c>
      <c r="AB1095">
        <f>'T_SelfStock'!Z30</f>
        <v/>
      </c>
      <c r="AC1095">
        <f>'T_SelfStock'!AA30</f>
        <v/>
      </c>
      <c r="AD1095">
        <f>'T_SelfStock'!AB30</f>
        <v/>
      </c>
      <c r="AE1095">
        <f>'T_SelfStock'!AC30</f>
        <v/>
      </c>
      <c r="AF1095">
        <f>'T_SelfStock'!AD30</f>
        <v/>
      </c>
      <c r="AG1095">
        <f>'T_SelfStock'!AE30</f>
        <v/>
      </c>
      <c r="AH1095">
        <f>'T_SelfStock'!AF30</f>
        <v/>
      </c>
      <c r="AI1095">
        <f>'T_SelfStock'!AG30</f>
        <v/>
      </c>
      <c r="AJ1095">
        <f>'T_SelfStock'!AH30</f>
        <v/>
      </c>
      <c r="AK1095">
        <f>'T_SelfStock'!AI30</f>
        <v/>
      </c>
      <c r="AL1095">
        <f>'T_SelfStock'!AJ30</f>
        <v/>
      </c>
      <c r="AM1095">
        <f>'T_SelfStock'!AK30</f>
        <v/>
      </c>
      <c r="AN1095">
        <f>'T_SelfStock'!AL30</f>
        <v/>
      </c>
      <c r="AO1095">
        <f>'T_SelfStock'!AM30</f>
        <v/>
      </c>
      <c r="AP1095">
        <f>'T_SelfStock'!AN30</f>
        <v/>
      </c>
      <c r="AQ1095">
        <f>'T_SelfStock'!AO30</f>
        <v/>
      </c>
      <c r="AR1095">
        <f>'T_SelfStock'!AP30</f>
        <v/>
      </c>
      <c r="AS1095">
        <f>'T_SelfStock'!AQ30</f>
        <v/>
      </c>
      <c r="AT1095">
        <f>'T_SelfStock'!AR30</f>
        <v/>
      </c>
      <c r="AU1095">
        <f>'T_SelfStock'!AS30</f>
        <v/>
      </c>
      <c r="AV1095">
        <f>'T_SelfStock'!AT30</f>
        <v/>
      </c>
      <c r="AW1095">
        <f>'T_SelfStock'!AU30</f>
        <v/>
      </c>
      <c r="AX1095">
        <f>'T_SelfStock'!AV30</f>
        <v/>
      </c>
      <c r="AY1095">
        <f>'T_SelfStock'!AW30</f>
        <v/>
      </c>
      <c r="AZ1095">
        <f>'T_SelfStock'!AX30</f>
        <v/>
      </c>
      <c r="BA1095">
        <f>'T_SelfStock'!AY30</f>
        <v/>
      </c>
      <c r="BB1095">
        <f>'T_SelfStock'!AZ30</f>
        <v/>
      </c>
      <c r="BC1095">
        <f>'T_SelfStock'!BA30</f>
        <v/>
      </c>
      <c r="BD1095">
        <f>'T_SelfStock'!BB30</f>
        <v/>
      </c>
      <c r="BE1095">
        <f>'T_SelfStock'!BC30</f>
        <v/>
      </c>
      <c r="BF1095">
        <f>'T_SelfStock'!BD30</f>
        <v/>
      </c>
      <c r="BG1095">
        <f>'T_SelfStock'!BE30</f>
        <v/>
      </c>
      <c r="BH1095">
        <f>'T_SelfStock'!BF30</f>
        <v/>
      </c>
      <c r="BI1095">
        <f>'T_SelfStock'!BG30</f>
        <v/>
      </c>
      <c r="BJ1095">
        <f>'T_SelfStock'!BH30</f>
        <v/>
      </c>
      <c r="BK1095">
        <f>'T_SelfStock'!BI30</f>
        <v/>
      </c>
      <c r="BL1095">
        <f>'T_SelfStock'!BJ30</f>
        <v/>
      </c>
      <c r="BM1095">
        <f>'T_SelfStock'!BK30</f>
        <v/>
      </c>
      <c r="BN1095">
        <f>'T_SelfStock'!BL30</f>
        <v/>
      </c>
      <c r="BO1095">
        <f>'T_SelfStock'!BM30</f>
        <v/>
      </c>
      <c r="BP1095">
        <f>'T_SelfStock'!BN30</f>
        <v/>
      </c>
      <c r="BQ1095">
        <f>'T_SelfStock'!BO30</f>
        <v/>
      </c>
      <c r="BR1095">
        <f>'T_SelfStock'!BP30</f>
        <v/>
      </c>
      <c r="BS1095">
        <f>'T_SelfStock'!BQ30</f>
        <v/>
      </c>
      <c r="BT1095">
        <f>'T_SelfStock'!BR30</f>
        <v/>
      </c>
      <c r="BU1095">
        <f>'T_SelfStock'!BS30</f>
        <v/>
      </c>
      <c r="BV1095">
        <f>'T_SelfStock'!BT30</f>
        <v/>
      </c>
      <c r="BW1095">
        <f>'T_SelfStock'!BU30</f>
        <v/>
      </c>
      <c r="BX1095">
        <f>'T_SelfStock'!BV30</f>
        <v/>
      </c>
      <c r="BY1095">
        <f>'T_SelfStock'!BW30</f>
        <v/>
      </c>
      <c r="BZ1095">
        <f>'T_SelfStock'!BX30</f>
        <v/>
      </c>
      <c r="CA1095">
        <f>'T_SelfStock'!BY30</f>
        <v/>
      </c>
      <c r="CB1095">
        <f>'T_SelfStock'!BZ30</f>
        <v/>
      </c>
      <c r="CC1095">
        <f>'T_SelfStock'!CA30</f>
        <v/>
      </c>
      <c r="CD1095">
        <f>'T_SelfStock'!CB30</f>
        <v/>
      </c>
      <c r="CE1095">
        <f>'T_SelfStock'!CC30</f>
        <v/>
      </c>
      <c r="CF1095">
        <f>'T_SelfStock'!CD30</f>
        <v/>
      </c>
      <c r="CG1095">
        <f>'T_SelfStock'!CE30</f>
        <v/>
      </c>
      <c r="CH1095">
        <f>'T_SelfStock'!CF30</f>
        <v/>
      </c>
      <c r="CI1095">
        <f>'T_SelfStock'!CG30</f>
        <v/>
      </c>
      <c r="CJ1095">
        <f>'T_SelfStock'!CH30</f>
        <v/>
      </c>
      <c r="CK1095">
        <f>'T_SelfStock'!CI30</f>
        <v/>
      </c>
      <c r="CL1095">
        <f>'T_SelfStock'!CJ30</f>
        <v/>
      </c>
      <c r="CM1095">
        <f>'T_SelfStock'!CK30</f>
        <v/>
      </c>
      <c r="CN1095">
        <f>'T_SelfStock'!CL30</f>
        <v/>
      </c>
      <c r="CO1095">
        <f>'T_SelfStock'!CM30</f>
        <v/>
      </c>
      <c r="CP1095">
        <f>'T_SelfStock'!CN30</f>
        <v/>
      </c>
      <c r="CQ1095">
        <f>'T_SelfStock'!CO30</f>
        <v/>
      </c>
      <c r="CR1095">
        <f>'T_SelfStock'!CP30</f>
        <v/>
      </c>
      <c r="CS1095">
        <f>'T_SelfStock'!CQ30</f>
        <v/>
      </c>
      <c r="CT1095">
        <f>'T_SelfStock'!CR30</f>
        <v/>
      </c>
      <c r="CU1095">
        <f>'T_SelfStock'!CS30</f>
        <v/>
      </c>
      <c r="CV1095">
        <f>'T_SelfStock'!CT30</f>
        <v/>
      </c>
      <c r="CW1095">
        <f>'T_SelfStock'!CU30</f>
        <v/>
      </c>
      <c r="CX1095">
        <f>'T_SelfStock'!CV30</f>
        <v/>
      </c>
      <c r="CY1095">
        <f>'T_SelfStock'!CW30</f>
        <v/>
      </c>
      <c r="CZ1095">
        <f>'T_SelfStock'!CX30</f>
        <v/>
      </c>
      <c r="DA1095">
        <f>'T_SelfStock'!CY30</f>
        <v/>
      </c>
      <c r="DB1095">
        <f>'T_SelfStock'!CZ30</f>
        <v/>
      </c>
      <c r="DC1095">
        <f>'T_SelfStock'!DA30</f>
        <v/>
      </c>
    </row>
    <row r="1096">
      <c r="B1096" s="4" t="inlineStr">
        <is>
          <t>合計在庫(週末時点,kg)</t>
        </is>
      </c>
      <c r="D1096">
        <f>'Grid_Stock'!B26</f>
        <v/>
      </c>
      <c r="E1096">
        <f>'Grid_Stock'!C26</f>
        <v/>
      </c>
      <c r="F1096">
        <f>'Grid_Stock'!D26</f>
        <v/>
      </c>
      <c r="G1096">
        <f>'Grid_Stock'!E26</f>
        <v/>
      </c>
      <c r="H1096">
        <f>'Grid_Stock'!F26</f>
        <v/>
      </c>
      <c r="I1096">
        <f>'Grid_Stock'!G26</f>
        <v/>
      </c>
      <c r="J1096">
        <f>'Grid_Stock'!H26</f>
        <v/>
      </c>
      <c r="K1096">
        <f>'Grid_Stock'!I26</f>
        <v/>
      </c>
      <c r="L1096">
        <f>'Grid_Stock'!J26</f>
        <v/>
      </c>
      <c r="M1096">
        <f>'Grid_Stock'!K26</f>
        <v/>
      </c>
      <c r="N1096">
        <f>'Grid_Stock'!L26</f>
        <v/>
      </c>
      <c r="O1096">
        <f>'Grid_Stock'!M26</f>
        <v/>
      </c>
      <c r="P1096">
        <f>'Grid_Stock'!N26</f>
        <v/>
      </c>
      <c r="Q1096">
        <f>'Grid_Stock'!O26</f>
        <v/>
      </c>
      <c r="R1096">
        <f>'Grid_Stock'!P26</f>
        <v/>
      </c>
      <c r="S1096">
        <f>'Grid_Stock'!Q26</f>
        <v/>
      </c>
      <c r="T1096">
        <f>'Grid_Stock'!R26</f>
        <v/>
      </c>
      <c r="U1096">
        <f>'Grid_Stock'!S26</f>
        <v/>
      </c>
      <c r="V1096">
        <f>'Grid_Stock'!T26</f>
        <v/>
      </c>
      <c r="W1096">
        <f>'Grid_Stock'!U26</f>
        <v/>
      </c>
      <c r="X1096">
        <f>'Grid_Stock'!V26</f>
        <v/>
      </c>
      <c r="Y1096">
        <f>'Grid_Stock'!W26</f>
        <v/>
      </c>
      <c r="Z1096">
        <f>'Grid_Stock'!X26</f>
        <v/>
      </c>
      <c r="AA1096">
        <f>'Grid_Stock'!Y26</f>
        <v/>
      </c>
      <c r="AB1096">
        <f>'Grid_Stock'!Z26</f>
        <v/>
      </c>
      <c r="AC1096">
        <f>'Grid_Stock'!AA26</f>
        <v/>
      </c>
      <c r="AD1096">
        <f>'Grid_Stock'!AB26</f>
        <v/>
      </c>
      <c r="AE1096">
        <f>'Grid_Stock'!AC26</f>
        <v/>
      </c>
      <c r="AF1096">
        <f>'Grid_Stock'!AD26</f>
        <v/>
      </c>
      <c r="AG1096">
        <f>'Grid_Stock'!AE26</f>
        <v/>
      </c>
      <c r="AH1096">
        <f>'Grid_Stock'!AF26</f>
        <v/>
      </c>
      <c r="AI1096">
        <f>'Grid_Stock'!AG26</f>
        <v/>
      </c>
      <c r="AJ1096">
        <f>'Grid_Stock'!AH26</f>
        <v/>
      </c>
      <c r="AK1096">
        <f>'Grid_Stock'!AI26</f>
        <v/>
      </c>
      <c r="AL1096">
        <f>'Grid_Stock'!AJ26</f>
        <v/>
      </c>
      <c r="AM1096">
        <f>'Grid_Stock'!AK26</f>
        <v/>
      </c>
      <c r="AN1096">
        <f>'Grid_Stock'!AL26</f>
        <v/>
      </c>
      <c r="AO1096">
        <f>'Grid_Stock'!AM26</f>
        <v/>
      </c>
      <c r="AP1096">
        <f>'Grid_Stock'!AN26</f>
        <v/>
      </c>
      <c r="AQ1096">
        <f>'Grid_Stock'!AO26</f>
        <v/>
      </c>
      <c r="AR1096">
        <f>'Grid_Stock'!AP26</f>
        <v/>
      </c>
      <c r="AS1096">
        <f>'Grid_Stock'!AQ26</f>
        <v/>
      </c>
      <c r="AT1096">
        <f>'Grid_Stock'!AR26</f>
        <v/>
      </c>
      <c r="AU1096">
        <f>'Grid_Stock'!AS26</f>
        <v/>
      </c>
      <c r="AV1096">
        <f>'Grid_Stock'!AT26</f>
        <v/>
      </c>
      <c r="AW1096">
        <f>'Grid_Stock'!AU26</f>
        <v/>
      </c>
      <c r="AX1096">
        <f>'Grid_Stock'!AV26</f>
        <v/>
      </c>
      <c r="AY1096">
        <f>'Grid_Stock'!AW26</f>
        <v/>
      </c>
      <c r="AZ1096">
        <f>'Grid_Stock'!AX26</f>
        <v/>
      </c>
      <c r="BA1096">
        <f>'Grid_Stock'!AY26</f>
        <v/>
      </c>
      <c r="BB1096">
        <f>'Grid_Stock'!AZ26</f>
        <v/>
      </c>
      <c r="BC1096">
        <f>'Grid_Stock'!BA26</f>
        <v/>
      </c>
      <c r="BD1096">
        <f>'Grid_Stock'!BB26</f>
        <v/>
      </c>
      <c r="BE1096">
        <f>'Grid_Stock'!BC26</f>
        <v/>
      </c>
      <c r="BF1096">
        <f>'Grid_Stock'!BD26</f>
        <v/>
      </c>
      <c r="BG1096">
        <f>'Grid_Stock'!BE26</f>
        <v/>
      </c>
      <c r="BH1096">
        <f>'Grid_Stock'!BF26</f>
        <v/>
      </c>
      <c r="BI1096">
        <f>'Grid_Stock'!BG26</f>
        <v/>
      </c>
      <c r="BJ1096">
        <f>'Grid_Stock'!BH26</f>
        <v/>
      </c>
      <c r="BK1096">
        <f>'Grid_Stock'!BI26</f>
        <v/>
      </c>
      <c r="BL1096">
        <f>'Grid_Stock'!BJ26</f>
        <v/>
      </c>
      <c r="BM1096">
        <f>'Grid_Stock'!BK26</f>
        <v/>
      </c>
      <c r="BN1096">
        <f>'Grid_Stock'!BL26</f>
        <v/>
      </c>
      <c r="BO1096">
        <f>'Grid_Stock'!BM26</f>
        <v/>
      </c>
      <c r="BP1096">
        <f>'Grid_Stock'!BN26</f>
        <v/>
      </c>
      <c r="BQ1096">
        <f>'Grid_Stock'!BO26</f>
        <v/>
      </c>
      <c r="BR1096">
        <f>'Grid_Stock'!BP26</f>
        <v/>
      </c>
      <c r="BS1096">
        <f>'Grid_Stock'!BQ26</f>
        <v/>
      </c>
      <c r="BT1096">
        <f>'Grid_Stock'!BR26</f>
        <v/>
      </c>
      <c r="BU1096">
        <f>'Grid_Stock'!BS26</f>
        <v/>
      </c>
      <c r="BV1096">
        <f>'Grid_Stock'!BT26</f>
        <v/>
      </c>
      <c r="BW1096">
        <f>'Grid_Stock'!BU26</f>
        <v/>
      </c>
      <c r="BX1096">
        <f>'Grid_Stock'!BV26</f>
        <v/>
      </c>
      <c r="BY1096">
        <f>'Grid_Stock'!BW26</f>
        <v/>
      </c>
      <c r="BZ1096">
        <f>'Grid_Stock'!BX26</f>
        <v/>
      </c>
      <c r="CA1096">
        <f>'Grid_Stock'!BY26</f>
        <v/>
      </c>
      <c r="CB1096">
        <f>'Grid_Stock'!BZ26</f>
        <v/>
      </c>
      <c r="CC1096">
        <f>'Grid_Stock'!CA26</f>
        <v/>
      </c>
      <c r="CD1096">
        <f>'Grid_Stock'!CB26</f>
        <v/>
      </c>
      <c r="CE1096">
        <f>'Grid_Stock'!CC26</f>
        <v/>
      </c>
      <c r="CF1096">
        <f>'Grid_Stock'!CD26</f>
        <v/>
      </c>
      <c r="CG1096">
        <f>'Grid_Stock'!CE26</f>
        <v/>
      </c>
      <c r="CH1096">
        <f>'Grid_Stock'!CF26</f>
        <v/>
      </c>
      <c r="CI1096">
        <f>'Grid_Stock'!CG26</f>
        <v/>
      </c>
      <c r="CJ1096">
        <f>'Grid_Stock'!CH26</f>
        <v/>
      </c>
      <c r="CK1096">
        <f>'Grid_Stock'!CI26</f>
        <v/>
      </c>
      <c r="CL1096">
        <f>'Grid_Stock'!CJ26</f>
        <v/>
      </c>
      <c r="CM1096">
        <f>'Grid_Stock'!CK26</f>
        <v/>
      </c>
      <c r="CN1096">
        <f>'Grid_Stock'!CL26</f>
        <v/>
      </c>
      <c r="CO1096">
        <f>'Grid_Stock'!CM26</f>
        <v/>
      </c>
      <c r="CP1096">
        <f>'Grid_Stock'!CN26</f>
        <v/>
      </c>
      <c r="CQ1096">
        <f>'Grid_Stock'!CO26</f>
        <v/>
      </c>
      <c r="CR1096">
        <f>'Grid_Stock'!CP26</f>
        <v/>
      </c>
      <c r="CS1096">
        <f>'Grid_Stock'!CQ26</f>
        <v/>
      </c>
      <c r="CT1096">
        <f>'Grid_Stock'!CR26</f>
        <v/>
      </c>
      <c r="CU1096">
        <f>'Grid_Stock'!CS26</f>
        <v/>
      </c>
      <c r="CV1096">
        <f>'Grid_Stock'!CT26</f>
        <v/>
      </c>
      <c r="CW1096">
        <f>'Grid_Stock'!CU26</f>
        <v/>
      </c>
      <c r="CX1096">
        <f>'Grid_Stock'!CV26</f>
        <v/>
      </c>
      <c r="CY1096">
        <f>'Grid_Stock'!CW26</f>
        <v/>
      </c>
      <c r="CZ1096">
        <f>'Grid_Stock'!CX26</f>
        <v/>
      </c>
      <c r="DA1096">
        <f>'Grid_Stock'!CY26</f>
        <v/>
      </c>
      <c r="DB1096">
        <f>'Grid_Stock'!CZ26</f>
        <v/>
      </c>
      <c r="DC1096">
        <f>'Grid_Stock'!DA26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CHEM-1570</t>
        </is>
      </c>
      <c r="B1099" s="14" t="inlineStr">
        <is>
          <t>NOPAGOAL A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TSP-1388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TSP-1444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TSP-1445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TSP-1446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Name],$A1099)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TSP-1448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Name],$A1099)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TSP-1449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Name],$A1099)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TSP-1499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Name],$A1099)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TSP-1558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Name],$A1099)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TSP-655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Name],$A1099)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TSP-656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Name],$A1099)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TSP-903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Name],$A1099)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TSP-935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Name],$A1099)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TSP-937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Name],$A1099)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TSP-959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Name],$A1099)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TSP-966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Name],$A1099)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TSZ-616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Name],$A1099)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TVS-267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Name],$A1099)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TVS-833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Name],$A1099)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s="4" t="inlineStr">
        <is>
          <t>合計使用量(kg)/週</t>
        </is>
      </c>
      <c r="D1136">
        <f>'Grid_Requirement'!B16</f>
        <v/>
      </c>
      <c r="E1136">
        <f>'Grid_Requirement'!C16</f>
        <v/>
      </c>
      <c r="F1136">
        <f>'Grid_Requirement'!D16</f>
        <v/>
      </c>
      <c r="G1136">
        <f>'Grid_Requirement'!E16</f>
        <v/>
      </c>
      <c r="H1136">
        <f>'Grid_Requirement'!F16</f>
        <v/>
      </c>
      <c r="I1136">
        <f>'Grid_Requirement'!G16</f>
        <v/>
      </c>
      <c r="J1136">
        <f>'Grid_Requirement'!H16</f>
        <v/>
      </c>
      <c r="K1136">
        <f>'Grid_Requirement'!I16</f>
        <v/>
      </c>
      <c r="L1136">
        <f>'Grid_Requirement'!J16</f>
        <v/>
      </c>
      <c r="M1136">
        <f>'Grid_Requirement'!K16</f>
        <v/>
      </c>
      <c r="N1136">
        <f>'Grid_Requirement'!L16</f>
        <v/>
      </c>
      <c r="O1136">
        <f>'Grid_Requirement'!M16</f>
        <v/>
      </c>
      <c r="P1136">
        <f>'Grid_Requirement'!N16</f>
        <v/>
      </c>
      <c r="Q1136">
        <f>'Grid_Requirement'!O16</f>
        <v/>
      </c>
      <c r="R1136">
        <f>'Grid_Requirement'!P16</f>
        <v/>
      </c>
      <c r="S1136">
        <f>'Grid_Requirement'!Q16</f>
        <v/>
      </c>
      <c r="T1136">
        <f>'Grid_Requirement'!R16</f>
        <v/>
      </c>
      <c r="U1136">
        <f>'Grid_Requirement'!S16</f>
        <v/>
      </c>
      <c r="V1136">
        <f>'Grid_Requirement'!T16</f>
        <v/>
      </c>
      <c r="W1136">
        <f>'Grid_Requirement'!U16</f>
        <v/>
      </c>
      <c r="X1136">
        <f>'Grid_Requirement'!V16</f>
        <v/>
      </c>
      <c r="Y1136">
        <f>'Grid_Requirement'!W16</f>
        <v/>
      </c>
      <c r="Z1136">
        <f>'Grid_Requirement'!X16</f>
        <v/>
      </c>
      <c r="AA1136">
        <f>'Grid_Requirement'!Y16</f>
        <v/>
      </c>
      <c r="AB1136">
        <f>'Grid_Requirement'!Z16</f>
        <v/>
      </c>
      <c r="AC1136">
        <f>'Grid_Requirement'!AA16</f>
        <v/>
      </c>
      <c r="AD1136">
        <f>'Grid_Requirement'!AB16</f>
        <v/>
      </c>
      <c r="AE1136">
        <f>'Grid_Requirement'!AC16</f>
        <v/>
      </c>
      <c r="AF1136">
        <f>'Grid_Requirement'!AD16</f>
        <v/>
      </c>
      <c r="AG1136">
        <f>'Grid_Requirement'!AE16</f>
        <v/>
      </c>
      <c r="AH1136">
        <f>'Grid_Requirement'!AF16</f>
        <v/>
      </c>
      <c r="AI1136">
        <f>'Grid_Requirement'!AG16</f>
        <v/>
      </c>
      <c r="AJ1136">
        <f>'Grid_Requirement'!AH16</f>
        <v/>
      </c>
      <c r="AK1136">
        <f>'Grid_Requirement'!AI16</f>
        <v/>
      </c>
      <c r="AL1136">
        <f>'Grid_Requirement'!AJ16</f>
        <v/>
      </c>
      <c r="AM1136">
        <f>'Grid_Requirement'!AK16</f>
        <v/>
      </c>
      <c r="AN1136">
        <f>'Grid_Requirement'!AL16</f>
        <v/>
      </c>
      <c r="AO1136">
        <f>'Grid_Requirement'!AM16</f>
        <v/>
      </c>
      <c r="AP1136">
        <f>'Grid_Requirement'!AN16</f>
        <v/>
      </c>
      <c r="AQ1136">
        <f>'Grid_Requirement'!AO16</f>
        <v/>
      </c>
      <c r="AR1136">
        <f>'Grid_Requirement'!AP16</f>
        <v/>
      </c>
      <c r="AS1136">
        <f>'Grid_Requirement'!AQ16</f>
        <v/>
      </c>
      <c r="AT1136">
        <f>'Grid_Requirement'!AR16</f>
        <v/>
      </c>
      <c r="AU1136">
        <f>'Grid_Requirement'!AS16</f>
        <v/>
      </c>
      <c r="AV1136">
        <f>'Grid_Requirement'!AT16</f>
        <v/>
      </c>
      <c r="AW1136">
        <f>'Grid_Requirement'!AU16</f>
        <v/>
      </c>
      <c r="AX1136">
        <f>'Grid_Requirement'!AV16</f>
        <v/>
      </c>
      <c r="AY1136">
        <f>'Grid_Requirement'!AW16</f>
        <v/>
      </c>
      <c r="AZ1136">
        <f>'Grid_Requirement'!AX16</f>
        <v/>
      </c>
      <c r="BA1136">
        <f>'Grid_Requirement'!AY16</f>
        <v/>
      </c>
      <c r="BB1136">
        <f>'Grid_Requirement'!AZ16</f>
        <v/>
      </c>
      <c r="BC1136">
        <f>'Grid_Requirement'!BA16</f>
        <v/>
      </c>
      <c r="BD1136">
        <f>'Grid_Requirement'!BB16</f>
        <v/>
      </c>
      <c r="BE1136">
        <f>'Grid_Requirement'!BC16</f>
        <v/>
      </c>
      <c r="BF1136">
        <f>'Grid_Requirement'!BD16</f>
        <v/>
      </c>
      <c r="BG1136">
        <f>'Grid_Requirement'!BE16</f>
        <v/>
      </c>
      <c r="BH1136">
        <f>'Grid_Requirement'!BF16</f>
        <v/>
      </c>
      <c r="BI1136">
        <f>'Grid_Requirement'!BG16</f>
        <v/>
      </c>
      <c r="BJ1136">
        <f>'Grid_Requirement'!BH16</f>
        <v/>
      </c>
      <c r="BK1136">
        <f>'Grid_Requirement'!BI16</f>
        <v/>
      </c>
      <c r="BL1136">
        <f>'Grid_Requirement'!BJ16</f>
        <v/>
      </c>
      <c r="BM1136">
        <f>'Grid_Requirement'!BK16</f>
        <v/>
      </c>
      <c r="BN1136">
        <f>'Grid_Requirement'!BL16</f>
        <v/>
      </c>
      <c r="BO1136">
        <f>'Grid_Requirement'!BM16</f>
        <v/>
      </c>
      <c r="BP1136">
        <f>'Grid_Requirement'!BN16</f>
        <v/>
      </c>
      <c r="BQ1136">
        <f>'Grid_Requirement'!BO16</f>
        <v/>
      </c>
      <c r="BR1136">
        <f>'Grid_Requirement'!BP16</f>
        <v/>
      </c>
      <c r="BS1136">
        <f>'Grid_Requirement'!BQ16</f>
        <v/>
      </c>
      <c r="BT1136">
        <f>'Grid_Requirement'!BR16</f>
        <v/>
      </c>
      <c r="BU1136">
        <f>'Grid_Requirement'!BS16</f>
        <v/>
      </c>
      <c r="BV1136">
        <f>'Grid_Requirement'!BT16</f>
        <v/>
      </c>
      <c r="BW1136">
        <f>'Grid_Requirement'!BU16</f>
        <v/>
      </c>
      <c r="BX1136">
        <f>'Grid_Requirement'!BV16</f>
        <v/>
      </c>
      <c r="BY1136">
        <f>'Grid_Requirement'!BW16</f>
        <v/>
      </c>
      <c r="BZ1136">
        <f>'Grid_Requirement'!BX16</f>
        <v/>
      </c>
      <c r="CA1136">
        <f>'Grid_Requirement'!BY16</f>
        <v/>
      </c>
      <c r="CB1136">
        <f>'Grid_Requirement'!BZ16</f>
        <v/>
      </c>
      <c r="CC1136">
        <f>'Grid_Requirement'!CA16</f>
        <v/>
      </c>
      <c r="CD1136">
        <f>'Grid_Requirement'!CB16</f>
        <v/>
      </c>
      <c r="CE1136">
        <f>'Grid_Requirement'!CC16</f>
        <v/>
      </c>
      <c r="CF1136">
        <f>'Grid_Requirement'!CD16</f>
        <v/>
      </c>
      <c r="CG1136">
        <f>'Grid_Requirement'!CE16</f>
        <v/>
      </c>
      <c r="CH1136">
        <f>'Grid_Requirement'!CF16</f>
        <v/>
      </c>
      <c r="CI1136">
        <f>'Grid_Requirement'!CG16</f>
        <v/>
      </c>
      <c r="CJ1136">
        <f>'Grid_Requirement'!CH16</f>
        <v/>
      </c>
      <c r="CK1136">
        <f>'Grid_Requirement'!CI16</f>
        <v/>
      </c>
      <c r="CL1136">
        <f>'Grid_Requirement'!CJ16</f>
        <v/>
      </c>
      <c r="CM1136">
        <f>'Grid_Requirement'!CK16</f>
        <v/>
      </c>
      <c r="CN1136">
        <f>'Grid_Requirement'!CL16</f>
        <v/>
      </c>
      <c r="CO1136">
        <f>'Grid_Requirement'!CM16</f>
        <v/>
      </c>
      <c r="CP1136">
        <f>'Grid_Requirement'!CN16</f>
        <v/>
      </c>
      <c r="CQ1136">
        <f>'Grid_Requirement'!CO16</f>
        <v/>
      </c>
      <c r="CR1136">
        <f>'Grid_Requirement'!CP16</f>
        <v/>
      </c>
      <c r="CS1136">
        <f>'Grid_Requirement'!CQ16</f>
        <v/>
      </c>
      <c r="CT1136">
        <f>'Grid_Requirement'!CR16</f>
        <v/>
      </c>
      <c r="CU1136">
        <f>'Grid_Requirement'!CS16</f>
        <v/>
      </c>
      <c r="CV1136">
        <f>'Grid_Requirement'!CT16</f>
        <v/>
      </c>
      <c r="CW1136">
        <f>'Grid_Requirement'!CU16</f>
        <v/>
      </c>
      <c r="CX1136">
        <f>'Grid_Requirement'!CV16</f>
        <v/>
      </c>
      <c r="CY1136">
        <f>'Grid_Requirement'!CW16</f>
        <v/>
      </c>
      <c r="CZ1136">
        <f>'Grid_Requirement'!CX16</f>
        <v/>
      </c>
      <c r="DA1136">
        <f>'Grid_Requirement'!CY16</f>
        <v/>
      </c>
      <c r="DB1136">
        <f>'Grid_Requirement'!CZ16</f>
        <v/>
      </c>
      <c r="DC1136">
        <f>'Grid_Requirement'!DA16</f>
        <v/>
      </c>
    </row>
    <row r="1137">
      <c r="B1137" t="inlineStr">
        <is>
          <t>TTAF在庫(実績,kg)</t>
        </is>
      </c>
      <c r="D1137">
        <f>'T_TTAFStock'!B20</f>
        <v/>
      </c>
      <c r="E1137">
        <f>'T_TTAFStock'!C20</f>
        <v/>
      </c>
      <c r="F1137">
        <f>'T_TTAFStock'!D20</f>
        <v/>
      </c>
      <c r="G1137">
        <f>'T_TTAFStock'!E20</f>
        <v/>
      </c>
      <c r="H1137">
        <f>'T_TTAFStock'!F20</f>
        <v/>
      </c>
      <c r="I1137">
        <f>'T_TTAFStock'!G20</f>
        <v/>
      </c>
      <c r="J1137">
        <f>'T_TTAFStock'!H20</f>
        <v/>
      </c>
      <c r="K1137">
        <f>'T_TTAFStock'!I20</f>
        <v/>
      </c>
      <c r="L1137">
        <f>'T_TTAFStock'!J20</f>
        <v/>
      </c>
      <c r="M1137">
        <f>'T_TTAFStock'!K20</f>
        <v/>
      </c>
      <c r="N1137">
        <f>'T_TTAFStock'!L20</f>
        <v/>
      </c>
      <c r="O1137">
        <f>'T_TTAFStock'!M20</f>
        <v/>
      </c>
      <c r="P1137">
        <f>'T_TTAFStock'!N20</f>
        <v/>
      </c>
      <c r="Q1137">
        <f>'T_TTAFStock'!O20</f>
        <v/>
      </c>
      <c r="R1137">
        <f>'T_TTAFStock'!P20</f>
        <v/>
      </c>
      <c r="S1137">
        <f>'T_TTAFStock'!Q20</f>
        <v/>
      </c>
      <c r="T1137">
        <f>'T_TTAFStock'!R20</f>
        <v/>
      </c>
      <c r="U1137">
        <f>'T_TTAFStock'!S20</f>
        <v/>
      </c>
      <c r="V1137">
        <f>'T_TTAFStock'!T20</f>
        <v/>
      </c>
      <c r="W1137">
        <f>'T_TTAFStock'!U20</f>
        <v/>
      </c>
      <c r="X1137">
        <f>'T_TTAFStock'!V20</f>
        <v/>
      </c>
      <c r="Y1137">
        <f>'T_TTAFStock'!W20</f>
        <v/>
      </c>
      <c r="Z1137">
        <f>'T_TTAFStock'!X20</f>
        <v/>
      </c>
      <c r="AA1137">
        <f>'T_TTAFStock'!Y20</f>
        <v/>
      </c>
      <c r="AB1137">
        <f>'T_TTAFStock'!Z20</f>
        <v/>
      </c>
      <c r="AC1137">
        <f>'T_TTAFStock'!AA20</f>
        <v/>
      </c>
      <c r="AD1137">
        <f>'T_TTAFStock'!AB20</f>
        <v/>
      </c>
      <c r="AE1137">
        <f>'T_TTAFStock'!AC20</f>
        <v/>
      </c>
      <c r="AF1137">
        <f>'T_TTAFStock'!AD20</f>
        <v/>
      </c>
      <c r="AG1137">
        <f>'T_TTAFStock'!AE20</f>
        <v/>
      </c>
      <c r="AH1137">
        <f>'T_TTAFStock'!AF20</f>
        <v/>
      </c>
      <c r="AI1137">
        <f>'T_TTAFStock'!AG20</f>
        <v/>
      </c>
      <c r="AJ1137">
        <f>'T_TTAFStock'!AH20</f>
        <v/>
      </c>
      <c r="AK1137">
        <f>'T_TTAFStock'!AI20</f>
        <v/>
      </c>
      <c r="AL1137">
        <f>'T_TTAFStock'!AJ20</f>
        <v/>
      </c>
      <c r="AM1137">
        <f>'T_TTAFStock'!AK20</f>
        <v/>
      </c>
      <c r="AN1137">
        <f>'T_TTAFStock'!AL20</f>
        <v/>
      </c>
      <c r="AO1137">
        <f>'T_TTAFStock'!AM20</f>
        <v/>
      </c>
      <c r="AP1137">
        <f>'T_TTAFStock'!AN20</f>
        <v/>
      </c>
      <c r="AQ1137">
        <f>'T_TTAFStock'!AO20</f>
        <v/>
      </c>
      <c r="AR1137">
        <f>'T_TTAFStock'!AP20</f>
        <v/>
      </c>
      <c r="AS1137">
        <f>'T_TTAFStock'!AQ20</f>
        <v/>
      </c>
      <c r="AT1137">
        <f>'T_TTAFStock'!AR20</f>
        <v/>
      </c>
      <c r="AU1137">
        <f>'T_TTAFStock'!AS20</f>
        <v/>
      </c>
      <c r="AV1137">
        <f>'T_TTAFStock'!AT20</f>
        <v/>
      </c>
      <c r="AW1137">
        <f>'T_TTAFStock'!AU20</f>
        <v/>
      </c>
      <c r="AX1137">
        <f>'T_TTAFStock'!AV20</f>
        <v/>
      </c>
      <c r="AY1137">
        <f>'T_TTAFStock'!AW20</f>
        <v/>
      </c>
      <c r="AZ1137">
        <f>'T_TTAFStock'!AX20</f>
        <v/>
      </c>
      <c r="BA1137">
        <f>'T_TTAFStock'!AY20</f>
        <v/>
      </c>
      <c r="BB1137">
        <f>'T_TTAFStock'!AZ20</f>
        <v/>
      </c>
      <c r="BC1137">
        <f>'T_TTAFStock'!BA20</f>
        <v/>
      </c>
      <c r="BD1137">
        <f>'T_TTAFStock'!BB20</f>
        <v/>
      </c>
      <c r="BE1137">
        <f>'T_TTAFStock'!BC20</f>
        <v/>
      </c>
      <c r="BF1137">
        <f>'T_TTAFStock'!BD20</f>
        <v/>
      </c>
      <c r="BG1137">
        <f>'T_TTAFStock'!BE20</f>
        <v/>
      </c>
      <c r="BH1137">
        <f>'T_TTAFStock'!BF20</f>
        <v/>
      </c>
      <c r="BI1137">
        <f>'T_TTAFStock'!BG20</f>
        <v/>
      </c>
      <c r="BJ1137">
        <f>'T_TTAFStock'!BH20</f>
        <v/>
      </c>
      <c r="BK1137">
        <f>'T_TTAFStock'!BI20</f>
        <v/>
      </c>
      <c r="BL1137">
        <f>'T_TTAFStock'!BJ20</f>
        <v/>
      </c>
      <c r="BM1137">
        <f>'T_TTAFStock'!BK20</f>
        <v/>
      </c>
      <c r="BN1137">
        <f>'T_TTAFStock'!BL20</f>
        <v/>
      </c>
      <c r="BO1137">
        <f>'T_TTAFStock'!BM20</f>
        <v/>
      </c>
      <c r="BP1137">
        <f>'T_TTAFStock'!BN20</f>
        <v/>
      </c>
      <c r="BQ1137">
        <f>'T_TTAFStock'!BO20</f>
        <v/>
      </c>
      <c r="BR1137">
        <f>'T_TTAFStock'!BP20</f>
        <v/>
      </c>
      <c r="BS1137">
        <f>'T_TTAFStock'!BQ20</f>
        <v/>
      </c>
      <c r="BT1137">
        <f>'T_TTAFStock'!BR20</f>
        <v/>
      </c>
      <c r="BU1137">
        <f>'T_TTAFStock'!BS20</f>
        <v/>
      </c>
      <c r="BV1137">
        <f>'T_TTAFStock'!BT20</f>
        <v/>
      </c>
      <c r="BW1137">
        <f>'T_TTAFStock'!BU20</f>
        <v/>
      </c>
      <c r="BX1137">
        <f>'T_TTAFStock'!BV20</f>
        <v/>
      </c>
      <c r="BY1137">
        <f>'T_TTAFStock'!BW20</f>
        <v/>
      </c>
      <c r="BZ1137">
        <f>'T_TTAFStock'!BX20</f>
        <v/>
      </c>
      <c r="CA1137">
        <f>'T_TTAFStock'!BY20</f>
        <v/>
      </c>
      <c r="CB1137">
        <f>'T_TTAFStock'!BZ20</f>
        <v/>
      </c>
      <c r="CC1137">
        <f>'T_TTAFStock'!CA20</f>
        <v/>
      </c>
      <c r="CD1137">
        <f>'T_TTAFStock'!CB20</f>
        <v/>
      </c>
      <c r="CE1137">
        <f>'T_TTAFStock'!CC20</f>
        <v/>
      </c>
      <c r="CF1137">
        <f>'T_TTAFStock'!CD20</f>
        <v/>
      </c>
      <c r="CG1137">
        <f>'T_TTAFStock'!CE20</f>
        <v/>
      </c>
      <c r="CH1137">
        <f>'T_TTAFStock'!CF20</f>
        <v/>
      </c>
      <c r="CI1137">
        <f>'T_TTAFStock'!CG20</f>
        <v/>
      </c>
      <c r="CJ1137">
        <f>'T_TTAFStock'!CH20</f>
        <v/>
      </c>
      <c r="CK1137">
        <f>'T_TTAFStock'!CI20</f>
        <v/>
      </c>
      <c r="CL1137">
        <f>'T_TTAFStock'!CJ20</f>
        <v/>
      </c>
      <c r="CM1137">
        <f>'T_TTAFStock'!CK20</f>
        <v/>
      </c>
      <c r="CN1137">
        <f>'T_TTAFStock'!CL20</f>
        <v/>
      </c>
      <c r="CO1137">
        <f>'T_TTAFStock'!CM20</f>
        <v/>
      </c>
      <c r="CP1137">
        <f>'T_TTAFStock'!CN20</f>
        <v/>
      </c>
      <c r="CQ1137">
        <f>'T_TTAFStock'!CO20</f>
        <v/>
      </c>
      <c r="CR1137">
        <f>'T_TTAFStock'!CP20</f>
        <v/>
      </c>
      <c r="CS1137">
        <f>'T_TTAFStock'!CQ20</f>
        <v/>
      </c>
      <c r="CT1137">
        <f>'T_TTAFStock'!CR20</f>
        <v/>
      </c>
      <c r="CU1137">
        <f>'T_TTAFStock'!CS20</f>
        <v/>
      </c>
      <c r="CV1137">
        <f>'T_TTAFStock'!CT20</f>
        <v/>
      </c>
      <c r="CW1137">
        <f>'T_TTAFStock'!CU20</f>
        <v/>
      </c>
      <c r="CX1137">
        <f>'T_TTAFStock'!CV20</f>
        <v/>
      </c>
      <c r="CY1137">
        <f>'T_TTAFStock'!CW20</f>
        <v/>
      </c>
      <c r="CZ1137">
        <f>'T_TTAFStock'!CX20</f>
        <v/>
      </c>
      <c r="DA1137">
        <f>'T_TTAFStock'!CY20</f>
        <v/>
      </c>
      <c r="DB1137">
        <f>'T_TTAFStock'!CZ20</f>
        <v/>
      </c>
      <c r="DC1137">
        <f>'T_TTAFStock'!DA20</f>
        <v/>
      </c>
    </row>
    <row r="1138">
      <c r="B1138" t="inlineStr">
        <is>
          <t>自社在庫(実績,kg)</t>
        </is>
      </c>
      <c r="D1138">
        <f>'T_SelfStock'!B20</f>
        <v/>
      </c>
      <c r="E1138">
        <f>'T_SelfStock'!C20</f>
        <v/>
      </c>
      <c r="F1138">
        <f>'T_SelfStock'!D20</f>
        <v/>
      </c>
      <c r="G1138">
        <f>'T_SelfStock'!E20</f>
        <v/>
      </c>
      <c r="H1138">
        <f>'T_SelfStock'!F20</f>
        <v/>
      </c>
      <c r="I1138">
        <f>'T_SelfStock'!G20</f>
        <v/>
      </c>
      <c r="J1138">
        <f>'T_SelfStock'!H20</f>
        <v/>
      </c>
      <c r="K1138">
        <f>'T_SelfStock'!I20</f>
        <v/>
      </c>
      <c r="L1138">
        <f>'T_SelfStock'!J20</f>
        <v/>
      </c>
      <c r="M1138">
        <f>'T_SelfStock'!K20</f>
        <v/>
      </c>
      <c r="N1138">
        <f>'T_SelfStock'!L20</f>
        <v/>
      </c>
      <c r="O1138">
        <f>'T_SelfStock'!M20</f>
        <v/>
      </c>
      <c r="P1138">
        <f>'T_SelfStock'!N20</f>
        <v/>
      </c>
      <c r="Q1138">
        <f>'T_SelfStock'!O20</f>
        <v/>
      </c>
      <c r="R1138">
        <f>'T_SelfStock'!P20</f>
        <v/>
      </c>
      <c r="S1138">
        <f>'T_SelfStock'!Q20</f>
        <v/>
      </c>
      <c r="T1138">
        <f>'T_SelfStock'!R20</f>
        <v/>
      </c>
      <c r="U1138">
        <f>'T_SelfStock'!S20</f>
        <v/>
      </c>
      <c r="V1138">
        <f>'T_SelfStock'!T20</f>
        <v/>
      </c>
      <c r="W1138">
        <f>'T_SelfStock'!U20</f>
        <v/>
      </c>
      <c r="X1138">
        <f>'T_SelfStock'!V20</f>
        <v/>
      </c>
      <c r="Y1138">
        <f>'T_SelfStock'!W20</f>
        <v/>
      </c>
      <c r="Z1138">
        <f>'T_SelfStock'!X20</f>
        <v/>
      </c>
      <c r="AA1138">
        <f>'T_SelfStock'!Y20</f>
        <v/>
      </c>
      <c r="AB1138">
        <f>'T_SelfStock'!Z20</f>
        <v/>
      </c>
      <c r="AC1138">
        <f>'T_SelfStock'!AA20</f>
        <v/>
      </c>
      <c r="AD1138">
        <f>'T_SelfStock'!AB20</f>
        <v/>
      </c>
      <c r="AE1138">
        <f>'T_SelfStock'!AC20</f>
        <v/>
      </c>
      <c r="AF1138">
        <f>'T_SelfStock'!AD20</f>
        <v/>
      </c>
      <c r="AG1138">
        <f>'T_SelfStock'!AE20</f>
        <v/>
      </c>
      <c r="AH1138">
        <f>'T_SelfStock'!AF20</f>
        <v/>
      </c>
      <c r="AI1138">
        <f>'T_SelfStock'!AG20</f>
        <v/>
      </c>
      <c r="AJ1138">
        <f>'T_SelfStock'!AH20</f>
        <v/>
      </c>
      <c r="AK1138">
        <f>'T_SelfStock'!AI20</f>
        <v/>
      </c>
      <c r="AL1138">
        <f>'T_SelfStock'!AJ20</f>
        <v/>
      </c>
      <c r="AM1138">
        <f>'T_SelfStock'!AK20</f>
        <v/>
      </c>
      <c r="AN1138">
        <f>'T_SelfStock'!AL20</f>
        <v/>
      </c>
      <c r="AO1138">
        <f>'T_SelfStock'!AM20</f>
        <v/>
      </c>
      <c r="AP1138">
        <f>'T_SelfStock'!AN20</f>
        <v/>
      </c>
      <c r="AQ1138">
        <f>'T_SelfStock'!AO20</f>
        <v/>
      </c>
      <c r="AR1138">
        <f>'T_SelfStock'!AP20</f>
        <v/>
      </c>
      <c r="AS1138">
        <f>'T_SelfStock'!AQ20</f>
        <v/>
      </c>
      <c r="AT1138">
        <f>'T_SelfStock'!AR20</f>
        <v/>
      </c>
      <c r="AU1138">
        <f>'T_SelfStock'!AS20</f>
        <v/>
      </c>
      <c r="AV1138">
        <f>'T_SelfStock'!AT20</f>
        <v/>
      </c>
      <c r="AW1138">
        <f>'T_SelfStock'!AU20</f>
        <v/>
      </c>
      <c r="AX1138">
        <f>'T_SelfStock'!AV20</f>
        <v/>
      </c>
      <c r="AY1138">
        <f>'T_SelfStock'!AW20</f>
        <v/>
      </c>
      <c r="AZ1138">
        <f>'T_SelfStock'!AX20</f>
        <v/>
      </c>
      <c r="BA1138">
        <f>'T_SelfStock'!AY20</f>
        <v/>
      </c>
      <c r="BB1138">
        <f>'T_SelfStock'!AZ20</f>
        <v/>
      </c>
      <c r="BC1138">
        <f>'T_SelfStock'!BA20</f>
        <v/>
      </c>
      <c r="BD1138">
        <f>'T_SelfStock'!BB20</f>
        <v/>
      </c>
      <c r="BE1138">
        <f>'T_SelfStock'!BC20</f>
        <v/>
      </c>
      <c r="BF1138">
        <f>'T_SelfStock'!BD20</f>
        <v/>
      </c>
      <c r="BG1138">
        <f>'T_SelfStock'!BE20</f>
        <v/>
      </c>
      <c r="BH1138">
        <f>'T_SelfStock'!BF20</f>
        <v/>
      </c>
      <c r="BI1138">
        <f>'T_SelfStock'!BG20</f>
        <v/>
      </c>
      <c r="BJ1138">
        <f>'T_SelfStock'!BH20</f>
        <v/>
      </c>
      <c r="BK1138">
        <f>'T_SelfStock'!BI20</f>
        <v/>
      </c>
      <c r="BL1138">
        <f>'T_SelfStock'!BJ20</f>
        <v/>
      </c>
      <c r="BM1138">
        <f>'T_SelfStock'!BK20</f>
        <v/>
      </c>
      <c r="BN1138">
        <f>'T_SelfStock'!BL20</f>
        <v/>
      </c>
      <c r="BO1138">
        <f>'T_SelfStock'!BM20</f>
        <v/>
      </c>
      <c r="BP1138">
        <f>'T_SelfStock'!BN20</f>
        <v/>
      </c>
      <c r="BQ1138">
        <f>'T_SelfStock'!BO20</f>
        <v/>
      </c>
      <c r="BR1138">
        <f>'T_SelfStock'!BP20</f>
        <v/>
      </c>
      <c r="BS1138">
        <f>'T_SelfStock'!BQ20</f>
        <v/>
      </c>
      <c r="BT1138">
        <f>'T_SelfStock'!BR20</f>
        <v/>
      </c>
      <c r="BU1138">
        <f>'T_SelfStock'!BS20</f>
        <v/>
      </c>
      <c r="BV1138">
        <f>'T_SelfStock'!BT20</f>
        <v/>
      </c>
      <c r="BW1138">
        <f>'T_SelfStock'!BU20</f>
        <v/>
      </c>
      <c r="BX1138">
        <f>'T_SelfStock'!BV20</f>
        <v/>
      </c>
      <c r="BY1138">
        <f>'T_SelfStock'!BW20</f>
        <v/>
      </c>
      <c r="BZ1138">
        <f>'T_SelfStock'!BX20</f>
        <v/>
      </c>
      <c r="CA1138">
        <f>'T_SelfStock'!BY20</f>
        <v/>
      </c>
      <c r="CB1138">
        <f>'T_SelfStock'!BZ20</f>
        <v/>
      </c>
      <c r="CC1138">
        <f>'T_SelfStock'!CA20</f>
        <v/>
      </c>
      <c r="CD1138">
        <f>'T_SelfStock'!CB20</f>
        <v/>
      </c>
      <c r="CE1138">
        <f>'T_SelfStock'!CC20</f>
        <v/>
      </c>
      <c r="CF1138">
        <f>'T_SelfStock'!CD20</f>
        <v/>
      </c>
      <c r="CG1138">
        <f>'T_SelfStock'!CE20</f>
        <v/>
      </c>
      <c r="CH1138">
        <f>'T_SelfStock'!CF20</f>
        <v/>
      </c>
      <c r="CI1138">
        <f>'T_SelfStock'!CG20</f>
        <v/>
      </c>
      <c r="CJ1138">
        <f>'T_SelfStock'!CH20</f>
        <v/>
      </c>
      <c r="CK1138">
        <f>'T_SelfStock'!CI20</f>
        <v/>
      </c>
      <c r="CL1138">
        <f>'T_SelfStock'!CJ20</f>
        <v/>
      </c>
      <c r="CM1138">
        <f>'T_SelfStock'!CK20</f>
        <v/>
      </c>
      <c r="CN1138">
        <f>'T_SelfStock'!CL20</f>
        <v/>
      </c>
      <c r="CO1138">
        <f>'T_SelfStock'!CM20</f>
        <v/>
      </c>
      <c r="CP1138">
        <f>'T_SelfStock'!CN20</f>
        <v/>
      </c>
      <c r="CQ1138">
        <f>'T_SelfStock'!CO20</f>
        <v/>
      </c>
      <c r="CR1138">
        <f>'T_SelfStock'!CP20</f>
        <v/>
      </c>
      <c r="CS1138">
        <f>'T_SelfStock'!CQ20</f>
        <v/>
      </c>
      <c r="CT1138">
        <f>'T_SelfStock'!CR20</f>
        <v/>
      </c>
      <c r="CU1138">
        <f>'T_SelfStock'!CS20</f>
        <v/>
      </c>
      <c r="CV1138">
        <f>'T_SelfStock'!CT20</f>
        <v/>
      </c>
      <c r="CW1138">
        <f>'T_SelfStock'!CU20</f>
        <v/>
      </c>
      <c r="CX1138">
        <f>'T_SelfStock'!CV20</f>
        <v/>
      </c>
      <c r="CY1138">
        <f>'T_SelfStock'!CW20</f>
        <v/>
      </c>
      <c r="CZ1138">
        <f>'T_SelfStock'!CX20</f>
        <v/>
      </c>
      <c r="DA1138">
        <f>'T_SelfStock'!CY20</f>
        <v/>
      </c>
      <c r="DB1138">
        <f>'T_SelfStock'!CZ20</f>
        <v/>
      </c>
      <c r="DC1138">
        <f>'T_SelfStock'!DA20</f>
        <v/>
      </c>
    </row>
    <row r="1139">
      <c r="B1139" s="4" t="inlineStr">
        <is>
          <t>合計在庫(週末時点,kg)</t>
        </is>
      </c>
      <c r="D1139">
        <f>'Grid_Stock'!B16</f>
        <v/>
      </c>
      <c r="E1139">
        <f>'Grid_Stock'!C16</f>
        <v/>
      </c>
      <c r="F1139">
        <f>'Grid_Stock'!D16</f>
        <v/>
      </c>
      <c r="G1139">
        <f>'Grid_Stock'!E16</f>
        <v/>
      </c>
      <c r="H1139">
        <f>'Grid_Stock'!F16</f>
        <v/>
      </c>
      <c r="I1139">
        <f>'Grid_Stock'!G16</f>
        <v/>
      </c>
      <c r="J1139">
        <f>'Grid_Stock'!H16</f>
        <v/>
      </c>
      <c r="K1139">
        <f>'Grid_Stock'!I16</f>
        <v/>
      </c>
      <c r="L1139">
        <f>'Grid_Stock'!J16</f>
        <v/>
      </c>
      <c r="M1139">
        <f>'Grid_Stock'!K16</f>
        <v/>
      </c>
      <c r="N1139">
        <f>'Grid_Stock'!L16</f>
        <v/>
      </c>
      <c r="O1139">
        <f>'Grid_Stock'!M16</f>
        <v/>
      </c>
      <c r="P1139">
        <f>'Grid_Stock'!N16</f>
        <v/>
      </c>
      <c r="Q1139">
        <f>'Grid_Stock'!O16</f>
        <v/>
      </c>
      <c r="R1139">
        <f>'Grid_Stock'!P16</f>
        <v/>
      </c>
      <c r="S1139">
        <f>'Grid_Stock'!Q16</f>
        <v/>
      </c>
      <c r="T1139">
        <f>'Grid_Stock'!R16</f>
        <v/>
      </c>
      <c r="U1139">
        <f>'Grid_Stock'!S16</f>
        <v/>
      </c>
      <c r="V1139">
        <f>'Grid_Stock'!T16</f>
        <v/>
      </c>
      <c r="W1139">
        <f>'Grid_Stock'!U16</f>
        <v/>
      </c>
      <c r="X1139">
        <f>'Grid_Stock'!V16</f>
        <v/>
      </c>
      <c r="Y1139">
        <f>'Grid_Stock'!W16</f>
        <v/>
      </c>
      <c r="Z1139">
        <f>'Grid_Stock'!X16</f>
        <v/>
      </c>
      <c r="AA1139">
        <f>'Grid_Stock'!Y16</f>
        <v/>
      </c>
      <c r="AB1139">
        <f>'Grid_Stock'!Z16</f>
        <v/>
      </c>
      <c r="AC1139">
        <f>'Grid_Stock'!AA16</f>
        <v/>
      </c>
      <c r="AD1139">
        <f>'Grid_Stock'!AB16</f>
        <v/>
      </c>
      <c r="AE1139">
        <f>'Grid_Stock'!AC16</f>
        <v/>
      </c>
      <c r="AF1139">
        <f>'Grid_Stock'!AD16</f>
        <v/>
      </c>
      <c r="AG1139">
        <f>'Grid_Stock'!AE16</f>
        <v/>
      </c>
      <c r="AH1139">
        <f>'Grid_Stock'!AF16</f>
        <v/>
      </c>
      <c r="AI1139">
        <f>'Grid_Stock'!AG16</f>
        <v/>
      </c>
      <c r="AJ1139">
        <f>'Grid_Stock'!AH16</f>
        <v/>
      </c>
      <c r="AK1139">
        <f>'Grid_Stock'!AI16</f>
        <v/>
      </c>
      <c r="AL1139">
        <f>'Grid_Stock'!AJ16</f>
        <v/>
      </c>
      <c r="AM1139">
        <f>'Grid_Stock'!AK16</f>
        <v/>
      </c>
      <c r="AN1139">
        <f>'Grid_Stock'!AL16</f>
        <v/>
      </c>
      <c r="AO1139">
        <f>'Grid_Stock'!AM16</f>
        <v/>
      </c>
      <c r="AP1139">
        <f>'Grid_Stock'!AN16</f>
        <v/>
      </c>
      <c r="AQ1139">
        <f>'Grid_Stock'!AO16</f>
        <v/>
      </c>
      <c r="AR1139">
        <f>'Grid_Stock'!AP16</f>
        <v/>
      </c>
      <c r="AS1139">
        <f>'Grid_Stock'!AQ16</f>
        <v/>
      </c>
      <c r="AT1139">
        <f>'Grid_Stock'!AR16</f>
        <v/>
      </c>
      <c r="AU1139">
        <f>'Grid_Stock'!AS16</f>
        <v/>
      </c>
      <c r="AV1139">
        <f>'Grid_Stock'!AT16</f>
        <v/>
      </c>
      <c r="AW1139">
        <f>'Grid_Stock'!AU16</f>
        <v/>
      </c>
      <c r="AX1139">
        <f>'Grid_Stock'!AV16</f>
        <v/>
      </c>
      <c r="AY1139">
        <f>'Grid_Stock'!AW16</f>
        <v/>
      </c>
      <c r="AZ1139">
        <f>'Grid_Stock'!AX16</f>
        <v/>
      </c>
      <c r="BA1139">
        <f>'Grid_Stock'!AY16</f>
        <v/>
      </c>
      <c r="BB1139">
        <f>'Grid_Stock'!AZ16</f>
        <v/>
      </c>
      <c r="BC1139">
        <f>'Grid_Stock'!BA16</f>
        <v/>
      </c>
      <c r="BD1139">
        <f>'Grid_Stock'!BB16</f>
        <v/>
      </c>
      <c r="BE1139">
        <f>'Grid_Stock'!BC16</f>
        <v/>
      </c>
      <c r="BF1139">
        <f>'Grid_Stock'!BD16</f>
        <v/>
      </c>
      <c r="BG1139">
        <f>'Grid_Stock'!BE16</f>
        <v/>
      </c>
      <c r="BH1139">
        <f>'Grid_Stock'!BF16</f>
        <v/>
      </c>
      <c r="BI1139">
        <f>'Grid_Stock'!BG16</f>
        <v/>
      </c>
      <c r="BJ1139">
        <f>'Grid_Stock'!BH16</f>
        <v/>
      </c>
      <c r="BK1139">
        <f>'Grid_Stock'!BI16</f>
        <v/>
      </c>
      <c r="BL1139">
        <f>'Grid_Stock'!BJ16</f>
        <v/>
      </c>
      <c r="BM1139">
        <f>'Grid_Stock'!BK16</f>
        <v/>
      </c>
      <c r="BN1139">
        <f>'Grid_Stock'!BL16</f>
        <v/>
      </c>
      <c r="BO1139">
        <f>'Grid_Stock'!BM16</f>
        <v/>
      </c>
      <c r="BP1139">
        <f>'Grid_Stock'!BN16</f>
        <v/>
      </c>
      <c r="BQ1139">
        <f>'Grid_Stock'!BO16</f>
        <v/>
      </c>
      <c r="BR1139">
        <f>'Grid_Stock'!BP16</f>
        <v/>
      </c>
      <c r="BS1139">
        <f>'Grid_Stock'!BQ16</f>
        <v/>
      </c>
      <c r="BT1139">
        <f>'Grid_Stock'!BR16</f>
        <v/>
      </c>
      <c r="BU1139">
        <f>'Grid_Stock'!BS16</f>
        <v/>
      </c>
      <c r="BV1139">
        <f>'Grid_Stock'!BT16</f>
        <v/>
      </c>
      <c r="BW1139">
        <f>'Grid_Stock'!BU16</f>
        <v/>
      </c>
      <c r="BX1139">
        <f>'Grid_Stock'!BV16</f>
        <v/>
      </c>
      <c r="BY1139">
        <f>'Grid_Stock'!BW16</f>
        <v/>
      </c>
      <c r="BZ1139">
        <f>'Grid_Stock'!BX16</f>
        <v/>
      </c>
      <c r="CA1139">
        <f>'Grid_Stock'!BY16</f>
        <v/>
      </c>
      <c r="CB1139">
        <f>'Grid_Stock'!BZ16</f>
        <v/>
      </c>
      <c r="CC1139">
        <f>'Grid_Stock'!CA16</f>
        <v/>
      </c>
      <c r="CD1139">
        <f>'Grid_Stock'!CB16</f>
        <v/>
      </c>
      <c r="CE1139">
        <f>'Grid_Stock'!CC16</f>
        <v/>
      </c>
      <c r="CF1139">
        <f>'Grid_Stock'!CD16</f>
        <v/>
      </c>
      <c r="CG1139">
        <f>'Grid_Stock'!CE16</f>
        <v/>
      </c>
      <c r="CH1139">
        <f>'Grid_Stock'!CF16</f>
        <v/>
      </c>
      <c r="CI1139">
        <f>'Grid_Stock'!CG16</f>
        <v/>
      </c>
      <c r="CJ1139">
        <f>'Grid_Stock'!CH16</f>
        <v/>
      </c>
      <c r="CK1139">
        <f>'Grid_Stock'!CI16</f>
        <v/>
      </c>
      <c r="CL1139">
        <f>'Grid_Stock'!CJ16</f>
        <v/>
      </c>
      <c r="CM1139">
        <f>'Grid_Stock'!CK16</f>
        <v/>
      </c>
      <c r="CN1139">
        <f>'Grid_Stock'!CL16</f>
        <v/>
      </c>
      <c r="CO1139">
        <f>'Grid_Stock'!CM16</f>
        <v/>
      </c>
      <c r="CP1139">
        <f>'Grid_Stock'!CN16</f>
        <v/>
      </c>
      <c r="CQ1139">
        <f>'Grid_Stock'!CO16</f>
        <v/>
      </c>
      <c r="CR1139">
        <f>'Grid_Stock'!CP16</f>
        <v/>
      </c>
      <c r="CS1139">
        <f>'Grid_Stock'!CQ16</f>
        <v/>
      </c>
      <c r="CT1139">
        <f>'Grid_Stock'!CR16</f>
        <v/>
      </c>
      <c r="CU1139">
        <f>'Grid_Stock'!CS16</f>
        <v/>
      </c>
      <c r="CV1139">
        <f>'Grid_Stock'!CT16</f>
        <v/>
      </c>
      <c r="CW1139">
        <f>'Grid_Stock'!CU16</f>
        <v/>
      </c>
      <c r="CX1139">
        <f>'Grid_Stock'!CV16</f>
        <v/>
      </c>
      <c r="CY1139">
        <f>'Grid_Stock'!CW16</f>
        <v/>
      </c>
      <c r="CZ1139">
        <f>'Grid_Stock'!CX16</f>
        <v/>
      </c>
      <c r="DA1139">
        <f>'Grid_Stock'!CY16</f>
        <v/>
      </c>
      <c r="DB1139">
        <f>'Grid_Stock'!CZ16</f>
        <v/>
      </c>
      <c r="DC1139">
        <f>'Grid_Stock'!DA16</f>
        <v/>
      </c>
    </row>
    <row r="1140">
      <c r="B1140" s="16" t="inlineStr">
        <is>
          <t>（発注の目安はDashboardの基準在庫[下限/上限]と色分けを参照）</t>
        </is>
      </c>
    </row>
    <row r="1142">
      <c r="A1142" s="14" t="inlineStr">
        <is>
          <t>CHEM-1840</t>
        </is>
      </c>
      <c r="B1142" s="14" t="inlineStr">
        <is>
          <t>KAOCERA2020</t>
        </is>
      </c>
      <c r="C1142" s="15" t="n"/>
      <c r="D1142" s="14" t="n"/>
      <c r="E1142" s="14" t="n"/>
      <c r="F1142" s="14" t="n"/>
      <c r="G1142" s="14" t="n"/>
      <c r="H1142" s="14" t="n"/>
      <c r="I1142" s="14" t="n"/>
      <c r="J1142" s="14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  <c r="S1142" s="14" t="n"/>
      <c r="T1142" s="14" t="n"/>
      <c r="U1142" s="14" t="n"/>
      <c r="V1142" s="14" t="n"/>
      <c r="W1142" s="14" t="n"/>
      <c r="X1142" s="14" t="n"/>
      <c r="Y1142" s="14" t="n"/>
      <c r="Z1142" s="14" t="n"/>
      <c r="AA1142" s="14" t="n"/>
      <c r="AB1142" s="14" t="n"/>
      <c r="AC1142" s="14" t="n"/>
      <c r="AD1142" s="14" t="n"/>
      <c r="AE1142" s="14" t="n"/>
      <c r="AF1142" s="14" t="n"/>
      <c r="AG1142" s="14" t="n"/>
      <c r="AH1142" s="14" t="n"/>
      <c r="AI1142" s="14" t="n"/>
      <c r="AJ1142" s="14" t="n"/>
      <c r="AK1142" s="14" t="n"/>
      <c r="AL1142" s="14" t="n"/>
      <c r="AM1142" s="14" t="n"/>
      <c r="AN1142" s="14" t="n"/>
      <c r="AO1142" s="14" t="n"/>
      <c r="AP1142" s="14" t="n"/>
      <c r="AQ1142" s="14" t="n"/>
      <c r="AR1142" s="14" t="n"/>
      <c r="AS1142" s="14" t="n"/>
      <c r="AT1142" s="14" t="n"/>
      <c r="AU1142" s="14" t="n"/>
      <c r="AV1142" s="14" t="n"/>
      <c r="AW1142" s="14" t="n"/>
      <c r="AX1142" s="14" t="n"/>
      <c r="AY1142" s="14" t="n"/>
      <c r="AZ1142" s="14" t="n"/>
      <c r="BA1142" s="14" t="n"/>
      <c r="BB1142" s="14" t="n"/>
      <c r="BC1142" s="14" t="n"/>
      <c r="BD1142" s="14" t="n"/>
      <c r="BE1142" s="14" t="n"/>
      <c r="BF1142" s="14" t="n"/>
      <c r="BG1142" s="14" t="n"/>
      <c r="BH1142" s="14" t="n"/>
      <c r="BI1142" s="14" t="n"/>
      <c r="BJ1142" s="14" t="n"/>
      <c r="BK1142" s="14" t="n"/>
      <c r="BL1142" s="14" t="n"/>
      <c r="BM1142" s="14" t="n"/>
      <c r="BN1142" s="14" t="n"/>
      <c r="BO1142" s="14" t="n"/>
      <c r="BP1142" s="14" t="n"/>
      <c r="BQ1142" s="14" t="n"/>
      <c r="BR1142" s="14" t="n"/>
      <c r="BS1142" s="14" t="n"/>
      <c r="BT1142" s="14" t="n"/>
      <c r="BU1142" s="14" t="n"/>
      <c r="BV1142" s="14" t="n"/>
      <c r="BW1142" s="14" t="n"/>
      <c r="BX1142" s="14" t="n"/>
      <c r="BY1142" s="14" t="n"/>
      <c r="BZ1142" s="14" t="n"/>
      <c r="CA1142" s="14" t="n"/>
      <c r="CB1142" s="14" t="n"/>
      <c r="CC1142" s="14" t="n"/>
      <c r="CD1142" s="14" t="n"/>
      <c r="CE1142" s="14" t="n"/>
      <c r="CF1142" s="14" t="n"/>
      <c r="CG1142" s="14" t="n"/>
      <c r="CH1142" s="14" t="n"/>
      <c r="CI1142" s="14" t="n"/>
      <c r="CJ1142" s="14" t="n"/>
      <c r="CK1142" s="14" t="n"/>
      <c r="CL1142" s="14" t="n"/>
      <c r="CM1142" s="14" t="n"/>
      <c r="CN1142" s="14" t="n"/>
      <c r="CO1142" s="14" t="n"/>
      <c r="CP1142" s="14" t="n"/>
      <c r="CQ1142" s="14" t="n"/>
      <c r="CR1142" s="14" t="n"/>
      <c r="CS1142" s="14" t="n"/>
      <c r="CT1142" s="14" t="n"/>
      <c r="CU1142" s="14" t="n"/>
      <c r="CV1142" s="14" t="n"/>
      <c r="CW1142" s="14" t="n"/>
      <c r="CX1142" s="14" t="n"/>
      <c r="CY1142" s="14" t="n"/>
      <c r="CZ1142" s="14" t="n"/>
      <c r="DA1142" s="14" t="n"/>
      <c r="DB1142" s="14" t="n"/>
      <c r="DC1142" s="14" t="n"/>
    </row>
    <row r="1143">
      <c r="B1143" t="inlineStr">
        <is>
          <t>TSP-1558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SUMIFS(M_BOM[RM_Qty_Per_Batch],M_BOM[Intermediate],$B1143,M_BOM[Part Name],$A1142)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TSP-1559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SUMIFS(M_BOM[RM_Qty_Per_Batch],M_BOM[Intermediate],$B1145,M_BOM[Part Name],$A1142)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s="4" t="inlineStr">
        <is>
          <t>合計使用量(kg)/週</t>
        </is>
      </c>
      <c r="D1147">
        <f>'Grid_Requirement'!B29</f>
        <v/>
      </c>
      <c r="E1147">
        <f>'Grid_Requirement'!C29</f>
        <v/>
      </c>
      <c r="F1147">
        <f>'Grid_Requirement'!D29</f>
        <v/>
      </c>
      <c r="G1147">
        <f>'Grid_Requirement'!E29</f>
        <v/>
      </c>
      <c r="H1147">
        <f>'Grid_Requirement'!F29</f>
        <v/>
      </c>
      <c r="I1147">
        <f>'Grid_Requirement'!G29</f>
        <v/>
      </c>
      <c r="J1147">
        <f>'Grid_Requirement'!H29</f>
        <v/>
      </c>
      <c r="K1147">
        <f>'Grid_Requirement'!I29</f>
        <v/>
      </c>
      <c r="L1147">
        <f>'Grid_Requirement'!J29</f>
        <v/>
      </c>
      <c r="M1147">
        <f>'Grid_Requirement'!K29</f>
        <v/>
      </c>
      <c r="N1147">
        <f>'Grid_Requirement'!L29</f>
        <v/>
      </c>
      <c r="O1147">
        <f>'Grid_Requirement'!M29</f>
        <v/>
      </c>
      <c r="P1147">
        <f>'Grid_Requirement'!N29</f>
        <v/>
      </c>
      <c r="Q1147">
        <f>'Grid_Requirement'!O29</f>
        <v/>
      </c>
      <c r="R1147">
        <f>'Grid_Requirement'!P29</f>
        <v/>
      </c>
      <c r="S1147">
        <f>'Grid_Requirement'!Q29</f>
        <v/>
      </c>
      <c r="T1147">
        <f>'Grid_Requirement'!R29</f>
        <v/>
      </c>
      <c r="U1147">
        <f>'Grid_Requirement'!S29</f>
        <v/>
      </c>
      <c r="V1147">
        <f>'Grid_Requirement'!T29</f>
        <v/>
      </c>
      <c r="W1147">
        <f>'Grid_Requirement'!U29</f>
        <v/>
      </c>
      <c r="X1147">
        <f>'Grid_Requirement'!V29</f>
        <v/>
      </c>
      <c r="Y1147">
        <f>'Grid_Requirement'!W29</f>
        <v/>
      </c>
      <c r="Z1147">
        <f>'Grid_Requirement'!X29</f>
        <v/>
      </c>
      <c r="AA1147">
        <f>'Grid_Requirement'!Y29</f>
        <v/>
      </c>
      <c r="AB1147">
        <f>'Grid_Requirement'!Z29</f>
        <v/>
      </c>
      <c r="AC1147">
        <f>'Grid_Requirement'!AA29</f>
        <v/>
      </c>
      <c r="AD1147">
        <f>'Grid_Requirement'!AB29</f>
        <v/>
      </c>
      <c r="AE1147">
        <f>'Grid_Requirement'!AC29</f>
        <v/>
      </c>
      <c r="AF1147">
        <f>'Grid_Requirement'!AD29</f>
        <v/>
      </c>
      <c r="AG1147">
        <f>'Grid_Requirement'!AE29</f>
        <v/>
      </c>
      <c r="AH1147">
        <f>'Grid_Requirement'!AF29</f>
        <v/>
      </c>
      <c r="AI1147">
        <f>'Grid_Requirement'!AG29</f>
        <v/>
      </c>
      <c r="AJ1147">
        <f>'Grid_Requirement'!AH29</f>
        <v/>
      </c>
      <c r="AK1147">
        <f>'Grid_Requirement'!AI29</f>
        <v/>
      </c>
      <c r="AL1147">
        <f>'Grid_Requirement'!AJ29</f>
        <v/>
      </c>
      <c r="AM1147">
        <f>'Grid_Requirement'!AK29</f>
        <v/>
      </c>
      <c r="AN1147">
        <f>'Grid_Requirement'!AL29</f>
        <v/>
      </c>
      <c r="AO1147">
        <f>'Grid_Requirement'!AM29</f>
        <v/>
      </c>
      <c r="AP1147">
        <f>'Grid_Requirement'!AN29</f>
        <v/>
      </c>
      <c r="AQ1147">
        <f>'Grid_Requirement'!AO29</f>
        <v/>
      </c>
      <c r="AR1147">
        <f>'Grid_Requirement'!AP29</f>
        <v/>
      </c>
      <c r="AS1147">
        <f>'Grid_Requirement'!AQ29</f>
        <v/>
      </c>
      <c r="AT1147">
        <f>'Grid_Requirement'!AR29</f>
        <v/>
      </c>
      <c r="AU1147">
        <f>'Grid_Requirement'!AS29</f>
        <v/>
      </c>
      <c r="AV1147">
        <f>'Grid_Requirement'!AT29</f>
        <v/>
      </c>
      <c r="AW1147">
        <f>'Grid_Requirement'!AU29</f>
        <v/>
      </c>
      <c r="AX1147">
        <f>'Grid_Requirement'!AV29</f>
        <v/>
      </c>
      <c r="AY1147">
        <f>'Grid_Requirement'!AW29</f>
        <v/>
      </c>
      <c r="AZ1147">
        <f>'Grid_Requirement'!AX29</f>
        <v/>
      </c>
      <c r="BA1147">
        <f>'Grid_Requirement'!AY29</f>
        <v/>
      </c>
      <c r="BB1147">
        <f>'Grid_Requirement'!AZ29</f>
        <v/>
      </c>
      <c r="BC1147">
        <f>'Grid_Requirement'!BA29</f>
        <v/>
      </c>
      <c r="BD1147">
        <f>'Grid_Requirement'!BB29</f>
        <v/>
      </c>
      <c r="BE1147">
        <f>'Grid_Requirement'!BC29</f>
        <v/>
      </c>
      <c r="BF1147">
        <f>'Grid_Requirement'!BD29</f>
        <v/>
      </c>
      <c r="BG1147">
        <f>'Grid_Requirement'!BE29</f>
        <v/>
      </c>
      <c r="BH1147">
        <f>'Grid_Requirement'!BF29</f>
        <v/>
      </c>
      <c r="BI1147">
        <f>'Grid_Requirement'!BG29</f>
        <v/>
      </c>
      <c r="BJ1147">
        <f>'Grid_Requirement'!BH29</f>
        <v/>
      </c>
      <c r="BK1147">
        <f>'Grid_Requirement'!BI29</f>
        <v/>
      </c>
      <c r="BL1147">
        <f>'Grid_Requirement'!BJ29</f>
        <v/>
      </c>
      <c r="BM1147">
        <f>'Grid_Requirement'!BK29</f>
        <v/>
      </c>
      <c r="BN1147">
        <f>'Grid_Requirement'!BL29</f>
        <v/>
      </c>
      <c r="BO1147">
        <f>'Grid_Requirement'!BM29</f>
        <v/>
      </c>
      <c r="BP1147">
        <f>'Grid_Requirement'!BN29</f>
        <v/>
      </c>
      <c r="BQ1147">
        <f>'Grid_Requirement'!BO29</f>
        <v/>
      </c>
      <c r="BR1147">
        <f>'Grid_Requirement'!BP29</f>
        <v/>
      </c>
      <c r="BS1147">
        <f>'Grid_Requirement'!BQ29</f>
        <v/>
      </c>
      <c r="BT1147">
        <f>'Grid_Requirement'!BR29</f>
        <v/>
      </c>
      <c r="BU1147">
        <f>'Grid_Requirement'!BS29</f>
        <v/>
      </c>
      <c r="BV1147">
        <f>'Grid_Requirement'!BT29</f>
        <v/>
      </c>
      <c r="BW1147">
        <f>'Grid_Requirement'!BU29</f>
        <v/>
      </c>
      <c r="BX1147">
        <f>'Grid_Requirement'!BV29</f>
        <v/>
      </c>
      <c r="BY1147">
        <f>'Grid_Requirement'!BW29</f>
        <v/>
      </c>
      <c r="BZ1147">
        <f>'Grid_Requirement'!BX29</f>
        <v/>
      </c>
      <c r="CA1147">
        <f>'Grid_Requirement'!BY29</f>
        <v/>
      </c>
      <c r="CB1147">
        <f>'Grid_Requirement'!BZ29</f>
        <v/>
      </c>
      <c r="CC1147">
        <f>'Grid_Requirement'!CA29</f>
        <v/>
      </c>
      <c r="CD1147">
        <f>'Grid_Requirement'!CB29</f>
        <v/>
      </c>
      <c r="CE1147">
        <f>'Grid_Requirement'!CC29</f>
        <v/>
      </c>
      <c r="CF1147">
        <f>'Grid_Requirement'!CD29</f>
        <v/>
      </c>
      <c r="CG1147">
        <f>'Grid_Requirement'!CE29</f>
        <v/>
      </c>
      <c r="CH1147">
        <f>'Grid_Requirement'!CF29</f>
        <v/>
      </c>
      <c r="CI1147">
        <f>'Grid_Requirement'!CG29</f>
        <v/>
      </c>
      <c r="CJ1147">
        <f>'Grid_Requirement'!CH29</f>
        <v/>
      </c>
      <c r="CK1147">
        <f>'Grid_Requirement'!CI29</f>
        <v/>
      </c>
      <c r="CL1147">
        <f>'Grid_Requirement'!CJ29</f>
        <v/>
      </c>
      <c r="CM1147">
        <f>'Grid_Requirement'!CK29</f>
        <v/>
      </c>
      <c r="CN1147">
        <f>'Grid_Requirement'!CL29</f>
        <v/>
      </c>
      <c r="CO1147">
        <f>'Grid_Requirement'!CM29</f>
        <v/>
      </c>
      <c r="CP1147">
        <f>'Grid_Requirement'!CN29</f>
        <v/>
      </c>
      <c r="CQ1147">
        <f>'Grid_Requirement'!CO29</f>
        <v/>
      </c>
      <c r="CR1147">
        <f>'Grid_Requirement'!CP29</f>
        <v/>
      </c>
      <c r="CS1147">
        <f>'Grid_Requirement'!CQ29</f>
        <v/>
      </c>
      <c r="CT1147">
        <f>'Grid_Requirement'!CR29</f>
        <v/>
      </c>
      <c r="CU1147">
        <f>'Grid_Requirement'!CS29</f>
        <v/>
      </c>
      <c r="CV1147">
        <f>'Grid_Requirement'!CT29</f>
        <v/>
      </c>
      <c r="CW1147">
        <f>'Grid_Requirement'!CU29</f>
        <v/>
      </c>
      <c r="CX1147">
        <f>'Grid_Requirement'!CV29</f>
        <v/>
      </c>
      <c r="CY1147">
        <f>'Grid_Requirement'!CW29</f>
        <v/>
      </c>
      <c r="CZ1147">
        <f>'Grid_Requirement'!CX29</f>
        <v/>
      </c>
      <c r="DA1147">
        <f>'Grid_Requirement'!CY29</f>
        <v/>
      </c>
      <c r="DB1147">
        <f>'Grid_Requirement'!CZ29</f>
        <v/>
      </c>
      <c r="DC1147">
        <f>'Grid_Requirement'!DA29</f>
        <v/>
      </c>
    </row>
    <row r="1148">
      <c r="B1148" t="inlineStr">
        <is>
          <t>TTAF在庫(実績,kg)</t>
        </is>
      </c>
      <c r="D1148">
        <f>'T_TTAFStock'!B33</f>
        <v/>
      </c>
      <c r="E1148">
        <f>'T_TTAFStock'!C33</f>
        <v/>
      </c>
      <c r="F1148">
        <f>'T_TTAFStock'!D33</f>
        <v/>
      </c>
      <c r="G1148">
        <f>'T_TTAFStock'!E33</f>
        <v/>
      </c>
      <c r="H1148">
        <f>'T_TTAFStock'!F33</f>
        <v/>
      </c>
      <c r="I1148">
        <f>'T_TTAFStock'!G33</f>
        <v/>
      </c>
      <c r="J1148">
        <f>'T_TTAFStock'!H33</f>
        <v/>
      </c>
      <c r="K1148">
        <f>'T_TTAFStock'!I33</f>
        <v/>
      </c>
      <c r="L1148">
        <f>'T_TTAFStock'!J33</f>
        <v/>
      </c>
      <c r="M1148">
        <f>'T_TTAFStock'!K33</f>
        <v/>
      </c>
      <c r="N1148">
        <f>'T_TTAFStock'!L33</f>
        <v/>
      </c>
      <c r="O1148">
        <f>'T_TTAFStock'!M33</f>
        <v/>
      </c>
      <c r="P1148">
        <f>'T_TTAFStock'!N33</f>
        <v/>
      </c>
      <c r="Q1148">
        <f>'T_TTAFStock'!O33</f>
        <v/>
      </c>
      <c r="R1148">
        <f>'T_TTAFStock'!P33</f>
        <v/>
      </c>
      <c r="S1148">
        <f>'T_TTAFStock'!Q33</f>
        <v/>
      </c>
      <c r="T1148">
        <f>'T_TTAFStock'!R33</f>
        <v/>
      </c>
      <c r="U1148">
        <f>'T_TTAFStock'!S33</f>
        <v/>
      </c>
      <c r="V1148">
        <f>'T_TTAFStock'!T33</f>
        <v/>
      </c>
      <c r="W1148">
        <f>'T_TTAFStock'!U33</f>
        <v/>
      </c>
      <c r="X1148">
        <f>'T_TTAFStock'!V33</f>
        <v/>
      </c>
      <c r="Y1148">
        <f>'T_TTAFStock'!W33</f>
        <v/>
      </c>
      <c r="Z1148">
        <f>'T_TTAFStock'!X33</f>
        <v/>
      </c>
      <c r="AA1148">
        <f>'T_TTAFStock'!Y33</f>
        <v/>
      </c>
      <c r="AB1148">
        <f>'T_TTAFStock'!Z33</f>
        <v/>
      </c>
      <c r="AC1148">
        <f>'T_TTAFStock'!AA33</f>
        <v/>
      </c>
      <c r="AD1148">
        <f>'T_TTAFStock'!AB33</f>
        <v/>
      </c>
      <c r="AE1148">
        <f>'T_TTAFStock'!AC33</f>
        <v/>
      </c>
      <c r="AF1148">
        <f>'T_TTAFStock'!AD33</f>
        <v/>
      </c>
      <c r="AG1148">
        <f>'T_TTAFStock'!AE33</f>
        <v/>
      </c>
      <c r="AH1148">
        <f>'T_TTAFStock'!AF33</f>
        <v/>
      </c>
      <c r="AI1148">
        <f>'T_TTAFStock'!AG33</f>
        <v/>
      </c>
      <c r="AJ1148">
        <f>'T_TTAFStock'!AH33</f>
        <v/>
      </c>
      <c r="AK1148">
        <f>'T_TTAFStock'!AI33</f>
        <v/>
      </c>
      <c r="AL1148">
        <f>'T_TTAFStock'!AJ33</f>
        <v/>
      </c>
      <c r="AM1148">
        <f>'T_TTAFStock'!AK33</f>
        <v/>
      </c>
      <c r="AN1148">
        <f>'T_TTAFStock'!AL33</f>
        <v/>
      </c>
      <c r="AO1148">
        <f>'T_TTAFStock'!AM33</f>
        <v/>
      </c>
      <c r="AP1148">
        <f>'T_TTAFStock'!AN33</f>
        <v/>
      </c>
      <c r="AQ1148">
        <f>'T_TTAFStock'!AO33</f>
        <v/>
      </c>
      <c r="AR1148">
        <f>'T_TTAFStock'!AP33</f>
        <v/>
      </c>
      <c r="AS1148">
        <f>'T_TTAFStock'!AQ33</f>
        <v/>
      </c>
      <c r="AT1148">
        <f>'T_TTAFStock'!AR33</f>
        <v/>
      </c>
      <c r="AU1148">
        <f>'T_TTAFStock'!AS33</f>
        <v/>
      </c>
      <c r="AV1148">
        <f>'T_TTAFStock'!AT33</f>
        <v/>
      </c>
      <c r="AW1148">
        <f>'T_TTAFStock'!AU33</f>
        <v/>
      </c>
      <c r="AX1148">
        <f>'T_TTAFStock'!AV33</f>
        <v/>
      </c>
      <c r="AY1148">
        <f>'T_TTAFStock'!AW33</f>
        <v/>
      </c>
      <c r="AZ1148">
        <f>'T_TTAFStock'!AX33</f>
        <v/>
      </c>
      <c r="BA1148">
        <f>'T_TTAFStock'!AY33</f>
        <v/>
      </c>
      <c r="BB1148">
        <f>'T_TTAFStock'!AZ33</f>
        <v/>
      </c>
      <c r="BC1148">
        <f>'T_TTAFStock'!BA33</f>
        <v/>
      </c>
      <c r="BD1148">
        <f>'T_TTAFStock'!BB33</f>
        <v/>
      </c>
      <c r="BE1148">
        <f>'T_TTAFStock'!BC33</f>
        <v/>
      </c>
      <c r="BF1148">
        <f>'T_TTAFStock'!BD33</f>
        <v/>
      </c>
      <c r="BG1148">
        <f>'T_TTAFStock'!BE33</f>
        <v/>
      </c>
      <c r="BH1148">
        <f>'T_TTAFStock'!BF33</f>
        <v/>
      </c>
      <c r="BI1148">
        <f>'T_TTAFStock'!BG33</f>
        <v/>
      </c>
      <c r="BJ1148">
        <f>'T_TTAFStock'!BH33</f>
        <v/>
      </c>
      <c r="BK1148">
        <f>'T_TTAFStock'!BI33</f>
        <v/>
      </c>
      <c r="BL1148">
        <f>'T_TTAFStock'!BJ33</f>
        <v/>
      </c>
      <c r="BM1148">
        <f>'T_TTAFStock'!BK33</f>
        <v/>
      </c>
      <c r="BN1148">
        <f>'T_TTAFStock'!BL33</f>
        <v/>
      </c>
      <c r="BO1148">
        <f>'T_TTAFStock'!BM33</f>
        <v/>
      </c>
      <c r="BP1148">
        <f>'T_TTAFStock'!BN33</f>
        <v/>
      </c>
      <c r="BQ1148">
        <f>'T_TTAFStock'!BO33</f>
        <v/>
      </c>
      <c r="BR1148">
        <f>'T_TTAFStock'!BP33</f>
        <v/>
      </c>
      <c r="BS1148">
        <f>'T_TTAFStock'!BQ33</f>
        <v/>
      </c>
      <c r="BT1148">
        <f>'T_TTAFStock'!BR33</f>
        <v/>
      </c>
      <c r="BU1148">
        <f>'T_TTAFStock'!BS33</f>
        <v/>
      </c>
      <c r="BV1148">
        <f>'T_TTAFStock'!BT33</f>
        <v/>
      </c>
      <c r="BW1148">
        <f>'T_TTAFStock'!BU33</f>
        <v/>
      </c>
      <c r="BX1148">
        <f>'T_TTAFStock'!BV33</f>
        <v/>
      </c>
      <c r="BY1148">
        <f>'T_TTAFStock'!BW33</f>
        <v/>
      </c>
      <c r="BZ1148">
        <f>'T_TTAFStock'!BX33</f>
        <v/>
      </c>
      <c r="CA1148">
        <f>'T_TTAFStock'!BY33</f>
        <v/>
      </c>
      <c r="CB1148">
        <f>'T_TTAFStock'!BZ33</f>
        <v/>
      </c>
      <c r="CC1148">
        <f>'T_TTAFStock'!CA33</f>
        <v/>
      </c>
      <c r="CD1148">
        <f>'T_TTAFStock'!CB33</f>
        <v/>
      </c>
      <c r="CE1148">
        <f>'T_TTAFStock'!CC33</f>
        <v/>
      </c>
      <c r="CF1148">
        <f>'T_TTAFStock'!CD33</f>
        <v/>
      </c>
      <c r="CG1148">
        <f>'T_TTAFStock'!CE33</f>
        <v/>
      </c>
      <c r="CH1148">
        <f>'T_TTAFStock'!CF33</f>
        <v/>
      </c>
      <c r="CI1148">
        <f>'T_TTAFStock'!CG33</f>
        <v/>
      </c>
      <c r="CJ1148">
        <f>'T_TTAFStock'!CH33</f>
        <v/>
      </c>
      <c r="CK1148">
        <f>'T_TTAFStock'!CI33</f>
        <v/>
      </c>
      <c r="CL1148">
        <f>'T_TTAFStock'!CJ33</f>
        <v/>
      </c>
      <c r="CM1148">
        <f>'T_TTAFStock'!CK33</f>
        <v/>
      </c>
      <c r="CN1148">
        <f>'T_TTAFStock'!CL33</f>
        <v/>
      </c>
      <c r="CO1148">
        <f>'T_TTAFStock'!CM33</f>
        <v/>
      </c>
      <c r="CP1148">
        <f>'T_TTAFStock'!CN33</f>
        <v/>
      </c>
      <c r="CQ1148">
        <f>'T_TTAFStock'!CO33</f>
        <v/>
      </c>
      <c r="CR1148">
        <f>'T_TTAFStock'!CP33</f>
        <v/>
      </c>
      <c r="CS1148">
        <f>'T_TTAFStock'!CQ33</f>
        <v/>
      </c>
      <c r="CT1148">
        <f>'T_TTAFStock'!CR33</f>
        <v/>
      </c>
      <c r="CU1148">
        <f>'T_TTAFStock'!CS33</f>
        <v/>
      </c>
      <c r="CV1148">
        <f>'T_TTAFStock'!CT33</f>
        <v/>
      </c>
      <c r="CW1148">
        <f>'T_TTAFStock'!CU33</f>
        <v/>
      </c>
      <c r="CX1148">
        <f>'T_TTAFStock'!CV33</f>
        <v/>
      </c>
      <c r="CY1148">
        <f>'T_TTAFStock'!CW33</f>
        <v/>
      </c>
      <c r="CZ1148">
        <f>'T_TTAFStock'!CX33</f>
        <v/>
      </c>
      <c r="DA1148">
        <f>'T_TTAFStock'!CY33</f>
        <v/>
      </c>
      <c r="DB1148">
        <f>'T_TTAFStock'!CZ33</f>
        <v/>
      </c>
      <c r="DC1148">
        <f>'T_TTAFStock'!DA33</f>
        <v/>
      </c>
    </row>
    <row r="1149">
      <c r="B1149" t="inlineStr">
        <is>
          <t>自社在庫(実績,kg)</t>
        </is>
      </c>
      <c r="D1149">
        <f>'T_SelfStock'!B33</f>
        <v/>
      </c>
      <c r="E1149">
        <f>'T_SelfStock'!C33</f>
        <v/>
      </c>
      <c r="F1149">
        <f>'T_SelfStock'!D33</f>
        <v/>
      </c>
      <c r="G1149">
        <f>'T_SelfStock'!E33</f>
        <v/>
      </c>
      <c r="H1149">
        <f>'T_SelfStock'!F33</f>
        <v/>
      </c>
      <c r="I1149">
        <f>'T_SelfStock'!G33</f>
        <v/>
      </c>
      <c r="J1149">
        <f>'T_SelfStock'!H33</f>
        <v/>
      </c>
      <c r="K1149">
        <f>'T_SelfStock'!I33</f>
        <v/>
      </c>
      <c r="L1149">
        <f>'T_SelfStock'!J33</f>
        <v/>
      </c>
      <c r="M1149">
        <f>'T_SelfStock'!K33</f>
        <v/>
      </c>
      <c r="N1149">
        <f>'T_SelfStock'!L33</f>
        <v/>
      </c>
      <c r="O1149">
        <f>'T_SelfStock'!M33</f>
        <v/>
      </c>
      <c r="P1149">
        <f>'T_SelfStock'!N33</f>
        <v/>
      </c>
      <c r="Q1149">
        <f>'T_SelfStock'!O33</f>
        <v/>
      </c>
      <c r="R1149">
        <f>'T_SelfStock'!P33</f>
        <v/>
      </c>
      <c r="S1149">
        <f>'T_SelfStock'!Q33</f>
        <v/>
      </c>
      <c r="T1149">
        <f>'T_SelfStock'!R33</f>
        <v/>
      </c>
      <c r="U1149">
        <f>'T_SelfStock'!S33</f>
        <v/>
      </c>
      <c r="V1149">
        <f>'T_SelfStock'!T33</f>
        <v/>
      </c>
      <c r="W1149">
        <f>'T_SelfStock'!U33</f>
        <v/>
      </c>
      <c r="X1149">
        <f>'T_SelfStock'!V33</f>
        <v/>
      </c>
      <c r="Y1149">
        <f>'T_SelfStock'!W33</f>
        <v/>
      </c>
      <c r="Z1149">
        <f>'T_SelfStock'!X33</f>
        <v/>
      </c>
      <c r="AA1149">
        <f>'T_SelfStock'!Y33</f>
        <v/>
      </c>
      <c r="AB1149">
        <f>'T_SelfStock'!Z33</f>
        <v/>
      </c>
      <c r="AC1149">
        <f>'T_SelfStock'!AA33</f>
        <v/>
      </c>
      <c r="AD1149">
        <f>'T_SelfStock'!AB33</f>
        <v/>
      </c>
      <c r="AE1149">
        <f>'T_SelfStock'!AC33</f>
        <v/>
      </c>
      <c r="AF1149">
        <f>'T_SelfStock'!AD33</f>
        <v/>
      </c>
      <c r="AG1149">
        <f>'T_SelfStock'!AE33</f>
        <v/>
      </c>
      <c r="AH1149">
        <f>'T_SelfStock'!AF33</f>
        <v/>
      </c>
      <c r="AI1149">
        <f>'T_SelfStock'!AG33</f>
        <v/>
      </c>
      <c r="AJ1149">
        <f>'T_SelfStock'!AH33</f>
        <v/>
      </c>
      <c r="AK1149">
        <f>'T_SelfStock'!AI33</f>
        <v/>
      </c>
      <c r="AL1149">
        <f>'T_SelfStock'!AJ33</f>
        <v/>
      </c>
      <c r="AM1149">
        <f>'T_SelfStock'!AK33</f>
        <v/>
      </c>
      <c r="AN1149">
        <f>'T_SelfStock'!AL33</f>
        <v/>
      </c>
      <c r="AO1149">
        <f>'T_SelfStock'!AM33</f>
        <v/>
      </c>
      <c r="AP1149">
        <f>'T_SelfStock'!AN33</f>
        <v/>
      </c>
      <c r="AQ1149">
        <f>'T_SelfStock'!AO33</f>
        <v/>
      </c>
      <c r="AR1149">
        <f>'T_SelfStock'!AP33</f>
        <v/>
      </c>
      <c r="AS1149">
        <f>'T_SelfStock'!AQ33</f>
        <v/>
      </c>
      <c r="AT1149">
        <f>'T_SelfStock'!AR33</f>
        <v/>
      </c>
      <c r="AU1149">
        <f>'T_SelfStock'!AS33</f>
        <v/>
      </c>
      <c r="AV1149">
        <f>'T_SelfStock'!AT33</f>
        <v/>
      </c>
      <c r="AW1149">
        <f>'T_SelfStock'!AU33</f>
        <v/>
      </c>
      <c r="AX1149">
        <f>'T_SelfStock'!AV33</f>
        <v/>
      </c>
      <c r="AY1149">
        <f>'T_SelfStock'!AW33</f>
        <v/>
      </c>
      <c r="AZ1149">
        <f>'T_SelfStock'!AX33</f>
        <v/>
      </c>
      <c r="BA1149">
        <f>'T_SelfStock'!AY33</f>
        <v/>
      </c>
      <c r="BB1149">
        <f>'T_SelfStock'!AZ33</f>
        <v/>
      </c>
      <c r="BC1149">
        <f>'T_SelfStock'!BA33</f>
        <v/>
      </c>
      <c r="BD1149">
        <f>'T_SelfStock'!BB33</f>
        <v/>
      </c>
      <c r="BE1149">
        <f>'T_SelfStock'!BC33</f>
        <v/>
      </c>
      <c r="BF1149">
        <f>'T_SelfStock'!BD33</f>
        <v/>
      </c>
      <c r="BG1149">
        <f>'T_SelfStock'!BE33</f>
        <v/>
      </c>
      <c r="BH1149">
        <f>'T_SelfStock'!BF33</f>
        <v/>
      </c>
      <c r="BI1149">
        <f>'T_SelfStock'!BG33</f>
        <v/>
      </c>
      <c r="BJ1149">
        <f>'T_SelfStock'!BH33</f>
        <v/>
      </c>
      <c r="BK1149">
        <f>'T_SelfStock'!BI33</f>
        <v/>
      </c>
      <c r="BL1149">
        <f>'T_SelfStock'!BJ33</f>
        <v/>
      </c>
      <c r="BM1149">
        <f>'T_SelfStock'!BK33</f>
        <v/>
      </c>
      <c r="BN1149">
        <f>'T_SelfStock'!BL33</f>
        <v/>
      </c>
      <c r="BO1149">
        <f>'T_SelfStock'!BM33</f>
        <v/>
      </c>
      <c r="BP1149">
        <f>'T_SelfStock'!BN33</f>
        <v/>
      </c>
      <c r="BQ1149">
        <f>'T_SelfStock'!BO33</f>
        <v/>
      </c>
      <c r="BR1149">
        <f>'T_SelfStock'!BP33</f>
        <v/>
      </c>
      <c r="BS1149">
        <f>'T_SelfStock'!BQ33</f>
        <v/>
      </c>
      <c r="BT1149">
        <f>'T_SelfStock'!BR33</f>
        <v/>
      </c>
      <c r="BU1149">
        <f>'T_SelfStock'!BS33</f>
        <v/>
      </c>
      <c r="BV1149">
        <f>'T_SelfStock'!BT33</f>
        <v/>
      </c>
      <c r="BW1149">
        <f>'T_SelfStock'!BU33</f>
        <v/>
      </c>
      <c r="BX1149">
        <f>'T_SelfStock'!BV33</f>
        <v/>
      </c>
      <c r="BY1149">
        <f>'T_SelfStock'!BW33</f>
        <v/>
      </c>
      <c r="BZ1149">
        <f>'T_SelfStock'!BX33</f>
        <v/>
      </c>
      <c r="CA1149">
        <f>'T_SelfStock'!BY33</f>
        <v/>
      </c>
      <c r="CB1149">
        <f>'T_SelfStock'!BZ33</f>
        <v/>
      </c>
      <c r="CC1149">
        <f>'T_SelfStock'!CA33</f>
        <v/>
      </c>
      <c r="CD1149">
        <f>'T_SelfStock'!CB33</f>
        <v/>
      </c>
      <c r="CE1149">
        <f>'T_SelfStock'!CC33</f>
        <v/>
      </c>
      <c r="CF1149">
        <f>'T_SelfStock'!CD33</f>
        <v/>
      </c>
      <c r="CG1149">
        <f>'T_SelfStock'!CE33</f>
        <v/>
      </c>
      <c r="CH1149">
        <f>'T_SelfStock'!CF33</f>
        <v/>
      </c>
      <c r="CI1149">
        <f>'T_SelfStock'!CG33</f>
        <v/>
      </c>
      <c r="CJ1149">
        <f>'T_SelfStock'!CH33</f>
        <v/>
      </c>
      <c r="CK1149">
        <f>'T_SelfStock'!CI33</f>
        <v/>
      </c>
      <c r="CL1149">
        <f>'T_SelfStock'!CJ33</f>
        <v/>
      </c>
      <c r="CM1149">
        <f>'T_SelfStock'!CK33</f>
        <v/>
      </c>
      <c r="CN1149">
        <f>'T_SelfStock'!CL33</f>
        <v/>
      </c>
      <c r="CO1149">
        <f>'T_SelfStock'!CM33</f>
        <v/>
      </c>
      <c r="CP1149">
        <f>'T_SelfStock'!CN33</f>
        <v/>
      </c>
      <c r="CQ1149">
        <f>'T_SelfStock'!CO33</f>
        <v/>
      </c>
      <c r="CR1149">
        <f>'T_SelfStock'!CP33</f>
        <v/>
      </c>
      <c r="CS1149">
        <f>'T_SelfStock'!CQ33</f>
        <v/>
      </c>
      <c r="CT1149">
        <f>'T_SelfStock'!CR33</f>
        <v/>
      </c>
      <c r="CU1149">
        <f>'T_SelfStock'!CS33</f>
        <v/>
      </c>
      <c r="CV1149">
        <f>'T_SelfStock'!CT33</f>
        <v/>
      </c>
      <c r="CW1149">
        <f>'T_SelfStock'!CU33</f>
        <v/>
      </c>
      <c r="CX1149">
        <f>'T_SelfStock'!CV33</f>
        <v/>
      </c>
      <c r="CY1149">
        <f>'T_SelfStock'!CW33</f>
        <v/>
      </c>
      <c r="CZ1149">
        <f>'T_SelfStock'!CX33</f>
        <v/>
      </c>
      <c r="DA1149">
        <f>'T_SelfStock'!CY33</f>
        <v/>
      </c>
      <c r="DB1149">
        <f>'T_SelfStock'!CZ33</f>
        <v/>
      </c>
      <c r="DC1149">
        <f>'T_SelfStock'!DA33</f>
        <v/>
      </c>
    </row>
    <row r="1150">
      <c r="B1150" s="4" t="inlineStr">
        <is>
          <t>合計在庫(週末時点,kg)</t>
        </is>
      </c>
      <c r="D1150">
        <f>'Grid_Stock'!B29</f>
        <v/>
      </c>
      <c r="E1150">
        <f>'Grid_Stock'!C29</f>
        <v/>
      </c>
      <c r="F1150">
        <f>'Grid_Stock'!D29</f>
        <v/>
      </c>
      <c r="G1150">
        <f>'Grid_Stock'!E29</f>
        <v/>
      </c>
      <c r="H1150">
        <f>'Grid_Stock'!F29</f>
        <v/>
      </c>
      <c r="I1150">
        <f>'Grid_Stock'!G29</f>
        <v/>
      </c>
      <c r="J1150">
        <f>'Grid_Stock'!H29</f>
        <v/>
      </c>
      <c r="K1150">
        <f>'Grid_Stock'!I29</f>
        <v/>
      </c>
      <c r="L1150">
        <f>'Grid_Stock'!J29</f>
        <v/>
      </c>
      <c r="M1150">
        <f>'Grid_Stock'!K29</f>
        <v/>
      </c>
      <c r="N1150">
        <f>'Grid_Stock'!L29</f>
        <v/>
      </c>
      <c r="O1150">
        <f>'Grid_Stock'!M29</f>
        <v/>
      </c>
      <c r="P1150">
        <f>'Grid_Stock'!N29</f>
        <v/>
      </c>
      <c r="Q1150">
        <f>'Grid_Stock'!O29</f>
        <v/>
      </c>
      <c r="R1150">
        <f>'Grid_Stock'!P29</f>
        <v/>
      </c>
      <c r="S1150">
        <f>'Grid_Stock'!Q29</f>
        <v/>
      </c>
      <c r="T1150">
        <f>'Grid_Stock'!R29</f>
        <v/>
      </c>
      <c r="U1150">
        <f>'Grid_Stock'!S29</f>
        <v/>
      </c>
      <c r="V1150">
        <f>'Grid_Stock'!T29</f>
        <v/>
      </c>
      <c r="W1150">
        <f>'Grid_Stock'!U29</f>
        <v/>
      </c>
      <c r="X1150">
        <f>'Grid_Stock'!V29</f>
        <v/>
      </c>
      <c r="Y1150">
        <f>'Grid_Stock'!W29</f>
        <v/>
      </c>
      <c r="Z1150">
        <f>'Grid_Stock'!X29</f>
        <v/>
      </c>
      <c r="AA1150">
        <f>'Grid_Stock'!Y29</f>
        <v/>
      </c>
      <c r="AB1150">
        <f>'Grid_Stock'!Z29</f>
        <v/>
      </c>
      <c r="AC1150">
        <f>'Grid_Stock'!AA29</f>
        <v/>
      </c>
      <c r="AD1150">
        <f>'Grid_Stock'!AB29</f>
        <v/>
      </c>
      <c r="AE1150">
        <f>'Grid_Stock'!AC29</f>
        <v/>
      </c>
      <c r="AF1150">
        <f>'Grid_Stock'!AD29</f>
        <v/>
      </c>
      <c r="AG1150">
        <f>'Grid_Stock'!AE29</f>
        <v/>
      </c>
      <c r="AH1150">
        <f>'Grid_Stock'!AF29</f>
        <v/>
      </c>
      <c r="AI1150">
        <f>'Grid_Stock'!AG29</f>
        <v/>
      </c>
      <c r="AJ1150">
        <f>'Grid_Stock'!AH29</f>
        <v/>
      </c>
      <c r="AK1150">
        <f>'Grid_Stock'!AI29</f>
        <v/>
      </c>
      <c r="AL1150">
        <f>'Grid_Stock'!AJ29</f>
        <v/>
      </c>
      <c r="AM1150">
        <f>'Grid_Stock'!AK29</f>
        <v/>
      </c>
      <c r="AN1150">
        <f>'Grid_Stock'!AL29</f>
        <v/>
      </c>
      <c r="AO1150">
        <f>'Grid_Stock'!AM29</f>
        <v/>
      </c>
      <c r="AP1150">
        <f>'Grid_Stock'!AN29</f>
        <v/>
      </c>
      <c r="AQ1150">
        <f>'Grid_Stock'!AO29</f>
        <v/>
      </c>
      <c r="AR1150">
        <f>'Grid_Stock'!AP29</f>
        <v/>
      </c>
      <c r="AS1150">
        <f>'Grid_Stock'!AQ29</f>
        <v/>
      </c>
      <c r="AT1150">
        <f>'Grid_Stock'!AR29</f>
        <v/>
      </c>
      <c r="AU1150">
        <f>'Grid_Stock'!AS29</f>
        <v/>
      </c>
      <c r="AV1150">
        <f>'Grid_Stock'!AT29</f>
        <v/>
      </c>
      <c r="AW1150">
        <f>'Grid_Stock'!AU29</f>
        <v/>
      </c>
      <c r="AX1150">
        <f>'Grid_Stock'!AV29</f>
        <v/>
      </c>
      <c r="AY1150">
        <f>'Grid_Stock'!AW29</f>
        <v/>
      </c>
      <c r="AZ1150">
        <f>'Grid_Stock'!AX29</f>
        <v/>
      </c>
      <c r="BA1150">
        <f>'Grid_Stock'!AY29</f>
        <v/>
      </c>
      <c r="BB1150">
        <f>'Grid_Stock'!AZ29</f>
        <v/>
      </c>
      <c r="BC1150">
        <f>'Grid_Stock'!BA29</f>
        <v/>
      </c>
      <c r="BD1150">
        <f>'Grid_Stock'!BB29</f>
        <v/>
      </c>
      <c r="BE1150">
        <f>'Grid_Stock'!BC29</f>
        <v/>
      </c>
      <c r="BF1150">
        <f>'Grid_Stock'!BD29</f>
        <v/>
      </c>
      <c r="BG1150">
        <f>'Grid_Stock'!BE29</f>
        <v/>
      </c>
      <c r="BH1150">
        <f>'Grid_Stock'!BF29</f>
        <v/>
      </c>
      <c r="BI1150">
        <f>'Grid_Stock'!BG29</f>
        <v/>
      </c>
      <c r="BJ1150">
        <f>'Grid_Stock'!BH29</f>
        <v/>
      </c>
      <c r="BK1150">
        <f>'Grid_Stock'!BI29</f>
        <v/>
      </c>
      <c r="BL1150">
        <f>'Grid_Stock'!BJ29</f>
        <v/>
      </c>
      <c r="BM1150">
        <f>'Grid_Stock'!BK29</f>
        <v/>
      </c>
      <c r="BN1150">
        <f>'Grid_Stock'!BL29</f>
        <v/>
      </c>
      <c r="BO1150">
        <f>'Grid_Stock'!BM29</f>
        <v/>
      </c>
      <c r="BP1150">
        <f>'Grid_Stock'!BN29</f>
        <v/>
      </c>
      <c r="BQ1150">
        <f>'Grid_Stock'!BO29</f>
        <v/>
      </c>
      <c r="BR1150">
        <f>'Grid_Stock'!BP29</f>
        <v/>
      </c>
      <c r="BS1150">
        <f>'Grid_Stock'!BQ29</f>
        <v/>
      </c>
      <c r="BT1150">
        <f>'Grid_Stock'!BR29</f>
        <v/>
      </c>
      <c r="BU1150">
        <f>'Grid_Stock'!BS29</f>
        <v/>
      </c>
      <c r="BV1150">
        <f>'Grid_Stock'!BT29</f>
        <v/>
      </c>
      <c r="BW1150">
        <f>'Grid_Stock'!BU29</f>
        <v/>
      </c>
      <c r="BX1150">
        <f>'Grid_Stock'!BV29</f>
        <v/>
      </c>
      <c r="BY1150">
        <f>'Grid_Stock'!BW29</f>
        <v/>
      </c>
      <c r="BZ1150">
        <f>'Grid_Stock'!BX29</f>
        <v/>
      </c>
      <c r="CA1150">
        <f>'Grid_Stock'!BY29</f>
        <v/>
      </c>
      <c r="CB1150">
        <f>'Grid_Stock'!BZ29</f>
        <v/>
      </c>
      <c r="CC1150">
        <f>'Grid_Stock'!CA29</f>
        <v/>
      </c>
      <c r="CD1150">
        <f>'Grid_Stock'!CB29</f>
        <v/>
      </c>
      <c r="CE1150">
        <f>'Grid_Stock'!CC29</f>
        <v/>
      </c>
      <c r="CF1150">
        <f>'Grid_Stock'!CD29</f>
        <v/>
      </c>
      <c r="CG1150">
        <f>'Grid_Stock'!CE29</f>
        <v/>
      </c>
      <c r="CH1150">
        <f>'Grid_Stock'!CF29</f>
        <v/>
      </c>
      <c r="CI1150">
        <f>'Grid_Stock'!CG29</f>
        <v/>
      </c>
      <c r="CJ1150">
        <f>'Grid_Stock'!CH29</f>
        <v/>
      </c>
      <c r="CK1150">
        <f>'Grid_Stock'!CI29</f>
        <v/>
      </c>
      <c r="CL1150">
        <f>'Grid_Stock'!CJ29</f>
        <v/>
      </c>
      <c r="CM1150">
        <f>'Grid_Stock'!CK29</f>
        <v/>
      </c>
      <c r="CN1150">
        <f>'Grid_Stock'!CL29</f>
        <v/>
      </c>
      <c r="CO1150">
        <f>'Grid_Stock'!CM29</f>
        <v/>
      </c>
      <c r="CP1150">
        <f>'Grid_Stock'!CN29</f>
        <v/>
      </c>
      <c r="CQ1150">
        <f>'Grid_Stock'!CO29</f>
        <v/>
      </c>
      <c r="CR1150">
        <f>'Grid_Stock'!CP29</f>
        <v/>
      </c>
      <c r="CS1150">
        <f>'Grid_Stock'!CQ29</f>
        <v/>
      </c>
      <c r="CT1150">
        <f>'Grid_Stock'!CR29</f>
        <v/>
      </c>
      <c r="CU1150">
        <f>'Grid_Stock'!CS29</f>
        <v/>
      </c>
      <c r="CV1150">
        <f>'Grid_Stock'!CT29</f>
        <v/>
      </c>
      <c r="CW1150">
        <f>'Grid_Stock'!CU29</f>
        <v/>
      </c>
      <c r="CX1150">
        <f>'Grid_Stock'!CV29</f>
        <v/>
      </c>
      <c r="CY1150">
        <f>'Grid_Stock'!CW29</f>
        <v/>
      </c>
      <c r="CZ1150">
        <f>'Grid_Stock'!CX29</f>
        <v/>
      </c>
      <c r="DA1150">
        <f>'Grid_Stock'!CY29</f>
        <v/>
      </c>
      <c r="DB1150">
        <f>'Grid_Stock'!CZ29</f>
        <v/>
      </c>
      <c r="DC1150">
        <f>'Grid_Stock'!DA29</f>
        <v/>
      </c>
    </row>
    <row r="1151">
      <c r="B1151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46227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4HL</t>
        </is>
      </c>
      <c r="B11" s="21" t="n">
        <v>0</v>
      </c>
      <c r="C11" s="22" t="n">
        <v>46020</v>
      </c>
    </row>
    <row r="12">
      <c r="A12" t="inlineStr">
        <is>
          <t>1EK</t>
        </is>
      </c>
      <c r="B12" s="21" t="n">
        <v>0</v>
      </c>
      <c r="C12" s="22" t="n">
        <v>46020</v>
      </c>
    </row>
    <row r="13">
      <c r="A13" t="inlineStr">
        <is>
          <t>7CL</t>
        </is>
      </c>
      <c r="B13" s="21" t="n">
        <v>0</v>
      </c>
      <c r="C13" s="22" t="n">
        <v>46020</v>
      </c>
    </row>
    <row r="14">
      <c r="A14" t="inlineStr">
        <is>
          <t>9RN</t>
        </is>
      </c>
      <c r="B14" s="21" t="n">
        <v>0</v>
      </c>
      <c r="C14" s="22" t="n">
        <v>46020</v>
      </c>
    </row>
    <row r="15">
      <c r="A15" t="inlineStr">
        <is>
          <t>CHEM-1400</t>
        </is>
      </c>
      <c r="B15" s="21" t="n">
        <v>0</v>
      </c>
      <c r="C15" s="22" t="n">
        <v>46020</v>
      </c>
    </row>
    <row r="16">
      <c r="A16" t="inlineStr">
        <is>
          <t>CHEM-1570</t>
        </is>
      </c>
      <c r="B16" s="21" t="n">
        <v>0</v>
      </c>
      <c r="C16" s="22" t="n">
        <v>46020</v>
      </c>
    </row>
    <row r="17">
      <c r="A17" t="inlineStr">
        <is>
          <t>CHEM-1650</t>
        </is>
      </c>
      <c r="B17" s="21" t="n">
        <v>0</v>
      </c>
      <c r="C17" s="22" t="n">
        <v>46020</v>
      </c>
    </row>
    <row r="18">
      <c r="A18" t="inlineStr">
        <is>
          <t>CHEM-1660</t>
        </is>
      </c>
      <c r="B18" s="21" t="n">
        <v>0</v>
      </c>
      <c r="C18" s="22" t="n">
        <v>46020</v>
      </c>
    </row>
    <row r="19">
      <c r="A19" t="inlineStr">
        <is>
          <t>CHEM-1600</t>
        </is>
      </c>
      <c r="B19" s="21" t="n">
        <v>0</v>
      </c>
      <c r="C19" s="22" t="n">
        <v>46020</v>
      </c>
    </row>
    <row r="20">
      <c r="A20" t="inlineStr">
        <is>
          <t>CHEM-1280</t>
        </is>
      </c>
      <c r="B20" s="21" t="n">
        <v>0</v>
      </c>
      <c r="C20" s="22" t="n">
        <v>46020</v>
      </c>
    </row>
    <row r="21">
      <c r="A21" t="inlineStr">
        <is>
          <t>CHEM-1240</t>
        </is>
      </c>
      <c r="B21" s="21" t="n">
        <v>0</v>
      </c>
      <c r="C21" s="22" t="n">
        <v>46020</v>
      </c>
    </row>
    <row r="22">
      <c r="A22" t="inlineStr">
        <is>
          <t>0JN</t>
        </is>
      </c>
      <c r="B22" s="21" t="n">
        <v>0</v>
      </c>
      <c r="C22" s="22" t="n">
        <v>46020</v>
      </c>
    </row>
    <row r="23">
      <c r="A23" t="inlineStr">
        <is>
          <t>CHEM-1760</t>
        </is>
      </c>
      <c r="B23" s="21" t="n">
        <v>0</v>
      </c>
      <c r="C23" s="22" t="n">
        <v>46020</v>
      </c>
    </row>
    <row r="24">
      <c r="A24" t="inlineStr">
        <is>
          <t>Original Towel</t>
        </is>
      </c>
      <c r="B24" s="21" t="n">
        <v>0</v>
      </c>
      <c r="C24" s="22" t="n">
        <v>46020</v>
      </c>
    </row>
    <row r="25">
      <c r="A25" t="inlineStr">
        <is>
          <t>CHEM-1200</t>
        </is>
      </c>
      <c r="B25" s="21" t="n">
        <v>0</v>
      </c>
      <c r="C25" s="22" t="n">
        <v>46020</v>
      </c>
    </row>
    <row r="26">
      <c r="A26" t="inlineStr">
        <is>
          <t>CHEM-1830</t>
        </is>
      </c>
      <c r="B26" s="21" t="n">
        <v>0</v>
      </c>
      <c r="C26" s="22" t="n">
        <v>46020</v>
      </c>
    </row>
    <row r="27">
      <c r="A27" t="inlineStr">
        <is>
          <t>CHEM-1680</t>
        </is>
      </c>
      <c r="B27" s="21" t="n">
        <v>0</v>
      </c>
      <c r="C27" s="22" t="n">
        <v>46020</v>
      </c>
    </row>
    <row r="28">
      <c r="A28" t="inlineStr">
        <is>
          <t>CHEM-1820</t>
        </is>
      </c>
      <c r="B28" s="21" t="n">
        <v>0</v>
      </c>
      <c r="C28" s="22" t="n">
        <v>46020</v>
      </c>
    </row>
    <row r="29">
      <c r="A29" t="inlineStr">
        <is>
          <t>CHEM-1840</t>
        </is>
      </c>
      <c r="B29" s="21" t="n">
        <v>0</v>
      </c>
      <c r="C29" s="22" t="n">
        <v>46020</v>
      </c>
    </row>
    <row r="30">
      <c r="A30" t="inlineStr">
        <is>
          <t>TDJ</t>
        </is>
      </c>
      <c r="B30" s="21" t="n">
        <v>0</v>
      </c>
      <c r="C30" s="22" t="n">
        <v>46020</v>
      </c>
    </row>
    <row r="31">
      <c r="A31" t="inlineStr">
        <is>
          <t>CHEM-1730</t>
        </is>
      </c>
      <c r="B31" s="21" t="n">
        <v>0</v>
      </c>
      <c r="C31" s="22" t="n">
        <v>46020</v>
      </c>
    </row>
    <row r="32">
      <c r="A32" t="inlineStr">
        <is>
          <t>CHEM-1430</t>
        </is>
      </c>
      <c r="B32" s="21" t="n">
        <v>0</v>
      </c>
      <c r="C32" s="22" t="n">
        <v>46020</v>
      </c>
    </row>
    <row r="33">
      <c r="A33" t="inlineStr">
        <is>
          <t>CHEM-1480</t>
        </is>
      </c>
      <c r="B33" s="21" t="n">
        <v>0</v>
      </c>
      <c r="C33" s="22" t="n">
        <v>46020</v>
      </c>
    </row>
    <row r="34">
      <c r="A34" t="inlineStr">
        <is>
          <t>CHEM-1560</t>
        </is>
      </c>
      <c r="B34" s="21" t="n">
        <v>0</v>
      </c>
      <c r="C34" s="22" t="n">
        <v>46020</v>
      </c>
    </row>
    <row r="35">
      <c r="A35" t="inlineStr">
        <is>
          <t>CHEM-1510</t>
        </is>
      </c>
      <c r="B35" s="21" t="n">
        <v>0</v>
      </c>
      <c r="C35" s="22" t="n">
        <v>46020</v>
      </c>
    </row>
    <row r="36">
      <c r="A36" t="inlineStr">
        <is>
          <t>CHEM-1770</t>
        </is>
      </c>
      <c r="B36" s="21" t="n">
        <v>0</v>
      </c>
      <c r="C36" s="22" t="n">
        <v>46020</v>
      </c>
    </row>
    <row r="37">
      <c r="A37" t="inlineStr">
        <is>
          <t>CHEM-1020</t>
        </is>
      </c>
      <c r="B37" s="21" t="n">
        <v>0</v>
      </c>
      <c r="C37" s="22" t="n">
        <v>46020</v>
      </c>
    </row>
    <row r="38">
      <c r="A38" t="inlineStr">
        <is>
          <t>Ester Film</t>
        </is>
      </c>
      <c r="B38" s="21" t="n">
        <v>0</v>
      </c>
      <c r="C38" s="22" t="n">
        <v>46020</v>
      </c>
    </row>
    <row r="39">
      <c r="A39" t="inlineStr">
        <is>
          <t>PP Film</t>
        </is>
      </c>
      <c r="B39" s="21" t="n">
        <v>0</v>
      </c>
      <c r="C39" s="22" t="n">
        <v>46020</v>
      </c>
    </row>
    <row r="40">
      <c r="A40" t="inlineStr">
        <is>
          <t>5SN</t>
        </is>
      </c>
      <c r="B40" s="21" t="n">
        <v>0</v>
      </c>
      <c r="C40" s="22" t="n">
        <v>46020</v>
      </c>
    </row>
    <row r="41">
      <c r="A41" t="inlineStr">
        <is>
          <t>1JN</t>
        </is>
      </c>
      <c r="B41" s="21" t="n">
        <v>0</v>
      </c>
      <c r="C41" s="22" t="n">
        <v>46020</v>
      </c>
    </row>
    <row r="42">
      <c r="A42" t="inlineStr">
        <is>
          <t>V03</t>
        </is>
      </c>
      <c r="B42" s="21" t="n">
        <v>0</v>
      </c>
      <c r="C42" s="22" t="n">
        <v>46020</v>
      </c>
    </row>
    <row r="43">
      <c r="A43" t="inlineStr">
        <is>
          <t>V19</t>
        </is>
      </c>
      <c r="B43" s="21" t="n">
        <v>0</v>
      </c>
      <c r="C43" s="22" t="n">
        <v>46020</v>
      </c>
    </row>
    <row r="44">
      <c r="A44" t="inlineStr">
        <is>
          <t>3TP</t>
        </is>
      </c>
      <c r="B44" s="21" t="n">
        <v>0</v>
      </c>
      <c r="C44" s="22" t="n">
        <v>46020</v>
      </c>
    </row>
    <row r="45">
      <c r="A45" t="inlineStr">
        <is>
          <t>A043</t>
        </is>
      </c>
      <c r="B45" s="21" t="n">
        <v>0</v>
      </c>
      <c r="C45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2026-07-24T12:23:03Z</dcterms:created>
  <dcterms:modified xsi:type="dcterms:W3CDTF">2026-07-24T12:23:04Z</dcterms:modified>
</cp:coreProperties>
</file>