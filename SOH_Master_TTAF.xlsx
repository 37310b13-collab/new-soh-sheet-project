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sheets/sheet25.xml" ContentType="application/vnd.openxmlformats-officedocument.spreadsheetml.worksheet+xml"/>
  <Override PartName="/xl/tables/table1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PlannedOrders" sheetId="9" state="visible" r:id="rId9"/>
    <sheet name="T_OpeningStock" sheetId="10" state="visible" r:id="rId10"/>
    <sheet name="T_StockCount" sheetId="11" state="visible" r:id="rId11"/>
    <sheet name="T_SelfStock" sheetId="12" state="visible" r:id="rId12"/>
    <sheet name="T_TTAFStock" sheetId="13" state="visible" r:id="rId13"/>
    <sheet name="M_RawMaterials" sheetId="14" state="visible" r:id="rId14"/>
    <sheet name="M_BOM" sheetId="15" state="visible" r:id="rId15"/>
    <sheet name="PP_Grid" sheetId="16" state="visible" r:id="rId16"/>
    <sheet name="Cal_Weeks" sheetId="17" state="hidden" r:id="rId17"/>
    <sheet name="M_Intermediates" sheetId="18" state="hidden" r:id="rId18"/>
    <sheet name="M_ProductMap" sheetId="19" state="hidden" r:id="rId19"/>
    <sheet name="Grid_Requirement" sheetId="20" state="hidden" r:id="rId20"/>
    <sheet name="Grid_Incoming" sheetId="21" state="hidden" r:id="rId21"/>
    <sheet name="Grid_Stock" sheetId="22" state="hidden" r:id="rId22"/>
    <sheet name="Grid_TheoreticalStock" sheetId="23" state="hidden" r:id="rId23"/>
    <sheet name="T_SelfStock_Log" sheetId="24" state="hidden" r:id="rId24"/>
    <sheet name="T_TTAFStock_Log" sheetId="25" state="hidden" r:id="rId2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1" authorId="0" shapeId="0">
      <text>
        <t>MOQ(最小発注量)を入力してください（手書きでOK）</t>
      </text>
    </comment>
    <comment ref="C53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111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71" authorId="0" shapeId="0">
      <text>
        <t>MOQ(最小発注量)を入力してください（手書きでOK）</t>
      </text>
    </comment>
    <comment ref="C209" authorId="0" shapeId="0">
      <text>
        <t>MOQ(最小発注量)を入力してください（手書きでOK）</t>
      </text>
    </comment>
    <comment ref="C225" authorId="0" shapeId="0">
      <text>
        <t>MOQ(最小発注量)を入力してください（手書きでOK）</t>
      </text>
    </comment>
    <comment ref="C241" authorId="0" shapeId="0">
      <text>
        <t>MOQ(最小発注量)を入力してください（手書きでOK）</t>
      </text>
    </comment>
    <comment ref="C271" authorId="0" shapeId="0">
      <text>
        <t>MOQ(最小発注量)を入力してください（手書きでOK）</t>
      </text>
    </comment>
    <comment ref="C413" authorId="0" shapeId="0">
      <text>
        <t>MOQ(最小発注量)を入力してください（手書きでOK）</t>
      </text>
    </comment>
    <comment ref="C509" authorId="0" shapeId="0">
      <text>
        <t>MOQ(最小発注量)を入力してください（手書きでOK）</t>
      </text>
    </comment>
    <comment ref="C591" authorId="0" shapeId="0">
      <text>
        <t>MOQ(最小発注量)を入力してください（手書きでOK）</t>
      </text>
    </comment>
    <comment ref="C609" authorId="0" shapeId="0">
      <text>
        <t>MOQ(最小発注量)を入力してください（手書きでOK）</t>
      </text>
    </comment>
    <comment ref="C639" authorId="0" shapeId="0">
      <text>
        <t>MOQ(最小発注量)を入力してください（手書きでOK）</t>
      </text>
    </comment>
    <comment ref="C707" authorId="0" shapeId="0">
      <text>
        <t>MOQ(最小発注量)を入力してください（手書きでOK）</t>
      </text>
    </comment>
    <comment ref="C735" authorId="0" shapeId="0">
      <text>
        <t>MOQ(最小発注量)を入力してください（手書きでOK）</t>
      </text>
    </comment>
    <comment ref="C779" authorId="0" shapeId="0">
      <text>
        <t>MOQ(最小発注量)を入力してください（手書きでOK）</t>
      </text>
    </comment>
    <comment ref="C809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69" authorId="0" shapeId="0">
      <text>
        <t>MOQ(最小発注量)を入力してください（手書きでOK）</t>
      </text>
    </comment>
    <comment ref="C893" authorId="0" shapeId="0">
      <text>
        <t>MOQ(最小発注量)を入力してください（手書きでOK）</t>
      </text>
    </comment>
    <comment ref="C907" authorId="0" shapeId="0">
      <text>
        <t>MOQ(最小発注量)を入力してください（手書きでOK）</t>
      </text>
    </comment>
    <comment ref="C917" authorId="0" shapeId="0">
      <text>
        <t>MOQ(最小発注量)を入力してください（手書きでOK）</t>
      </text>
    </comment>
    <comment ref="C927" authorId="0" shapeId="0">
      <text>
        <t>MOQ(最小発注量)を入力してください（手書きでOK）</t>
      </text>
    </comment>
    <comment ref="C939" authorId="0" shapeId="0">
      <text>
        <t>MOQ(最小発注量)を入力してください（手書きでOK）</t>
      </text>
    </comment>
    <comment ref="C951" authorId="0" shapeId="0">
      <text>
        <t>MOQ(最小発注量)を入力してください（手書きでOK）</t>
      </text>
    </comment>
    <comment ref="C965" authorId="0" shapeId="0">
      <text>
        <t>MOQ(最小発注量)を入力してください（手書きでOK）</t>
      </text>
    </comment>
    <comment ref="C981" authorId="0" shapeId="0">
      <text>
        <t>MOQ(最小発注量)を入力してください（手書きでOK）</t>
      </text>
    </comment>
    <comment ref="C997" authorId="0" shapeId="0">
      <text>
        <t>MOQ(最小発注量)を入力してください（手書きでOK）</t>
      </text>
    </comment>
    <comment ref="C1011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9" authorId="0" shapeId="0">
      <text>
        <t>MOQ(最小発注量)を入力してください（手書きでOK）</t>
      </text>
    </comment>
    <comment ref="C1059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126" headerRowCount="1">
  <autoFilter ref="A1:I126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4.xml><?xml version="1.0" encoding="utf-8"?>
<table xmlns="http://schemas.openxmlformats.org/spreadsheetml/2006/main" id="4" name="T_OpeningStock" displayName="T_OpeningStock" ref="A1:C37" headerRowCount="1">
  <autoFilter ref="A1:C37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5.xml><?xml version="1.0" encoding="utf-8"?>
<table xmlns="http://schemas.openxmlformats.org/spreadsheetml/2006/main" id="5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6.xml><?xml version="1.0" encoding="utf-8"?>
<table xmlns="http://schemas.openxmlformats.org/spreadsheetml/2006/main" id="6" name="M_RawMaterials" displayName="M_RawMaterials" ref="A1:J37" headerRowCount="1">
  <autoFilter ref="A1:J37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7.xml><?xml version="1.0" encoding="utf-8"?>
<table xmlns="http://schemas.openxmlformats.org/spreadsheetml/2006/main" id="7" name="M_BOM" displayName="M_BOM" ref="A1:D392" headerRowCount="1">
  <autoFilter ref="A1:D392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8.xml><?xml version="1.0" encoding="utf-8"?>
<table xmlns="http://schemas.openxmlformats.org/spreadsheetml/2006/main" id="8" name="PP_Grid" displayName="PP_Grid" ref="A1:DA96" headerRowCount="1">
  <autoFilter ref="A1:DA9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9.xml><?xml version="1.0" encoding="utf-8"?>
<table xmlns="http://schemas.openxmlformats.org/spreadsheetml/2006/main" id="9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10.xml><?xml version="1.0" encoding="utf-8"?>
<table xmlns="http://schemas.openxmlformats.org/spreadsheetml/2006/main" id="10" name="M_Intermediates" displayName="M_Intermediates" ref="A1:D96" headerRowCount="1">
  <autoFilter ref="A1:D9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1.xml><?xml version="1.0" encoding="utf-8"?>
<table xmlns="http://schemas.openxmlformats.org/spreadsheetml/2006/main" id="11" name="M_ProductMap" displayName="M_ProductMap" ref="A1:B146" headerRowCount="1">
  <autoFilter ref="A1:B146"/>
  <tableColumns count="2">
    <tableColumn id="1" name="Intermediate"/>
    <tableColumn id="2" name="Product_Code"/>
  </tableColumns>
  <tableStyleInfo name="TableStyleMedium9" showRowStripes="1"/>
</table>
</file>

<file path=xl/tables/table12.xml><?xml version="1.0" encoding="utf-8"?>
<table xmlns="http://schemas.openxmlformats.org/spreadsheetml/2006/main" id="12" name="Grid_Requirement" displayName="Grid_Requirement" ref="A1:DA37" headerRowCount="1">
  <autoFilter ref="A1:DA3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Incoming" displayName="Grid_Incoming" ref="A1:DA37" headerRowCount="1">
  <autoFilter ref="A1:DA3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tock" displayName="Grid_Stock" ref="A1:DA37" headerRowCount="1">
  <autoFilter ref="A1:DA3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Grid_TheoreticalStock" displayName="Grid_TheoreticalStock" ref="A1:DA37" headerRowCount="1">
  <autoFilter ref="A1:DA3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6.xml><?xml version="1.0" encoding="utf-8"?>
<table xmlns="http://schemas.openxmlformats.org/spreadsheetml/2006/main" id="16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7.xml><?xml version="1.0" encoding="utf-8"?>
<table xmlns="http://schemas.openxmlformats.org/spreadsheetml/2006/main" id="17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PlannedOrders'!A1" TargetMode="External" Id="rId8" /><Relationship Type="http://schemas.openxmlformats.org/officeDocument/2006/relationships/hyperlink" Target="#'T_OpeningStock'!A1" TargetMode="External" Id="rId9" /><Relationship Type="http://schemas.openxmlformats.org/officeDocument/2006/relationships/hyperlink" Target="#'T_StockCount'!A1" TargetMode="External" Id="rId10" /><Relationship Type="http://schemas.openxmlformats.org/officeDocument/2006/relationships/hyperlink" Target="#'T_SelfStock'!A1" TargetMode="External" Id="rId11" /><Relationship Type="http://schemas.openxmlformats.org/officeDocument/2006/relationships/hyperlink" Target="#'T_TTAFStock'!A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T_PlannedOrders - 計画中の発注の入力（PO Noが出る前の予定分。Material_DetailのOrder行に反映）</t>
        </is>
      </c>
    </row>
    <row r="11">
      <c r="A11" s="3" t="inlineStr">
        <is>
          <t>▶ T_OpeningStock - 期首在庫の入力</t>
        </is>
      </c>
    </row>
    <row r="12">
      <c r="A12" s="3" t="inlineStr">
        <is>
          <t>▶ T_StockCount - 棚卸実績の入力</t>
        </is>
      </c>
    </row>
    <row r="13">
      <c r="A13" s="3" t="inlineStr">
        <is>
          <t>▶ T_SelfStock - 自社倉庫の在庫実績（材料×週。RefreshSelfStockで自動更新）</t>
        </is>
      </c>
    </row>
    <row r="14">
      <c r="A14" s="3" t="inlineStr">
        <is>
          <t>▶ T_TTAFStock - TTAF倉庫の在庫実績（材料×週。RefreshTTAFStockで自動更新）</t>
        </is>
      </c>
    </row>
    <row r="16">
      <c r="A16" t="inlineStr"/>
    </row>
    <row r="17">
      <c r="A17" t="inlineStr">
        <is>
          <t>このブックはPower BI等に読み込ませる中間テーブルではなく、これ自体が完成品です。</t>
        </is>
      </c>
    </row>
    <row r="18">
      <c r="A18" t="inlineStr">
        <is>
          <t>Dashboard と PO_Draft_* が最終的な閲覧・発注画面、それ以外は計算の土台です。</t>
        </is>
      </c>
    </row>
    <row r="19">
      <c r="A19" t="inlineStr"/>
    </row>
    <row r="20">
      <c r="A20" t="inlineStr">
        <is>
          <t>【週番号のルール】すべてExcelの数式で計算（Cal_WeeksのB1=AnchorYearを変えると全体が再計算）</t>
        </is>
      </c>
    </row>
    <row r="21">
      <c r="A21" t="inlineStr">
        <is>
          <t xml:space="preserve">  Week1=1月1日を含む月〜日の週。年が変わると再び1にリセットされます（2026-W52の次は2027-W01）。</t>
        </is>
      </c>
    </row>
    <row r="22">
      <c r="A22" t="inlineStr">
        <is>
          <t xml:space="preserve">  各シートの週見出しは3段: 1段目=月-年(Aug-26等) / 2段目=その週月曜の日付 / 3段目=週No。</t>
        </is>
      </c>
    </row>
    <row r="23">
      <c r="A23" t="inlineStr"/>
    </row>
    <row r="24">
      <c r="A24" t="inlineStr">
        <is>
          <t>【普段見るシート】</t>
        </is>
      </c>
    </row>
    <row r="25">
      <c r="A25" t="inlineStr">
        <is>
          <t xml:space="preserve">  Dashboard           : 原材料×週の在庫を2年分、横軸で見渡せるメイン画面（まずここ）。</t>
        </is>
      </c>
    </row>
    <row r="26">
      <c r="A26" t="inlineStr">
        <is>
          <t xml:space="preserve">                        自社在庫(実績)・TTAF在庫(実績)・実績週の列で内訳も確認できます。</t>
        </is>
      </c>
    </row>
    <row r="27">
      <c r="A27" t="inlineStr">
        <is>
          <t xml:space="preserve">                        基準在庫(下限/上限)を入力すると、各週のセルが赤(下限未満)/</t>
        </is>
      </c>
    </row>
    <row r="28">
      <c r="A28" t="inlineStr">
        <is>
          <t xml:space="preserve">                        緑(範囲内)/青(上限超)に自動で色分けされます。</t>
        </is>
      </c>
    </row>
    <row r="29">
      <c r="A29" t="inlineStr">
        <is>
          <t xml:space="preserve">                        C1に'W23'のように入力すると（現在年の週Noとして検索）、</t>
        </is>
      </c>
    </row>
    <row r="30">
      <c r="A30" t="inlineStr">
        <is>
          <t xml:space="preserve">                        該当する週の列が太枠でハイライトされます。VBA(JumpToSelectedWeek、</t>
        </is>
      </c>
    </row>
    <row r="31">
      <c r="A31" t="inlineStr">
        <is>
          <t xml:space="preserve">                        要ボタン設定・詳細はdocs/SOH_System_Guide.md)を導入していれば、</t>
        </is>
      </c>
    </row>
    <row r="32">
      <c r="A32" t="inlineStr">
        <is>
          <t xml:space="preserve">                        実績週のすぐ右にその週の列が来るよう自動でスクロールもされます。</t>
        </is>
      </c>
    </row>
    <row r="33">
      <c r="A33" t="inlineStr">
        <is>
          <t xml:space="preserve">  Material_Detail     : 材料ごとに「どの中間体が・何バッチ・いくら使うか」をブロック表示（トレーサビリティ）。</t>
        </is>
      </c>
    </row>
    <row r="34">
      <c r="A34" t="inlineStr">
        <is>
          <t xml:space="preserve">                        Dashboardと同様にC1に'W23'のように入力すると該当週が求まり、</t>
        </is>
      </c>
    </row>
    <row r="35">
      <c r="A35" t="inlineStr">
        <is>
          <t xml:space="preserve">                        VBA導入時はその週列のすぐ右に自動でスクロールします。</t>
        </is>
      </c>
    </row>
    <row r="36">
      <c r="A36" t="inlineStr">
        <is>
          <t xml:space="preserve">                        材料名の右のC列にMOQ(最小発注量)を手入力できます。</t>
        </is>
      </c>
    </row>
    <row r="37">
      <c r="A37" t="inlineStr">
        <is>
          <t xml:space="preserve">                        合計使用量の下にTTAF在庫実績・自社在庫実績・Order(発注予定)・</t>
        </is>
      </c>
    </row>
    <row r="38">
      <c r="A38" t="inlineStr">
        <is>
          <t xml:space="preserve">                        合計在庫(週末時点)の週次推移も表示されます。</t>
        </is>
      </c>
    </row>
    <row r="39">
      <c r="A39" t="inlineStr">
        <is>
          <t xml:space="preserve">                        HideInactiveIntermediatesマクロ(要ボタン設定)で、指定期間ずっと生産予定の無い</t>
        </is>
      </c>
    </row>
    <row r="40">
      <c r="A40" t="inlineStr">
        <is>
          <t xml:space="preserve">                        中間体の行を折りたためます（在庫関連の行は常に表示されたままです）。</t>
        </is>
      </c>
    </row>
    <row r="41">
      <c r="A41" t="inlineStr">
        <is>
          <t xml:space="preserve">  PO_Draft_*          : 要発注分を注文書ひな形に自動転記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T_PlannedOrders     : PO Noがまだ出ていない「計画中の発注」の入力（材料名・数量・納品予定日・</t>
        </is>
      </c>
    </row>
    <row r="47">
      <c r="A47" t="inlineStr">
        <is>
          <t xml:space="preserve">                        発注月）。Material_Detailの「Order」行に反映されます。同じ材料・発注月の</t>
        </is>
      </c>
    </row>
    <row r="48">
      <c r="A48" t="inlineStr">
        <is>
          <t xml:space="preserve">                        実データがT_Shipments(RefreshShipmentsで毎週更新)に現れたら</t>
        </is>
      </c>
    </row>
    <row r="49">
      <c r="A49" t="inlineStr">
        <is>
          <t xml:space="preserve">                        自動的に消え（二重計上防止）、手動削除は不要です。</t>
        </is>
      </c>
    </row>
    <row r="50">
      <c r="A50" t="inlineStr">
        <is>
          <t xml:space="preserve">  T_OpeningStock/T_StockCount : 入力用</t>
        </is>
      </c>
    </row>
    <row r="51">
      <c r="A51" t="inlineStr">
        <is>
          <t xml:space="preserve">  T_SelfStock/T_TTAFStock : 材料×週のグリッドで自社/TTAF在庫実績を表示（出力・閲覧用）。</t>
        </is>
      </c>
    </row>
    <row r="52">
      <c r="A52" t="inlineStr">
        <is>
          <t xml:space="preserve">                        RefreshSelfStock/RefreshTTAFStockで更新されます。手入力はしないでください</t>
        </is>
      </c>
    </row>
    <row r="53">
      <c r="A53" t="inlineStr">
        <is>
          <t xml:space="preserve">                        （生データは非表示のT_SelfStock_Log/T_TTAFStock_Logに安全に保存されています）。</t>
        </is>
      </c>
    </row>
    <row r="54">
      <c r="A54" t="inlineStr"/>
    </row>
    <row r="55">
      <c r="A55" t="inlineStr">
        <is>
          <t xml:space="preserve">  M_RawMaterials・M_BOM・PP_Grid・Grid_Stock・その他非表示シートは内部計算用です。通常は開く必要はありません。</t>
        </is>
      </c>
    </row>
    <row r="56">
      <c r="A56" t="inlineStr"/>
    </row>
    <row r="57">
      <c r="A57" t="inlineStr">
        <is>
          <t>【重要】原単位・バッチ数・自社/TTAF在庫・発注実績はPythonを使わず、Excel(VBA)マクロだけで更新できます。</t>
        </is>
      </c>
    </row>
    <row r="58">
      <c r="A58" t="inlineStr">
        <is>
          <t xml:space="preserve">  macros/フォルダのRefreshData_*.bas(7ファイル)を導入し、RefreshWeeklyBatches / RefreshBOM / RefreshSelfStock /</t>
        </is>
      </c>
    </row>
    <row r="59">
      <c r="A59" t="inlineStr">
        <is>
          <t xml:space="preserve">  RefreshTTAFStock / RefreshShipments を実行してください（対象ファイルを選ぶだけです。</t>
        </is>
      </c>
    </row>
    <row r="60">
      <c r="A60" t="inlineStr">
        <is>
          <t xml:space="preserve">  詳細はdocs/SOH_System_Guide.md、未検証のため要動作確認）。</t>
        </is>
      </c>
    </row>
    <row r="61">
      <c r="A61" t="inlineStr">
        <is>
          <t xml:space="preserve">  T_Shipments・T_OpeningStock・T_StockCount・T_PlannedOrders等の入力内容は上書きされません</t>
        </is>
      </c>
    </row>
    <row r="62">
      <c r="A62" t="inlineStr">
        <is>
          <t xml:space="preserve">  （T_ShipmentsはRefreshShipmentsを実行した場合のみ更新されます）。</t>
        </is>
      </c>
    </row>
    <row r="63">
      <c r="A63" t="inlineStr">
        <is>
          <t xml:space="preserve">  Material_Detailの中間体の行を隠す/戻すHideInactiveIntermediates / ShowAllIntermediatesは、</t>
        </is>
      </c>
    </row>
    <row r="64">
      <c r="A64" t="inlineStr">
        <is>
          <t xml:space="preserve">  ボタンへの割り当てが必要な一度だけの手動設定です（詳細はdocs/SOH_System_Guide.md）。</t>
        </is>
      </c>
    </row>
    <row r="65">
      <c r="A65" t="inlineStr"/>
    </row>
    <row r="66">
      <c r="A66" t="inlineStr">
        <is>
          <t>【毎月の運用】</t>
        </is>
      </c>
    </row>
    <row r="67">
      <c r="A67" t="inlineStr">
        <is>
          <t xml:space="preserve">  1. 「Powder &amp; Slurry &amp; Pgm Plan」の新しい月版でRefreshWeeklyBatchesを実行</t>
        </is>
      </c>
    </row>
    <row r="68">
      <c r="A68" t="inlineStr">
        <is>
          <t xml:space="preserve">  2. 「Usage from Production Engineering」が更新されていればRefreshBOMを実行</t>
        </is>
      </c>
    </row>
    <row r="69">
      <c r="A69" t="inlineStr">
        <is>
          <t xml:space="preserve">  3. 自社倉庫の現物確認を毎週月曜の朝に実施したらRefreshSelfStockを実行</t>
        </is>
      </c>
    </row>
    <row r="70">
      <c r="A70" t="inlineStr">
        <is>
          <t xml:space="preserve">  4. CSA Reportが毎週月曜に届いたらRefreshTTAFStockとRefreshShipmentsを実行</t>
        </is>
      </c>
    </row>
    <row r="71">
      <c r="A71" t="inlineStr">
        <is>
          <t xml:space="preserve">  5. 新しく発注したらT_PlannedOrdersに追記（材料名・数量・納品予定日・発注月）</t>
        </is>
      </c>
    </row>
    <row r="72">
      <c r="A72" t="inlineStr">
        <is>
          <t xml:space="preserve">  6. 棚卸を実施したらT_StockCountに実測値を追記（Date列に実施日を入力。WeekIndex列は自動計算）</t>
        </is>
      </c>
    </row>
    <row r="73">
      <c r="A73" t="inlineStr">
        <is>
          <t xml:space="preserve">  7. Dashboardで赤色(基準在庫の下限未満)の週を確認し、PO_Draft_*から注文書を出力</t>
        </is>
      </c>
    </row>
    <row r="74">
      <c r="A74" t="inlineStr">
        <is>
          <t xml:space="preserve">  8. 月初は、前月最終週と当月頭のDashboardを見比べて在庫差異を確認（Plan Increase and Decrease /</t>
        </is>
      </c>
    </row>
    <row r="75">
      <c r="A75" t="inlineStr">
        <is>
          <t xml:space="preserve">     Inventory Releasesの報告フォーマットに転記）</t>
        </is>
      </c>
    </row>
    <row r="76">
      <c r="A76" t="inlineStr"/>
    </row>
    <row r="77">
      <c r="A77" t="inlineStr">
        <is>
          <t>【前提・要確認事項】詳細はdocs/SOH_System_Guide.mdを参照</t>
        </is>
      </c>
    </row>
    <row r="78">
      <c r="A78" t="inlineStr">
        <is>
          <t xml:space="preserve">  - M_RawMaterials の基準在庫(下限/上限)とLeadTime_Weeksは仮値(0)です。実際の水準に置き換えてください</t>
        </is>
      </c>
    </row>
    <row r="79">
      <c r="A79" t="inlineStr">
        <is>
          <t xml:space="preserve">    （Dashboardの週次セルの赤/緑/青の色分けに使われます）。</t>
        </is>
      </c>
    </row>
    <row r="80">
      <c r="A80" t="inlineStr">
        <is>
          <t xml:space="preserve">  - Categoryの割り当て(Chemical/Hazardous Chemical/Substrate)は入手データから機械的に推定した部分があります。要レビュー。</t>
        </is>
      </c>
    </row>
    <row r="81">
      <c r="A81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「Usage from Production Engineering」が更新されたら実行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78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CHEM-1670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CHEM-1670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CHEM-1110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CHEM-1110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CHEM-1240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CHEM-1240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CHEM-1510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CHEM-1510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CHEM-1580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CHEM-1580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CHEM-1250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CHEM-1250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CHEM-1600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CHEM-1600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CHEM-1120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CHEM-1120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CHEM-1550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CHEM-1550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CHEM-1440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CHEM-1440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CHEM-1780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CHEM-1780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CHEM-1400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CHEM-1400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CHEM-1650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CHEM-1650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CHEM-1660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CHEM-1660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CHEM-1420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CHEM-1420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CHEM-1530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CHEM-1530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CHEM-1480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CHEM-1480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CHEM-1540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CHEM-1540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CHEM-1680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CHEM-1680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CHEM-1730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CHEM-1730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CHEM-1280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CHEM-1280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CHEM-1570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CHEM-1570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CHEM-1450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CHEM-1450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CHEM-1770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CHEM-1770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CHEM-1430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CHEM-1430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CHEM-1470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CHEM-1470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CHEM-1010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CHEM-1010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CHEM-1760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CHEM-1760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CHEM-1700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CHEM-1700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CHEM-1850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CHEM-1850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CHEM-1560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CHEM-1560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CHEM-1690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CHEM-1690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CHEM-1720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CHEM-1720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Ester Film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Ester Film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Original Towel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Original Towel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PP Film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PP Film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</sheetData>
  <conditionalFormatting sqref="K7:DJ78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78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D106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CHEM-1010</t>
        </is>
      </c>
      <c r="B7" s="21" t="inlineStr">
        <is>
          <t>Sodium Carbonate Anhydrous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SOL-20P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TPP-699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12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TPP-700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12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TPP-701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12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TPP-825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12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TSP-049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TSP-067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TSP-069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TSP-224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TSP-668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TSP-669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TSP-828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s="5" t="inlineStr">
        <is>
          <t>合計使用量(kg)/週</t>
        </is>
      </c>
      <c r="D34">
        <f>'Grid_Requirement'!B28</f>
        <v/>
      </c>
      <c r="E34">
        <f>'Grid_Requirement'!C28</f>
        <v/>
      </c>
      <c r="F34">
        <f>'Grid_Requirement'!D28</f>
        <v/>
      </c>
      <c r="G34">
        <f>'Grid_Requirement'!E28</f>
        <v/>
      </c>
      <c r="H34">
        <f>'Grid_Requirement'!F28</f>
        <v/>
      </c>
      <c r="I34">
        <f>'Grid_Requirement'!G28</f>
        <v/>
      </c>
      <c r="J34">
        <f>'Grid_Requirement'!H28</f>
        <v/>
      </c>
      <c r="K34">
        <f>'Grid_Requirement'!I28</f>
        <v/>
      </c>
      <c r="L34">
        <f>'Grid_Requirement'!J28</f>
        <v/>
      </c>
      <c r="M34">
        <f>'Grid_Requirement'!K28</f>
        <v/>
      </c>
      <c r="N34">
        <f>'Grid_Requirement'!L28</f>
        <v/>
      </c>
      <c r="O34">
        <f>'Grid_Requirement'!M28</f>
        <v/>
      </c>
      <c r="P34">
        <f>'Grid_Requirement'!N28</f>
        <v/>
      </c>
      <c r="Q34">
        <f>'Grid_Requirement'!O28</f>
        <v/>
      </c>
      <c r="R34">
        <f>'Grid_Requirement'!P28</f>
        <v/>
      </c>
      <c r="S34">
        <f>'Grid_Requirement'!Q28</f>
        <v/>
      </c>
      <c r="T34">
        <f>'Grid_Requirement'!R28</f>
        <v/>
      </c>
      <c r="U34">
        <f>'Grid_Requirement'!S28</f>
        <v/>
      </c>
      <c r="V34">
        <f>'Grid_Requirement'!T28</f>
        <v/>
      </c>
      <c r="W34">
        <f>'Grid_Requirement'!U28</f>
        <v/>
      </c>
      <c r="X34">
        <f>'Grid_Requirement'!V28</f>
        <v/>
      </c>
      <c r="Y34">
        <f>'Grid_Requirement'!W28</f>
        <v/>
      </c>
      <c r="Z34">
        <f>'Grid_Requirement'!X28</f>
        <v/>
      </c>
      <c r="AA34">
        <f>'Grid_Requirement'!Y28</f>
        <v/>
      </c>
      <c r="AB34">
        <f>'Grid_Requirement'!Z28</f>
        <v/>
      </c>
      <c r="AC34">
        <f>'Grid_Requirement'!AA28</f>
        <v/>
      </c>
      <c r="AD34">
        <f>'Grid_Requirement'!AB28</f>
        <v/>
      </c>
      <c r="AE34">
        <f>'Grid_Requirement'!AC28</f>
        <v/>
      </c>
      <c r="AF34">
        <f>'Grid_Requirement'!AD28</f>
        <v/>
      </c>
      <c r="AG34">
        <f>'Grid_Requirement'!AE28</f>
        <v/>
      </c>
      <c r="AH34">
        <f>'Grid_Requirement'!AF28</f>
        <v/>
      </c>
      <c r="AI34">
        <f>'Grid_Requirement'!AG28</f>
        <v/>
      </c>
      <c r="AJ34">
        <f>'Grid_Requirement'!AH28</f>
        <v/>
      </c>
      <c r="AK34">
        <f>'Grid_Requirement'!AI28</f>
        <v/>
      </c>
      <c r="AL34">
        <f>'Grid_Requirement'!AJ28</f>
        <v/>
      </c>
      <c r="AM34">
        <f>'Grid_Requirement'!AK28</f>
        <v/>
      </c>
      <c r="AN34">
        <f>'Grid_Requirement'!AL28</f>
        <v/>
      </c>
      <c r="AO34">
        <f>'Grid_Requirement'!AM28</f>
        <v/>
      </c>
      <c r="AP34">
        <f>'Grid_Requirement'!AN28</f>
        <v/>
      </c>
      <c r="AQ34">
        <f>'Grid_Requirement'!AO28</f>
        <v/>
      </c>
      <c r="AR34">
        <f>'Grid_Requirement'!AP28</f>
        <v/>
      </c>
      <c r="AS34">
        <f>'Grid_Requirement'!AQ28</f>
        <v/>
      </c>
      <c r="AT34">
        <f>'Grid_Requirement'!AR28</f>
        <v/>
      </c>
      <c r="AU34">
        <f>'Grid_Requirement'!AS28</f>
        <v/>
      </c>
      <c r="AV34">
        <f>'Grid_Requirement'!AT28</f>
        <v/>
      </c>
      <c r="AW34">
        <f>'Grid_Requirement'!AU28</f>
        <v/>
      </c>
      <c r="AX34">
        <f>'Grid_Requirement'!AV28</f>
        <v/>
      </c>
      <c r="AY34">
        <f>'Grid_Requirement'!AW28</f>
        <v/>
      </c>
      <c r="AZ34">
        <f>'Grid_Requirement'!AX28</f>
        <v/>
      </c>
      <c r="BA34">
        <f>'Grid_Requirement'!AY28</f>
        <v/>
      </c>
      <c r="BB34">
        <f>'Grid_Requirement'!AZ28</f>
        <v/>
      </c>
      <c r="BC34">
        <f>'Grid_Requirement'!BA28</f>
        <v/>
      </c>
      <c r="BD34">
        <f>'Grid_Requirement'!BB28</f>
        <v/>
      </c>
      <c r="BE34">
        <f>'Grid_Requirement'!BC28</f>
        <v/>
      </c>
      <c r="BF34">
        <f>'Grid_Requirement'!BD28</f>
        <v/>
      </c>
      <c r="BG34">
        <f>'Grid_Requirement'!BE28</f>
        <v/>
      </c>
      <c r="BH34">
        <f>'Grid_Requirement'!BF28</f>
        <v/>
      </c>
      <c r="BI34">
        <f>'Grid_Requirement'!BG28</f>
        <v/>
      </c>
      <c r="BJ34">
        <f>'Grid_Requirement'!BH28</f>
        <v/>
      </c>
      <c r="BK34">
        <f>'Grid_Requirement'!BI28</f>
        <v/>
      </c>
      <c r="BL34">
        <f>'Grid_Requirement'!BJ28</f>
        <v/>
      </c>
      <c r="BM34">
        <f>'Grid_Requirement'!BK28</f>
        <v/>
      </c>
      <c r="BN34">
        <f>'Grid_Requirement'!BL28</f>
        <v/>
      </c>
      <c r="BO34">
        <f>'Grid_Requirement'!BM28</f>
        <v/>
      </c>
      <c r="BP34">
        <f>'Grid_Requirement'!BN28</f>
        <v/>
      </c>
      <c r="BQ34">
        <f>'Grid_Requirement'!BO28</f>
        <v/>
      </c>
      <c r="BR34">
        <f>'Grid_Requirement'!BP28</f>
        <v/>
      </c>
      <c r="BS34">
        <f>'Grid_Requirement'!BQ28</f>
        <v/>
      </c>
      <c r="BT34">
        <f>'Grid_Requirement'!BR28</f>
        <v/>
      </c>
      <c r="BU34">
        <f>'Grid_Requirement'!BS28</f>
        <v/>
      </c>
      <c r="BV34">
        <f>'Grid_Requirement'!BT28</f>
        <v/>
      </c>
      <c r="BW34">
        <f>'Grid_Requirement'!BU28</f>
        <v/>
      </c>
      <c r="BX34">
        <f>'Grid_Requirement'!BV28</f>
        <v/>
      </c>
      <c r="BY34">
        <f>'Grid_Requirement'!BW28</f>
        <v/>
      </c>
      <c r="BZ34">
        <f>'Grid_Requirement'!BX28</f>
        <v/>
      </c>
      <c r="CA34">
        <f>'Grid_Requirement'!BY28</f>
        <v/>
      </c>
      <c r="CB34">
        <f>'Grid_Requirement'!BZ28</f>
        <v/>
      </c>
      <c r="CC34">
        <f>'Grid_Requirement'!CA28</f>
        <v/>
      </c>
      <c r="CD34">
        <f>'Grid_Requirement'!CB28</f>
        <v/>
      </c>
      <c r="CE34">
        <f>'Grid_Requirement'!CC28</f>
        <v/>
      </c>
      <c r="CF34">
        <f>'Grid_Requirement'!CD28</f>
        <v/>
      </c>
      <c r="CG34">
        <f>'Grid_Requirement'!CE28</f>
        <v/>
      </c>
      <c r="CH34">
        <f>'Grid_Requirement'!CF28</f>
        <v/>
      </c>
      <c r="CI34">
        <f>'Grid_Requirement'!CG28</f>
        <v/>
      </c>
      <c r="CJ34">
        <f>'Grid_Requirement'!CH28</f>
        <v/>
      </c>
      <c r="CK34">
        <f>'Grid_Requirement'!CI28</f>
        <v/>
      </c>
      <c r="CL34">
        <f>'Grid_Requirement'!CJ28</f>
        <v/>
      </c>
      <c r="CM34">
        <f>'Grid_Requirement'!CK28</f>
        <v/>
      </c>
      <c r="CN34">
        <f>'Grid_Requirement'!CL28</f>
        <v/>
      </c>
      <c r="CO34">
        <f>'Grid_Requirement'!CM28</f>
        <v/>
      </c>
      <c r="CP34">
        <f>'Grid_Requirement'!CN28</f>
        <v/>
      </c>
      <c r="CQ34">
        <f>'Grid_Requirement'!CO28</f>
        <v/>
      </c>
      <c r="CR34">
        <f>'Grid_Requirement'!CP28</f>
        <v/>
      </c>
      <c r="CS34">
        <f>'Grid_Requirement'!CQ28</f>
        <v/>
      </c>
      <c r="CT34">
        <f>'Grid_Requirement'!CR28</f>
        <v/>
      </c>
      <c r="CU34">
        <f>'Grid_Requirement'!CS28</f>
        <v/>
      </c>
      <c r="CV34">
        <f>'Grid_Requirement'!CT28</f>
        <v/>
      </c>
      <c r="CW34">
        <f>'Grid_Requirement'!CU28</f>
        <v/>
      </c>
      <c r="CX34">
        <f>'Grid_Requirement'!CV28</f>
        <v/>
      </c>
      <c r="CY34">
        <f>'Grid_Requirement'!CW28</f>
        <v/>
      </c>
      <c r="CZ34">
        <f>'Grid_Requirement'!CX28</f>
        <v/>
      </c>
      <c r="DA34">
        <f>'Grid_Requirement'!CY28</f>
        <v/>
      </c>
      <c r="DB34">
        <f>'Grid_Requirement'!CZ28</f>
        <v/>
      </c>
      <c r="DC34">
        <f>'Grid_Requirement'!DA28</f>
        <v/>
      </c>
    </row>
    <row r="35">
      <c r="B35" t="inlineStr">
        <is>
          <t>TTAF在庫(実績,kg)</t>
        </is>
      </c>
      <c r="D35">
        <f>'T_TTAFStock'!B32</f>
        <v/>
      </c>
      <c r="E35">
        <f>'T_TTAFStock'!C32</f>
        <v/>
      </c>
      <c r="F35">
        <f>'T_TTAFStock'!D32</f>
        <v/>
      </c>
      <c r="G35">
        <f>'T_TTAFStock'!E32</f>
        <v/>
      </c>
      <c r="H35">
        <f>'T_TTAFStock'!F32</f>
        <v/>
      </c>
      <c r="I35">
        <f>'T_TTAFStock'!G32</f>
        <v/>
      </c>
      <c r="J35">
        <f>'T_TTAFStock'!H32</f>
        <v/>
      </c>
      <c r="K35">
        <f>'T_TTAFStock'!I32</f>
        <v/>
      </c>
      <c r="L35">
        <f>'T_TTAFStock'!J32</f>
        <v/>
      </c>
      <c r="M35">
        <f>'T_TTAFStock'!K32</f>
        <v/>
      </c>
      <c r="N35">
        <f>'T_TTAFStock'!L32</f>
        <v/>
      </c>
      <c r="O35">
        <f>'T_TTAFStock'!M32</f>
        <v/>
      </c>
      <c r="P35">
        <f>'T_TTAFStock'!N32</f>
        <v/>
      </c>
      <c r="Q35">
        <f>'T_TTAFStock'!O32</f>
        <v/>
      </c>
      <c r="R35">
        <f>'T_TTAFStock'!P32</f>
        <v/>
      </c>
      <c r="S35">
        <f>'T_TTAFStock'!Q32</f>
        <v/>
      </c>
      <c r="T35">
        <f>'T_TTAFStock'!R32</f>
        <v/>
      </c>
      <c r="U35">
        <f>'T_TTAFStock'!S32</f>
        <v/>
      </c>
      <c r="V35">
        <f>'T_TTAFStock'!T32</f>
        <v/>
      </c>
      <c r="W35">
        <f>'T_TTAFStock'!U32</f>
        <v/>
      </c>
      <c r="X35">
        <f>'T_TTAFStock'!V32</f>
        <v/>
      </c>
      <c r="Y35">
        <f>'T_TTAFStock'!W32</f>
        <v/>
      </c>
      <c r="Z35">
        <f>'T_TTAFStock'!X32</f>
        <v/>
      </c>
      <c r="AA35">
        <f>'T_TTAFStock'!Y32</f>
        <v/>
      </c>
      <c r="AB35">
        <f>'T_TTAFStock'!Z32</f>
        <v/>
      </c>
      <c r="AC35">
        <f>'T_TTAFStock'!AA32</f>
        <v/>
      </c>
      <c r="AD35">
        <f>'T_TTAFStock'!AB32</f>
        <v/>
      </c>
      <c r="AE35">
        <f>'T_TTAFStock'!AC32</f>
        <v/>
      </c>
      <c r="AF35">
        <f>'T_TTAFStock'!AD32</f>
        <v/>
      </c>
      <c r="AG35">
        <f>'T_TTAFStock'!AE32</f>
        <v/>
      </c>
      <c r="AH35">
        <f>'T_TTAFStock'!AF32</f>
        <v/>
      </c>
      <c r="AI35">
        <f>'T_TTAFStock'!AG32</f>
        <v/>
      </c>
      <c r="AJ35">
        <f>'T_TTAFStock'!AH32</f>
        <v/>
      </c>
      <c r="AK35">
        <f>'T_TTAFStock'!AI32</f>
        <v/>
      </c>
      <c r="AL35">
        <f>'T_TTAFStock'!AJ32</f>
        <v/>
      </c>
      <c r="AM35">
        <f>'T_TTAFStock'!AK32</f>
        <v/>
      </c>
      <c r="AN35">
        <f>'T_TTAFStock'!AL32</f>
        <v/>
      </c>
      <c r="AO35">
        <f>'T_TTAFStock'!AM32</f>
        <v/>
      </c>
      <c r="AP35">
        <f>'T_TTAFStock'!AN32</f>
        <v/>
      </c>
      <c r="AQ35">
        <f>'T_TTAFStock'!AO32</f>
        <v/>
      </c>
      <c r="AR35">
        <f>'T_TTAFStock'!AP32</f>
        <v/>
      </c>
      <c r="AS35">
        <f>'T_TTAFStock'!AQ32</f>
        <v/>
      </c>
      <c r="AT35">
        <f>'T_TTAFStock'!AR32</f>
        <v/>
      </c>
      <c r="AU35">
        <f>'T_TTAFStock'!AS32</f>
        <v/>
      </c>
      <c r="AV35">
        <f>'T_TTAFStock'!AT32</f>
        <v/>
      </c>
      <c r="AW35">
        <f>'T_TTAFStock'!AU32</f>
        <v/>
      </c>
      <c r="AX35">
        <f>'T_TTAFStock'!AV32</f>
        <v/>
      </c>
      <c r="AY35">
        <f>'T_TTAFStock'!AW32</f>
        <v/>
      </c>
      <c r="AZ35">
        <f>'T_TTAFStock'!AX32</f>
        <v/>
      </c>
      <c r="BA35">
        <f>'T_TTAFStock'!AY32</f>
        <v/>
      </c>
      <c r="BB35">
        <f>'T_TTAFStock'!AZ32</f>
        <v/>
      </c>
      <c r="BC35">
        <f>'T_TTAFStock'!BA32</f>
        <v/>
      </c>
      <c r="BD35">
        <f>'T_TTAFStock'!BB32</f>
        <v/>
      </c>
      <c r="BE35">
        <f>'T_TTAFStock'!BC32</f>
        <v/>
      </c>
      <c r="BF35">
        <f>'T_TTAFStock'!BD32</f>
        <v/>
      </c>
      <c r="BG35">
        <f>'T_TTAFStock'!BE32</f>
        <v/>
      </c>
      <c r="BH35">
        <f>'T_TTAFStock'!BF32</f>
        <v/>
      </c>
      <c r="BI35">
        <f>'T_TTAFStock'!BG32</f>
        <v/>
      </c>
      <c r="BJ35">
        <f>'T_TTAFStock'!BH32</f>
        <v/>
      </c>
      <c r="BK35">
        <f>'T_TTAFStock'!BI32</f>
        <v/>
      </c>
      <c r="BL35">
        <f>'T_TTAFStock'!BJ32</f>
        <v/>
      </c>
      <c r="BM35">
        <f>'T_TTAFStock'!BK32</f>
        <v/>
      </c>
      <c r="BN35">
        <f>'T_TTAFStock'!BL32</f>
        <v/>
      </c>
      <c r="BO35">
        <f>'T_TTAFStock'!BM32</f>
        <v/>
      </c>
      <c r="BP35">
        <f>'T_TTAFStock'!BN32</f>
        <v/>
      </c>
      <c r="BQ35">
        <f>'T_TTAFStock'!BO32</f>
        <v/>
      </c>
      <c r="BR35">
        <f>'T_TTAFStock'!BP32</f>
        <v/>
      </c>
      <c r="BS35">
        <f>'T_TTAFStock'!BQ32</f>
        <v/>
      </c>
      <c r="BT35">
        <f>'T_TTAFStock'!BR32</f>
        <v/>
      </c>
      <c r="BU35">
        <f>'T_TTAFStock'!BS32</f>
        <v/>
      </c>
      <c r="BV35">
        <f>'T_TTAFStock'!BT32</f>
        <v/>
      </c>
      <c r="BW35">
        <f>'T_TTAFStock'!BU32</f>
        <v/>
      </c>
      <c r="BX35">
        <f>'T_TTAFStock'!BV32</f>
        <v/>
      </c>
      <c r="BY35">
        <f>'T_TTAFStock'!BW32</f>
        <v/>
      </c>
      <c r="BZ35">
        <f>'T_TTAFStock'!BX32</f>
        <v/>
      </c>
      <c r="CA35">
        <f>'T_TTAFStock'!BY32</f>
        <v/>
      </c>
      <c r="CB35">
        <f>'T_TTAFStock'!BZ32</f>
        <v/>
      </c>
      <c r="CC35">
        <f>'T_TTAFStock'!CA32</f>
        <v/>
      </c>
      <c r="CD35">
        <f>'T_TTAFStock'!CB32</f>
        <v/>
      </c>
      <c r="CE35">
        <f>'T_TTAFStock'!CC32</f>
        <v/>
      </c>
      <c r="CF35">
        <f>'T_TTAFStock'!CD32</f>
        <v/>
      </c>
      <c r="CG35">
        <f>'T_TTAFStock'!CE32</f>
        <v/>
      </c>
      <c r="CH35">
        <f>'T_TTAFStock'!CF32</f>
        <v/>
      </c>
      <c r="CI35">
        <f>'T_TTAFStock'!CG32</f>
        <v/>
      </c>
      <c r="CJ35">
        <f>'T_TTAFStock'!CH32</f>
        <v/>
      </c>
      <c r="CK35">
        <f>'T_TTAFStock'!CI32</f>
        <v/>
      </c>
      <c r="CL35">
        <f>'T_TTAFStock'!CJ32</f>
        <v/>
      </c>
      <c r="CM35">
        <f>'T_TTAFStock'!CK32</f>
        <v/>
      </c>
      <c r="CN35">
        <f>'T_TTAFStock'!CL32</f>
        <v/>
      </c>
      <c r="CO35">
        <f>'T_TTAFStock'!CM32</f>
        <v/>
      </c>
      <c r="CP35">
        <f>'T_TTAFStock'!CN32</f>
        <v/>
      </c>
      <c r="CQ35">
        <f>'T_TTAFStock'!CO32</f>
        <v/>
      </c>
      <c r="CR35">
        <f>'T_TTAFStock'!CP32</f>
        <v/>
      </c>
      <c r="CS35">
        <f>'T_TTAFStock'!CQ32</f>
        <v/>
      </c>
      <c r="CT35">
        <f>'T_TTAFStock'!CR32</f>
        <v/>
      </c>
      <c r="CU35">
        <f>'T_TTAFStock'!CS32</f>
        <v/>
      </c>
      <c r="CV35">
        <f>'T_TTAFStock'!CT32</f>
        <v/>
      </c>
      <c r="CW35">
        <f>'T_TTAFStock'!CU32</f>
        <v/>
      </c>
      <c r="CX35">
        <f>'T_TTAFStock'!CV32</f>
        <v/>
      </c>
      <c r="CY35">
        <f>'T_TTAFStock'!CW32</f>
        <v/>
      </c>
      <c r="CZ35">
        <f>'T_TTAFStock'!CX32</f>
        <v/>
      </c>
      <c r="DA35">
        <f>'T_TTAFStock'!CY32</f>
        <v/>
      </c>
      <c r="DB35">
        <f>'T_TTAFStock'!CZ32</f>
        <v/>
      </c>
      <c r="DC35">
        <f>'T_TTAFStock'!DA32</f>
        <v/>
      </c>
    </row>
    <row r="36">
      <c r="B36" t="inlineStr">
        <is>
          <t>自社在庫(実績,kg)</t>
        </is>
      </c>
      <c r="D36">
        <f>'T_SelfStock'!B32</f>
        <v/>
      </c>
      <c r="E36">
        <f>'T_SelfStock'!C32</f>
        <v/>
      </c>
      <c r="F36">
        <f>'T_SelfStock'!D32</f>
        <v/>
      </c>
      <c r="G36">
        <f>'T_SelfStock'!E32</f>
        <v/>
      </c>
      <c r="H36">
        <f>'T_SelfStock'!F32</f>
        <v/>
      </c>
      <c r="I36">
        <f>'T_SelfStock'!G32</f>
        <v/>
      </c>
      <c r="J36">
        <f>'T_SelfStock'!H32</f>
        <v/>
      </c>
      <c r="K36">
        <f>'T_SelfStock'!I32</f>
        <v/>
      </c>
      <c r="L36">
        <f>'T_SelfStock'!J32</f>
        <v/>
      </c>
      <c r="M36">
        <f>'T_SelfStock'!K32</f>
        <v/>
      </c>
      <c r="N36">
        <f>'T_SelfStock'!L32</f>
        <v/>
      </c>
      <c r="O36">
        <f>'T_SelfStock'!M32</f>
        <v/>
      </c>
      <c r="P36">
        <f>'T_SelfStock'!N32</f>
        <v/>
      </c>
      <c r="Q36">
        <f>'T_SelfStock'!O32</f>
        <v/>
      </c>
      <c r="R36">
        <f>'T_SelfStock'!P32</f>
        <v/>
      </c>
      <c r="S36">
        <f>'T_SelfStock'!Q32</f>
        <v/>
      </c>
      <c r="T36">
        <f>'T_SelfStock'!R32</f>
        <v/>
      </c>
      <c r="U36">
        <f>'T_SelfStock'!S32</f>
        <v/>
      </c>
      <c r="V36">
        <f>'T_SelfStock'!T32</f>
        <v/>
      </c>
      <c r="W36">
        <f>'T_SelfStock'!U32</f>
        <v/>
      </c>
      <c r="X36">
        <f>'T_SelfStock'!V32</f>
        <v/>
      </c>
      <c r="Y36">
        <f>'T_SelfStock'!W32</f>
        <v/>
      </c>
      <c r="Z36">
        <f>'T_SelfStock'!X32</f>
        <v/>
      </c>
      <c r="AA36">
        <f>'T_SelfStock'!Y32</f>
        <v/>
      </c>
      <c r="AB36">
        <f>'T_SelfStock'!Z32</f>
        <v/>
      </c>
      <c r="AC36">
        <f>'T_SelfStock'!AA32</f>
        <v/>
      </c>
      <c r="AD36">
        <f>'T_SelfStock'!AB32</f>
        <v/>
      </c>
      <c r="AE36">
        <f>'T_SelfStock'!AC32</f>
        <v/>
      </c>
      <c r="AF36">
        <f>'T_SelfStock'!AD32</f>
        <v/>
      </c>
      <c r="AG36">
        <f>'T_SelfStock'!AE32</f>
        <v/>
      </c>
      <c r="AH36">
        <f>'T_SelfStock'!AF32</f>
        <v/>
      </c>
      <c r="AI36">
        <f>'T_SelfStock'!AG32</f>
        <v/>
      </c>
      <c r="AJ36">
        <f>'T_SelfStock'!AH32</f>
        <v/>
      </c>
      <c r="AK36">
        <f>'T_SelfStock'!AI32</f>
        <v/>
      </c>
      <c r="AL36">
        <f>'T_SelfStock'!AJ32</f>
        <v/>
      </c>
      <c r="AM36">
        <f>'T_SelfStock'!AK32</f>
        <v/>
      </c>
      <c r="AN36">
        <f>'T_SelfStock'!AL32</f>
        <v/>
      </c>
      <c r="AO36">
        <f>'T_SelfStock'!AM32</f>
        <v/>
      </c>
      <c r="AP36">
        <f>'T_SelfStock'!AN32</f>
        <v/>
      </c>
      <c r="AQ36">
        <f>'T_SelfStock'!AO32</f>
        <v/>
      </c>
      <c r="AR36">
        <f>'T_SelfStock'!AP32</f>
        <v/>
      </c>
      <c r="AS36">
        <f>'T_SelfStock'!AQ32</f>
        <v/>
      </c>
      <c r="AT36">
        <f>'T_SelfStock'!AR32</f>
        <v/>
      </c>
      <c r="AU36">
        <f>'T_SelfStock'!AS32</f>
        <v/>
      </c>
      <c r="AV36">
        <f>'T_SelfStock'!AT32</f>
        <v/>
      </c>
      <c r="AW36">
        <f>'T_SelfStock'!AU32</f>
        <v/>
      </c>
      <c r="AX36">
        <f>'T_SelfStock'!AV32</f>
        <v/>
      </c>
      <c r="AY36">
        <f>'T_SelfStock'!AW32</f>
        <v/>
      </c>
      <c r="AZ36">
        <f>'T_SelfStock'!AX32</f>
        <v/>
      </c>
      <c r="BA36">
        <f>'T_SelfStock'!AY32</f>
        <v/>
      </c>
      <c r="BB36">
        <f>'T_SelfStock'!AZ32</f>
        <v/>
      </c>
      <c r="BC36">
        <f>'T_SelfStock'!BA32</f>
        <v/>
      </c>
      <c r="BD36">
        <f>'T_SelfStock'!BB32</f>
        <v/>
      </c>
      <c r="BE36">
        <f>'T_SelfStock'!BC32</f>
        <v/>
      </c>
      <c r="BF36">
        <f>'T_SelfStock'!BD32</f>
        <v/>
      </c>
      <c r="BG36">
        <f>'T_SelfStock'!BE32</f>
        <v/>
      </c>
      <c r="BH36">
        <f>'T_SelfStock'!BF32</f>
        <v/>
      </c>
      <c r="BI36">
        <f>'T_SelfStock'!BG32</f>
        <v/>
      </c>
      <c r="BJ36">
        <f>'T_SelfStock'!BH32</f>
        <v/>
      </c>
      <c r="BK36">
        <f>'T_SelfStock'!BI32</f>
        <v/>
      </c>
      <c r="BL36">
        <f>'T_SelfStock'!BJ32</f>
        <v/>
      </c>
      <c r="BM36">
        <f>'T_SelfStock'!BK32</f>
        <v/>
      </c>
      <c r="BN36">
        <f>'T_SelfStock'!BL32</f>
        <v/>
      </c>
      <c r="BO36">
        <f>'T_SelfStock'!BM32</f>
        <v/>
      </c>
      <c r="BP36">
        <f>'T_SelfStock'!BN32</f>
        <v/>
      </c>
      <c r="BQ36">
        <f>'T_SelfStock'!BO32</f>
        <v/>
      </c>
      <c r="BR36">
        <f>'T_SelfStock'!BP32</f>
        <v/>
      </c>
      <c r="BS36">
        <f>'T_SelfStock'!BQ32</f>
        <v/>
      </c>
      <c r="BT36">
        <f>'T_SelfStock'!BR32</f>
        <v/>
      </c>
      <c r="BU36">
        <f>'T_SelfStock'!BS32</f>
        <v/>
      </c>
      <c r="BV36">
        <f>'T_SelfStock'!BT32</f>
        <v/>
      </c>
      <c r="BW36">
        <f>'T_SelfStock'!BU32</f>
        <v/>
      </c>
      <c r="BX36">
        <f>'T_SelfStock'!BV32</f>
        <v/>
      </c>
      <c r="BY36">
        <f>'T_SelfStock'!BW32</f>
        <v/>
      </c>
      <c r="BZ36">
        <f>'T_SelfStock'!BX32</f>
        <v/>
      </c>
      <c r="CA36">
        <f>'T_SelfStock'!BY32</f>
        <v/>
      </c>
      <c r="CB36">
        <f>'T_SelfStock'!BZ32</f>
        <v/>
      </c>
      <c r="CC36">
        <f>'T_SelfStock'!CA32</f>
        <v/>
      </c>
      <c r="CD36">
        <f>'T_SelfStock'!CB32</f>
        <v/>
      </c>
      <c r="CE36">
        <f>'T_SelfStock'!CC32</f>
        <v/>
      </c>
      <c r="CF36">
        <f>'T_SelfStock'!CD32</f>
        <v/>
      </c>
      <c r="CG36">
        <f>'T_SelfStock'!CE32</f>
        <v/>
      </c>
      <c r="CH36">
        <f>'T_SelfStock'!CF32</f>
        <v/>
      </c>
      <c r="CI36">
        <f>'T_SelfStock'!CG32</f>
        <v/>
      </c>
      <c r="CJ36">
        <f>'T_SelfStock'!CH32</f>
        <v/>
      </c>
      <c r="CK36">
        <f>'T_SelfStock'!CI32</f>
        <v/>
      </c>
      <c r="CL36">
        <f>'T_SelfStock'!CJ32</f>
        <v/>
      </c>
      <c r="CM36">
        <f>'T_SelfStock'!CK32</f>
        <v/>
      </c>
      <c r="CN36">
        <f>'T_SelfStock'!CL32</f>
        <v/>
      </c>
      <c r="CO36">
        <f>'T_SelfStock'!CM32</f>
        <v/>
      </c>
      <c r="CP36">
        <f>'T_SelfStock'!CN32</f>
        <v/>
      </c>
      <c r="CQ36">
        <f>'T_SelfStock'!CO32</f>
        <v/>
      </c>
      <c r="CR36">
        <f>'T_SelfStock'!CP32</f>
        <v/>
      </c>
      <c r="CS36">
        <f>'T_SelfStock'!CQ32</f>
        <v/>
      </c>
      <c r="CT36">
        <f>'T_SelfStock'!CR32</f>
        <v/>
      </c>
      <c r="CU36">
        <f>'T_SelfStock'!CS32</f>
        <v/>
      </c>
      <c r="CV36">
        <f>'T_SelfStock'!CT32</f>
        <v/>
      </c>
      <c r="CW36">
        <f>'T_SelfStock'!CU32</f>
        <v/>
      </c>
      <c r="CX36">
        <f>'T_SelfStock'!CV32</f>
        <v/>
      </c>
      <c r="CY36">
        <f>'T_SelfStock'!CW32</f>
        <v/>
      </c>
      <c r="CZ36">
        <f>'T_SelfStock'!CX32</f>
        <v/>
      </c>
      <c r="DA36">
        <f>'T_SelfStock'!CY32</f>
        <v/>
      </c>
      <c r="DB36">
        <f>'T_SelfStock'!CZ32</f>
        <v/>
      </c>
      <c r="DC36">
        <f>'T_SelfStock'!DA32</f>
        <v/>
      </c>
    </row>
    <row r="37">
      <c r="B37" t="inlineStr">
        <is>
          <t>Order(発注予定,kg)</t>
        </is>
      </c>
      <c r="D37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37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37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37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37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37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37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37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37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37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37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37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37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37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37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37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37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37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37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37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37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37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37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37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37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37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37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37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37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37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37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37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37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37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37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37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37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37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37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37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37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37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37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37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37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37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37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37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37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37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37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37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37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37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37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37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37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37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37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37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37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37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37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37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37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37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37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37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37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37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37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37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37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37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37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37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37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37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37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37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37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37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37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37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37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37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37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37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37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37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37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37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37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37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37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37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37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37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37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37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37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37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37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37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38">
      <c r="B38" s="5" t="inlineStr">
        <is>
          <t>合計在庫(週末時点,kg)</t>
        </is>
      </c>
      <c r="D38">
        <f>'Grid_Stock'!B28</f>
        <v/>
      </c>
      <c r="E38">
        <f>'Grid_Stock'!C28</f>
        <v/>
      </c>
      <c r="F38">
        <f>'Grid_Stock'!D28</f>
        <v/>
      </c>
      <c r="G38">
        <f>'Grid_Stock'!E28</f>
        <v/>
      </c>
      <c r="H38">
        <f>'Grid_Stock'!F28</f>
        <v/>
      </c>
      <c r="I38">
        <f>'Grid_Stock'!G28</f>
        <v/>
      </c>
      <c r="J38">
        <f>'Grid_Stock'!H28</f>
        <v/>
      </c>
      <c r="K38">
        <f>'Grid_Stock'!I28</f>
        <v/>
      </c>
      <c r="L38">
        <f>'Grid_Stock'!J28</f>
        <v/>
      </c>
      <c r="M38">
        <f>'Grid_Stock'!K28</f>
        <v/>
      </c>
      <c r="N38">
        <f>'Grid_Stock'!L28</f>
        <v/>
      </c>
      <c r="O38">
        <f>'Grid_Stock'!M28</f>
        <v/>
      </c>
      <c r="P38">
        <f>'Grid_Stock'!N28</f>
        <v/>
      </c>
      <c r="Q38">
        <f>'Grid_Stock'!O28</f>
        <v/>
      </c>
      <c r="R38">
        <f>'Grid_Stock'!P28</f>
        <v/>
      </c>
      <c r="S38">
        <f>'Grid_Stock'!Q28</f>
        <v/>
      </c>
      <c r="T38">
        <f>'Grid_Stock'!R28</f>
        <v/>
      </c>
      <c r="U38">
        <f>'Grid_Stock'!S28</f>
        <v/>
      </c>
      <c r="V38">
        <f>'Grid_Stock'!T28</f>
        <v/>
      </c>
      <c r="W38">
        <f>'Grid_Stock'!U28</f>
        <v/>
      </c>
      <c r="X38">
        <f>'Grid_Stock'!V28</f>
        <v/>
      </c>
      <c r="Y38">
        <f>'Grid_Stock'!W28</f>
        <v/>
      </c>
      <c r="Z38">
        <f>'Grid_Stock'!X28</f>
        <v/>
      </c>
      <c r="AA38">
        <f>'Grid_Stock'!Y28</f>
        <v/>
      </c>
      <c r="AB38">
        <f>'Grid_Stock'!Z28</f>
        <v/>
      </c>
      <c r="AC38">
        <f>'Grid_Stock'!AA28</f>
        <v/>
      </c>
      <c r="AD38">
        <f>'Grid_Stock'!AB28</f>
        <v/>
      </c>
      <c r="AE38">
        <f>'Grid_Stock'!AC28</f>
        <v/>
      </c>
      <c r="AF38">
        <f>'Grid_Stock'!AD28</f>
        <v/>
      </c>
      <c r="AG38">
        <f>'Grid_Stock'!AE28</f>
        <v/>
      </c>
      <c r="AH38">
        <f>'Grid_Stock'!AF28</f>
        <v/>
      </c>
      <c r="AI38">
        <f>'Grid_Stock'!AG28</f>
        <v/>
      </c>
      <c r="AJ38">
        <f>'Grid_Stock'!AH28</f>
        <v/>
      </c>
      <c r="AK38">
        <f>'Grid_Stock'!AI28</f>
        <v/>
      </c>
      <c r="AL38">
        <f>'Grid_Stock'!AJ28</f>
        <v/>
      </c>
      <c r="AM38">
        <f>'Grid_Stock'!AK28</f>
        <v/>
      </c>
      <c r="AN38">
        <f>'Grid_Stock'!AL28</f>
        <v/>
      </c>
      <c r="AO38">
        <f>'Grid_Stock'!AM28</f>
        <v/>
      </c>
      <c r="AP38">
        <f>'Grid_Stock'!AN28</f>
        <v/>
      </c>
      <c r="AQ38">
        <f>'Grid_Stock'!AO28</f>
        <v/>
      </c>
      <c r="AR38">
        <f>'Grid_Stock'!AP28</f>
        <v/>
      </c>
      <c r="AS38">
        <f>'Grid_Stock'!AQ28</f>
        <v/>
      </c>
      <c r="AT38">
        <f>'Grid_Stock'!AR28</f>
        <v/>
      </c>
      <c r="AU38">
        <f>'Grid_Stock'!AS28</f>
        <v/>
      </c>
      <c r="AV38">
        <f>'Grid_Stock'!AT28</f>
        <v/>
      </c>
      <c r="AW38">
        <f>'Grid_Stock'!AU28</f>
        <v/>
      </c>
      <c r="AX38">
        <f>'Grid_Stock'!AV28</f>
        <v/>
      </c>
      <c r="AY38">
        <f>'Grid_Stock'!AW28</f>
        <v/>
      </c>
      <c r="AZ38">
        <f>'Grid_Stock'!AX28</f>
        <v/>
      </c>
      <c r="BA38">
        <f>'Grid_Stock'!AY28</f>
        <v/>
      </c>
      <c r="BB38">
        <f>'Grid_Stock'!AZ28</f>
        <v/>
      </c>
      <c r="BC38">
        <f>'Grid_Stock'!BA28</f>
        <v/>
      </c>
      <c r="BD38">
        <f>'Grid_Stock'!BB28</f>
        <v/>
      </c>
      <c r="BE38">
        <f>'Grid_Stock'!BC28</f>
        <v/>
      </c>
      <c r="BF38">
        <f>'Grid_Stock'!BD28</f>
        <v/>
      </c>
      <c r="BG38">
        <f>'Grid_Stock'!BE28</f>
        <v/>
      </c>
      <c r="BH38">
        <f>'Grid_Stock'!BF28</f>
        <v/>
      </c>
      <c r="BI38">
        <f>'Grid_Stock'!BG28</f>
        <v/>
      </c>
      <c r="BJ38">
        <f>'Grid_Stock'!BH28</f>
        <v/>
      </c>
      <c r="BK38">
        <f>'Grid_Stock'!BI28</f>
        <v/>
      </c>
      <c r="BL38">
        <f>'Grid_Stock'!BJ28</f>
        <v/>
      </c>
      <c r="BM38">
        <f>'Grid_Stock'!BK28</f>
        <v/>
      </c>
      <c r="BN38">
        <f>'Grid_Stock'!BL28</f>
        <v/>
      </c>
      <c r="BO38">
        <f>'Grid_Stock'!BM28</f>
        <v/>
      </c>
      <c r="BP38">
        <f>'Grid_Stock'!BN28</f>
        <v/>
      </c>
      <c r="BQ38">
        <f>'Grid_Stock'!BO28</f>
        <v/>
      </c>
      <c r="BR38">
        <f>'Grid_Stock'!BP28</f>
        <v/>
      </c>
      <c r="BS38">
        <f>'Grid_Stock'!BQ28</f>
        <v/>
      </c>
      <c r="BT38">
        <f>'Grid_Stock'!BR28</f>
        <v/>
      </c>
      <c r="BU38">
        <f>'Grid_Stock'!BS28</f>
        <v/>
      </c>
      <c r="BV38">
        <f>'Grid_Stock'!BT28</f>
        <v/>
      </c>
      <c r="BW38">
        <f>'Grid_Stock'!BU28</f>
        <v/>
      </c>
      <c r="BX38">
        <f>'Grid_Stock'!BV28</f>
        <v/>
      </c>
      <c r="BY38">
        <f>'Grid_Stock'!BW28</f>
        <v/>
      </c>
      <c r="BZ38">
        <f>'Grid_Stock'!BX28</f>
        <v/>
      </c>
      <c r="CA38">
        <f>'Grid_Stock'!BY28</f>
        <v/>
      </c>
      <c r="CB38">
        <f>'Grid_Stock'!BZ28</f>
        <v/>
      </c>
      <c r="CC38">
        <f>'Grid_Stock'!CA28</f>
        <v/>
      </c>
      <c r="CD38">
        <f>'Grid_Stock'!CB28</f>
        <v/>
      </c>
      <c r="CE38">
        <f>'Grid_Stock'!CC28</f>
        <v/>
      </c>
      <c r="CF38">
        <f>'Grid_Stock'!CD28</f>
        <v/>
      </c>
      <c r="CG38">
        <f>'Grid_Stock'!CE28</f>
        <v/>
      </c>
      <c r="CH38">
        <f>'Grid_Stock'!CF28</f>
        <v/>
      </c>
      <c r="CI38">
        <f>'Grid_Stock'!CG28</f>
        <v/>
      </c>
      <c r="CJ38">
        <f>'Grid_Stock'!CH28</f>
        <v/>
      </c>
      <c r="CK38">
        <f>'Grid_Stock'!CI28</f>
        <v/>
      </c>
      <c r="CL38">
        <f>'Grid_Stock'!CJ28</f>
        <v/>
      </c>
      <c r="CM38">
        <f>'Grid_Stock'!CK28</f>
        <v/>
      </c>
      <c r="CN38">
        <f>'Grid_Stock'!CL28</f>
        <v/>
      </c>
      <c r="CO38">
        <f>'Grid_Stock'!CM28</f>
        <v/>
      </c>
      <c r="CP38">
        <f>'Grid_Stock'!CN28</f>
        <v/>
      </c>
      <c r="CQ38">
        <f>'Grid_Stock'!CO28</f>
        <v/>
      </c>
      <c r="CR38">
        <f>'Grid_Stock'!CP28</f>
        <v/>
      </c>
      <c r="CS38">
        <f>'Grid_Stock'!CQ28</f>
        <v/>
      </c>
      <c r="CT38">
        <f>'Grid_Stock'!CR28</f>
        <v/>
      </c>
      <c r="CU38">
        <f>'Grid_Stock'!CS28</f>
        <v/>
      </c>
      <c r="CV38">
        <f>'Grid_Stock'!CT28</f>
        <v/>
      </c>
      <c r="CW38">
        <f>'Grid_Stock'!CU28</f>
        <v/>
      </c>
      <c r="CX38">
        <f>'Grid_Stock'!CV28</f>
        <v/>
      </c>
      <c r="CY38">
        <f>'Grid_Stock'!CW28</f>
        <v/>
      </c>
      <c r="CZ38">
        <f>'Grid_Stock'!CX28</f>
        <v/>
      </c>
      <c r="DA38">
        <f>'Grid_Stock'!CY28</f>
        <v/>
      </c>
      <c r="DB38">
        <f>'Grid_Stock'!CZ28</f>
        <v/>
      </c>
      <c r="DC38">
        <f>'Grid_Stock'!DA28</f>
        <v/>
      </c>
    </row>
    <row r="39">
      <c r="B39" s="23" t="inlineStr">
        <is>
          <t>（発注の目安はDashboardの基準在庫[下限/上限]と色分けを参照）</t>
        </is>
      </c>
    </row>
    <row r="41">
      <c r="A41" s="21" t="inlineStr">
        <is>
          <t>CHEM-1280</t>
        </is>
      </c>
      <c r="B41" s="21" t="inlineStr">
        <is>
          <t>N-Dodeoyl Trimethyl Ammonium Chloride</t>
        </is>
      </c>
      <c r="C41" s="22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1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</row>
    <row r="42">
      <c r="B42" t="inlineStr">
        <is>
          <t>SOL-250D</t>
        </is>
      </c>
      <c r="C42" t="inlineStr">
        <is>
          <t>No. of batches</t>
        </is>
      </c>
      <c r="D42">
        <f>IFERROR(INDEX(PP_Grid[#Data],$DD42,2),0)</f>
        <v/>
      </c>
      <c r="E42">
        <f>IFERROR(INDEX(PP_Grid[#Data],$DD42,3),0)</f>
        <v/>
      </c>
      <c r="F42">
        <f>IFERROR(INDEX(PP_Grid[#Data],$DD42,4),0)</f>
        <v/>
      </c>
      <c r="G42">
        <f>IFERROR(INDEX(PP_Grid[#Data],$DD42,5),0)</f>
        <v/>
      </c>
      <c r="H42">
        <f>IFERROR(INDEX(PP_Grid[#Data],$DD42,6),0)</f>
        <v/>
      </c>
      <c r="I42">
        <f>IFERROR(INDEX(PP_Grid[#Data],$DD42,7),0)</f>
        <v/>
      </c>
      <c r="J42">
        <f>IFERROR(INDEX(PP_Grid[#Data],$DD42,8),0)</f>
        <v/>
      </c>
      <c r="K42">
        <f>IFERROR(INDEX(PP_Grid[#Data],$DD42,9),0)</f>
        <v/>
      </c>
      <c r="L42">
        <f>IFERROR(INDEX(PP_Grid[#Data],$DD42,10),0)</f>
        <v/>
      </c>
      <c r="M42">
        <f>IFERROR(INDEX(PP_Grid[#Data],$DD42,11),0)</f>
        <v/>
      </c>
      <c r="N42">
        <f>IFERROR(INDEX(PP_Grid[#Data],$DD42,12),0)</f>
        <v/>
      </c>
      <c r="O42">
        <f>IFERROR(INDEX(PP_Grid[#Data],$DD42,13),0)</f>
        <v/>
      </c>
      <c r="P42">
        <f>IFERROR(INDEX(PP_Grid[#Data],$DD42,14),0)</f>
        <v/>
      </c>
      <c r="Q42">
        <f>IFERROR(INDEX(PP_Grid[#Data],$DD42,15),0)</f>
        <v/>
      </c>
      <c r="R42">
        <f>IFERROR(INDEX(PP_Grid[#Data],$DD42,16),0)</f>
        <v/>
      </c>
      <c r="S42">
        <f>IFERROR(INDEX(PP_Grid[#Data],$DD42,17),0)</f>
        <v/>
      </c>
      <c r="T42">
        <f>IFERROR(INDEX(PP_Grid[#Data],$DD42,18),0)</f>
        <v/>
      </c>
      <c r="U42">
        <f>IFERROR(INDEX(PP_Grid[#Data],$DD42,19),0)</f>
        <v/>
      </c>
      <c r="V42">
        <f>IFERROR(INDEX(PP_Grid[#Data],$DD42,20),0)</f>
        <v/>
      </c>
      <c r="W42">
        <f>IFERROR(INDEX(PP_Grid[#Data],$DD42,21),0)</f>
        <v/>
      </c>
      <c r="X42">
        <f>IFERROR(INDEX(PP_Grid[#Data],$DD42,22),0)</f>
        <v/>
      </c>
      <c r="Y42">
        <f>IFERROR(INDEX(PP_Grid[#Data],$DD42,23),0)</f>
        <v/>
      </c>
      <c r="Z42">
        <f>IFERROR(INDEX(PP_Grid[#Data],$DD42,24),0)</f>
        <v/>
      </c>
      <c r="AA42">
        <f>IFERROR(INDEX(PP_Grid[#Data],$DD42,25),0)</f>
        <v/>
      </c>
      <c r="AB42">
        <f>IFERROR(INDEX(PP_Grid[#Data],$DD42,26),0)</f>
        <v/>
      </c>
      <c r="AC42">
        <f>IFERROR(INDEX(PP_Grid[#Data],$DD42,27),0)</f>
        <v/>
      </c>
      <c r="AD42">
        <f>IFERROR(INDEX(PP_Grid[#Data],$DD42,28),0)</f>
        <v/>
      </c>
      <c r="AE42">
        <f>IFERROR(INDEX(PP_Grid[#Data],$DD42,29),0)</f>
        <v/>
      </c>
      <c r="AF42">
        <f>IFERROR(INDEX(PP_Grid[#Data],$DD42,30),0)</f>
        <v/>
      </c>
      <c r="AG42">
        <f>IFERROR(INDEX(PP_Grid[#Data],$DD42,31),0)</f>
        <v/>
      </c>
      <c r="AH42">
        <f>IFERROR(INDEX(PP_Grid[#Data],$DD42,32),0)</f>
        <v/>
      </c>
      <c r="AI42">
        <f>IFERROR(INDEX(PP_Grid[#Data],$DD42,33),0)</f>
        <v/>
      </c>
      <c r="AJ42">
        <f>IFERROR(INDEX(PP_Grid[#Data],$DD42,34),0)</f>
        <v/>
      </c>
      <c r="AK42">
        <f>IFERROR(INDEX(PP_Grid[#Data],$DD42,35),0)</f>
        <v/>
      </c>
      <c r="AL42">
        <f>IFERROR(INDEX(PP_Grid[#Data],$DD42,36),0)</f>
        <v/>
      </c>
      <c r="AM42">
        <f>IFERROR(INDEX(PP_Grid[#Data],$DD42,37),0)</f>
        <v/>
      </c>
      <c r="AN42">
        <f>IFERROR(INDEX(PP_Grid[#Data],$DD42,38),0)</f>
        <v/>
      </c>
      <c r="AO42">
        <f>IFERROR(INDEX(PP_Grid[#Data],$DD42,39),0)</f>
        <v/>
      </c>
      <c r="AP42">
        <f>IFERROR(INDEX(PP_Grid[#Data],$DD42,40),0)</f>
        <v/>
      </c>
      <c r="AQ42">
        <f>IFERROR(INDEX(PP_Grid[#Data],$DD42,41),0)</f>
        <v/>
      </c>
      <c r="AR42">
        <f>IFERROR(INDEX(PP_Grid[#Data],$DD42,42),0)</f>
        <v/>
      </c>
      <c r="AS42">
        <f>IFERROR(INDEX(PP_Grid[#Data],$DD42,43),0)</f>
        <v/>
      </c>
      <c r="AT42">
        <f>IFERROR(INDEX(PP_Grid[#Data],$DD42,44),0)</f>
        <v/>
      </c>
      <c r="AU42">
        <f>IFERROR(INDEX(PP_Grid[#Data],$DD42,45),0)</f>
        <v/>
      </c>
      <c r="AV42">
        <f>IFERROR(INDEX(PP_Grid[#Data],$DD42,46),0)</f>
        <v/>
      </c>
      <c r="AW42">
        <f>IFERROR(INDEX(PP_Grid[#Data],$DD42,47),0)</f>
        <v/>
      </c>
      <c r="AX42">
        <f>IFERROR(INDEX(PP_Grid[#Data],$DD42,48),0)</f>
        <v/>
      </c>
      <c r="AY42">
        <f>IFERROR(INDEX(PP_Grid[#Data],$DD42,49),0)</f>
        <v/>
      </c>
      <c r="AZ42">
        <f>IFERROR(INDEX(PP_Grid[#Data],$DD42,50),0)</f>
        <v/>
      </c>
      <c r="BA42">
        <f>IFERROR(INDEX(PP_Grid[#Data],$DD42,51),0)</f>
        <v/>
      </c>
      <c r="BB42">
        <f>IFERROR(INDEX(PP_Grid[#Data],$DD42,52),0)</f>
        <v/>
      </c>
      <c r="BC42">
        <f>IFERROR(INDEX(PP_Grid[#Data],$DD42,53),0)</f>
        <v/>
      </c>
      <c r="BD42">
        <f>IFERROR(INDEX(PP_Grid[#Data],$DD42,54),0)</f>
        <v/>
      </c>
      <c r="BE42">
        <f>IFERROR(INDEX(PP_Grid[#Data],$DD42,55),0)</f>
        <v/>
      </c>
      <c r="BF42">
        <f>IFERROR(INDEX(PP_Grid[#Data],$DD42,56),0)</f>
        <v/>
      </c>
      <c r="BG42">
        <f>IFERROR(INDEX(PP_Grid[#Data],$DD42,57),0)</f>
        <v/>
      </c>
      <c r="BH42">
        <f>IFERROR(INDEX(PP_Grid[#Data],$DD42,58),0)</f>
        <v/>
      </c>
      <c r="BI42">
        <f>IFERROR(INDEX(PP_Grid[#Data],$DD42,59),0)</f>
        <v/>
      </c>
      <c r="BJ42">
        <f>IFERROR(INDEX(PP_Grid[#Data],$DD42,60),0)</f>
        <v/>
      </c>
      <c r="BK42">
        <f>IFERROR(INDEX(PP_Grid[#Data],$DD42,61),0)</f>
        <v/>
      </c>
      <c r="BL42">
        <f>IFERROR(INDEX(PP_Grid[#Data],$DD42,62),0)</f>
        <v/>
      </c>
      <c r="BM42">
        <f>IFERROR(INDEX(PP_Grid[#Data],$DD42,63),0)</f>
        <v/>
      </c>
      <c r="BN42">
        <f>IFERROR(INDEX(PP_Grid[#Data],$DD42,64),0)</f>
        <v/>
      </c>
      <c r="BO42">
        <f>IFERROR(INDEX(PP_Grid[#Data],$DD42,65),0)</f>
        <v/>
      </c>
      <c r="BP42">
        <f>IFERROR(INDEX(PP_Grid[#Data],$DD42,66),0)</f>
        <v/>
      </c>
      <c r="BQ42">
        <f>IFERROR(INDEX(PP_Grid[#Data],$DD42,67),0)</f>
        <v/>
      </c>
      <c r="BR42">
        <f>IFERROR(INDEX(PP_Grid[#Data],$DD42,68),0)</f>
        <v/>
      </c>
      <c r="BS42">
        <f>IFERROR(INDEX(PP_Grid[#Data],$DD42,69),0)</f>
        <v/>
      </c>
      <c r="BT42">
        <f>IFERROR(INDEX(PP_Grid[#Data],$DD42,70),0)</f>
        <v/>
      </c>
      <c r="BU42">
        <f>IFERROR(INDEX(PP_Grid[#Data],$DD42,71),0)</f>
        <v/>
      </c>
      <c r="BV42">
        <f>IFERROR(INDEX(PP_Grid[#Data],$DD42,72),0)</f>
        <v/>
      </c>
      <c r="BW42">
        <f>IFERROR(INDEX(PP_Grid[#Data],$DD42,73),0)</f>
        <v/>
      </c>
      <c r="BX42">
        <f>IFERROR(INDEX(PP_Grid[#Data],$DD42,74),0)</f>
        <v/>
      </c>
      <c r="BY42">
        <f>IFERROR(INDEX(PP_Grid[#Data],$DD42,75),0)</f>
        <v/>
      </c>
      <c r="BZ42">
        <f>IFERROR(INDEX(PP_Grid[#Data],$DD42,76),0)</f>
        <v/>
      </c>
      <c r="CA42">
        <f>IFERROR(INDEX(PP_Grid[#Data],$DD42,77),0)</f>
        <v/>
      </c>
      <c r="CB42">
        <f>IFERROR(INDEX(PP_Grid[#Data],$DD42,78),0)</f>
        <v/>
      </c>
      <c r="CC42">
        <f>IFERROR(INDEX(PP_Grid[#Data],$DD42,79),0)</f>
        <v/>
      </c>
      <c r="CD42">
        <f>IFERROR(INDEX(PP_Grid[#Data],$DD42,80),0)</f>
        <v/>
      </c>
      <c r="CE42">
        <f>IFERROR(INDEX(PP_Grid[#Data],$DD42,81),0)</f>
        <v/>
      </c>
      <c r="CF42">
        <f>IFERROR(INDEX(PP_Grid[#Data],$DD42,82),0)</f>
        <v/>
      </c>
      <c r="CG42">
        <f>IFERROR(INDEX(PP_Grid[#Data],$DD42,83),0)</f>
        <v/>
      </c>
      <c r="CH42">
        <f>IFERROR(INDEX(PP_Grid[#Data],$DD42,84),0)</f>
        <v/>
      </c>
      <c r="CI42">
        <f>IFERROR(INDEX(PP_Grid[#Data],$DD42,85),0)</f>
        <v/>
      </c>
      <c r="CJ42">
        <f>IFERROR(INDEX(PP_Grid[#Data],$DD42,86),0)</f>
        <v/>
      </c>
      <c r="CK42">
        <f>IFERROR(INDEX(PP_Grid[#Data],$DD42,87),0)</f>
        <v/>
      </c>
      <c r="CL42">
        <f>IFERROR(INDEX(PP_Grid[#Data],$DD42,88),0)</f>
        <v/>
      </c>
      <c r="CM42">
        <f>IFERROR(INDEX(PP_Grid[#Data],$DD42,89),0)</f>
        <v/>
      </c>
      <c r="CN42">
        <f>IFERROR(INDEX(PP_Grid[#Data],$DD42,90),0)</f>
        <v/>
      </c>
      <c r="CO42">
        <f>IFERROR(INDEX(PP_Grid[#Data],$DD42,91),0)</f>
        <v/>
      </c>
      <c r="CP42">
        <f>IFERROR(INDEX(PP_Grid[#Data],$DD42,92),0)</f>
        <v/>
      </c>
      <c r="CQ42">
        <f>IFERROR(INDEX(PP_Grid[#Data],$DD42,93),0)</f>
        <v/>
      </c>
      <c r="CR42">
        <f>IFERROR(INDEX(PP_Grid[#Data],$DD42,94),0)</f>
        <v/>
      </c>
      <c r="CS42">
        <f>IFERROR(INDEX(PP_Grid[#Data],$DD42,95),0)</f>
        <v/>
      </c>
      <c r="CT42">
        <f>IFERROR(INDEX(PP_Grid[#Data],$DD42,96),0)</f>
        <v/>
      </c>
      <c r="CU42">
        <f>IFERROR(INDEX(PP_Grid[#Data],$DD42,97),0)</f>
        <v/>
      </c>
      <c r="CV42">
        <f>IFERROR(INDEX(PP_Grid[#Data],$DD42,98),0)</f>
        <v/>
      </c>
      <c r="CW42">
        <f>IFERROR(INDEX(PP_Grid[#Data],$DD42,99),0)</f>
        <v/>
      </c>
      <c r="CX42">
        <f>IFERROR(INDEX(PP_Grid[#Data],$DD42,100),0)</f>
        <v/>
      </c>
      <c r="CY42">
        <f>IFERROR(INDEX(PP_Grid[#Data],$DD42,101),0)</f>
        <v/>
      </c>
      <c r="CZ42">
        <f>IFERROR(INDEX(PP_Grid[#Data],$DD42,102),0)</f>
        <v/>
      </c>
      <c r="DA42">
        <f>IFERROR(INDEX(PP_Grid[#Data],$DD42,103),0)</f>
        <v/>
      </c>
      <c r="DB42">
        <f>IFERROR(INDEX(PP_Grid[#Data],$DD42,104),0)</f>
        <v/>
      </c>
      <c r="DC42">
        <f>IFERROR(INDEX(PP_Grid[#Data],$DD42,105),0)</f>
        <v/>
      </c>
      <c r="DD42" s="12">
        <f>IFERROR(MATCH($B42,PP_Grid[Intermediate],0),99999)</f>
        <v/>
      </c>
    </row>
    <row r="43">
      <c r="B43" t="inlineStr">
        <is>
          <t>使用量(kg)</t>
        </is>
      </c>
      <c r="C43">
        <f>SUMIFS(M_BOM[RM_Qty_Per_Batch],M_BOM[Intermediate],$B42,M_BOM[Part Name],$A41)</f>
        <v/>
      </c>
      <c r="D43">
        <f>$C43*D42</f>
        <v/>
      </c>
      <c r="E43">
        <f>$C43*E42</f>
        <v/>
      </c>
      <c r="F43">
        <f>$C43*F42</f>
        <v/>
      </c>
      <c r="G43">
        <f>$C43*G42</f>
        <v/>
      </c>
      <c r="H43">
        <f>$C43*H42</f>
        <v/>
      </c>
      <c r="I43">
        <f>$C43*I42</f>
        <v/>
      </c>
      <c r="J43">
        <f>$C43*J42</f>
        <v/>
      </c>
      <c r="K43">
        <f>$C43*K42</f>
        <v/>
      </c>
      <c r="L43">
        <f>$C43*L42</f>
        <v/>
      </c>
      <c r="M43">
        <f>$C43*M42</f>
        <v/>
      </c>
      <c r="N43">
        <f>$C43*N42</f>
        <v/>
      </c>
      <c r="O43">
        <f>$C43*O42</f>
        <v/>
      </c>
      <c r="P43">
        <f>$C43*P42</f>
        <v/>
      </c>
      <c r="Q43">
        <f>$C43*Q42</f>
        <v/>
      </c>
      <c r="R43">
        <f>$C43*R42</f>
        <v/>
      </c>
      <c r="S43">
        <f>$C43*S42</f>
        <v/>
      </c>
      <c r="T43">
        <f>$C43*T42</f>
        <v/>
      </c>
      <c r="U43">
        <f>$C43*U42</f>
        <v/>
      </c>
      <c r="V43">
        <f>$C43*V42</f>
        <v/>
      </c>
      <c r="W43">
        <f>$C43*W42</f>
        <v/>
      </c>
      <c r="X43">
        <f>$C43*X42</f>
        <v/>
      </c>
      <c r="Y43">
        <f>$C43*Y42</f>
        <v/>
      </c>
      <c r="Z43">
        <f>$C43*Z42</f>
        <v/>
      </c>
      <c r="AA43">
        <f>$C43*AA42</f>
        <v/>
      </c>
      <c r="AB43">
        <f>$C43*AB42</f>
        <v/>
      </c>
      <c r="AC43">
        <f>$C43*AC42</f>
        <v/>
      </c>
      <c r="AD43">
        <f>$C43*AD42</f>
        <v/>
      </c>
      <c r="AE43">
        <f>$C43*AE42</f>
        <v/>
      </c>
      <c r="AF43">
        <f>$C43*AF42</f>
        <v/>
      </c>
      <c r="AG43">
        <f>$C43*AG42</f>
        <v/>
      </c>
      <c r="AH43">
        <f>$C43*AH42</f>
        <v/>
      </c>
      <c r="AI43">
        <f>$C43*AI42</f>
        <v/>
      </c>
      <c r="AJ43">
        <f>$C43*AJ42</f>
        <v/>
      </c>
      <c r="AK43">
        <f>$C43*AK42</f>
        <v/>
      </c>
      <c r="AL43">
        <f>$C43*AL42</f>
        <v/>
      </c>
      <c r="AM43">
        <f>$C43*AM42</f>
        <v/>
      </c>
      <c r="AN43">
        <f>$C43*AN42</f>
        <v/>
      </c>
      <c r="AO43">
        <f>$C43*AO42</f>
        <v/>
      </c>
      <c r="AP43">
        <f>$C43*AP42</f>
        <v/>
      </c>
      <c r="AQ43">
        <f>$C43*AQ42</f>
        <v/>
      </c>
      <c r="AR43">
        <f>$C43*AR42</f>
        <v/>
      </c>
      <c r="AS43">
        <f>$C43*AS42</f>
        <v/>
      </c>
      <c r="AT43">
        <f>$C43*AT42</f>
        <v/>
      </c>
      <c r="AU43">
        <f>$C43*AU42</f>
        <v/>
      </c>
      <c r="AV43">
        <f>$C43*AV42</f>
        <v/>
      </c>
      <c r="AW43">
        <f>$C43*AW42</f>
        <v/>
      </c>
      <c r="AX43">
        <f>$C43*AX42</f>
        <v/>
      </c>
      <c r="AY43">
        <f>$C43*AY42</f>
        <v/>
      </c>
      <c r="AZ43">
        <f>$C43*AZ42</f>
        <v/>
      </c>
      <c r="BA43">
        <f>$C43*BA42</f>
        <v/>
      </c>
      <c r="BB43">
        <f>$C43*BB42</f>
        <v/>
      </c>
      <c r="BC43">
        <f>$C43*BC42</f>
        <v/>
      </c>
      <c r="BD43">
        <f>$C43*BD42</f>
        <v/>
      </c>
      <c r="BE43">
        <f>$C43*BE42</f>
        <v/>
      </c>
      <c r="BF43">
        <f>$C43*BF42</f>
        <v/>
      </c>
      <c r="BG43">
        <f>$C43*BG42</f>
        <v/>
      </c>
      <c r="BH43">
        <f>$C43*BH42</f>
        <v/>
      </c>
      <c r="BI43">
        <f>$C43*BI42</f>
        <v/>
      </c>
      <c r="BJ43">
        <f>$C43*BJ42</f>
        <v/>
      </c>
      <c r="BK43">
        <f>$C43*BK42</f>
        <v/>
      </c>
      <c r="BL43">
        <f>$C43*BL42</f>
        <v/>
      </c>
      <c r="BM43">
        <f>$C43*BM42</f>
        <v/>
      </c>
      <c r="BN43">
        <f>$C43*BN42</f>
        <v/>
      </c>
      <c r="BO43">
        <f>$C43*BO42</f>
        <v/>
      </c>
      <c r="BP43">
        <f>$C43*BP42</f>
        <v/>
      </c>
      <c r="BQ43">
        <f>$C43*BQ42</f>
        <v/>
      </c>
      <c r="BR43">
        <f>$C43*BR42</f>
        <v/>
      </c>
      <c r="BS43">
        <f>$C43*BS42</f>
        <v/>
      </c>
      <c r="BT43">
        <f>$C43*BT42</f>
        <v/>
      </c>
      <c r="BU43">
        <f>$C43*BU42</f>
        <v/>
      </c>
      <c r="BV43">
        <f>$C43*BV42</f>
        <v/>
      </c>
      <c r="BW43">
        <f>$C43*BW42</f>
        <v/>
      </c>
      <c r="BX43">
        <f>$C43*BX42</f>
        <v/>
      </c>
      <c r="BY43">
        <f>$C43*BY42</f>
        <v/>
      </c>
      <c r="BZ43">
        <f>$C43*BZ42</f>
        <v/>
      </c>
      <c r="CA43">
        <f>$C43*CA42</f>
        <v/>
      </c>
      <c r="CB43">
        <f>$C43*CB42</f>
        <v/>
      </c>
      <c r="CC43">
        <f>$C43*CC42</f>
        <v/>
      </c>
      <c r="CD43">
        <f>$C43*CD42</f>
        <v/>
      </c>
      <c r="CE43">
        <f>$C43*CE42</f>
        <v/>
      </c>
      <c r="CF43">
        <f>$C43*CF42</f>
        <v/>
      </c>
      <c r="CG43">
        <f>$C43*CG42</f>
        <v/>
      </c>
      <c r="CH43">
        <f>$C43*CH42</f>
        <v/>
      </c>
      <c r="CI43">
        <f>$C43*CI42</f>
        <v/>
      </c>
      <c r="CJ43">
        <f>$C43*CJ42</f>
        <v/>
      </c>
      <c r="CK43">
        <f>$C43*CK42</f>
        <v/>
      </c>
      <c r="CL43">
        <f>$C43*CL42</f>
        <v/>
      </c>
      <c r="CM43">
        <f>$C43*CM42</f>
        <v/>
      </c>
      <c r="CN43">
        <f>$C43*CN42</f>
        <v/>
      </c>
      <c r="CO43">
        <f>$C43*CO42</f>
        <v/>
      </c>
      <c r="CP43">
        <f>$C43*CP42</f>
        <v/>
      </c>
      <c r="CQ43">
        <f>$C43*CQ42</f>
        <v/>
      </c>
      <c r="CR43">
        <f>$C43*CR42</f>
        <v/>
      </c>
      <c r="CS43">
        <f>$C43*CS42</f>
        <v/>
      </c>
      <c r="CT43">
        <f>$C43*CT42</f>
        <v/>
      </c>
      <c r="CU43">
        <f>$C43*CU42</f>
        <v/>
      </c>
      <c r="CV43">
        <f>$C43*CV42</f>
        <v/>
      </c>
      <c r="CW43">
        <f>$C43*CW42</f>
        <v/>
      </c>
      <c r="CX43">
        <f>$C43*CX42</f>
        <v/>
      </c>
      <c r="CY43">
        <f>$C43*CY42</f>
        <v/>
      </c>
      <c r="CZ43">
        <f>$C43*CZ42</f>
        <v/>
      </c>
      <c r="DA43">
        <f>$C43*DA42</f>
        <v/>
      </c>
      <c r="DB43">
        <f>$C43*DB42</f>
        <v/>
      </c>
      <c r="DC43">
        <f>$C43*DC42</f>
        <v/>
      </c>
    </row>
    <row r="44">
      <c r="B44" t="inlineStr">
        <is>
          <t>SOL-85D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Name],$A41)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s="5" t="inlineStr">
        <is>
          <t>合計使用量(kg)/週</t>
        </is>
      </c>
      <c r="D46">
        <f>'Grid_Requirement'!B22</f>
        <v/>
      </c>
      <c r="E46">
        <f>'Grid_Requirement'!C22</f>
        <v/>
      </c>
      <c r="F46">
        <f>'Grid_Requirement'!D22</f>
        <v/>
      </c>
      <c r="G46">
        <f>'Grid_Requirement'!E22</f>
        <v/>
      </c>
      <c r="H46">
        <f>'Grid_Requirement'!F22</f>
        <v/>
      </c>
      <c r="I46">
        <f>'Grid_Requirement'!G22</f>
        <v/>
      </c>
      <c r="J46">
        <f>'Grid_Requirement'!H22</f>
        <v/>
      </c>
      <c r="K46">
        <f>'Grid_Requirement'!I22</f>
        <v/>
      </c>
      <c r="L46">
        <f>'Grid_Requirement'!J22</f>
        <v/>
      </c>
      <c r="M46">
        <f>'Grid_Requirement'!K22</f>
        <v/>
      </c>
      <c r="N46">
        <f>'Grid_Requirement'!L22</f>
        <v/>
      </c>
      <c r="O46">
        <f>'Grid_Requirement'!M22</f>
        <v/>
      </c>
      <c r="P46">
        <f>'Grid_Requirement'!N22</f>
        <v/>
      </c>
      <c r="Q46">
        <f>'Grid_Requirement'!O22</f>
        <v/>
      </c>
      <c r="R46">
        <f>'Grid_Requirement'!P22</f>
        <v/>
      </c>
      <c r="S46">
        <f>'Grid_Requirement'!Q22</f>
        <v/>
      </c>
      <c r="T46">
        <f>'Grid_Requirement'!R22</f>
        <v/>
      </c>
      <c r="U46">
        <f>'Grid_Requirement'!S22</f>
        <v/>
      </c>
      <c r="V46">
        <f>'Grid_Requirement'!T22</f>
        <v/>
      </c>
      <c r="W46">
        <f>'Grid_Requirement'!U22</f>
        <v/>
      </c>
      <c r="X46">
        <f>'Grid_Requirement'!V22</f>
        <v/>
      </c>
      <c r="Y46">
        <f>'Grid_Requirement'!W22</f>
        <v/>
      </c>
      <c r="Z46">
        <f>'Grid_Requirement'!X22</f>
        <v/>
      </c>
      <c r="AA46">
        <f>'Grid_Requirement'!Y22</f>
        <v/>
      </c>
      <c r="AB46">
        <f>'Grid_Requirement'!Z22</f>
        <v/>
      </c>
      <c r="AC46">
        <f>'Grid_Requirement'!AA22</f>
        <v/>
      </c>
      <c r="AD46">
        <f>'Grid_Requirement'!AB22</f>
        <v/>
      </c>
      <c r="AE46">
        <f>'Grid_Requirement'!AC22</f>
        <v/>
      </c>
      <c r="AF46">
        <f>'Grid_Requirement'!AD22</f>
        <v/>
      </c>
      <c r="AG46">
        <f>'Grid_Requirement'!AE22</f>
        <v/>
      </c>
      <c r="AH46">
        <f>'Grid_Requirement'!AF22</f>
        <v/>
      </c>
      <c r="AI46">
        <f>'Grid_Requirement'!AG22</f>
        <v/>
      </c>
      <c r="AJ46">
        <f>'Grid_Requirement'!AH22</f>
        <v/>
      </c>
      <c r="AK46">
        <f>'Grid_Requirement'!AI22</f>
        <v/>
      </c>
      <c r="AL46">
        <f>'Grid_Requirement'!AJ22</f>
        <v/>
      </c>
      <c r="AM46">
        <f>'Grid_Requirement'!AK22</f>
        <v/>
      </c>
      <c r="AN46">
        <f>'Grid_Requirement'!AL22</f>
        <v/>
      </c>
      <c r="AO46">
        <f>'Grid_Requirement'!AM22</f>
        <v/>
      </c>
      <c r="AP46">
        <f>'Grid_Requirement'!AN22</f>
        <v/>
      </c>
      <c r="AQ46">
        <f>'Grid_Requirement'!AO22</f>
        <v/>
      </c>
      <c r="AR46">
        <f>'Grid_Requirement'!AP22</f>
        <v/>
      </c>
      <c r="AS46">
        <f>'Grid_Requirement'!AQ22</f>
        <v/>
      </c>
      <c r="AT46">
        <f>'Grid_Requirement'!AR22</f>
        <v/>
      </c>
      <c r="AU46">
        <f>'Grid_Requirement'!AS22</f>
        <v/>
      </c>
      <c r="AV46">
        <f>'Grid_Requirement'!AT22</f>
        <v/>
      </c>
      <c r="AW46">
        <f>'Grid_Requirement'!AU22</f>
        <v/>
      </c>
      <c r="AX46">
        <f>'Grid_Requirement'!AV22</f>
        <v/>
      </c>
      <c r="AY46">
        <f>'Grid_Requirement'!AW22</f>
        <v/>
      </c>
      <c r="AZ46">
        <f>'Grid_Requirement'!AX22</f>
        <v/>
      </c>
      <c r="BA46">
        <f>'Grid_Requirement'!AY22</f>
        <v/>
      </c>
      <c r="BB46">
        <f>'Grid_Requirement'!AZ22</f>
        <v/>
      </c>
      <c r="BC46">
        <f>'Grid_Requirement'!BA22</f>
        <v/>
      </c>
      <c r="BD46">
        <f>'Grid_Requirement'!BB22</f>
        <v/>
      </c>
      <c r="BE46">
        <f>'Grid_Requirement'!BC22</f>
        <v/>
      </c>
      <c r="BF46">
        <f>'Grid_Requirement'!BD22</f>
        <v/>
      </c>
      <c r="BG46">
        <f>'Grid_Requirement'!BE22</f>
        <v/>
      </c>
      <c r="BH46">
        <f>'Grid_Requirement'!BF22</f>
        <v/>
      </c>
      <c r="BI46">
        <f>'Grid_Requirement'!BG22</f>
        <v/>
      </c>
      <c r="BJ46">
        <f>'Grid_Requirement'!BH22</f>
        <v/>
      </c>
      <c r="BK46">
        <f>'Grid_Requirement'!BI22</f>
        <v/>
      </c>
      <c r="BL46">
        <f>'Grid_Requirement'!BJ22</f>
        <v/>
      </c>
      <c r="BM46">
        <f>'Grid_Requirement'!BK22</f>
        <v/>
      </c>
      <c r="BN46">
        <f>'Grid_Requirement'!BL22</f>
        <v/>
      </c>
      <c r="BO46">
        <f>'Grid_Requirement'!BM22</f>
        <v/>
      </c>
      <c r="BP46">
        <f>'Grid_Requirement'!BN22</f>
        <v/>
      </c>
      <c r="BQ46">
        <f>'Grid_Requirement'!BO22</f>
        <v/>
      </c>
      <c r="BR46">
        <f>'Grid_Requirement'!BP22</f>
        <v/>
      </c>
      <c r="BS46">
        <f>'Grid_Requirement'!BQ22</f>
        <v/>
      </c>
      <c r="BT46">
        <f>'Grid_Requirement'!BR22</f>
        <v/>
      </c>
      <c r="BU46">
        <f>'Grid_Requirement'!BS22</f>
        <v/>
      </c>
      <c r="BV46">
        <f>'Grid_Requirement'!BT22</f>
        <v/>
      </c>
      <c r="BW46">
        <f>'Grid_Requirement'!BU22</f>
        <v/>
      </c>
      <c r="BX46">
        <f>'Grid_Requirement'!BV22</f>
        <v/>
      </c>
      <c r="BY46">
        <f>'Grid_Requirement'!BW22</f>
        <v/>
      </c>
      <c r="BZ46">
        <f>'Grid_Requirement'!BX22</f>
        <v/>
      </c>
      <c r="CA46">
        <f>'Grid_Requirement'!BY22</f>
        <v/>
      </c>
      <c r="CB46">
        <f>'Grid_Requirement'!BZ22</f>
        <v/>
      </c>
      <c r="CC46">
        <f>'Grid_Requirement'!CA22</f>
        <v/>
      </c>
      <c r="CD46">
        <f>'Grid_Requirement'!CB22</f>
        <v/>
      </c>
      <c r="CE46">
        <f>'Grid_Requirement'!CC22</f>
        <v/>
      </c>
      <c r="CF46">
        <f>'Grid_Requirement'!CD22</f>
        <v/>
      </c>
      <c r="CG46">
        <f>'Grid_Requirement'!CE22</f>
        <v/>
      </c>
      <c r="CH46">
        <f>'Grid_Requirement'!CF22</f>
        <v/>
      </c>
      <c r="CI46">
        <f>'Grid_Requirement'!CG22</f>
        <v/>
      </c>
      <c r="CJ46">
        <f>'Grid_Requirement'!CH22</f>
        <v/>
      </c>
      <c r="CK46">
        <f>'Grid_Requirement'!CI22</f>
        <v/>
      </c>
      <c r="CL46">
        <f>'Grid_Requirement'!CJ22</f>
        <v/>
      </c>
      <c r="CM46">
        <f>'Grid_Requirement'!CK22</f>
        <v/>
      </c>
      <c r="CN46">
        <f>'Grid_Requirement'!CL22</f>
        <v/>
      </c>
      <c r="CO46">
        <f>'Grid_Requirement'!CM22</f>
        <v/>
      </c>
      <c r="CP46">
        <f>'Grid_Requirement'!CN22</f>
        <v/>
      </c>
      <c r="CQ46">
        <f>'Grid_Requirement'!CO22</f>
        <v/>
      </c>
      <c r="CR46">
        <f>'Grid_Requirement'!CP22</f>
        <v/>
      </c>
      <c r="CS46">
        <f>'Grid_Requirement'!CQ22</f>
        <v/>
      </c>
      <c r="CT46">
        <f>'Grid_Requirement'!CR22</f>
        <v/>
      </c>
      <c r="CU46">
        <f>'Grid_Requirement'!CS22</f>
        <v/>
      </c>
      <c r="CV46">
        <f>'Grid_Requirement'!CT22</f>
        <v/>
      </c>
      <c r="CW46">
        <f>'Grid_Requirement'!CU22</f>
        <v/>
      </c>
      <c r="CX46">
        <f>'Grid_Requirement'!CV22</f>
        <v/>
      </c>
      <c r="CY46">
        <f>'Grid_Requirement'!CW22</f>
        <v/>
      </c>
      <c r="CZ46">
        <f>'Grid_Requirement'!CX22</f>
        <v/>
      </c>
      <c r="DA46">
        <f>'Grid_Requirement'!CY22</f>
        <v/>
      </c>
      <c r="DB46">
        <f>'Grid_Requirement'!CZ22</f>
        <v/>
      </c>
      <c r="DC46">
        <f>'Grid_Requirement'!DA22</f>
        <v/>
      </c>
    </row>
    <row r="47">
      <c r="B47" t="inlineStr">
        <is>
          <t>TTAF在庫(実績,kg)</t>
        </is>
      </c>
      <c r="D47">
        <f>'T_TTAFStock'!B26</f>
        <v/>
      </c>
      <c r="E47">
        <f>'T_TTAFStock'!C26</f>
        <v/>
      </c>
      <c r="F47">
        <f>'T_TTAFStock'!D26</f>
        <v/>
      </c>
      <c r="G47">
        <f>'T_TTAFStock'!E26</f>
        <v/>
      </c>
      <c r="H47">
        <f>'T_TTAFStock'!F26</f>
        <v/>
      </c>
      <c r="I47">
        <f>'T_TTAFStock'!G26</f>
        <v/>
      </c>
      <c r="J47">
        <f>'T_TTAFStock'!H26</f>
        <v/>
      </c>
      <c r="K47">
        <f>'T_TTAFStock'!I26</f>
        <v/>
      </c>
      <c r="L47">
        <f>'T_TTAFStock'!J26</f>
        <v/>
      </c>
      <c r="M47">
        <f>'T_TTAFStock'!K26</f>
        <v/>
      </c>
      <c r="N47">
        <f>'T_TTAFStock'!L26</f>
        <v/>
      </c>
      <c r="O47">
        <f>'T_TTAFStock'!M26</f>
        <v/>
      </c>
      <c r="P47">
        <f>'T_TTAFStock'!N26</f>
        <v/>
      </c>
      <c r="Q47">
        <f>'T_TTAFStock'!O26</f>
        <v/>
      </c>
      <c r="R47">
        <f>'T_TTAFStock'!P26</f>
        <v/>
      </c>
      <c r="S47">
        <f>'T_TTAFStock'!Q26</f>
        <v/>
      </c>
      <c r="T47">
        <f>'T_TTAFStock'!R26</f>
        <v/>
      </c>
      <c r="U47">
        <f>'T_TTAFStock'!S26</f>
        <v/>
      </c>
      <c r="V47">
        <f>'T_TTAFStock'!T26</f>
        <v/>
      </c>
      <c r="W47">
        <f>'T_TTAFStock'!U26</f>
        <v/>
      </c>
      <c r="X47">
        <f>'T_TTAFStock'!V26</f>
        <v/>
      </c>
      <c r="Y47">
        <f>'T_TTAFStock'!W26</f>
        <v/>
      </c>
      <c r="Z47">
        <f>'T_TTAFStock'!X26</f>
        <v/>
      </c>
      <c r="AA47">
        <f>'T_TTAFStock'!Y26</f>
        <v/>
      </c>
      <c r="AB47">
        <f>'T_TTAFStock'!Z26</f>
        <v/>
      </c>
      <c r="AC47">
        <f>'T_TTAFStock'!AA26</f>
        <v/>
      </c>
      <c r="AD47">
        <f>'T_TTAFStock'!AB26</f>
        <v/>
      </c>
      <c r="AE47">
        <f>'T_TTAFStock'!AC26</f>
        <v/>
      </c>
      <c r="AF47">
        <f>'T_TTAFStock'!AD26</f>
        <v/>
      </c>
      <c r="AG47">
        <f>'T_TTAFStock'!AE26</f>
        <v/>
      </c>
      <c r="AH47">
        <f>'T_TTAFStock'!AF26</f>
        <v/>
      </c>
      <c r="AI47">
        <f>'T_TTAFStock'!AG26</f>
        <v/>
      </c>
      <c r="AJ47">
        <f>'T_TTAFStock'!AH26</f>
        <v/>
      </c>
      <c r="AK47">
        <f>'T_TTAFStock'!AI26</f>
        <v/>
      </c>
      <c r="AL47">
        <f>'T_TTAFStock'!AJ26</f>
        <v/>
      </c>
      <c r="AM47">
        <f>'T_TTAFStock'!AK26</f>
        <v/>
      </c>
      <c r="AN47">
        <f>'T_TTAFStock'!AL26</f>
        <v/>
      </c>
      <c r="AO47">
        <f>'T_TTAFStock'!AM26</f>
        <v/>
      </c>
      <c r="AP47">
        <f>'T_TTAFStock'!AN26</f>
        <v/>
      </c>
      <c r="AQ47">
        <f>'T_TTAFStock'!AO26</f>
        <v/>
      </c>
      <c r="AR47">
        <f>'T_TTAFStock'!AP26</f>
        <v/>
      </c>
      <c r="AS47">
        <f>'T_TTAFStock'!AQ26</f>
        <v/>
      </c>
      <c r="AT47">
        <f>'T_TTAFStock'!AR26</f>
        <v/>
      </c>
      <c r="AU47">
        <f>'T_TTAFStock'!AS26</f>
        <v/>
      </c>
      <c r="AV47">
        <f>'T_TTAFStock'!AT26</f>
        <v/>
      </c>
      <c r="AW47">
        <f>'T_TTAFStock'!AU26</f>
        <v/>
      </c>
      <c r="AX47">
        <f>'T_TTAFStock'!AV26</f>
        <v/>
      </c>
      <c r="AY47">
        <f>'T_TTAFStock'!AW26</f>
        <v/>
      </c>
      <c r="AZ47">
        <f>'T_TTAFStock'!AX26</f>
        <v/>
      </c>
      <c r="BA47">
        <f>'T_TTAFStock'!AY26</f>
        <v/>
      </c>
      <c r="BB47">
        <f>'T_TTAFStock'!AZ26</f>
        <v/>
      </c>
      <c r="BC47">
        <f>'T_TTAFStock'!BA26</f>
        <v/>
      </c>
      <c r="BD47">
        <f>'T_TTAFStock'!BB26</f>
        <v/>
      </c>
      <c r="BE47">
        <f>'T_TTAFStock'!BC26</f>
        <v/>
      </c>
      <c r="BF47">
        <f>'T_TTAFStock'!BD26</f>
        <v/>
      </c>
      <c r="BG47">
        <f>'T_TTAFStock'!BE26</f>
        <v/>
      </c>
      <c r="BH47">
        <f>'T_TTAFStock'!BF26</f>
        <v/>
      </c>
      <c r="BI47">
        <f>'T_TTAFStock'!BG26</f>
        <v/>
      </c>
      <c r="BJ47">
        <f>'T_TTAFStock'!BH26</f>
        <v/>
      </c>
      <c r="BK47">
        <f>'T_TTAFStock'!BI26</f>
        <v/>
      </c>
      <c r="BL47">
        <f>'T_TTAFStock'!BJ26</f>
        <v/>
      </c>
      <c r="BM47">
        <f>'T_TTAFStock'!BK26</f>
        <v/>
      </c>
      <c r="BN47">
        <f>'T_TTAFStock'!BL26</f>
        <v/>
      </c>
      <c r="BO47">
        <f>'T_TTAFStock'!BM26</f>
        <v/>
      </c>
      <c r="BP47">
        <f>'T_TTAFStock'!BN26</f>
        <v/>
      </c>
      <c r="BQ47">
        <f>'T_TTAFStock'!BO26</f>
        <v/>
      </c>
      <c r="BR47">
        <f>'T_TTAFStock'!BP26</f>
        <v/>
      </c>
      <c r="BS47">
        <f>'T_TTAFStock'!BQ26</f>
        <v/>
      </c>
      <c r="BT47">
        <f>'T_TTAFStock'!BR26</f>
        <v/>
      </c>
      <c r="BU47">
        <f>'T_TTAFStock'!BS26</f>
        <v/>
      </c>
      <c r="BV47">
        <f>'T_TTAFStock'!BT26</f>
        <v/>
      </c>
      <c r="BW47">
        <f>'T_TTAFStock'!BU26</f>
        <v/>
      </c>
      <c r="BX47">
        <f>'T_TTAFStock'!BV26</f>
        <v/>
      </c>
      <c r="BY47">
        <f>'T_TTAFStock'!BW26</f>
        <v/>
      </c>
      <c r="BZ47">
        <f>'T_TTAFStock'!BX26</f>
        <v/>
      </c>
      <c r="CA47">
        <f>'T_TTAFStock'!BY26</f>
        <v/>
      </c>
      <c r="CB47">
        <f>'T_TTAFStock'!BZ26</f>
        <v/>
      </c>
      <c r="CC47">
        <f>'T_TTAFStock'!CA26</f>
        <v/>
      </c>
      <c r="CD47">
        <f>'T_TTAFStock'!CB26</f>
        <v/>
      </c>
      <c r="CE47">
        <f>'T_TTAFStock'!CC26</f>
        <v/>
      </c>
      <c r="CF47">
        <f>'T_TTAFStock'!CD26</f>
        <v/>
      </c>
      <c r="CG47">
        <f>'T_TTAFStock'!CE26</f>
        <v/>
      </c>
      <c r="CH47">
        <f>'T_TTAFStock'!CF26</f>
        <v/>
      </c>
      <c r="CI47">
        <f>'T_TTAFStock'!CG26</f>
        <v/>
      </c>
      <c r="CJ47">
        <f>'T_TTAFStock'!CH26</f>
        <v/>
      </c>
      <c r="CK47">
        <f>'T_TTAFStock'!CI26</f>
        <v/>
      </c>
      <c r="CL47">
        <f>'T_TTAFStock'!CJ26</f>
        <v/>
      </c>
      <c r="CM47">
        <f>'T_TTAFStock'!CK26</f>
        <v/>
      </c>
      <c r="CN47">
        <f>'T_TTAFStock'!CL26</f>
        <v/>
      </c>
      <c r="CO47">
        <f>'T_TTAFStock'!CM26</f>
        <v/>
      </c>
      <c r="CP47">
        <f>'T_TTAFStock'!CN26</f>
        <v/>
      </c>
      <c r="CQ47">
        <f>'T_TTAFStock'!CO26</f>
        <v/>
      </c>
      <c r="CR47">
        <f>'T_TTAFStock'!CP26</f>
        <v/>
      </c>
      <c r="CS47">
        <f>'T_TTAFStock'!CQ26</f>
        <v/>
      </c>
      <c r="CT47">
        <f>'T_TTAFStock'!CR26</f>
        <v/>
      </c>
      <c r="CU47">
        <f>'T_TTAFStock'!CS26</f>
        <v/>
      </c>
      <c r="CV47">
        <f>'T_TTAFStock'!CT26</f>
        <v/>
      </c>
      <c r="CW47">
        <f>'T_TTAFStock'!CU26</f>
        <v/>
      </c>
      <c r="CX47">
        <f>'T_TTAFStock'!CV26</f>
        <v/>
      </c>
      <c r="CY47">
        <f>'T_TTAFStock'!CW26</f>
        <v/>
      </c>
      <c r="CZ47">
        <f>'T_TTAFStock'!CX26</f>
        <v/>
      </c>
      <c r="DA47">
        <f>'T_TTAFStock'!CY26</f>
        <v/>
      </c>
      <c r="DB47">
        <f>'T_TTAFStock'!CZ26</f>
        <v/>
      </c>
      <c r="DC47">
        <f>'T_TTAFStock'!DA26</f>
        <v/>
      </c>
    </row>
    <row r="48">
      <c r="B48" t="inlineStr">
        <is>
          <t>自社在庫(実績,kg)</t>
        </is>
      </c>
      <c r="D48">
        <f>'T_SelfStock'!B26</f>
        <v/>
      </c>
      <c r="E48">
        <f>'T_SelfStock'!C26</f>
        <v/>
      </c>
      <c r="F48">
        <f>'T_SelfStock'!D26</f>
        <v/>
      </c>
      <c r="G48">
        <f>'T_SelfStock'!E26</f>
        <v/>
      </c>
      <c r="H48">
        <f>'T_SelfStock'!F26</f>
        <v/>
      </c>
      <c r="I48">
        <f>'T_SelfStock'!G26</f>
        <v/>
      </c>
      <c r="J48">
        <f>'T_SelfStock'!H26</f>
        <v/>
      </c>
      <c r="K48">
        <f>'T_SelfStock'!I26</f>
        <v/>
      </c>
      <c r="L48">
        <f>'T_SelfStock'!J26</f>
        <v/>
      </c>
      <c r="M48">
        <f>'T_SelfStock'!K26</f>
        <v/>
      </c>
      <c r="N48">
        <f>'T_SelfStock'!L26</f>
        <v/>
      </c>
      <c r="O48">
        <f>'T_SelfStock'!M26</f>
        <v/>
      </c>
      <c r="P48">
        <f>'T_SelfStock'!N26</f>
        <v/>
      </c>
      <c r="Q48">
        <f>'T_SelfStock'!O26</f>
        <v/>
      </c>
      <c r="R48">
        <f>'T_SelfStock'!P26</f>
        <v/>
      </c>
      <c r="S48">
        <f>'T_SelfStock'!Q26</f>
        <v/>
      </c>
      <c r="T48">
        <f>'T_SelfStock'!R26</f>
        <v/>
      </c>
      <c r="U48">
        <f>'T_SelfStock'!S26</f>
        <v/>
      </c>
      <c r="V48">
        <f>'T_SelfStock'!T26</f>
        <v/>
      </c>
      <c r="W48">
        <f>'T_SelfStock'!U26</f>
        <v/>
      </c>
      <c r="X48">
        <f>'T_SelfStock'!V26</f>
        <v/>
      </c>
      <c r="Y48">
        <f>'T_SelfStock'!W26</f>
        <v/>
      </c>
      <c r="Z48">
        <f>'T_SelfStock'!X26</f>
        <v/>
      </c>
      <c r="AA48">
        <f>'T_SelfStock'!Y26</f>
        <v/>
      </c>
      <c r="AB48">
        <f>'T_SelfStock'!Z26</f>
        <v/>
      </c>
      <c r="AC48">
        <f>'T_SelfStock'!AA26</f>
        <v/>
      </c>
      <c r="AD48">
        <f>'T_SelfStock'!AB26</f>
        <v/>
      </c>
      <c r="AE48">
        <f>'T_SelfStock'!AC26</f>
        <v/>
      </c>
      <c r="AF48">
        <f>'T_SelfStock'!AD26</f>
        <v/>
      </c>
      <c r="AG48">
        <f>'T_SelfStock'!AE26</f>
        <v/>
      </c>
      <c r="AH48">
        <f>'T_SelfStock'!AF26</f>
        <v/>
      </c>
      <c r="AI48">
        <f>'T_SelfStock'!AG26</f>
        <v/>
      </c>
      <c r="AJ48">
        <f>'T_SelfStock'!AH26</f>
        <v/>
      </c>
      <c r="AK48">
        <f>'T_SelfStock'!AI26</f>
        <v/>
      </c>
      <c r="AL48">
        <f>'T_SelfStock'!AJ26</f>
        <v/>
      </c>
      <c r="AM48">
        <f>'T_SelfStock'!AK26</f>
        <v/>
      </c>
      <c r="AN48">
        <f>'T_SelfStock'!AL26</f>
        <v/>
      </c>
      <c r="AO48">
        <f>'T_SelfStock'!AM26</f>
        <v/>
      </c>
      <c r="AP48">
        <f>'T_SelfStock'!AN26</f>
        <v/>
      </c>
      <c r="AQ48">
        <f>'T_SelfStock'!AO26</f>
        <v/>
      </c>
      <c r="AR48">
        <f>'T_SelfStock'!AP26</f>
        <v/>
      </c>
      <c r="AS48">
        <f>'T_SelfStock'!AQ26</f>
        <v/>
      </c>
      <c r="AT48">
        <f>'T_SelfStock'!AR26</f>
        <v/>
      </c>
      <c r="AU48">
        <f>'T_SelfStock'!AS26</f>
        <v/>
      </c>
      <c r="AV48">
        <f>'T_SelfStock'!AT26</f>
        <v/>
      </c>
      <c r="AW48">
        <f>'T_SelfStock'!AU26</f>
        <v/>
      </c>
      <c r="AX48">
        <f>'T_SelfStock'!AV26</f>
        <v/>
      </c>
      <c r="AY48">
        <f>'T_SelfStock'!AW26</f>
        <v/>
      </c>
      <c r="AZ48">
        <f>'T_SelfStock'!AX26</f>
        <v/>
      </c>
      <c r="BA48">
        <f>'T_SelfStock'!AY26</f>
        <v/>
      </c>
      <c r="BB48">
        <f>'T_SelfStock'!AZ26</f>
        <v/>
      </c>
      <c r="BC48">
        <f>'T_SelfStock'!BA26</f>
        <v/>
      </c>
      <c r="BD48">
        <f>'T_SelfStock'!BB26</f>
        <v/>
      </c>
      <c r="BE48">
        <f>'T_SelfStock'!BC26</f>
        <v/>
      </c>
      <c r="BF48">
        <f>'T_SelfStock'!BD26</f>
        <v/>
      </c>
      <c r="BG48">
        <f>'T_SelfStock'!BE26</f>
        <v/>
      </c>
      <c r="BH48">
        <f>'T_SelfStock'!BF26</f>
        <v/>
      </c>
      <c r="BI48">
        <f>'T_SelfStock'!BG26</f>
        <v/>
      </c>
      <c r="BJ48">
        <f>'T_SelfStock'!BH26</f>
        <v/>
      </c>
      <c r="BK48">
        <f>'T_SelfStock'!BI26</f>
        <v/>
      </c>
      <c r="BL48">
        <f>'T_SelfStock'!BJ26</f>
        <v/>
      </c>
      <c r="BM48">
        <f>'T_SelfStock'!BK26</f>
        <v/>
      </c>
      <c r="BN48">
        <f>'T_SelfStock'!BL26</f>
        <v/>
      </c>
      <c r="BO48">
        <f>'T_SelfStock'!BM26</f>
        <v/>
      </c>
      <c r="BP48">
        <f>'T_SelfStock'!BN26</f>
        <v/>
      </c>
      <c r="BQ48">
        <f>'T_SelfStock'!BO26</f>
        <v/>
      </c>
      <c r="BR48">
        <f>'T_SelfStock'!BP26</f>
        <v/>
      </c>
      <c r="BS48">
        <f>'T_SelfStock'!BQ26</f>
        <v/>
      </c>
      <c r="BT48">
        <f>'T_SelfStock'!BR26</f>
        <v/>
      </c>
      <c r="BU48">
        <f>'T_SelfStock'!BS26</f>
        <v/>
      </c>
      <c r="BV48">
        <f>'T_SelfStock'!BT26</f>
        <v/>
      </c>
      <c r="BW48">
        <f>'T_SelfStock'!BU26</f>
        <v/>
      </c>
      <c r="BX48">
        <f>'T_SelfStock'!BV26</f>
        <v/>
      </c>
      <c r="BY48">
        <f>'T_SelfStock'!BW26</f>
        <v/>
      </c>
      <c r="BZ48">
        <f>'T_SelfStock'!BX26</f>
        <v/>
      </c>
      <c r="CA48">
        <f>'T_SelfStock'!BY26</f>
        <v/>
      </c>
      <c r="CB48">
        <f>'T_SelfStock'!BZ26</f>
        <v/>
      </c>
      <c r="CC48">
        <f>'T_SelfStock'!CA26</f>
        <v/>
      </c>
      <c r="CD48">
        <f>'T_SelfStock'!CB26</f>
        <v/>
      </c>
      <c r="CE48">
        <f>'T_SelfStock'!CC26</f>
        <v/>
      </c>
      <c r="CF48">
        <f>'T_SelfStock'!CD26</f>
        <v/>
      </c>
      <c r="CG48">
        <f>'T_SelfStock'!CE26</f>
        <v/>
      </c>
      <c r="CH48">
        <f>'T_SelfStock'!CF26</f>
        <v/>
      </c>
      <c r="CI48">
        <f>'T_SelfStock'!CG26</f>
        <v/>
      </c>
      <c r="CJ48">
        <f>'T_SelfStock'!CH26</f>
        <v/>
      </c>
      <c r="CK48">
        <f>'T_SelfStock'!CI26</f>
        <v/>
      </c>
      <c r="CL48">
        <f>'T_SelfStock'!CJ26</f>
        <v/>
      </c>
      <c r="CM48">
        <f>'T_SelfStock'!CK26</f>
        <v/>
      </c>
      <c r="CN48">
        <f>'T_SelfStock'!CL26</f>
        <v/>
      </c>
      <c r="CO48">
        <f>'T_SelfStock'!CM26</f>
        <v/>
      </c>
      <c r="CP48">
        <f>'T_SelfStock'!CN26</f>
        <v/>
      </c>
      <c r="CQ48">
        <f>'T_SelfStock'!CO26</f>
        <v/>
      </c>
      <c r="CR48">
        <f>'T_SelfStock'!CP26</f>
        <v/>
      </c>
      <c r="CS48">
        <f>'T_SelfStock'!CQ26</f>
        <v/>
      </c>
      <c r="CT48">
        <f>'T_SelfStock'!CR26</f>
        <v/>
      </c>
      <c r="CU48">
        <f>'T_SelfStock'!CS26</f>
        <v/>
      </c>
      <c r="CV48">
        <f>'T_SelfStock'!CT26</f>
        <v/>
      </c>
      <c r="CW48">
        <f>'T_SelfStock'!CU26</f>
        <v/>
      </c>
      <c r="CX48">
        <f>'T_SelfStock'!CV26</f>
        <v/>
      </c>
      <c r="CY48">
        <f>'T_SelfStock'!CW26</f>
        <v/>
      </c>
      <c r="CZ48">
        <f>'T_SelfStock'!CX26</f>
        <v/>
      </c>
      <c r="DA48">
        <f>'T_SelfStock'!CY26</f>
        <v/>
      </c>
      <c r="DB48">
        <f>'T_SelfStock'!CZ26</f>
        <v/>
      </c>
      <c r="DC48">
        <f>'T_SelfStock'!DA26</f>
        <v/>
      </c>
    </row>
    <row r="49">
      <c r="B49" t="inlineStr">
        <is>
          <t>Order(発注予定,kg)</t>
        </is>
      </c>
      <c r="D49">
        <f>IF(SUMIFS(T_PlannedOrders[EffectiveQty],T_PlannedOrders[Part Name],$A41,T_PlannedOrders[WeekIndex],1)=0,"",SUMIFS(T_PlannedOrders[EffectiveQty],T_PlannedOrders[Part Name],$A41,T_PlannedOrders[WeekIndex],1)&amp;" ("&amp;TEXT(SUMPRODUCT(MAX((T_PlannedOrders[Part Name]=$A41)*(T_PlannedOrders[WeekIndex]=1)*(T_PlannedOrders[EffectiveQty]&gt;0)*T_PlannedOrders[Order_Month])),"m月")&amp;"発注)")</f>
        <v/>
      </c>
      <c r="E49">
        <f>IF(SUMIFS(T_PlannedOrders[EffectiveQty],T_PlannedOrders[Part Name],$A41,T_PlannedOrders[WeekIndex],2)=0,"",SUMIFS(T_PlannedOrders[EffectiveQty],T_PlannedOrders[Part Name],$A41,T_PlannedOrders[WeekIndex],2)&amp;" ("&amp;TEXT(SUMPRODUCT(MAX((T_PlannedOrders[Part Name]=$A41)*(T_PlannedOrders[WeekIndex]=2)*(T_PlannedOrders[EffectiveQty]&gt;0)*T_PlannedOrders[Order_Month])),"m月")&amp;"発注)")</f>
        <v/>
      </c>
      <c r="F49">
        <f>IF(SUMIFS(T_PlannedOrders[EffectiveQty],T_PlannedOrders[Part Name],$A41,T_PlannedOrders[WeekIndex],3)=0,"",SUMIFS(T_PlannedOrders[EffectiveQty],T_PlannedOrders[Part Name],$A41,T_PlannedOrders[WeekIndex],3)&amp;" ("&amp;TEXT(SUMPRODUCT(MAX((T_PlannedOrders[Part Name]=$A41)*(T_PlannedOrders[WeekIndex]=3)*(T_PlannedOrders[EffectiveQty]&gt;0)*T_PlannedOrders[Order_Month])),"m月")&amp;"発注)")</f>
        <v/>
      </c>
      <c r="G49">
        <f>IF(SUMIFS(T_PlannedOrders[EffectiveQty],T_PlannedOrders[Part Name],$A41,T_PlannedOrders[WeekIndex],4)=0,"",SUMIFS(T_PlannedOrders[EffectiveQty],T_PlannedOrders[Part Name],$A41,T_PlannedOrders[WeekIndex],4)&amp;" ("&amp;TEXT(SUMPRODUCT(MAX((T_PlannedOrders[Part Name]=$A41)*(T_PlannedOrders[WeekIndex]=4)*(T_PlannedOrders[EffectiveQty]&gt;0)*T_PlannedOrders[Order_Month])),"m月")&amp;"発注)")</f>
        <v/>
      </c>
      <c r="H49">
        <f>IF(SUMIFS(T_PlannedOrders[EffectiveQty],T_PlannedOrders[Part Name],$A41,T_PlannedOrders[WeekIndex],5)=0,"",SUMIFS(T_PlannedOrders[EffectiveQty],T_PlannedOrders[Part Name],$A41,T_PlannedOrders[WeekIndex],5)&amp;" ("&amp;TEXT(SUMPRODUCT(MAX((T_PlannedOrders[Part Name]=$A41)*(T_PlannedOrders[WeekIndex]=5)*(T_PlannedOrders[EffectiveQty]&gt;0)*T_PlannedOrders[Order_Month])),"m月")&amp;"発注)")</f>
        <v/>
      </c>
      <c r="I49">
        <f>IF(SUMIFS(T_PlannedOrders[EffectiveQty],T_PlannedOrders[Part Name],$A41,T_PlannedOrders[WeekIndex],6)=0,"",SUMIFS(T_PlannedOrders[EffectiveQty],T_PlannedOrders[Part Name],$A41,T_PlannedOrders[WeekIndex],6)&amp;" ("&amp;TEXT(SUMPRODUCT(MAX((T_PlannedOrders[Part Name]=$A41)*(T_PlannedOrders[WeekIndex]=6)*(T_PlannedOrders[EffectiveQty]&gt;0)*T_PlannedOrders[Order_Month])),"m月")&amp;"発注)")</f>
        <v/>
      </c>
      <c r="J49">
        <f>IF(SUMIFS(T_PlannedOrders[EffectiveQty],T_PlannedOrders[Part Name],$A41,T_PlannedOrders[WeekIndex],7)=0,"",SUMIFS(T_PlannedOrders[EffectiveQty],T_PlannedOrders[Part Name],$A41,T_PlannedOrders[WeekIndex],7)&amp;" ("&amp;TEXT(SUMPRODUCT(MAX((T_PlannedOrders[Part Name]=$A41)*(T_PlannedOrders[WeekIndex]=7)*(T_PlannedOrders[EffectiveQty]&gt;0)*T_PlannedOrders[Order_Month])),"m月")&amp;"発注)")</f>
        <v/>
      </c>
      <c r="K49">
        <f>IF(SUMIFS(T_PlannedOrders[EffectiveQty],T_PlannedOrders[Part Name],$A41,T_PlannedOrders[WeekIndex],8)=0,"",SUMIFS(T_PlannedOrders[EffectiveQty],T_PlannedOrders[Part Name],$A41,T_PlannedOrders[WeekIndex],8)&amp;" ("&amp;TEXT(SUMPRODUCT(MAX((T_PlannedOrders[Part Name]=$A41)*(T_PlannedOrders[WeekIndex]=8)*(T_PlannedOrders[EffectiveQty]&gt;0)*T_PlannedOrders[Order_Month])),"m月")&amp;"発注)")</f>
        <v/>
      </c>
      <c r="L49">
        <f>IF(SUMIFS(T_PlannedOrders[EffectiveQty],T_PlannedOrders[Part Name],$A41,T_PlannedOrders[WeekIndex],9)=0,"",SUMIFS(T_PlannedOrders[EffectiveQty],T_PlannedOrders[Part Name],$A41,T_PlannedOrders[WeekIndex],9)&amp;" ("&amp;TEXT(SUMPRODUCT(MAX((T_PlannedOrders[Part Name]=$A41)*(T_PlannedOrders[WeekIndex]=9)*(T_PlannedOrders[EffectiveQty]&gt;0)*T_PlannedOrders[Order_Month])),"m月")&amp;"発注)")</f>
        <v/>
      </c>
      <c r="M49">
        <f>IF(SUMIFS(T_PlannedOrders[EffectiveQty],T_PlannedOrders[Part Name],$A41,T_PlannedOrders[WeekIndex],10)=0,"",SUMIFS(T_PlannedOrders[EffectiveQty],T_PlannedOrders[Part Name],$A41,T_PlannedOrders[WeekIndex],10)&amp;" ("&amp;TEXT(SUMPRODUCT(MAX((T_PlannedOrders[Part Name]=$A41)*(T_PlannedOrders[WeekIndex]=10)*(T_PlannedOrders[EffectiveQty]&gt;0)*T_PlannedOrders[Order_Month])),"m月")&amp;"発注)")</f>
        <v/>
      </c>
      <c r="N49">
        <f>IF(SUMIFS(T_PlannedOrders[EffectiveQty],T_PlannedOrders[Part Name],$A41,T_PlannedOrders[WeekIndex],11)=0,"",SUMIFS(T_PlannedOrders[EffectiveQty],T_PlannedOrders[Part Name],$A41,T_PlannedOrders[WeekIndex],11)&amp;" ("&amp;TEXT(SUMPRODUCT(MAX((T_PlannedOrders[Part Name]=$A41)*(T_PlannedOrders[WeekIndex]=11)*(T_PlannedOrders[EffectiveQty]&gt;0)*T_PlannedOrders[Order_Month])),"m月")&amp;"発注)")</f>
        <v/>
      </c>
      <c r="O49">
        <f>IF(SUMIFS(T_PlannedOrders[EffectiveQty],T_PlannedOrders[Part Name],$A41,T_PlannedOrders[WeekIndex],12)=0,"",SUMIFS(T_PlannedOrders[EffectiveQty],T_PlannedOrders[Part Name],$A41,T_PlannedOrders[WeekIndex],12)&amp;" ("&amp;TEXT(SUMPRODUCT(MAX((T_PlannedOrders[Part Name]=$A41)*(T_PlannedOrders[WeekIndex]=12)*(T_PlannedOrders[EffectiveQty]&gt;0)*T_PlannedOrders[Order_Month])),"m月")&amp;"発注)")</f>
        <v/>
      </c>
      <c r="P49">
        <f>IF(SUMIFS(T_PlannedOrders[EffectiveQty],T_PlannedOrders[Part Name],$A41,T_PlannedOrders[WeekIndex],13)=0,"",SUMIFS(T_PlannedOrders[EffectiveQty],T_PlannedOrders[Part Name],$A41,T_PlannedOrders[WeekIndex],13)&amp;" ("&amp;TEXT(SUMPRODUCT(MAX((T_PlannedOrders[Part Name]=$A41)*(T_PlannedOrders[WeekIndex]=13)*(T_PlannedOrders[EffectiveQty]&gt;0)*T_PlannedOrders[Order_Month])),"m月")&amp;"発注)")</f>
        <v/>
      </c>
      <c r="Q49">
        <f>IF(SUMIFS(T_PlannedOrders[EffectiveQty],T_PlannedOrders[Part Name],$A41,T_PlannedOrders[WeekIndex],14)=0,"",SUMIFS(T_PlannedOrders[EffectiveQty],T_PlannedOrders[Part Name],$A41,T_PlannedOrders[WeekIndex],14)&amp;" ("&amp;TEXT(SUMPRODUCT(MAX((T_PlannedOrders[Part Name]=$A41)*(T_PlannedOrders[WeekIndex]=14)*(T_PlannedOrders[EffectiveQty]&gt;0)*T_PlannedOrders[Order_Month])),"m月")&amp;"発注)")</f>
        <v/>
      </c>
      <c r="R49">
        <f>IF(SUMIFS(T_PlannedOrders[EffectiveQty],T_PlannedOrders[Part Name],$A41,T_PlannedOrders[WeekIndex],15)=0,"",SUMIFS(T_PlannedOrders[EffectiveQty],T_PlannedOrders[Part Name],$A41,T_PlannedOrders[WeekIndex],15)&amp;" ("&amp;TEXT(SUMPRODUCT(MAX((T_PlannedOrders[Part Name]=$A41)*(T_PlannedOrders[WeekIndex]=15)*(T_PlannedOrders[EffectiveQty]&gt;0)*T_PlannedOrders[Order_Month])),"m月")&amp;"発注)")</f>
        <v/>
      </c>
      <c r="S49">
        <f>IF(SUMIFS(T_PlannedOrders[EffectiveQty],T_PlannedOrders[Part Name],$A41,T_PlannedOrders[WeekIndex],16)=0,"",SUMIFS(T_PlannedOrders[EffectiveQty],T_PlannedOrders[Part Name],$A41,T_PlannedOrders[WeekIndex],16)&amp;" ("&amp;TEXT(SUMPRODUCT(MAX((T_PlannedOrders[Part Name]=$A41)*(T_PlannedOrders[WeekIndex]=16)*(T_PlannedOrders[EffectiveQty]&gt;0)*T_PlannedOrders[Order_Month])),"m月")&amp;"発注)")</f>
        <v/>
      </c>
      <c r="T49">
        <f>IF(SUMIFS(T_PlannedOrders[EffectiveQty],T_PlannedOrders[Part Name],$A41,T_PlannedOrders[WeekIndex],17)=0,"",SUMIFS(T_PlannedOrders[EffectiveQty],T_PlannedOrders[Part Name],$A41,T_PlannedOrders[WeekIndex],17)&amp;" ("&amp;TEXT(SUMPRODUCT(MAX((T_PlannedOrders[Part Name]=$A41)*(T_PlannedOrders[WeekIndex]=17)*(T_PlannedOrders[EffectiveQty]&gt;0)*T_PlannedOrders[Order_Month])),"m月")&amp;"発注)")</f>
        <v/>
      </c>
      <c r="U49">
        <f>IF(SUMIFS(T_PlannedOrders[EffectiveQty],T_PlannedOrders[Part Name],$A41,T_PlannedOrders[WeekIndex],18)=0,"",SUMIFS(T_PlannedOrders[EffectiveQty],T_PlannedOrders[Part Name],$A41,T_PlannedOrders[WeekIndex],18)&amp;" ("&amp;TEXT(SUMPRODUCT(MAX((T_PlannedOrders[Part Name]=$A41)*(T_PlannedOrders[WeekIndex]=18)*(T_PlannedOrders[EffectiveQty]&gt;0)*T_PlannedOrders[Order_Month])),"m月")&amp;"発注)")</f>
        <v/>
      </c>
      <c r="V49">
        <f>IF(SUMIFS(T_PlannedOrders[EffectiveQty],T_PlannedOrders[Part Name],$A41,T_PlannedOrders[WeekIndex],19)=0,"",SUMIFS(T_PlannedOrders[EffectiveQty],T_PlannedOrders[Part Name],$A41,T_PlannedOrders[WeekIndex],19)&amp;" ("&amp;TEXT(SUMPRODUCT(MAX((T_PlannedOrders[Part Name]=$A41)*(T_PlannedOrders[WeekIndex]=19)*(T_PlannedOrders[EffectiveQty]&gt;0)*T_PlannedOrders[Order_Month])),"m月")&amp;"発注)")</f>
        <v/>
      </c>
      <c r="W49">
        <f>IF(SUMIFS(T_PlannedOrders[EffectiveQty],T_PlannedOrders[Part Name],$A41,T_PlannedOrders[WeekIndex],20)=0,"",SUMIFS(T_PlannedOrders[EffectiveQty],T_PlannedOrders[Part Name],$A41,T_PlannedOrders[WeekIndex],20)&amp;" ("&amp;TEXT(SUMPRODUCT(MAX((T_PlannedOrders[Part Name]=$A41)*(T_PlannedOrders[WeekIndex]=20)*(T_PlannedOrders[EffectiveQty]&gt;0)*T_PlannedOrders[Order_Month])),"m月")&amp;"発注)")</f>
        <v/>
      </c>
      <c r="X49">
        <f>IF(SUMIFS(T_PlannedOrders[EffectiveQty],T_PlannedOrders[Part Name],$A41,T_PlannedOrders[WeekIndex],21)=0,"",SUMIFS(T_PlannedOrders[EffectiveQty],T_PlannedOrders[Part Name],$A41,T_PlannedOrders[WeekIndex],21)&amp;" ("&amp;TEXT(SUMPRODUCT(MAX((T_PlannedOrders[Part Name]=$A41)*(T_PlannedOrders[WeekIndex]=21)*(T_PlannedOrders[EffectiveQty]&gt;0)*T_PlannedOrders[Order_Month])),"m月")&amp;"発注)")</f>
        <v/>
      </c>
      <c r="Y49">
        <f>IF(SUMIFS(T_PlannedOrders[EffectiveQty],T_PlannedOrders[Part Name],$A41,T_PlannedOrders[WeekIndex],22)=0,"",SUMIFS(T_PlannedOrders[EffectiveQty],T_PlannedOrders[Part Name],$A41,T_PlannedOrders[WeekIndex],22)&amp;" ("&amp;TEXT(SUMPRODUCT(MAX((T_PlannedOrders[Part Name]=$A41)*(T_PlannedOrders[WeekIndex]=22)*(T_PlannedOrders[EffectiveQty]&gt;0)*T_PlannedOrders[Order_Month])),"m月")&amp;"発注)")</f>
        <v/>
      </c>
      <c r="Z49">
        <f>IF(SUMIFS(T_PlannedOrders[EffectiveQty],T_PlannedOrders[Part Name],$A41,T_PlannedOrders[WeekIndex],23)=0,"",SUMIFS(T_PlannedOrders[EffectiveQty],T_PlannedOrders[Part Name],$A41,T_PlannedOrders[WeekIndex],23)&amp;" ("&amp;TEXT(SUMPRODUCT(MAX((T_PlannedOrders[Part Name]=$A41)*(T_PlannedOrders[WeekIndex]=23)*(T_PlannedOrders[EffectiveQty]&gt;0)*T_PlannedOrders[Order_Month])),"m月")&amp;"発注)")</f>
        <v/>
      </c>
      <c r="AA49">
        <f>IF(SUMIFS(T_PlannedOrders[EffectiveQty],T_PlannedOrders[Part Name],$A41,T_PlannedOrders[WeekIndex],24)=0,"",SUMIFS(T_PlannedOrders[EffectiveQty],T_PlannedOrders[Part Name],$A41,T_PlannedOrders[WeekIndex],24)&amp;" ("&amp;TEXT(SUMPRODUCT(MAX((T_PlannedOrders[Part Name]=$A41)*(T_PlannedOrders[WeekIndex]=24)*(T_PlannedOrders[EffectiveQty]&gt;0)*T_PlannedOrders[Order_Month])),"m月")&amp;"発注)")</f>
        <v/>
      </c>
      <c r="AB49">
        <f>IF(SUMIFS(T_PlannedOrders[EffectiveQty],T_PlannedOrders[Part Name],$A41,T_PlannedOrders[WeekIndex],25)=0,"",SUMIFS(T_PlannedOrders[EffectiveQty],T_PlannedOrders[Part Name],$A41,T_PlannedOrders[WeekIndex],25)&amp;" ("&amp;TEXT(SUMPRODUCT(MAX((T_PlannedOrders[Part Name]=$A41)*(T_PlannedOrders[WeekIndex]=25)*(T_PlannedOrders[EffectiveQty]&gt;0)*T_PlannedOrders[Order_Month])),"m月")&amp;"発注)")</f>
        <v/>
      </c>
      <c r="AC49">
        <f>IF(SUMIFS(T_PlannedOrders[EffectiveQty],T_PlannedOrders[Part Name],$A41,T_PlannedOrders[WeekIndex],26)=0,"",SUMIFS(T_PlannedOrders[EffectiveQty],T_PlannedOrders[Part Name],$A41,T_PlannedOrders[WeekIndex],26)&amp;" ("&amp;TEXT(SUMPRODUCT(MAX((T_PlannedOrders[Part Name]=$A41)*(T_PlannedOrders[WeekIndex]=26)*(T_PlannedOrders[EffectiveQty]&gt;0)*T_PlannedOrders[Order_Month])),"m月")&amp;"発注)")</f>
        <v/>
      </c>
      <c r="AD49">
        <f>IF(SUMIFS(T_PlannedOrders[EffectiveQty],T_PlannedOrders[Part Name],$A41,T_PlannedOrders[WeekIndex],27)=0,"",SUMIFS(T_PlannedOrders[EffectiveQty],T_PlannedOrders[Part Name],$A41,T_PlannedOrders[WeekIndex],27)&amp;" ("&amp;TEXT(SUMPRODUCT(MAX((T_PlannedOrders[Part Name]=$A41)*(T_PlannedOrders[WeekIndex]=27)*(T_PlannedOrders[EffectiveQty]&gt;0)*T_PlannedOrders[Order_Month])),"m月")&amp;"発注)")</f>
        <v/>
      </c>
      <c r="AE49">
        <f>IF(SUMIFS(T_PlannedOrders[EffectiveQty],T_PlannedOrders[Part Name],$A41,T_PlannedOrders[WeekIndex],28)=0,"",SUMIFS(T_PlannedOrders[EffectiveQty],T_PlannedOrders[Part Name],$A41,T_PlannedOrders[WeekIndex],28)&amp;" ("&amp;TEXT(SUMPRODUCT(MAX((T_PlannedOrders[Part Name]=$A41)*(T_PlannedOrders[WeekIndex]=28)*(T_PlannedOrders[EffectiveQty]&gt;0)*T_PlannedOrders[Order_Month])),"m月")&amp;"発注)")</f>
        <v/>
      </c>
      <c r="AF49">
        <f>IF(SUMIFS(T_PlannedOrders[EffectiveQty],T_PlannedOrders[Part Name],$A41,T_PlannedOrders[WeekIndex],29)=0,"",SUMIFS(T_PlannedOrders[EffectiveQty],T_PlannedOrders[Part Name],$A41,T_PlannedOrders[WeekIndex],29)&amp;" ("&amp;TEXT(SUMPRODUCT(MAX((T_PlannedOrders[Part Name]=$A41)*(T_PlannedOrders[WeekIndex]=29)*(T_PlannedOrders[EffectiveQty]&gt;0)*T_PlannedOrders[Order_Month])),"m月")&amp;"発注)")</f>
        <v/>
      </c>
      <c r="AG49">
        <f>IF(SUMIFS(T_PlannedOrders[EffectiveQty],T_PlannedOrders[Part Name],$A41,T_PlannedOrders[WeekIndex],30)=0,"",SUMIFS(T_PlannedOrders[EffectiveQty],T_PlannedOrders[Part Name],$A41,T_PlannedOrders[WeekIndex],30)&amp;" ("&amp;TEXT(SUMPRODUCT(MAX((T_PlannedOrders[Part Name]=$A41)*(T_PlannedOrders[WeekIndex]=30)*(T_PlannedOrders[EffectiveQty]&gt;0)*T_PlannedOrders[Order_Month])),"m月")&amp;"発注)")</f>
        <v/>
      </c>
      <c r="AH49">
        <f>IF(SUMIFS(T_PlannedOrders[EffectiveQty],T_PlannedOrders[Part Name],$A41,T_PlannedOrders[WeekIndex],31)=0,"",SUMIFS(T_PlannedOrders[EffectiveQty],T_PlannedOrders[Part Name],$A41,T_PlannedOrders[WeekIndex],31)&amp;" ("&amp;TEXT(SUMPRODUCT(MAX((T_PlannedOrders[Part Name]=$A41)*(T_PlannedOrders[WeekIndex]=31)*(T_PlannedOrders[EffectiveQty]&gt;0)*T_PlannedOrders[Order_Month])),"m月")&amp;"発注)")</f>
        <v/>
      </c>
      <c r="AI49">
        <f>IF(SUMIFS(T_PlannedOrders[EffectiveQty],T_PlannedOrders[Part Name],$A41,T_PlannedOrders[WeekIndex],32)=0,"",SUMIFS(T_PlannedOrders[EffectiveQty],T_PlannedOrders[Part Name],$A41,T_PlannedOrders[WeekIndex],32)&amp;" ("&amp;TEXT(SUMPRODUCT(MAX((T_PlannedOrders[Part Name]=$A41)*(T_PlannedOrders[WeekIndex]=32)*(T_PlannedOrders[EffectiveQty]&gt;0)*T_PlannedOrders[Order_Month])),"m月")&amp;"発注)")</f>
        <v/>
      </c>
      <c r="AJ49">
        <f>IF(SUMIFS(T_PlannedOrders[EffectiveQty],T_PlannedOrders[Part Name],$A41,T_PlannedOrders[WeekIndex],33)=0,"",SUMIFS(T_PlannedOrders[EffectiveQty],T_PlannedOrders[Part Name],$A41,T_PlannedOrders[WeekIndex],33)&amp;" ("&amp;TEXT(SUMPRODUCT(MAX((T_PlannedOrders[Part Name]=$A41)*(T_PlannedOrders[WeekIndex]=33)*(T_PlannedOrders[EffectiveQty]&gt;0)*T_PlannedOrders[Order_Month])),"m月")&amp;"発注)")</f>
        <v/>
      </c>
      <c r="AK49">
        <f>IF(SUMIFS(T_PlannedOrders[EffectiveQty],T_PlannedOrders[Part Name],$A41,T_PlannedOrders[WeekIndex],34)=0,"",SUMIFS(T_PlannedOrders[EffectiveQty],T_PlannedOrders[Part Name],$A41,T_PlannedOrders[WeekIndex],34)&amp;" ("&amp;TEXT(SUMPRODUCT(MAX((T_PlannedOrders[Part Name]=$A41)*(T_PlannedOrders[WeekIndex]=34)*(T_PlannedOrders[EffectiveQty]&gt;0)*T_PlannedOrders[Order_Month])),"m月")&amp;"発注)")</f>
        <v/>
      </c>
      <c r="AL49">
        <f>IF(SUMIFS(T_PlannedOrders[EffectiveQty],T_PlannedOrders[Part Name],$A41,T_PlannedOrders[WeekIndex],35)=0,"",SUMIFS(T_PlannedOrders[EffectiveQty],T_PlannedOrders[Part Name],$A41,T_PlannedOrders[WeekIndex],35)&amp;" ("&amp;TEXT(SUMPRODUCT(MAX((T_PlannedOrders[Part Name]=$A41)*(T_PlannedOrders[WeekIndex]=35)*(T_PlannedOrders[EffectiveQty]&gt;0)*T_PlannedOrders[Order_Month])),"m月")&amp;"発注)")</f>
        <v/>
      </c>
      <c r="AM49">
        <f>IF(SUMIFS(T_PlannedOrders[EffectiveQty],T_PlannedOrders[Part Name],$A41,T_PlannedOrders[WeekIndex],36)=0,"",SUMIFS(T_PlannedOrders[EffectiveQty],T_PlannedOrders[Part Name],$A41,T_PlannedOrders[WeekIndex],36)&amp;" ("&amp;TEXT(SUMPRODUCT(MAX((T_PlannedOrders[Part Name]=$A41)*(T_PlannedOrders[WeekIndex]=36)*(T_PlannedOrders[EffectiveQty]&gt;0)*T_PlannedOrders[Order_Month])),"m月")&amp;"発注)")</f>
        <v/>
      </c>
      <c r="AN49">
        <f>IF(SUMIFS(T_PlannedOrders[EffectiveQty],T_PlannedOrders[Part Name],$A41,T_PlannedOrders[WeekIndex],37)=0,"",SUMIFS(T_PlannedOrders[EffectiveQty],T_PlannedOrders[Part Name],$A41,T_PlannedOrders[WeekIndex],37)&amp;" ("&amp;TEXT(SUMPRODUCT(MAX((T_PlannedOrders[Part Name]=$A41)*(T_PlannedOrders[WeekIndex]=37)*(T_PlannedOrders[EffectiveQty]&gt;0)*T_PlannedOrders[Order_Month])),"m月")&amp;"発注)")</f>
        <v/>
      </c>
      <c r="AO49">
        <f>IF(SUMIFS(T_PlannedOrders[EffectiveQty],T_PlannedOrders[Part Name],$A41,T_PlannedOrders[WeekIndex],38)=0,"",SUMIFS(T_PlannedOrders[EffectiveQty],T_PlannedOrders[Part Name],$A41,T_PlannedOrders[WeekIndex],38)&amp;" ("&amp;TEXT(SUMPRODUCT(MAX((T_PlannedOrders[Part Name]=$A41)*(T_PlannedOrders[WeekIndex]=38)*(T_PlannedOrders[EffectiveQty]&gt;0)*T_PlannedOrders[Order_Month])),"m月")&amp;"発注)")</f>
        <v/>
      </c>
      <c r="AP49">
        <f>IF(SUMIFS(T_PlannedOrders[EffectiveQty],T_PlannedOrders[Part Name],$A41,T_PlannedOrders[WeekIndex],39)=0,"",SUMIFS(T_PlannedOrders[EffectiveQty],T_PlannedOrders[Part Name],$A41,T_PlannedOrders[WeekIndex],39)&amp;" ("&amp;TEXT(SUMPRODUCT(MAX((T_PlannedOrders[Part Name]=$A41)*(T_PlannedOrders[WeekIndex]=39)*(T_PlannedOrders[EffectiveQty]&gt;0)*T_PlannedOrders[Order_Month])),"m月")&amp;"発注)")</f>
        <v/>
      </c>
      <c r="AQ49">
        <f>IF(SUMIFS(T_PlannedOrders[EffectiveQty],T_PlannedOrders[Part Name],$A41,T_PlannedOrders[WeekIndex],40)=0,"",SUMIFS(T_PlannedOrders[EffectiveQty],T_PlannedOrders[Part Name],$A41,T_PlannedOrders[WeekIndex],40)&amp;" ("&amp;TEXT(SUMPRODUCT(MAX((T_PlannedOrders[Part Name]=$A41)*(T_PlannedOrders[WeekIndex]=40)*(T_PlannedOrders[EffectiveQty]&gt;0)*T_PlannedOrders[Order_Month])),"m月")&amp;"発注)")</f>
        <v/>
      </c>
      <c r="AR49">
        <f>IF(SUMIFS(T_PlannedOrders[EffectiveQty],T_PlannedOrders[Part Name],$A41,T_PlannedOrders[WeekIndex],41)=0,"",SUMIFS(T_PlannedOrders[EffectiveQty],T_PlannedOrders[Part Name],$A41,T_PlannedOrders[WeekIndex],41)&amp;" ("&amp;TEXT(SUMPRODUCT(MAX((T_PlannedOrders[Part Name]=$A41)*(T_PlannedOrders[WeekIndex]=41)*(T_PlannedOrders[EffectiveQty]&gt;0)*T_PlannedOrders[Order_Month])),"m月")&amp;"発注)")</f>
        <v/>
      </c>
      <c r="AS49">
        <f>IF(SUMIFS(T_PlannedOrders[EffectiveQty],T_PlannedOrders[Part Name],$A41,T_PlannedOrders[WeekIndex],42)=0,"",SUMIFS(T_PlannedOrders[EffectiveQty],T_PlannedOrders[Part Name],$A41,T_PlannedOrders[WeekIndex],42)&amp;" ("&amp;TEXT(SUMPRODUCT(MAX((T_PlannedOrders[Part Name]=$A41)*(T_PlannedOrders[WeekIndex]=42)*(T_PlannedOrders[EffectiveQty]&gt;0)*T_PlannedOrders[Order_Month])),"m月")&amp;"発注)")</f>
        <v/>
      </c>
      <c r="AT49">
        <f>IF(SUMIFS(T_PlannedOrders[EffectiveQty],T_PlannedOrders[Part Name],$A41,T_PlannedOrders[WeekIndex],43)=0,"",SUMIFS(T_PlannedOrders[EffectiveQty],T_PlannedOrders[Part Name],$A41,T_PlannedOrders[WeekIndex],43)&amp;" ("&amp;TEXT(SUMPRODUCT(MAX((T_PlannedOrders[Part Name]=$A41)*(T_PlannedOrders[WeekIndex]=43)*(T_PlannedOrders[EffectiveQty]&gt;0)*T_PlannedOrders[Order_Month])),"m月")&amp;"発注)")</f>
        <v/>
      </c>
      <c r="AU49">
        <f>IF(SUMIFS(T_PlannedOrders[EffectiveQty],T_PlannedOrders[Part Name],$A41,T_PlannedOrders[WeekIndex],44)=0,"",SUMIFS(T_PlannedOrders[EffectiveQty],T_PlannedOrders[Part Name],$A41,T_PlannedOrders[WeekIndex],44)&amp;" ("&amp;TEXT(SUMPRODUCT(MAX((T_PlannedOrders[Part Name]=$A41)*(T_PlannedOrders[WeekIndex]=44)*(T_PlannedOrders[EffectiveQty]&gt;0)*T_PlannedOrders[Order_Month])),"m月")&amp;"発注)")</f>
        <v/>
      </c>
      <c r="AV49">
        <f>IF(SUMIFS(T_PlannedOrders[EffectiveQty],T_PlannedOrders[Part Name],$A41,T_PlannedOrders[WeekIndex],45)=0,"",SUMIFS(T_PlannedOrders[EffectiveQty],T_PlannedOrders[Part Name],$A41,T_PlannedOrders[WeekIndex],45)&amp;" ("&amp;TEXT(SUMPRODUCT(MAX((T_PlannedOrders[Part Name]=$A41)*(T_PlannedOrders[WeekIndex]=45)*(T_PlannedOrders[EffectiveQty]&gt;0)*T_PlannedOrders[Order_Month])),"m月")&amp;"発注)")</f>
        <v/>
      </c>
      <c r="AW49">
        <f>IF(SUMIFS(T_PlannedOrders[EffectiveQty],T_PlannedOrders[Part Name],$A41,T_PlannedOrders[WeekIndex],46)=0,"",SUMIFS(T_PlannedOrders[EffectiveQty],T_PlannedOrders[Part Name],$A41,T_PlannedOrders[WeekIndex],46)&amp;" ("&amp;TEXT(SUMPRODUCT(MAX((T_PlannedOrders[Part Name]=$A41)*(T_PlannedOrders[WeekIndex]=46)*(T_PlannedOrders[EffectiveQty]&gt;0)*T_PlannedOrders[Order_Month])),"m月")&amp;"発注)")</f>
        <v/>
      </c>
      <c r="AX49">
        <f>IF(SUMIFS(T_PlannedOrders[EffectiveQty],T_PlannedOrders[Part Name],$A41,T_PlannedOrders[WeekIndex],47)=0,"",SUMIFS(T_PlannedOrders[EffectiveQty],T_PlannedOrders[Part Name],$A41,T_PlannedOrders[WeekIndex],47)&amp;" ("&amp;TEXT(SUMPRODUCT(MAX((T_PlannedOrders[Part Name]=$A41)*(T_PlannedOrders[WeekIndex]=47)*(T_PlannedOrders[EffectiveQty]&gt;0)*T_PlannedOrders[Order_Month])),"m月")&amp;"発注)")</f>
        <v/>
      </c>
      <c r="AY49">
        <f>IF(SUMIFS(T_PlannedOrders[EffectiveQty],T_PlannedOrders[Part Name],$A41,T_PlannedOrders[WeekIndex],48)=0,"",SUMIFS(T_PlannedOrders[EffectiveQty],T_PlannedOrders[Part Name],$A41,T_PlannedOrders[WeekIndex],48)&amp;" ("&amp;TEXT(SUMPRODUCT(MAX((T_PlannedOrders[Part Name]=$A41)*(T_PlannedOrders[WeekIndex]=48)*(T_PlannedOrders[EffectiveQty]&gt;0)*T_PlannedOrders[Order_Month])),"m月")&amp;"発注)")</f>
        <v/>
      </c>
      <c r="AZ49">
        <f>IF(SUMIFS(T_PlannedOrders[EffectiveQty],T_PlannedOrders[Part Name],$A41,T_PlannedOrders[WeekIndex],49)=0,"",SUMIFS(T_PlannedOrders[EffectiveQty],T_PlannedOrders[Part Name],$A41,T_PlannedOrders[WeekIndex],49)&amp;" ("&amp;TEXT(SUMPRODUCT(MAX((T_PlannedOrders[Part Name]=$A41)*(T_PlannedOrders[WeekIndex]=49)*(T_PlannedOrders[EffectiveQty]&gt;0)*T_PlannedOrders[Order_Month])),"m月")&amp;"発注)")</f>
        <v/>
      </c>
      <c r="BA49">
        <f>IF(SUMIFS(T_PlannedOrders[EffectiveQty],T_PlannedOrders[Part Name],$A41,T_PlannedOrders[WeekIndex],50)=0,"",SUMIFS(T_PlannedOrders[EffectiveQty],T_PlannedOrders[Part Name],$A41,T_PlannedOrders[WeekIndex],50)&amp;" ("&amp;TEXT(SUMPRODUCT(MAX((T_PlannedOrders[Part Name]=$A41)*(T_PlannedOrders[WeekIndex]=50)*(T_PlannedOrders[EffectiveQty]&gt;0)*T_PlannedOrders[Order_Month])),"m月")&amp;"発注)")</f>
        <v/>
      </c>
      <c r="BB49">
        <f>IF(SUMIFS(T_PlannedOrders[EffectiveQty],T_PlannedOrders[Part Name],$A41,T_PlannedOrders[WeekIndex],51)=0,"",SUMIFS(T_PlannedOrders[EffectiveQty],T_PlannedOrders[Part Name],$A41,T_PlannedOrders[WeekIndex],51)&amp;" ("&amp;TEXT(SUMPRODUCT(MAX((T_PlannedOrders[Part Name]=$A41)*(T_PlannedOrders[WeekIndex]=51)*(T_PlannedOrders[EffectiveQty]&gt;0)*T_PlannedOrders[Order_Month])),"m月")&amp;"発注)")</f>
        <v/>
      </c>
      <c r="BC49">
        <f>IF(SUMIFS(T_PlannedOrders[EffectiveQty],T_PlannedOrders[Part Name],$A41,T_PlannedOrders[WeekIndex],52)=0,"",SUMIFS(T_PlannedOrders[EffectiveQty],T_PlannedOrders[Part Name],$A41,T_PlannedOrders[WeekIndex],52)&amp;" ("&amp;TEXT(SUMPRODUCT(MAX((T_PlannedOrders[Part Name]=$A41)*(T_PlannedOrders[WeekIndex]=52)*(T_PlannedOrders[EffectiveQty]&gt;0)*T_PlannedOrders[Order_Month])),"m月")&amp;"発注)")</f>
        <v/>
      </c>
      <c r="BD49">
        <f>IF(SUMIFS(T_PlannedOrders[EffectiveQty],T_PlannedOrders[Part Name],$A41,T_PlannedOrders[WeekIndex],53)=0,"",SUMIFS(T_PlannedOrders[EffectiveQty],T_PlannedOrders[Part Name],$A41,T_PlannedOrders[WeekIndex],53)&amp;" ("&amp;TEXT(SUMPRODUCT(MAX((T_PlannedOrders[Part Name]=$A41)*(T_PlannedOrders[WeekIndex]=53)*(T_PlannedOrders[EffectiveQty]&gt;0)*T_PlannedOrders[Order_Month])),"m月")&amp;"発注)")</f>
        <v/>
      </c>
      <c r="BE49">
        <f>IF(SUMIFS(T_PlannedOrders[EffectiveQty],T_PlannedOrders[Part Name],$A41,T_PlannedOrders[WeekIndex],54)=0,"",SUMIFS(T_PlannedOrders[EffectiveQty],T_PlannedOrders[Part Name],$A41,T_PlannedOrders[WeekIndex],54)&amp;" ("&amp;TEXT(SUMPRODUCT(MAX((T_PlannedOrders[Part Name]=$A41)*(T_PlannedOrders[WeekIndex]=54)*(T_PlannedOrders[EffectiveQty]&gt;0)*T_PlannedOrders[Order_Month])),"m月")&amp;"発注)")</f>
        <v/>
      </c>
      <c r="BF49">
        <f>IF(SUMIFS(T_PlannedOrders[EffectiveQty],T_PlannedOrders[Part Name],$A41,T_PlannedOrders[WeekIndex],55)=0,"",SUMIFS(T_PlannedOrders[EffectiveQty],T_PlannedOrders[Part Name],$A41,T_PlannedOrders[WeekIndex],55)&amp;" ("&amp;TEXT(SUMPRODUCT(MAX((T_PlannedOrders[Part Name]=$A41)*(T_PlannedOrders[WeekIndex]=55)*(T_PlannedOrders[EffectiveQty]&gt;0)*T_PlannedOrders[Order_Month])),"m月")&amp;"発注)")</f>
        <v/>
      </c>
      <c r="BG49">
        <f>IF(SUMIFS(T_PlannedOrders[EffectiveQty],T_PlannedOrders[Part Name],$A41,T_PlannedOrders[WeekIndex],56)=0,"",SUMIFS(T_PlannedOrders[EffectiveQty],T_PlannedOrders[Part Name],$A41,T_PlannedOrders[WeekIndex],56)&amp;" ("&amp;TEXT(SUMPRODUCT(MAX((T_PlannedOrders[Part Name]=$A41)*(T_PlannedOrders[WeekIndex]=56)*(T_PlannedOrders[EffectiveQty]&gt;0)*T_PlannedOrders[Order_Month])),"m月")&amp;"発注)")</f>
        <v/>
      </c>
      <c r="BH49">
        <f>IF(SUMIFS(T_PlannedOrders[EffectiveQty],T_PlannedOrders[Part Name],$A41,T_PlannedOrders[WeekIndex],57)=0,"",SUMIFS(T_PlannedOrders[EffectiveQty],T_PlannedOrders[Part Name],$A41,T_PlannedOrders[WeekIndex],57)&amp;" ("&amp;TEXT(SUMPRODUCT(MAX((T_PlannedOrders[Part Name]=$A41)*(T_PlannedOrders[WeekIndex]=57)*(T_PlannedOrders[EffectiveQty]&gt;0)*T_PlannedOrders[Order_Month])),"m月")&amp;"発注)")</f>
        <v/>
      </c>
      <c r="BI49">
        <f>IF(SUMIFS(T_PlannedOrders[EffectiveQty],T_PlannedOrders[Part Name],$A41,T_PlannedOrders[WeekIndex],58)=0,"",SUMIFS(T_PlannedOrders[EffectiveQty],T_PlannedOrders[Part Name],$A41,T_PlannedOrders[WeekIndex],58)&amp;" ("&amp;TEXT(SUMPRODUCT(MAX((T_PlannedOrders[Part Name]=$A41)*(T_PlannedOrders[WeekIndex]=58)*(T_PlannedOrders[EffectiveQty]&gt;0)*T_PlannedOrders[Order_Month])),"m月")&amp;"発注)")</f>
        <v/>
      </c>
      <c r="BJ49">
        <f>IF(SUMIFS(T_PlannedOrders[EffectiveQty],T_PlannedOrders[Part Name],$A41,T_PlannedOrders[WeekIndex],59)=0,"",SUMIFS(T_PlannedOrders[EffectiveQty],T_PlannedOrders[Part Name],$A41,T_PlannedOrders[WeekIndex],59)&amp;" ("&amp;TEXT(SUMPRODUCT(MAX((T_PlannedOrders[Part Name]=$A41)*(T_PlannedOrders[WeekIndex]=59)*(T_PlannedOrders[EffectiveQty]&gt;0)*T_PlannedOrders[Order_Month])),"m月")&amp;"発注)")</f>
        <v/>
      </c>
      <c r="BK49">
        <f>IF(SUMIFS(T_PlannedOrders[EffectiveQty],T_PlannedOrders[Part Name],$A41,T_PlannedOrders[WeekIndex],60)=0,"",SUMIFS(T_PlannedOrders[EffectiveQty],T_PlannedOrders[Part Name],$A41,T_PlannedOrders[WeekIndex],60)&amp;" ("&amp;TEXT(SUMPRODUCT(MAX((T_PlannedOrders[Part Name]=$A41)*(T_PlannedOrders[WeekIndex]=60)*(T_PlannedOrders[EffectiveQty]&gt;0)*T_PlannedOrders[Order_Month])),"m月")&amp;"発注)")</f>
        <v/>
      </c>
      <c r="BL49">
        <f>IF(SUMIFS(T_PlannedOrders[EffectiveQty],T_PlannedOrders[Part Name],$A41,T_PlannedOrders[WeekIndex],61)=0,"",SUMIFS(T_PlannedOrders[EffectiveQty],T_PlannedOrders[Part Name],$A41,T_PlannedOrders[WeekIndex],61)&amp;" ("&amp;TEXT(SUMPRODUCT(MAX((T_PlannedOrders[Part Name]=$A41)*(T_PlannedOrders[WeekIndex]=61)*(T_PlannedOrders[EffectiveQty]&gt;0)*T_PlannedOrders[Order_Month])),"m月")&amp;"発注)")</f>
        <v/>
      </c>
      <c r="BM49">
        <f>IF(SUMIFS(T_PlannedOrders[EffectiveQty],T_PlannedOrders[Part Name],$A41,T_PlannedOrders[WeekIndex],62)=0,"",SUMIFS(T_PlannedOrders[EffectiveQty],T_PlannedOrders[Part Name],$A41,T_PlannedOrders[WeekIndex],62)&amp;" ("&amp;TEXT(SUMPRODUCT(MAX((T_PlannedOrders[Part Name]=$A41)*(T_PlannedOrders[WeekIndex]=62)*(T_PlannedOrders[EffectiveQty]&gt;0)*T_PlannedOrders[Order_Month])),"m月")&amp;"発注)")</f>
        <v/>
      </c>
      <c r="BN49">
        <f>IF(SUMIFS(T_PlannedOrders[EffectiveQty],T_PlannedOrders[Part Name],$A41,T_PlannedOrders[WeekIndex],63)=0,"",SUMIFS(T_PlannedOrders[EffectiveQty],T_PlannedOrders[Part Name],$A41,T_PlannedOrders[WeekIndex],63)&amp;" ("&amp;TEXT(SUMPRODUCT(MAX((T_PlannedOrders[Part Name]=$A41)*(T_PlannedOrders[WeekIndex]=63)*(T_PlannedOrders[EffectiveQty]&gt;0)*T_PlannedOrders[Order_Month])),"m月")&amp;"発注)")</f>
        <v/>
      </c>
      <c r="BO49">
        <f>IF(SUMIFS(T_PlannedOrders[EffectiveQty],T_PlannedOrders[Part Name],$A41,T_PlannedOrders[WeekIndex],64)=0,"",SUMIFS(T_PlannedOrders[EffectiveQty],T_PlannedOrders[Part Name],$A41,T_PlannedOrders[WeekIndex],64)&amp;" ("&amp;TEXT(SUMPRODUCT(MAX((T_PlannedOrders[Part Name]=$A41)*(T_PlannedOrders[WeekIndex]=64)*(T_PlannedOrders[EffectiveQty]&gt;0)*T_PlannedOrders[Order_Month])),"m月")&amp;"発注)")</f>
        <v/>
      </c>
      <c r="BP49">
        <f>IF(SUMIFS(T_PlannedOrders[EffectiveQty],T_PlannedOrders[Part Name],$A41,T_PlannedOrders[WeekIndex],65)=0,"",SUMIFS(T_PlannedOrders[EffectiveQty],T_PlannedOrders[Part Name],$A41,T_PlannedOrders[WeekIndex],65)&amp;" ("&amp;TEXT(SUMPRODUCT(MAX((T_PlannedOrders[Part Name]=$A41)*(T_PlannedOrders[WeekIndex]=65)*(T_PlannedOrders[EffectiveQty]&gt;0)*T_PlannedOrders[Order_Month])),"m月")&amp;"発注)")</f>
        <v/>
      </c>
      <c r="BQ49">
        <f>IF(SUMIFS(T_PlannedOrders[EffectiveQty],T_PlannedOrders[Part Name],$A41,T_PlannedOrders[WeekIndex],66)=0,"",SUMIFS(T_PlannedOrders[EffectiveQty],T_PlannedOrders[Part Name],$A41,T_PlannedOrders[WeekIndex],66)&amp;" ("&amp;TEXT(SUMPRODUCT(MAX((T_PlannedOrders[Part Name]=$A41)*(T_PlannedOrders[WeekIndex]=66)*(T_PlannedOrders[EffectiveQty]&gt;0)*T_PlannedOrders[Order_Month])),"m月")&amp;"発注)")</f>
        <v/>
      </c>
      <c r="BR49">
        <f>IF(SUMIFS(T_PlannedOrders[EffectiveQty],T_PlannedOrders[Part Name],$A41,T_PlannedOrders[WeekIndex],67)=0,"",SUMIFS(T_PlannedOrders[EffectiveQty],T_PlannedOrders[Part Name],$A41,T_PlannedOrders[WeekIndex],67)&amp;" ("&amp;TEXT(SUMPRODUCT(MAX((T_PlannedOrders[Part Name]=$A41)*(T_PlannedOrders[WeekIndex]=67)*(T_PlannedOrders[EffectiveQty]&gt;0)*T_PlannedOrders[Order_Month])),"m月")&amp;"発注)")</f>
        <v/>
      </c>
      <c r="BS49">
        <f>IF(SUMIFS(T_PlannedOrders[EffectiveQty],T_PlannedOrders[Part Name],$A41,T_PlannedOrders[WeekIndex],68)=0,"",SUMIFS(T_PlannedOrders[EffectiveQty],T_PlannedOrders[Part Name],$A41,T_PlannedOrders[WeekIndex],68)&amp;" ("&amp;TEXT(SUMPRODUCT(MAX((T_PlannedOrders[Part Name]=$A41)*(T_PlannedOrders[WeekIndex]=68)*(T_PlannedOrders[EffectiveQty]&gt;0)*T_PlannedOrders[Order_Month])),"m月")&amp;"発注)")</f>
        <v/>
      </c>
      <c r="BT49">
        <f>IF(SUMIFS(T_PlannedOrders[EffectiveQty],T_PlannedOrders[Part Name],$A41,T_PlannedOrders[WeekIndex],69)=0,"",SUMIFS(T_PlannedOrders[EffectiveQty],T_PlannedOrders[Part Name],$A41,T_PlannedOrders[WeekIndex],69)&amp;" ("&amp;TEXT(SUMPRODUCT(MAX((T_PlannedOrders[Part Name]=$A41)*(T_PlannedOrders[WeekIndex]=69)*(T_PlannedOrders[EffectiveQty]&gt;0)*T_PlannedOrders[Order_Month])),"m月")&amp;"発注)")</f>
        <v/>
      </c>
      <c r="BU49">
        <f>IF(SUMIFS(T_PlannedOrders[EffectiveQty],T_PlannedOrders[Part Name],$A41,T_PlannedOrders[WeekIndex],70)=0,"",SUMIFS(T_PlannedOrders[EffectiveQty],T_PlannedOrders[Part Name],$A41,T_PlannedOrders[WeekIndex],70)&amp;" ("&amp;TEXT(SUMPRODUCT(MAX((T_PlannedOrders[Part Name]=$A41)*(T_PlannedOrders[WeekIndex]=70)*(T_PlannedOrders[EffectiveQty]&gt;0)*T_PlannedOrders[Order_Month])),"m月")&amp;"発注)")</f>
        <v/>
      </c>
      <c r="BV49">
        <f>IF(SUMIFS(T_PlannedOrders[EffectiveQty],T_PlannedOrders[Part Name],$A41,T_PlannedOrders[WeekIndex],71)=0,"",SUMIFS(T_PlannedOrders[EffectiveQty],T_PlannedOrders[Part Name],$A41,T_PlannedOrders[WeekIndex],71)&amp;" ("&amp;TEXT(SUMPRODUCT(MAX((T_PlannedOrders[Part Name]=$A41)*(T_PlannedOrders[WeekIndex]=71)*(T_PlannedOrders[EffectiveQty]&gt;0)*T_PlannedOrders[Order_Month])),"m月")&amp;"発注)")</f>
        <v/>
      </c>
      <c r="BW49">
        <f>IF(SUMIFS(T_PlannedOrders[EffectiveQty],T_PlannedOrders[Part Name],$A41,T_PlannedOrders[WeekIndex],72)=0,"",SUMIFS(T_PlannedOrders[EffectiveQty],T_PlannedOrders[Part Name],$A41,T_PlannedOrders[WeekIndex],72)&amp;" ("&amp;TEXT(SUMPRODUCT(MAX((T_PlannedOrders[Part Name]=$A41)*(T_PlannedOrders[WeekIndex]=72)*(T_PlannedOrders[EffectiveQty]&gt;0)*T_PlannedOrders[Order_Month])),"m月")&amp;"発注)")</f>
        <v/>
      </c>
      <c r="BX49">
        <f>IF(SUMIFS(T_PlannedOrders[EffectiveQty],T_PlannedOrders[Part Name],$A41,T_PlannedOrders[WeekIndex],73)=0,"",SUMIFS(T_PlannedOrders[EffectiveQty],T_PlannedOrders[Part Name],$A41,T_PlannedOrders[WeekIndex],73)&amp;" ("&amp;TEXT(SUMPRODUCT(MAX((T_PlannedOrders[Part Name]=$A41)*(T_PlannedOrders[WeekIndex]=73)*(T_PlannedOrders[EffectiveQty]&gt;0)*T_PlannedOrders[Order_Month])),"m月")&amp;"発注)")</f>
        <v/>
      </c>
      <c r="BY49">
        <f>IF(SUMIFS(T_PlannedOrders[EffectiveQty],T_PlannedOrders[Part Name],$A41,T_PlannedOrders[WeekIndex],74)=0,"",SUMIFS(T_PlannedOrders[EffectiveQty],T_PlannedOrders[Part Name],$A41,T_PlannedOrders[WeekIndex],74)&amp;" ("&amp;TEXT(SUMPRODUCT(MAX((T_PlannedOrders[Part Name]=$A41)*(T_PlannedOrders[WeekIndex]=74)*(T_PlannedOrders[EffectiveQty]&gt;0)*T_PlannedOrders[Order_Month])),"m月")&amp;"発注)")</f>
        <v/>
      </c>
      <c r="BZ49">
        <f>IF(SUMIFS(T_PlannedOrders[EffectiveQty],T_PlannedOrders[Part Name],$A41,T_PlannedOrders[WeekIndex],75)=0,"",SUMIFS(T_PlannedOrders[EffectiveQty],T_PlannedOrders[Part Name],$A41,T_PlannedOrders[WeekIndex],75)&amp;" ("&amp;TEXT(SUMPRODUCT(MAX((T_PlannedOrders[Part Name]=$A41)*(T_PlannedOrders[WeekIndex]=75)*(T_PlannedOrders[EffectiveQty]&gt;0)*T_PlannedOrders[Order_Month])),"m月")&amp;"発注)")</f>
        <v/>
      </c>
      <c r="CA49">
        <f>IF(SUMIFS(T_PlannedOrders[EffectiveQty],T_PlannedOrders[Part Name],$A41,T_PlannedOrders[WeekIndex],76)=0,"",SUMIFS(T_PlannedOrders[EffectiveQty],T_PlannedOrders[Part Name],$A41,T_PlannedOrders[WeekIndex],76)&amp;" ("&amp;TEXT(SUMPRODUCT(MAX((T_PlannedOrders[Part Name]=$A41)*(T_PlannedOrders[WeekIndex]=76)*(T_PlannedOrders[EffectiveQty]&gt;0)*T_PlannedOrders[Order_Month])),"m月")&amp;"発注)")</f>
        <v/>
      </c>
      <c r="CB49">
        <f>IF(SUMIFS(T_PlannedOrders[EffectiveQty],T_PlannedOrders[Part Name],$A41,T_PlannedOrders[WeekIndex],77)=0,"",SUMIFS(T_PlannedOrders[EffectiveQty],T_PlannedOrders[Part Name],$A41,T_PlannedOrders[WeekIndex],77)&amp;" ("&amp;TEXT(SUMPRODUCT(MAX((T_PlannedOrders[Part Name]=$A41)*(T_PlannedOrders[WeekIndex]=77)*(T_PlannedOrders[EffectiveQty]&gt;0)*T_PlannedOrders[Order_Month])),"m月")&amp;"発注)")</f>
        <v/>
      </c>
      <c r="CC49">
        <f>IF(SUMIFS(T_PlannedOrders[EffectiveQty],T_PlannedOrders[Part Name],$A41,T_PlannedOrders[WeekIndex],78)=0,"",SUMIFS(T_PlannedOrders[EffectiveQty],T_PlannedOrders[Part Name],$A41,T_PlannedOrders[WeekIndex],78)&amp;" ("&amp;TEXT(SUMPRODUCT(MAX((T_PlannedOrders[Part Name]=$A41)*(T_PlannedOrders[WeekIndex]=78)*(T_PlannedOrders[EffectiveQty]&gt;0)*T_PlannedOrders[Order_Month])),"m月")&amp;"発注)")</f>
        <v/>
      </c>
      <c r="CD49">
        <f>IF(SUMIFS(T_PlannedOrders[EffectiveQty],T_PlannedOrders[Part Name],$A41,T_PlannedOrders[WeekIndex],79)=0,"",SUMIFS(T_PlannedOrders[EffectiveQty],T_PlannedOrders[Part Name],$A41,T_PlannedOrders[WeekIndex],79)&amp;" ("&amp;TEXT(SUMPRODUCT(MAX((T_PlannedOrders[Part Name]=$A41)*(T_PlannedOrders[WeekIndex]=79)*(T_PlannedOrders[EffectiveQty]&gt;0)*T_PlannedOrders[Order_Month])),"m月")&amp;"発注)")</f>
        <v/>
      </c>
      <c r="CE49">
        <f>IF(SUMIFS(T_PlannedOrders[EffectiveQty],T_PlannedOrders[Part Name],$A41,T_PlannedOrders[WeekIndex],80)=0,"",SUMIFS(T_PlannedOrders[EffectiveQty],T_PlannedOrders[Part Name],$A41,T_PlannedOrders[WeekIndex],80)&amp;" ("&amp;TEXT(SUMPRODUCT(MAX((T_PlannedOrders[Part Name]=$A41)*(T_PlannedOrders[WeekIndex]=80)*(T_PlannedOrders[EffectiveQty]&gt;0)*T_PlannedOrders[Order_Month])),"m月")&amp;"発注)")</f>
        <v/>
      </c>
      <c r="CF49">
        <f>IF(SUMIFS(T_PlannedOrders[EffectiveQty],T_PlannedOrders[Part Name],$A41,T_PlannedOrders[WeekIndex],81)=0,"",SUMIFS(T_PlannedOrders[EffectiveQty],T_PlannedOrders[Part Name],$A41,T_PlannedOrders[WeekIndex],81)&amp;" ("&amp;TEXT(SUMPRODUCT(MAX((T_PlannedOrders[Part Name]=$A41)*(T_PlannedOrders[WeekIndex]=81)*(T_PlannedOrders[EffectiveQty]&gt;0)*T_PlannedOrders[Order_Month])),"m月")&amp;"発注)")</f>
        <v/>
      </c>
      <c r="CG49">
        <f>IF(SUMIFS(T_PlannedOrders[EffectiveQty],T_PlannedOrders[Part Name],$A41,T_PlannedOrders[WeekIndex],82)=0,"",SUMIFS(T_PlannedOrders[EffectiveQty],T_PlannedOrders[Part Name],$A41,T_PlannedOrders[WeekIndex],82)&amp;" ("&amp;TEXT(SUMPRODUCT(MAX((T_PlannedOrders[Part Name]=$A41)*(T_PlannedOrders[WeekIndex]=82)*(T_PlannedOrders[EffectiveQty]&gt;0)*T_PlannedOrders[Order_Month])),"m月")&amp;"発注)")</f>
        <v/>
      </c>
      <c r="CH49">
        <f>IF(SUMIFS(T_PlannedOrders[EffectiveQty],T_PlannedOrders[Part Name],$A41,T_PlannedOrders[WeekIndex],83)=0,"",SUMIFS(T_PlannedOrders[EffectiveQty],T_PlannedOrders[Part Name],$A41,T_PlannedOrders[WeekIndex],83)&amp;" ("&amp;TEXT(SUMPRODUCT(MAX((T_PlannedOrders[Part Name]=$A41)*(T_PlannedOrders[WeekIndex]=83)*(T_PlannedOrders[EffectiveQty]&gt;0)*T_PlannedOrders[Order_Month])),"m月")&amp;"発注)")</f>
        <v/>
      </c>
      <c r="CI49">
        <f>IF(SUMIFS(T_PlannedOrders[EffectiveQty],T_PlannedOrders[Part Name],$A41,T_PlannedOrders[WeekIndex],84)=0,"",SUMIFS(T_PlannedOrders[EffectiveQty],T_PlannedOrders[Part Name],$A41,T_PlannedOrders[WeekIndex],84)&amp;" ("&amp;TEXT(SUMPRODUCT(MAX((T_PlannedOrders[Part Name]=$A41)*(T_PlannedOrders[WeekIndex]=84)*(T_PlannedOrders[EffectiveQty]&gt;0)*T_PlannedOrders[Order_Month])),"m月")&amp;"発注)")</f>
        <v/>
      </c>
      <c r="CJ49">
        <f>IF(SUMIFS(T_PlannedOrders[EffectiveQty],T_PlannedOrders[Part Name],$A41,T_PlannedOrders[WeekIndex],85)=0,"",SUMIFS(T_PlannedOrders[EffectiveQty],T_PlannedOrders[Part Name],$A41,T_PlannedOrders[WeekIndex],85)&amp;" ("&amp;TEXT(SUMPRODUCT(MAX((T_PlannedOrders[Part Name]=$A41)*(T_PlannedOrders[WeekIndex]=85)*(T_PlannedOrders[EffectiveQty]&gt;0)*T_PlannedOrders[Order_Month])),"m月")&amp;"発注)")</f>
        <v/>
      </c>
      <c r="CK49">
        <f>IF(SUMIFS(T_PlannedOrders[EffectiveQty],T_PlannedOrders[Part Name],$A41,T_PlannedOrders[WeekIndex],86)=0,"",SUMIFS(T_PlannedOrders[EffectiveQty],T_PlannedOrders[Part Name],$A41,T_PlannedOrders[WeekIndex],86)&amp;" ("&amp;TEXT(SUMPRODUCT(MAX((T_PlannedOrders[Part Name]=$A41)*(T_PlannedOrders[WeekIndex]=86)*(T_PlannedOrders[EffectiveQty]&gt;0)*T_PlannedOrders[Order_Month])),"m月")&amp;"発注)")</f>
        <v/>
      </c>
      <c r="CL49">
        <f>IF(SUMIFS(T_PlannedOrders[EffectiveQty],T_PlannedOrders[Part Name],$A41,T_PlannedOrders[WeekIndex],87)=0,"",SUMIFS(T_PlannedOrders[EffectiveQty],T_PlannedOrders[Part Name],$A41,T_PlannedOrders[WeekIndex],87)&amp;" ("&amp;TEXT(SUMPRODUCT(MAX((T_PlannedOrders[Part Name]=$A41)*(T_PlannedOrders[WeekIndex]=87)*(T_PlannedOrders[EffectiveQty]&gt;0)*T_PlannedOrders[Order_Month])),"m月")&amp;"発注)")</f>
        <v/>
      </c>
      <c r="CM49">
        <f>IF(SUMIFS(T_PlannedOrders[EffectiveQty],T_PlannedOrders[Part Name],$A41,T_PlannedOrders[WeekIndex],88)=0,"",SUMIFS(T_PlannedOrders[EffectiveQty],T_PlannedOrders[Part Name],$A41,T_PlannedOrders[WeekIndex],88)&amp;" ("&amp;TEXT(SUMPRODUCT(MAX((T_PlannedOrders[Part Name]=$A41)*(T_PlannedOrders[WeekIndex]=88)*(T_PlannedOrders[EffectiveQty]&gt;0)*T_PlannedOrders[Order_Month])),"m月")&amp;"発注)")</f>
        <v/>
      </c>
      <c r="CN49">
        <f>IF(SUMIFS(T_PlannedOrders[EffectiveQty],T_PlannedOrders[Part Name],$A41,T_PlannedOrders[WeekIndex],89)=0,"",SUMIFS(T_PlannedOrders[EffectiveQty],T_PlannedOrders[Part Name],$A41,T_PlannedOrders[WeekIndex],89)&amp;" ("&amp;TEXT(SUMPRODUCT(MAX((T_PlannedOrders[Part Name]=$A41)*(T_PlannedOrders[WeekIndex]=89)*(T_PlannedOrders[EffectiveQty]&gt;0)*T_PlannedOrders[Order_Month])),"m月")&amp;"発注)")</f>
        <v/>
      </c>
      <c r="CO49">
        <f>IF(SUMIFS(T_PlannedOrders[EffectiveQty],T_PlannedOrders[Part Name],$A41,T_PlannedOrders[WeekIndex],90)=0,"",SUMIFS(T_PlannedOrders[EffectiveQty],T_PlannedOrders[Part Name],$A41,T_PlannedOrders[WeekIndex],90)&amp;" ("&amp;TEXT(SUMPRODUCT(MAX((T_PlannedOrders[Part Name]=$A41)*(T_PlannedOrders[WeekIndex]=90)*(T_PlannedOrders[EffectiveQty]&gt;0)*T_PlannedOrders[Order_Month])),"m月")&amp;"発注)")</f>
        <v/>
      </c>
      <c r="CP49">
        <f>IF(SUMIFS(T_PlannedOrders[EffectiveQty],T_PlannedOrders[Part Name],$A41,T_PlannedOrders[WeekIndex],91)=0,"",SUMIFS(T_PlannedOrders[EffectiveQty],T_PlannedOrders[Part Name],$A41,T_PlannedOrders[WeekIndex],91)&amp;" ("&amp;TEXT(SUMPRODUCT(MAX((T_PlannedOrders[Part Name]=$A41)*(T_PlannedOrders[WeekIndex]=91)*(T_PlannedOrders[EffectiveQty]&gt;0)*T_PlannedOrders[Order_Month])),"m月")&amp;"発注)")</f>
        <v/>
      </c>
      <c r="CQ49">
        <f>IF(SUMIFS(T_PlannedOrders[EffectiveQty],T_PlannedOrders[Part Name],$A41,T_PlannedOrders[WeekIndex],92)=0,"",SUMIFS(T_PlannedOrders[EffectiveQty],T_PlannedOrders[Part Name],$A41,T_PlannedOrders[WeekIndex],92)&amp;" ("&amp;TEXT(SUMPRODUCT(MAX((T_PlannedOrders[Part Name]=$A41)*(T_PlannedOrders[WeekIndex]=92)*(T_PlannedOrders[EffectiveQty]&gt;0)*T_PlannedOrders[Order_Month])),"m月")&amp;"発注)")</f>
        <v/>
      </c>
      <c r="CR49">
        <f>IF(SUMIFS(T_PlannedOrders[EffectiveQty],T_PlannedOrders[Part Name],$A41,T_PlannedOrders[WeekIndex],93)=0,"",SUMIFS(T_PlannedOrders[EffectiveQty],T_PlannedOrders[Part Name],$A41,T_PlannedOrders[WeekIndex],93)&amp;" ("&amp;TEXT(SUMPRODUCT(MAX((T_PlannedOrders[Part Name]=$A41)*(T_PlannedOrders[WeekIndex]=93)*(T_PlannedOrders[EffectiveQty]&gt;0)*T_PlannedOrders[Order_Month])),"m月")&amp;"発注)")</f>
        <v/>
      </c>
      <c r="CS49">
        <f>IF(SUMIFS(T_PlannedOrders[EffectiveQty],T_PlannedOrders[Part Name],$A41,T_PlannedOrders[WeekIndex],94)=0,"",SUMIFS(T_PlannedOrders[EffectiveQty],T_PlannedOrders[Part Name],$A41,T_PlannedOrders[WeekIndex],94)&amp;" ("&amp;TEXT(SUMPRODUCT(MAX((T_PlannedOrders[Part Name]=$A41)*(T_PlannedOrders[WeekIndex]=94)*(T_PlannedOrders[EffectiveQty]&gt;0)*T_PlannedOrders[Order_Month])),"m月")&amp;"発注)")</f>
        <v/>
      </c>
      <c r="CT49">
        <f>IF(SUMIFS(T_PlannedOrders[EffectiveQty],T_PlannedOrders[Part Name],$A41,T_PlannedOrders[WeekIndex],95)=0,"",SUMIFS(T_PlannedOrders[EffectiveQty],T_PlannedOrders[Part Name],$A41,T_PlannedOrders[WeekIndex],95)&amp;" ("&amp;TEXT(SUMPRODUCT(MAX((T_PlannedOrders[Part Name]=$A41)*(T_PlannedOrders[WeekIndex]=95)*(T_PlannedOrders[EffectiveQty]&gt;0)*T_PlannedOrders[Order_Month])),"m月")&amp;"発注)")</f>
        <v/>
      </c>
      <c r="CU49">
        <f>IF(SUMIFS(T_PlannedOrders[EffectiveQty],T_PlannedOrders[Part Name],$A41,T_PlannedOrders[WeekIndex],96)=0,"",SUMIFS(T_PlannedOrders[EffectiveQty],T_PlannedOrders[Part Name],$A41,T_PlannedOrders[WeekIndex],96)&amp;" ("&amp;TEXT(SUMPRODUCT(MAX((T_PlannedOrders[Part Name]=$A41)*(T_PlannedOrders[WeekIndex]=96)*(T_PlannedOrders[EffectiveQty]&gt;0)*T_PlannedOrders[Order_Month])),"m月")&amp;"発注)")</f>
        <v/>
      </c>
      <c r="CV49">
        <f>IF(SUMIFS(T_PlannedOrders[EffectiveQty],T_PlannedOrders[Part Name],$A41,T_PlannedOrders[WeekIndex],97)=0,"",SUMIFS(T_PlannedOrders[EffectiveQty],T_PlannedOrders[Part Name],$A41,T_PlannedOrders[WeekIndex],97)&amp;" ("&amp;TEXT(SUMPRODUCT(MAX((T_PlannedOrders[Part Name]=$A41)*(T_PlannedOrders[WeekIndex]=97)*(T_PlannedOrders[EffectiveQty]&gt;0)*T_PlannedOrders[Order_Month])),"m月")&amp;"発注)")</f>
        <v/>
      </c>
      <c r="CW49">
        <f>IF(SUMIFS(T_PlannedOrders[EffectiveQty],T_PlannedOrders[Part Name],$A41,T_PlannedOrders[WeekIndex],98)=0,"",SUMIFS(T_PlannedOrders[EffectiveQty],T_PlannedOrders[Part Name],$A41,T_PlannedOrders[WeekIndex],98)&amp;" ("&amp;TEXT(SUMPRODUCT(MAX((T_PlannedOrders[Part Name]=$A41)*(T_PlannedOrders[WeekIndex]=98)*(T_PlannedOrders[EffectiveQty]&gt;0)*T_PlannedOrders[Order_Month])),"m月")&amp;"発注)")</f>
        <v/>
      </c>
      <c r="CX49">
        <f>IF(SUMIFS(T_PlannedOrders[EffectiveQty],T_PlannedOrders[Part Name],$A41,T_PlannedOrders[WeekIndex],99)=0,"",SUMIFS(T_PlannedOrders[EffectiveQty],T_PlannedOrders[Part Name],$A41,T_PlannedOrders[WeekIndex],99)&amp;" ("&amp;TEXT(SUMPRODUCT(MAX((T_PlannedOrders[Part Name]=$A41)*(T_PlannedOrders[WeekIndex]=99)*(T_PlannedOrders[EffectiveQty]&gt;0)*T_PlannedOrders[Order_Month])),"m月")&amp;"発注)")</f>
        <v/>
      </c>
      <c r="CY49">
        <f>IF(SUMIFS(T_PlannedOrders[EffectiveQty],T_PlannedOrders[Part Name],$A41,T_PlannedOrders[WeekIndex],100)=0,"",SUMIFS(T_PlannedOrders[EffectiveQty],T_PlannedOrders[Part Name],$A41,T_PlannedOrders[WeekIndex],100)&amp;" ("&amp;TEXT(SUMPRODUCT(MAX((T_PlannedOrders[Part Name]=$A41)*(T_PlannedOrders[WeekIndex]=100)*(T_PlannedOrders[EffectiveQty]&gt;0)*T_PlannedOrders[Order_Month])),"m月")&amp;"発注)")</f>
        <v/>
      </c>
      <c r="CZ49">
        <f>IF(SUMIFS(T_PlannedOrders[EffectiveQty],T_PlannedOrders[Part Name],$A41,T_PlannedOrders[WeekIndex],101)=0,"",SUMIFS(T_PlannedOrders[EffectiveQty],T_PlannedOrders[Part Name],$A41,T_PlannedOrders[WeekIndex],101)&amp;" ("&amp;TEXT(SUMPRODUCT(MAX((T_PlannedOrders[Part Name]=$A41)*(T_PlannedOrders[WeekIndex]=101)*(T_PlannedOrders[EffectiveQty]&gt;0)*T_PlannedOrders[Order_Month])),"m月")&amp;"発注)")</f>
        <v/>
      </c>
      <c r="DA49">
        <f>IF(SUMIFS(T_PlannedOrders[EffectiveQty],T_PlannedOrders[Part Name],$A41,T_PlannedOrders[WeekIndex],102)=0,"",SUMIFS(T_PlannedOrders[EffectiveQty],T_PlannedOrders[Part Name],$A41,T_PlannedOrders[WeekIndex],102)&amp;" ("&amp;TEXT(SUMPRODUCT(MAX((T_PlannedOrders[Part Name]=$A41)*(T_PlannedOrders[WeekIndex]=102)*(T_PlannedOrders[EffectiveQty]&gt;0)*T_PlannedOrders[Order_Month])),"m月")&amp;"発注)")</f>
        <v/>
      </c>
      <c r="DB49">
        <f>IF(SUMIFS(T_PlannedOrders[EffectiveQty],T_PlannedOrders[Part Name],$A41,T_PlannedOrders[WeekIndex],103)=0,"",SUMIFS(T_PlannedOrders[EffectiveQty],T_PlannedOrders[Part Name],$A41,T_PlannedOrders[WeekIndex],103)&amp;" ("&amp;TEXT(SUMPRODUCT(MAX((T_PlannedOrders[Part Name]=$A41)*(T_PlannedOrders[WeekIndex]=103)*(T_PlannedOrders[EffectiveQty]&gt;0)*T_PlannedOrders[Order_Month])),"m月")&amp;"発注)")</f>
        <v/>
      </c>
      <c r="DC49">
        <f>IF(SUMIFS(T_PlannedOrders[EffectiveQty],T_PlannedOrders[Part Name],$A41,T_PlannedOrders[WeekIndex],104)=0,"",SUMIFS(T_PlannedOrders[EffectiveQty],T_PlannedOrders[Part Name],$A41,T_PlannedOrders[WeekIndex],104)&amp;" ("&amp;TEXT(SUMPRODUCT(MAX((T_PlannedOrders[Part Name]=$A41)*(T_PlannedOrders[WeekIndex]=104)*(T_PlannedOrders[EffectiveQty]&gt;0)*T_PlannedOrders[Order_Month])),"m月")&amp;"発注)")</f>
        <v/>
      </c>
    </row>
    <row r="50">
      <c r="B50" s="5" t="inlineStr">
        <is>
          <t>合計在庫(週末時点,kg)</t>
        </is>
      </c>
      <c r="D50">
        <f>'Grid_Stock'!B22</f>
        <v/>
      </c>
      <c r="E50">
        <f>'Grid_Stock'!C22</f>
        <v/>
      </c>
      <c r="F50">
        <f>'Grid_Stock'!D22</f>
        <v/>
      </c>
      <c r="G50">
        <f>'Grid_Stock'!E22</f>
        <v/>
      </c>
      <c r="H50">
        <f>'Grid_Stock'!F22</f>
        <v/>
      </c>
      <c r="I50">
        <f>'Grid_Stock'!G22</f>
        <v/>
      </c>
      <c r="J50">
        <f>'Grid_Stock'!H22</f>
        <v/>
      </c>
      <c r="K50">
        <f>'Grid_Stock'!I22</f>
        <v/>
      </c>
      <c r="L50">
        <f>'Grid_Stock'!J22</f>
        <v/>
      </c>
      <c r="M50">
        <f>'Grid_Stock'!K22</f>
        <v/>
      </c>
      <c r="N50">
        <f>'Grid_Stock'!L22</f>
        <v/>
      </c>
      <c r="O50">
        <f>'Grid_Stock'!M22</f>
        <v/>
      </c>
      <c r="P50">
        <f>'Grid_Stock'!N22</f>
        <v/>
      </c>
      <c r="Q50">
        <f>'Grid_Stock'!O22</f>
        <v/>
      </c>
      <c r="R50">
        <f>'Grid_Stock'!P22</f>
        <v/>
      </c>
      <c r="S50">
        <f>'Grid_Stock'!Q22</f>
        <v/>
      </c>
      <c r="T50">
        <f>'Grid_Stock'!R22</f>
        <v/>
      </c>
      <c r="U50">
        <f>'Grid_Stock'!S22</f>
        <v/>
      </c>
      <c r="V50">
        <f>'Grid_Stock'!T22</f>
        <v/>
      </c>
      <c r="W50">
        <f>'Grid_Stock'!U22</f>
        <v/>
      </c>
      <c r="X50">
        <f>'Grid_Stock'!V22</f>
        <v/>
      </c>
      <c r="Y50">
        <f>'Grid_Stock'!W22</f>
        <v/>
      </c>
      <c r="Z50">
        <f>'Grid_Stock'!X22</f>
        <v/>
      </c>
      <c r="AA50">
        <f>'Grid_Stock'!Y22</f>
        <v/>
      </c>
      <c r="AB50">
        <f>'Grid_Stock'!Z22</f>
        <v/>
      </c>
      <c r="AC50">
        <f>'Grid_Stock'!AA22</f>
        <v/>
      </c>
      <c r="AD50">
        <f>'Grid_Stock'!AB22</f>
        <v/>
      </c>
      <c r="AE50">
        <f>'Grid_Stock'!AC22</f>
        <v/>
      </c>
      <c r="AF50">
        <f>'Grid_Stock'!AD22</f>
        <v/>
      </c>
      <c r="AG50">
        <f>'Grid_Stock'!AE22</f>
        <v/>
      </c>
      <c r="AH50">
        <f>'Grid_Stock'!AF22</f>
        <v/>
      </c>
      <c r="AI50">
        <f>'Grid_Stock'!AG22</f>
        <v/>
      </c>
      <c r="AJ50">
        <f>'Grid_Stock'!AH22</f>
        <v/>
      </c>
      <c r="AK50">
        <f>'Grid_Stock'!AI22</f>
        <v/>
      </c>
      <c r="AL50">
        <f>'Grid_Stock'!AJ22</f>
        <v/>
      </c>
      <c r="AM50">
        <f>'Grid_Stock'!AK22</f>
        <v/>
      </c>
      <c r="AN50">
        <f>'Grid_Stock'!AL22</f>
        <v/>
      </c>
      <c r="AO50">
        <f>'Grid_Stock'!AM22</f>
        <v/>
      </c>
      <c r="AP50">
        <f>'Grid_Stock'!AN22</f>
        <v/>
      </c>
      <c r="AQ50">
        <f>'Grid_Stock'!AO22</f>
        <v/>
      </c>
      <c r="AR50">
        <f>'Grid_Stock'!AP22</f>
        <v/>
      </c>
      <c r="AS50">
        <f>'Grid_Stock'!AQ22</f>
        <v/>
      </c>
      <c r="AT50">
        <f>'Grid_Stock'!AR22</f>
        <v/>
      </c>
      <c r="AU50">
        <f>'Grid_Stock'!AS22</f>
        <v/>
      </c>
      <c r="AV50">
        <f>'Grid_Stock'!AT22</f>
        <v/>
      </c>
      <c r="AW50">
        <f>'Grid_Stock'!AU22</f>
        <v/>
      </c>
      <c r="AX50">
        <f>'Grid_Stock'!AV22</f>
        <v/>
      </c>
      <c r="AY50">
        <f>'Grid_Stock'!AW22</f>
        <v/>
      </c>
      <c r="AZ50">
        <f>'Grid_Stock'!AX22</f>
        <v/>
      </c>
      <c r="BA50">
        <f>'Grid_Stock'!AY22</f>
        <v/>
      </c>
      <c r="BB50">
        <f>'Grid_Stock'!AZ22</f>
        <v/>
      </c>
      <c r="BC50">
        <f>'Grid_Stock'!BA22</f>
        <v/>
      </c>
      <c r="BD50">
        <f>'Grid_Stock'!BB22</f>
        <v/>
      </c>
      <c r="BE50">
        <f>'Grid_Stock'!BC22</f>
        <v/>
      </c>
      <c r="BF50">
        <f>'Grid_Stock'!BD22</f>
        <v/>
      </c>
      <c r="BG50">
        <f>'Grid_Stock'!BE22</f>
        <v/>
      </c>
      <c r="BH50">
        <f>'Grid_Stock'!BF22</f>
        <v/>
      </c>
      <c r="BI50">
        <f>'Grid_Stock'!BG22</f>
        <v/>
      </c>
      <c r="BJ50">
        <f>'Grid_Stock'!BH22</f>
        <v/>
      </c>
      <c r="BK50">
        <f>'Grid_Stock'!BI22</f>
        <v/>
      </c>
      <c r="BL50">
        <f>'Grid_Stock'!BJ22</f>
        <v/>
      </c>
      <c r="BM50">
        <f>'Grid_Stock'!BK22</f>
        <v/>
      </c>
      <c r="BN50">
        <f>'Grid_Stock'!BL22</f>
        <v/>
      </c>
      <c r="BO50">
        <f>'Grid_Stock'!BM22</f>
        <v/>
      </c>
      <c r="BP50">
        <f>'Grid_Stock'!BN22</f>
        <v/>
      </c>
      <c r="BQ50">
        <f>'Grid_Stock'!BO22</f>
        <v/>
      </c>
      <c r="BR50">
        <f>'Grid_Stock'!BP22</f>
        <v/>
      </c>
      <c r="BS50">
        <f>'Grid_Stock'!BQ22</f>
        <v/>
      </c>
      <c r="BT50">
        <f>'Grid_Stock'!BR22</f>
        <v/>
      </c>
      <c r="BU50">
        <f>'Grid_Stock'!BS22</f>
        <v/>
      </c>
      <c r="BV50">
        <f>'Grid_Stock'!BT22</f>
        <v/>
      </c>
      <c r="BW50">
        <f>'Grid_Stock'!BU22</f>
        <v/>
      </c>
      <c r="BX50">
        <f>'Grid_Stock'!BV22</f>
        <v/>
      </c>
      <c r="BY50">
        <f>'Grid_Stock'!BW22</f>
        <v/>
      </c>
      <c r="BZ50">
        <f>'Grid_Stock'!BX22</f>
        <v/>
      </c>
      <c r="CA50">
        <f>'Grid_Stock'!BY22</f>
        <v/>
      </c>
      <c r="CB50">
        <f>'Grid_Stock'!BZ22</f>
        <v/>
      </c>
      <c r="CC50">
        <f>'Grid_Stock'!CA22</f>
        <v/>
      </c>
      <c r="CD50">
        <f>'Grid_Stock'!CB22</f>
        <v/>
      </c>
      <c r="CE50">
        <f>'Grid_Stock'!CC22</f>
        <v/>
      </c>
      <c r="CF50">
        <f>'Grid_Stock'!CD22</f>
        <v/>
      </c>
      <c r="CG50">
        <f>'Grid_Stock'!CE22</f>
        <v/>
      </c>
      <c r="CH50">
        <f>'Grid_Stock'!CF22</f>
        <v/>
      </c>
      <c r="CI50">
        <f>'Grid_Stock'!CG22</f>
        <v/>
      </c>
      <c r="CJ50">
        <f>'Grid_Stock'!CH22</f>
        <v/>
      </c>
      <c r="CK50">
        <f>'Grid_Stock'!CI22</f>
        <v/>
      </c>
      <c r="CL50">
        <f>'Grid_Stock'!CJ22</f>
        <v/>
      </c>
      <c r="CM50">
        <f>'Grid_Stock'!CK22</f>
        <v/>
      </c>
      <c r="CN50">
        <f>'Grid_Stock'!CL22</f>
        <v/>
      </c>
      <c r="CO50">
        <f>'Grid_Stock'!CM22</f>
        <v/>
      </c>
      <c r="CP50">
        <f>'Grid_Stock'!CN22</f>
        <v/>
      </c>
      <c r="CQ50">
        <f>'Grid_Stock'!CO22</f>
        <v/>
      </c>
      <c r="CR50">
        <f>'Grid_Stock'!CP22</f>
        <v/>
      </c>
      <c r="CS50">
        <f>'Grid_Stock'!CQ22</f>
        <v/>
      </c>
      <c r="CT50">
        <f>'Grid_Stock'!CR22</f>
        <v/>
      </c>
      <c r="CU50">
        <f>'Grid_Stock'!CS22</f>
        <v/>
      </c>
      <c r="CV50">
        <f>'Grid_Stock'!CT22</f>
        <v/>
      </c>
      <c r="CW50">
        <f>'Grid_Stock'!CU22</f>
        <v/>
      </c>
      <c r="CX50">
        <f>'Grid_Stock'!CV22</f>
        <v/>
      </c>
      <c r="CY50">
        <f>'Grid_Stock'!CW22</f>
        <v/>
      </c>
      <c r="CZ50">
        <f>'Grid_Stock'!CX22</f>
        <v/>
      </c>
      <c r="DA50">
        <f>'Grid_Stock'!CY22</f>
        <v/>
      </c>
      <c r="DB50">
        <f>'Grid_Stock'!CZ22</f>
        <v/>
      </c>
      <c r="DC50">
        <f>'Grid_Stock'!DA22</f>
        <v/>
      </c>
    </row>
    <row r="51">
      <c r="B51" s="23" t="inlineStr">
        <is>
          <t>（発注の目安はDashboardの基準在庫[下限/上限]と色分けを参照）</t>
        </is>
      </c>
    </row>
    <row r="53">
      <c r="A53" s="21" t="inlineStr">
        <is>
          <t>CHEM-1110</t>
        </is>
      </c>
      <c r="B53" s="21" t="inlineStr">
        <is>
          <t>Alumina Powder</t>
        </is>
      </c>
      <c r="C53" s="22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/>
      <c r="AK53" s="21" t="n"/>
      <c r="AL53" s="21" t="n"/>
      <c r="AM53" s="21" t="n"/>
      <c r="AN53" s="21" t="n"/>
      <c r="AO53" s="21" t="n"/>
      <c r="AP53" s="21" t="n"/>
      <c r="AQ53" s="21" t="n"/>
      <c r="AR53" s="21" t="n"/>
      <c r="AS53" s="21" t="n"/>
      <c r="AT53" s="21" t="n"/>
      <c r="AU53" s="21" t="n"/>
      <c r="AV53" s="21" t="n"/>
      <c r="AW53" s="21" t="n"/>
      <c r="AX53" s="21" t="n"/>
      <c r="AY53" s="21" t="n"/>
      <c r="AZ53" s="21" t="n"/>
      <c r="BA53" s="21" t="n"/>
      <c r="BB53" s="21" t="n"/>
      <c r="BC53" s="21" t="n"/>
      <c r="BD53" s="21" t="n"/>
      <c r="BE53" s="21" t="n"/>
      <c r="BF53" s="21" t="n"/>
      <c r="BG53" s="21" t="n"/>
      <c r="BH53" s="21" t="n"/>
      <c r="BI53" s="21" t="n"/>
      <c r="BJ53" s="21" t="n"/>
      <c r="BK53" s="21" t="n"/>
      <c r="BL53" s="21" t="n"/>
      <c r="BM53" s="21" t="n"/>
      <c r="BN53" s="21" t="n"/>
      <c r="BO53" s="21" t="n"/>
      <c r="BP53" s="21" t="n"/>
      <c r="BQ53" s="21" t="n"/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  <c r="CA53" s="21" t="n"/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1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</row>
    <row r="54">
      <c r="B54" t="inlineStr">
        <is>
          <t>TPP-103</t>
        </is>
      </c>
      <c r="C54" t="inlineStr">
        <is>
          <t>No. of batches</t>
        </is>
      </c>
      <c r="D54">
        <f>IFERROR(INDEX(PP_Grid[#Data],$DD54,2),0)</f>
        <v/>
      </c>
      <c r="E54">
        <f>IFERROR(INDEX(PP_Grid[#Data],$DD54,3),0)</f>
        <v/>
      </c>
      <c r="F54">
        <f>IFERROR(INDEX(PP_Grid[#Data],$DD54,4),0)</f>
        <v/>
      </c>
      <c r="G54">
        <f>IFERROR(INDEX(PP_Grid[#Data],$DD54,5),0)</f>
        <v/>
      </c>
      <c r="H54">
        <f>IFERROR(INDEX(PP_Grid[#Data],$DD54,6),0)</f>
        <v/>
      </c>
      <c r="I54">
        <f>IFERROR(INDEX(PP_Grid[#Data],$DD54,7),0)</f>
        <v/>
      </c>
      <c r="J54">
        <f>IFERROR(INDEX(PP_Grid[#Data],$DD54,8),0)</f>
        <v/>
      </c>
      <c r="K54">
        <f>IFERROR(INDEX(PP_Grid[#Data],$DD54,9),0)</f>
        <v/>
      </c>
      <c r="L54">
        <f>IFERROR(INDEX(PP_Grid[#Data],$DD54,10),0)</f>
        <v/>
      </c>
      <c r="M54">
        <f>IFERROR(INDEX(PP_Grid[#Data],$DD54,11),0)</f>
        <v/>
      </c>
      <c r="N54">
        <f>IFERROR(INDEX(PP_Grid[#Data],$DD54,12),0)</f>
        <v/>
      </c>
      <c r="O54">
        <f>IFERROR(INDEX(PP_Grid[#Data],$DD54,13),0)</f>
        <v/>
      </c>
      <c r="P54">
        <f>IFERROR(INDEX(PP_Grid[#Data],$DD54,14),0)</f>
        <v/>
      </c>
      <c r="Q54">
        <f>IFERROR(INDEX(PP_Grid[#Data],$DD54,15),0)</f>
        <v/>
      </c>
      <c r="R54">
        <f>IFERROR(INDEX(PP_Grid[#Data],$DD54,16),0)</f>
        <v/>
      </c>
      <c r="S54">
        <f>IFERROR(INDEX(PP_Grid[#Data],$DD54,17),0)</f>
        <v/>
      </c>
      <c r="T54">
        <f>IFERROR(INDEX(PP_Grid[#Data],$DD54,18),0)</f>
        <v/>
      </c>
      <c r="U54">
        <f>IFERROR(INDEX(PP_Grid[#Data],$DD54,19),0)</f>
        <v/>
      </c>
      <c r="V54">
        <f>IFERROR(INDEX(PP_Grid[#Data],$DD54,20),0)</f>
        <v/>
      </c>
      <c r="W54">
        <f>IFERROR(INDEX(PP_Grid[#Data],$DD54,21),0)</f>
        <v/>
      </c>
      <c r="X54">
        <f>IFERROR(INDEX(PP_Grid[#Data],$DD54,22),0)</f>
        <v/>
      </c>
      <c r="Y54">
        <f>IFERROR(INDEX(PP_Grid[#Data],$DD54,23),0)</f>
        <v/>
      </c>
      <c r="Z54">
        <f>IFERROR(INDEX(PP_Grid[#Data],$DD54,24),0)</f>
        <v/>
      </c>
      <c r="AA54">
        <f>IFERROR(INDEX(PP_Grid[#Data],$DD54,25),0)</f>
        <v/>
      </c>
      <c r="AB54">
        <f>IFERROR(INDEX(PP_Grid[#Data],$DD54,26),0)</f>
        <v/>
      </c>
      <c r="AC54">
        <f>IFERROR(INDEX(PP_Grid[#Data],$DD54,27),0)</f>
        <v/>
      </c>
      <c r="AD54">
        <f>IFERROR(INDEX(PP_Grid[#Data],$DD54,28),0)</f>
        <v/>
      </c>
      <c r="AE54">
        <f>IFERROR(INDEX(PP_Grid[#Data],$DD54,29),0)</f>
        <v/>
      </c>
      <c r="AF54">
        <f>IFERROR(INDEX(PP_Grid[#Data],$DD54,30),0)</f>
        <v/>
      </c>
      <c r="AG54">
        <f>IFERROR(INDEX(PP_Grid[#Data],$DD54,31),0)</f>
        <v/>
      </c>
      <c r="AH54">
        <f>IFERROR(INDEX(PP_Grid[#Data],$DD54,32),0)</f>
        <v/>
      </c>
      <c r="AI54">
        <f>IFERROR(INDEX(PP_Grid[#Data],$DD54,33),0)</f>
        <v/>
      </c>
      <c r="AJ54">
        <f>IFERROR(INDEX(PP_Grid[#Data],$DD54,34),0)</f>
        <v/>
      </c>
      <c r="AK54">
        <f>IFERROR(INDEX(PP_Grid[#Data],$DD54,35),0)</f>
        <v/>
      </c>
      <c r="AL54">
        <f>IFERROR(INDEX(PP_Grid[#Data],$DD54,36),0)</f>
        <v/>
      </c>
      <c r="AM54">
        <f>IFERROR(INDEX(PP_Grid[#Data],$DD54,37),0)</f>
        <v/>
      </c>
      <c r="AN54">
        <f>IFERROR(INDEX(PP_Grid[#Data],$DD54,38),0)</f>
        <v/>
      </c>
      <c r="AO54">
        <f>IFERROR(INDEX(PP_Grid[#Data],$DD54,39),0)</f>
        <v/>
      </c>
      <c r="AP54">
        <f>IFERROR(INDEX(PP_Grid[#Data],$DD54,40),0)</f>
        <v/>
      </c>
      <c r="AQ54">
        <f>IFERROR(INDEX(PP_Grid[#Data],$DD54,41),0)</f>
        <v/>
      </c>
      <c r="AR54">
        <f>IFERROR(INDEX(PP_Grid[#Data],$DD54,42),0)</f>
        <v/>
      </c>
      <c r="AS54">
        <f>IFERROR(INDEX(PP_Grid[#Data],$DD54,43),0)</f>
        <v/>
      </c>
      <c r="AT54">
        <f>IFERROR(INDEX(PP_Grid[#Data],$DD54,44),0)</f>
        <v/>
      </c>
      <c r="AU54">
        <f>IFERROR(INDEX(PP_Grid[#Data],$DD54,45),0)</f>
        <v/>
      </c>
      <c r="AV54">
        <f>IFERROR(INDEX(PP_Grid[#Data],$DD54,46),0)</f>
        <v/>
      </c>
      <c r="AW54">
        <f>IFERROR(INDEX(PP_Grid[#Data],$DD54,47),0)</f>
        <v/>
      </c>
      <c r="AX54">
        <f>IFERROR(INDEX(PP_Grid[#Data],$DD54,48),0)</f>
        <v/>
      </c>
      <c r="AY54">
        <f>IFERROR(INDEX(PP_Grid[#Data],$DD54,49),0)</f>
        <v/>
      </c>
      <c r="AZ54">
        <f>IFERROR(INDEX(PP_Grid[#Data],$DD54,50),0)</f>
        <v/>
      </c>
      <c r="BA54">
        <f>IFERROR(INDEX(PP_Grid[#Data],$DD54,51),0)</f>
        <v/>
      </c>
      <c r="BB54">
        <f>IFERROR(INDEX(PP_Grid[#Data],$DD54,52),0)</f>
        <v/>
      </c>
      <c r="BC54">
        <f>IFERROR(INDEX(PP_Grid[#Data],$DD54,53),0)</f>
        <v/>
      </c>
      <c r="BD54">
        <f>IFERROR(INDEX(PP_Grid[#Data],$DD54,54),0)</f>
        <v/>
      </c>
      <c r="BE54">
        <f>IFERROR(INDEX(PP_Grid[#Data],$DD54,55),0)</f>
        <v/>
      </c>
      <c r="BF54">
        <f>IFERROR(INDEX(PP_Grid[#Data],$DD54,56),0)</f>
        <v/>
      </c>
      <c r="BG54">
        <f>IFERROR(INDEX(PP_Grid[#Data],$DD54,57),0)</f>
        <v/>
      </c>
      <c r="BH54">
        <f>IFERROR(INDEX(PP_Grid[#Data],$DD54,58),0)</f>
        <v/>
      </c>
      <c r="BI54">
        <f>IFERROR(INDEX(PP_Grid[#Data],$DD54,59),0)</f>
        <v/>
      </c>
      <c r="BJ54">
        <f>IFERROR(INDEX(PP_Grid[#Data],$DD54,60),0)</f>
        <v/>
      </c>
      <c r="BK54">
        <f>IFERROR(INDEX(PP_Grid[#Data],$DD54,61),0)</f>
        <v/>
      </c>
      <c r="BL54">
        <f>IFERROR(INDEX(PP_Grid[#Data],$DD54,62),0)</f>
        <v/>
      </c>
      <c r="BM54">
        <f>IFERROR(INDEX(PP_Grid[#Data],$DD54,63),0)</f>
        <v/>
      </c>
      <c r="BN54">
        <f>IFERROR(INDEX(PP_Grid[#Data],$DD54,64),0)</f>
        <v/>
      </c>
      <c r="BO54">
        <f>IFERROR(INDEX(PP_Grid[#Data],$DD54,65),0)</f>
        <v/>
      </c>
      <c r="BP54">
        <f>IFERROR(INDEX(PP_Grid[#Data],$DD54,66),0)</f>
        <v/>
      </c>
      <c r="BQ54">
        <f>IFERROR(INDEX(PP_Grid[#Data],$DD54,67),0)</f>
        <v/>
      </c>
      <c r="BR54">
        <f>IFERROR(INDEX(PP_Grid[#Data],$DD54,68),0)</f>
        <v/>
      </c>
      <c r="BS54">
        <f>IFERROR(INDEX(PP_Grid[#Data],$DD54,69),0)</f>
        <v/>
      </c>
      <c r="BT54">
        <f>IFERROR(INDEX(PP_Grid[#Data],$DD54,70),0)</f>
        <v/>
      </c>
      <c r="BU54">
        <f>IFERROR(INDEX(PP_Grid[#Data],$DD54,71),0)</f>
        <v/>
      </c>
      <c r="BV54">
        <f>IFERROR(INDEX(PP_Grid[#Data],$DD54,72),0)</f>
        <v/>
      </c>
      <c r="BW54">
        <f>IFERROR(INDEX(PP_Grid[#Data],$DD54,73),0)</f>
        <v/>
      </c>
      <c r="BX54">
        <f>IFERROR(INDEX(PP_Grid[#Data],$DD54,74),0)</f>
        <v/>
      </c>
      <c r="BY54">
        <f>IFERROR(INDEX(PP_Grid[#Data],$DD54,75),0)</f>
        <v/>
      </c>
      <c r="BZ54">
        <f>IFERROR(INDEX(PP_Grid[#Data],$DD54,76),0)</f>
        <v/>
      </c>
      <c r="CA54">
        <f>IFERROR(INDEX(PP_Grid[#Data],$DD54,77),0)</f>
        <v/>
      </c>
      <c r="CB54">
        <f>IFERROR(INDEX(PP_Grid[#Data],$DD54,78),0)</f>
        <v/>
      </c>
      <c r="CC54">
        <f>IFERROR(INDEX(PP_Grid[#Data],$DD54,79),0)</f>
        <v/>
      </c>
      <c r="CD54">
        <f>IFERROR(INDEX(PP_Grid[#Data],$DD54,80),0)</f>
        <v/>
      </c>
      <c r="CE54">
        <f>IFERROR(INDEX(PP_Grid[#Data],$DD54,81),0)</f>
        <v/>
      </c>
      <c r="CF54">
        <f>IFERROR(INDEX(PP_Grid[#Data],$DD54,82),0)</f>
        <v/>
      </c>
      <c r="CG54">
        <f>IFERROR(INDEX(PP_Grid[#Data],$DD54,83),0)</f>
        <v/>
      </c>
      <c r="CH54">
        <f>IFERROR(INDEX(PP_Grid[#Data],$DD54,84),0)</f>
        <v/>
      </c>
      <c r="CI54">
        <f>IFERROR(INDEX(PP_Grid[#Data],$DD54,85),0)</f>
        <v/>
      </c>
      <c r="CJ54">
        <f>IFERROR(INDEX(PP_Grid[#Data],$DD54,86),0)</f>
        <v/>
      </c>
      <c r="CK54">
        <f>IFERROR(INDEX(PP_Grid[#Data],$DD54,87),0)</f>
        <v/>
      </c>
      <c r="CL54">
        <f>IFERROR(INDEX(PP_Grid[#Data],$DD54,88),0)</f>
        <v/>
      </c>
      <c r="CM54">
        <f>IFERROR(INDEX(PP_Grid[#Data],$DD54,89),0)</f>
        <v/>
      </c>
      <c r="CN54">
        <f>IFERROR(INDEX(PP_Grid[#Data],$DD54,90),0)</f>
        <v/>
      </c>
      <c r="CO54">
        <f>IFERROR(INDEX(PP_Grid[#Data],$DD54,91),0)</f>
        <v/>
      </c>
      <c r="CP54">
        <f>IFERROR(INDEX(PP_Grid[#Data],$DD54,92),0)</f>
        <v/>
      </c>
      <c r="CQ54">
        <f>IFERROR(INDEX(PP_Grid[#Data],$DD54,93),0)</f>
        <v/>
      </c>
      <c r="CR54">
        <f>IFERROR(INDEX(PP_Grid[#Data],$DD54,94),0)</f>
        <v/>
      </c>
      <c r="CS54">
        <f>IFERROR(INDEX(PP_Grid[#Data],$DD54,95),0)</f>
        <v/>
      </c>
      <c r="CT54">
        <f>IFERROR(INDEX(PP_Grid[#Data],$DD54,96),0)</f>
        <v/>
      </c>
      <c r="CU54">
        <f>IFERROR(INDEX(PP_Grid[#Data],$DD54,97),0)</f>
        <v/>
      </c>
      <c r="CV54">
        <f>IFERROR(INDEX(PP_Grid[#Data],$DD54,98),0)</f>
        <v/>
      </c>
      <c r="CW54">
        <f>IFERROR(INDEX(PP_Grid[#Data],$DD54,99),0)</f>
        <v/>
      </c>
      <c r="CX54">
        <f>IFERROR(INDEX(PP_Grid[#Data],$DD54,100),0)</f>
        <v/>
      </c>
      <c r="CY54">
        <f>IFERROR(INDEX(PP_Grid[#Data],$DD54,101),0)</f>
        <v/>
      </c>
      <c r="CZ54">
        <f>IFERROR(INDEX(PP_Grid[#Data],$DD54,102),0)</f>
        <v/>
      </c>
      <c r="DA54">
        <f>IFERROR(INDEX(PP_Grid[#Data],$DD54,103),0)</f>
        <v/>
      </c>
      <c r="DB54">
        <f>IFERROR(INDEX(PP_Grid[#Data],$DD54,104),0)</f>
        <v/>
      </c>
      <c r="DC54">
        <f>IFERROR(INDEX(PP_Grid[#Data],$DD54,105),0)</f>
        <v/>
      </c>
      <c r="DD54" s="12">
        <f>IFERROR(MATCH($B54,PP_Grid[Intermediate],0),99999)</f>
        <v/>
      </c>
    </row>
    <row r="55">
      <c r="B55" t="inlineStr">
        <is>
          <t>使用量(kg)</t>
        </is>
      </c>
      <c r="C55">
        <f>SUMIFS(M_BOM[RM_Qty_Per_Batch],M_BOM[Intermediate],$B54,M_BOM[Part Name],$A53)</f>
        <v/>
      </c>
      <c r="D55">
        <f>$C55*D54</f>
        <v/>
      </c>
      <c r="E55">
        <f>$C55*E54</f>
        <v/>
      </c>
      <c r="F55">
        <f>$C55*F54</f>
        <v/>
      </c>
      <c r="G55">
        <f>$C55*G54</f>
        <v/>
      </c>
      <c r="H55">
        <f>$C55*H54</f>
        <v/>
      </c>
      <c r="I55">
        <f>$C55*I54</f>
        <v/>
      </c>
      <c r="J55">
        <f>$C55*J54</f>
        <v/>
      </c>
      <c r="K55">
        <f>$C55*K54</f>
        <v/>
      </c>
      <c r="L55">
        <f>$C55*L54</f>
        <v/>
      </c>
      <c r="M55">
        <f>$C55*M54</f>
        <v/>
      </c>
      <c r="N55">
        <f>$C55*N54</f>
        <v/>
      </c>
      <c r="O55">
        <f>$C55*O54</f>
        <v/>
      </c>
      <c r="P55">
        <f>$C55*P54</f>
        <v/>
      </c>
      <c r="Q55">
        <f>$C55*Q54</f>
        <v/>
      </c>
      <c r="R55">
        <f>$C55*R54</f>
        <v/>
      </c>
      <c r="S55">
        <f>$C55*S54</f>
        <v/>
      </c>
      <c r="T55">
        <f>$C55*T54</f>
        <v/>
      </c>
      <c r="U55">
        <f>$C55*U54</f>
        <v/>
      </c>
      <c r="V55">
        <f>$C55*V54</f>
        <v/>
      </c>
      <c r="W55">
        <f>$C55*W54</f>
        <v/>
      </c>
      <c r="X55">
        <f>$C55*X54</f>
        <v/>
      </c>
      <c r="Y55">
        <f>$C55*Y54</f>
        <v/>
      </c>
      <c r="Z55">
        <f>$C55*Z54</f>
        <v/>
      </c>
      <c r="AA55">
        <f>$C55*AA54</f>
        <v/>
      </c>
      <c r="AB55">
        <f>$C55*AB54</f>
        <v/>
      </c>
      <c r="AC55">
        <f>$C55*AC54</f>
        <v/>
      </c>
      <c r="AD55">
        <f>$C55*AD54</f>
        <v/>
      </c>
      <c r="AE55">
        <f>$C55*AE54</f>
        <v/>
      </c>
      <c r="AF55">
        <f>$C55*AF54</f>
        <v/>
      </c>
      <c r="AG55">
        <f>$C55*AG54</f>
        <v/>
      </c>
      <c r="AH55">
        <f>$C55*AH54</f>
        <v/>
      </c>
      <c r="AI55">
        <f>$C55*AI54</f>
        <v/>
      </c>
      <c r="AJ55">
        <f>$C55*AJ54</f>
        <v/>
      </c>
      <c r="AK55">
        <f>$C55*AK54</f>
        <v/>
      </c>
      <c r="AL55">
        <f>$C55*AL54</f>
        <v/>
      </c>
      <c r="AM55">
        <f>$C55*AM54</f>
        <v/>
      </c>
      <c r="AN55">
        <f>$C55*AN54</f>
        <v/>
      </c>
      <c r="AO55">
        <f>$C55*AO54</f>
        <v/>
      </c>
      <c r="AP55">
        <f>$C55*AP54</f>
        <v/>
      </c>
      <c r="AQ55">
        <f>$C55*AQ54</f>
        <v/>
      </c>
      <c r="AR55">
        <f>$C55*AR54</f>
        <v/>
      </c>
      <c r="AS55">
        <f>$C55*AS54</f>
        <v/>
      </c>
      <c r="AT55">
        <f>$C55*AT54</f>
        <v/>
      </c>
      <c r="AU55">
        <f>$C55*AU54</f>
        <v/>
      </c>
      <c r="AV55">
        <f>$C55*AV54</f>
        <v/>
      </c>
      <c r="AW55">
        <f>$C55*AW54</f>
        <v/>
      </c>
      <c r="AX55">
        <f>$C55*AX54</f>
        <v/>
      </c>
      <c r="AY55">
        <f>$C55*AY54</f>
        <v/>
      </c>
      <c r="AZ55">
        <f>$C55*AZ54</f>
        <v/>
      </c>
      <c r="BA55">
        <f>$C55*BA54</f>
        <v/>
      </c>
      <c r="BB55">
        <f>$C55*BB54</f>
        <v/>
      </c>
      <c r="BC55">
        <f>$C55*BC54</f>
        <v/>
      </c>
      <c r="BD55">
        <f>$C55*BD54</f>
        <v/>
      </c>
      <c r="BE55">
        <f>$C55*BE54</f>
        <v/>
      </c>
      <c r="BF55">
        <f>$C55*BF54</f>
        <v/>
      </c>
      <c r="BG55">
        <f>$C55*BG54</f>
        <v/>
      </c>
      <c r="BH55">
        <f>$C55*BH54</f>
        <v/>
      </c>
      <c r="BI55">
        <f>$C55*BI54</f>
        <v/>
      </c>
      <c r="BJ55">
        <f>$C55*BJ54</f>
        <v/>
      </c>
      <c r="BK55">
        <f>$C55*BK54</f>
        <v/>
      </c>
      <c r="BL55">
        <f>$C55*BL54</f>
        <v/>
      </c>
      <c r="BM55">
        <f>$C55*BM54</f>
        <v/>
      </c>
      <c r="BN55">
        <f>$C55*BN54</f>
        <v/>
      </c>
      <c r="BO55">
        <f>$C55*BO54</f>
        <v/>
      </c>
      <c r="BP55">
        <f>$C55*BP54</f>
        <v/>
      </c>
      <c r="BQ55">
        <f>$C55*BQ54</f>
        <v/>
      </c>
      <c r="BR55">
        <f>$C55*BR54</f>
        <v/>
      </c>
      <c r="BS55">
        <f>$C55*BS54</f>
        <v/>
      </c>
      <c r="BT55">
        <f>$C55*BT54</f>
        <v/>
      </c>
      <c r="BU55">
        <f>$C55*BU54</f>
        <v/>
      </c>
      <c r="BV55">
        <f>$C55*BV54</f>
        <v/>
      </c>
      <c r="BW55">
        <f>$C55*BW54</f>
        <v/>
      </c>
      <c r="BX55">
        <f>$C55*BX54</f>
        <v/>
      </c>
      <c r="BY55">
        <f>$C55*BY54</f>
        <v/>
      </c>
      <c r="BZ55">
        <f>$C55*BZ54</f>
        <v/>
      </c>
      <c r="CA55">
        <f>$C55*CA54</f>
        <v/>
      </c>
      <c r="CB55">
        <f>$C55*CB54</f>
        <v/>
      </c>
      <c r="CC55">
        <f>$C55*CC54</f>
        <v/>
      </c>
      <c r="CD55">
        <f>$C55*CD54</f>
        <v/>
      </c>
      <c r="CE55">
        <f>$C55*CE54</f>
        <v/>
      </c>
      <c r="CF55">
        <f>$C55*CF54</f>
        <v/>
      </c>
      <c r="CG55">
        <f>$C55*CG54</f>
        <v/>
      </c>
      <c r="CH55">
        <f>$C55*CH54</f>
        <v/>
      </c>
      <c r="CI55">
        <f>$C55*CI54</f>
        <v/>
      </c>
      <c r="CJ55">
        <f>$C55*CJ54</f>
        <v/>
      </c>
      <c r="CK55">
        <f>$C55*CK54</f>
        <v/>
      </c>
      <c r="CL55">
        <f>$C55*CL54</f>
        <v/>
      </c>
      <c r="CM55">
        <f>$C55*CM54</f>
        <v/>
      </c>
      <c r="CN55">
        <f>$C55*CN54</f>
        <v/>
      </c>
      <c r="CO55">
        <f>$C55*CO54</f>
        <v/>
      </c>
      <c r="CP55">
        <f>$C55*CP54</f>
        <v/>
      </c>
      <c r="CQ55">
        <f>$C55*CQ54</f>
        <v/>
      </c>
      <c r="CR55">
        <f>$C55*CR54</f>
        <v/>
      </c>
      <c r="CS55">
        <f>$C55*CS54</f>
        <v/>
      </c>
      <c r="CT55">
        <f>$C55*CT54</f>
        <v/>
      </c>
      <c r="CU55">
        <f>$C55*CU54</f>
        <v/>
      </c>
      <c r="CV55">
        <f>$C55*CV54</f>
        <v/>
      </c>
      <c r="CW55">
        <f>$C55*CW54</f>
        <v/>
      </c>
      <c r="CX55">
        <f>$C55*CX54</f>
        <v/>
      </c>
      <c r="CY55">
        <f>$C55*CY54</f>
        <v/>
      </c>
      <c r="CZ55">
        <f>$C55*CZ54</f>
        <v/>
      </c>
      <c r="DA55">
        <f>$C55*DA54</f>
        <v/>
      </c>
      <c r="DB55">
        <f>$C55*DB54</f>
        <v/>
      </c>
      <c r="DC55">
        <f>$C55*DC54</f>
        <v/>
      </c>
    </row>
    <row r="56">
      <c r="B56" t="inlineStr">
        <is>
          <t>TSP-104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Name],$A53)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'Grid_Requirement'!B3</f>
        <v/>
      </c>
      <c r="E58">
        <f>'Grid_Requirement'!C3</f>
        <v/>
      </c>
      <c r="F58">
        <f>'Grid_Requirement'!D3</f>
        <v/>
      </c>
      <c r="G58">
        <f>'Grid_Requirement'!E3</f>
        <v/>
      </c>
      <c r="H58">
        <f>'Grid_Requirement'!F3</f>
        <v/>
      </c>
      <c r="I58">
        <f>'Grid_Requirement'!G3</f>
        <v/>
      </c>
      <c r="J58">
        <f>'Grid_Requirement'!H3</f>
        <v/>
      </c>
      <c r="K58">
        <f>'Grid_Requirement'!I3</f>
        <v/>
      </c>
      <c r="L58">
        <f>'Grid_Requirement'!J3</f>
        <v/>
      </c>
      <c r="M58">
        <f>'Grid_Requirement'!K3</f>
        <v/>
      </c>
      <c r="N58">
        <f>'Grid_Requirement'!L3</f>
        <v/>
      </c>
      <c r="O58">
        <f>'Grid_Requirement'!M3</f>
        <v/>
      </c>
      <c r="P58">
        <f>'Grid_Requirement'!N3</f>
        <v/>
      </c>
      <c r="Q58">
        <f>'Grid_Requirement'!O3</f>
        <v/>
      </c>
      <c r="R58">
        <f>'Grid_Requirement'!P3</f>
        <v/>
      </c>
      <c r="S58">
        <f>'Grid_Requirement'!Q3</f>
        <v/>
      </c>
      <c r="T58">
        <f>'Grid_Requirement'!R3</f>
        <v/>
      </c>
      <c r="U58">
        <f>'Grid_Requirement'!S3</f>
        <v/>
      </c>
      <c r="V58">
        <f>'Grid_Requirement'!T3</f>
        <v/>
      </c>
      <c r="W58">
        <f>'Grid_Requirement'!U3</f>
        <v/>
      </c>
      <c r="X58">
        <f>'Grid_Requirement'!V3</f>
        <v/>
      </c>
      <c r="Y58">
        <f>'Grid_Requirement'!W3</f>
        <v/>
      </c>
      <c r="Z58">
        <f>'Grid_Requirement'!X3</f>
        <v/>
      </c>
      <c r="AA58">
        <f>'Grid_Requirement'!Y3</f>
        <v/>
      </c>
      <c r="AB58">
        <f>'Grid_Requirement'!Z3</f>
        <v/>
      </c>
      <c r="AC58">
        <f>'Grid_Requirement'!AA3</f>
        <v/>
      </c>
      <c r="AD58">
        <f>'Grid_Requirement'!AB3</f>
        <v/>
      </c>
      <c r="AE58">
        <f>'Grid_Requirement'!AC3</f>
        <v/>
      </c>
      <c r="AF58">
        <f>'Grid_Requirement'!AD3</f>
        <v/>
      </c>
      <c r="AG58">
        <f>'Grid_Requirement'!AE3</f>
        <v/>
      </c>
      <c r="AH58">
        <f>'Grid_Requirement'!AF3</f>
        <v/>
      </c>
      <c r="AI58">
        <f>'Grid_Requirement'!AG3</f>
        <v/>
      </c>
      <c r="AJ58">
        <f>'Grid_Requirement'!AH3</f>
        <v/>
      </c>
      <c r="AK58">
        <f>'Grid_Requirement'!AI3</f>
        <v/>
      </c>
      <c r="AL58">
        <f>'Grid_Requirement'!AJ3</f>
        <v/>
      </c>
      <c r="AM58">
        <f>'Grid_Requirement'!AK3</f>
        <v/>
      </c>
      <c r="AN58">
        <f>'Grid_Requirement'!AL3</f>
        <v/>
      </c>
      <c r="AO58">
        <f>'Grid_Requirement'!AM3</f>
        <v/>
      </c>
      <c r="AP58">
        <f>'Grid_Requirement'!AN3</f>
        <v/>
      </c>
      <c r="AQ58">
        <f>'Grid_Requirement'!AO3</f>
        <v/>
      </c>
      <c r="AR58">
        <f>'Grid_Requirement'!AP3</f>
        <v/>
      </c>
      <c r="AS58">
        <f>'Grid_Requirement'!AQ3</f>
        <v/>
      </c>
      <c r="AT58">
        <f>'Grid_Requirement'!AR3</f>
        <v/>
      </c>
      <c r="AU58">
        <f>'Grid_Requirement'!AS3</f>
        <v/>
      </c>
      <c r="AV58">
        <f>'Grid_Requirement'!AT3</f>
        <v/>
      </c>
      <c r="AW58">
        <f>'Grid_Requirement'!AU3</f>
        <v/>
      </c>
      <c r="AX58">
        <f>'Grid_Requirement'!AV3</f>
        <v/>
      </c>
      <c r="AY58">
        <f>'Grid_Requirement'!AW3</f>
        <v/>
      </c>
      <c r="AZ58">
        <f>'Grid_Requirement'!AX3</f>
        <v/>
      </c>
      <c r="BA58">
        <f>'Grid_Requirement'!AY3</f>
        <v/>
      </c>
      <c r="BB58">
        <f>'Grid_Requirement'!AZ3</f>
        <v/>
      </c>
      <c r="BC58">
        <f>'Grid_Requirement'!BA3</f>
        <v/>
      </c>
      <c r="BD58">
        <f>'Grid_Requirement'!BB3</f>
        <v/>
      </c>
      <c r="BE58">
        <f>'Grid_Requirement'!BC3</f>
        <v/>
      </c>
      <c r="BF58">
        <f>'Grid_Requirement'!BD3</f>
        <v/>
      </c>
      <c r="BG58">
        <f>'Grid_Requirement'!BE3</f>
        <v/>
      </c>
      <c r="BH58">
        <f>'Grid_Requirement'!BF3</f>
        <v/>
      </c>
      <c r="BI58">
        <f>'Grid_Requirement'!BG3</f>
        <v/>
      </c>
      <c r="BJ58">
        <f>'Grid_Requirement'!BH3</f>
        <v/>
      </c>
      <c r="BK58">
        <f>'Grid_Requirement'!BI3</f>
        <v/>
      </c>
      <c r="BL58">
        <f>'Grid_Requirement'!BJ3</f>
        <v/>
      </c>
      <c r="BM58">
        <f>'Grid_Requirement'!BK3</f>
        <v/>
      </c>
      <c r="BN58">
        <f>'Grid_Requirement'!BL3</f>
        <v/>
      </c>
      <c r="BO58">
        <f>'Grid_Requirement'!BM3</f>
        <v/>
      </c>
      <c r="BP58">
        <f>'Grid_Requirement'!BN3</f>
        <v/>
      </c>
      <c r="BQ58">
        <f>'Grid_Requirement'!BO3</f>
        <v/>
      </c>
      <c r="BR58">
        <f>'Grid_Requirement'!BP3</f>
        <v/>
      </c>
      <c r="BS58">
        <f>'Grid_Requirement'!BQ3</f>
        <v/>
      </c>
      <c r="BT58">
        <f>'Grid_Requirement'!BR3</f>
        <v/>
      </c>
      <c r="BU58">
        <f>'Grid_Requirement'!BS3</f>
        <v/>
      </c>
      <c r="BV58">
        <f>'Grid_Requirement'!BT3</f>
        <v/>
      </c>
      <c r="BW58">
        <f>'Grid_Requirement'!BU3</f>
        <v/>
      </c>
      <c r="BX58">
        <f>'Grid_Requirement'!BV3</f>
        <v/>
      </c>
      <c r="BY58">
        <f>'Grid_Requirement'!BW3</f>
        <v/>
      </c>
      <c r="BZ58">
        <f>'Grid_Requirement'!BX3</f>
        <v/>
      </c>
      <c r="CA58">
        <f>'Grid_Requirement'!BY3</f>
        <v/>
      </c>
      <c r="CB58">
        <f>'Grid_Requirement'!BZ3</f>
        <v/>
      </c>
      <c r="CC58">
        <f>'Grid_Requirement'!CA3</f>
        <v/>
      </c>
      <c r="CD58">
        <f>'Grid_Requirement'!CB3</f>
        <v/>
      </c>
      <c r="CE58">
        <f>'Grid_Requirement'!CC3</f>
        <v/>
      </c>
      <c r="CF58">
        <f>'Grid_Requirement'!CD3</f>
        <v/>
      </c>
      <c r="CG58">
        <f>'Grid_Requirement'!CE3</f>
        <v/>
      </c>
      <c r="CH58">
        <f>'Grid_Requirement'!CF3</f>
        <v/>
      </c>
      <c r="CI58">
        <f>'Grid_Requirement'!CG3</f>
        <v/>
      </c>
      <c r="CJ58">
        <f>'Grid_Requirement'!CH3</f>
        <v/>
      </c>
      <c r="CK58">
        <f>'Grid_Requirement'!CI3</f>
        <v/>
      </c>
      <c r="CL58">
        <f>'Grid_Requirement'!CJ3</f>
        <v/>
      </c>
      <c r="CM58">
        <f>'Grid_Requirement'!CK3</f>
        <v/>
      </c>
      <c r="CN58">
        <f>'Grid_Requirement'!CL3</f>
        <v/>
      </c>
      <c r="CO58">
        <f>'Grid_Requirement'!CM3</f>
        <v/>
      </c>
      <c r="CP58">
        <f>'Grid_Requirement'!CN3</f>
        <v/>
      </c>
      <c r="CQ58">
        <f>'Grid_Requirement'!CO3</f>
        <v/>
      </c>
      <c r="CR58">
        <f>'Grid_Requirement'!CP3</f>
        <v/>
      </c>
      <c r="CS58">
        <f>'Grid_Requirement'!CQ3</f>
        <v/>
      </c>
      <c r="CT58">
        <f>'Grid_Requirement'!CR3</f>
        <v/>
      </c>
      <c r="CU58">
        <f>'Grid_Requirement'!CS3</f>
        <v/>
      </c>
      <c r="CV58">
        <f>'Grid_Requirement'!CT3</f>
        <v/>
      </c>
      <c r="CW58">
        <f>'Grid_Requirement'!CU3</f>
        <v/>
      </c>
      <c r="CX58">
        <f>'Grid_Requirement'!CV3</f>
        <v/>
      </c>
      <c r="CY58">
        <f>'Grid_Requirement'!CW3</f>
        <v/>
      </c>
      <c r="CZ58">
        <f>'Grid_Requirement'!CX3</f>
        <v/>
      </c>
      <c r="DA58">
        <f>'Grid_Requirement'!CY3</f>
        <v/>
      </c>
      <c r="DB58">
        <f>'Grid_Requirement'!CZ3</f>
        <v/>
      </c>
      <c r="DC58">
        <f>'Grid_Requirement'!DA3</f>
        <v/>
      </c>
    </row>
    <row r="59">
      <c r="B59" t="inlineStr">
        <is>
          <t>TTAF在庫(実績,kg)</t>
        </is>
      </c>
      <c r="D59">
        <f>'T_TTAFStock'!B7</f>
        <v/>
      </c>
      <c r="E59">
        <f>'T_TTAFStock'!C7</f>
        <v/>
      </c>
      <c r="F59">
        <f>'T_TTAFStock'!D7</f>
        <v/>
      </c>
      <c r="G59">
        <f>'T_TTAFStock'!E7</f>
        <v/>
      </c>
      <c r="H59">
        <f>'T_TTAFStock'!F7</f>
        <v/>
      </c>
      <c r="I59">
        <f>'T_TTAFStock'!G7</f>
        <v/>
      </c>
      <c r="J59">
        <f>'T_TTAFStock'!H7</f>
        <v/>
      </c>
      <c r="K59">
        <f>'T_TTAFStock'!I7</f>
        <v/>
      </c>
      <c r="L59">
        <f>'T_TTAFStock'!J7</f>
        <v/>
      </c>
      <c r="M59">
        <f>'T_TTAFStock'!K7</f>
        <v/>
      </c>
      <c r="N59">
        <f>'T_TTAFStock'!L7</f>
        <v/>
      </c>
      <c r="O59">
        <f>'T_TTAFStock'!M7</f>
        <v/>
      </c>
      <c r="P59">
        <f>'T_TTAFStock'!N7</f>
        <v/>
      </c>
      <c r="Q59">
        <f>'T_TTAFStock'!O7</f>
        <v/>
      </c>
      <c r="R59">
        <f>'T_TTAFStock'!P7</f>
        <v/>
      </c>
      <c r="S59">
        <f>'T_TTAFStock'!Q7</f>
        <v/>
      </c>
      <c r="T59">
        <f>'T_TTAFStock'!R7</f>
        <v/>
      </c>
      <c r="U59">
        <f>'T_TTAFStock'!S7</f>
        <v/>
      </c>
      <c r="V59">
        <f>'T_TTAFStock'!T7</f>
        <v/>
      </c>
      <c r="W59">
        <f>'T_TTAFStock'!U7</f>
        <v/>
      </c>
      <c r="X59">
        <f>'T_TTAFStock'!V7</f>
        <v/>
      </c>
      <c r="Y59">
        <f>'T_TTAFStock'!W7</f>
        <v/>
      </c>
      <c r="Z59">
        <f>'T_TTAFStock'!X7</f>
        <v/>
      </c>
      <c r="AA59">
        <f>'T_TTAFStock'!Y7</f>
        <v/>
      </c>
      <c r="AB59">
        <f>'T_TTAFStock'!Z7</f>
        <v/>
      </c>
      <c r="AC59">
        <f>'T_TTAFStock'!AA7</f>
        <v/>
      </c>
      <c r="AD59">
        <f>'T_TTAFStock'!AB7</f>
        <v/>
      </c>
      <c r="AE59">
        <f>'T_TTAFStock'!AC7</f>
        <v/>
      </c>
      <c r="AF59">
        <f>'T_TTAFStock'!AD7</f>
        <v/>
      </c>
      <c r="AG59">
        <f>'T_TTAFStock'!AE7</f>
        <v/>
      </c>
      <c r="AH59">
        <f>'T_TTAFStock'!AF7</f>
        <v/>
      </c>
      <c r="AI59">
        <f>'T_TTAFStock'!AG7</f>
        <v/>
      </c>
      <c r="AJ59">
        <f>'T_TTAFStock'!AH7</f>
        <v/>
      </c>
      <c r="AK59">
        <f>'T_TTAFStock'!AI7</f>
        <v/>
      </c>
      <c r="AL59">
        <f>'T_TTAFStock'!AJ7</f>
        <v/>
      </c>
      <c r="AM59">
        <f>'T_TTAFStock'!AK7</f>
        <v/>
      </c>
      <c r="AN59">
        <f>'T_TTAFStock'!AL7</f>
        <v/>
      </c>
      <c r="AO59">
        <f>'T_TTAFStock'!AM7</f>
        <v/>
      </c>
      <c r="AP59">
        <f>'T_TTAFStock'!AN7</f>
        <v/>
      </c>
      <c r="AQ59">
        <f>'T_TTAFStock'!AO7</f>
        <v/>
      </c>
      <c r="AR59">
        <f>'T_TTAFStock'!AP7</f>
        <v/>
      </c>
      <c r="AS59">
        <f>'T_TTAFStock'!AQ7</f>
        <v/>
      </c>
      <c r="AT59">
        <f>'T_TTAFStock'!AR7</f>
        <v/>
      </c>
      <c r="AU59">
        <f>'T_TTAFStock'!AS7</f>
        <v/>
      </c>
      <c r="AV59">
        <f>'T_TTAFStock'!AT7</f>
        <v/>
      </c>
      <c r="AW59">
        <f>'T_TTAFStock'!AU7</f>
        <v/>
      </c>
      <c r="AX59">
        <f>'T_TTAFStock'!AV7</f>
        <v/>
      </c>
      <c r="AY59">
        <f>'T_TTAFStock'!AW7</f>
        <v/>
      </c>
      <c r="AZ59">
        <f>'T_TTAFStock'!AX7</f>
        <v/>
      </c>
      <c r="BA59">
        <f>'T_TTAFStock'!AY7</f>
        <v/>
      </c>
      <c r="BB59">
        <f>'T_TTAFStock'!AZ7</f>
        <v/>
      </c>
      <c r="BC59">
        <f>'T_TTAFStock'!BA7</f>
        <v/>
      </c>
      <c r="BD59">
        <f>'T_TTAFStock'!BB7</f>
        <v/>
      </c>
      <c r="BE59">
        <f>'T_TTAFStock'!BC7</f>
        <v/>
      </c>
      <c r="BF59">
        <f>'T_TTAFStock'!BD7</f>
        <v/>
      </c>
      <c r="BG59">
        <f>'T_TTAFStock'!BE7</f>
        <v/>
      </c>
      <c r="BH59">
        <f>'T_TTAFStock'!BF7</f>
        <v/>
      </c>
      <c r="BI59">
        <f>'T_TTAFStock'!BG7</f>
        <v/>
      </c>
      <c r="BJ59">
        <f>'T_TTAFStock'!BH7</f>
        <v/>
      </c>
      <c r="BK59">
        <f>'T_TTAFStock'!BI7</f>
        <v/>
      </c>
      <c r="BL59">
        <f>'T_TTAFStock'!BJ7</f>
        <v/>
      </c>
      <c r="BM59">
        <f>'T_TTAFStock'!BK7</f>
        <v/>
      </c>
      <c r="BN59">
        <f>'T_TTAFStock'!BL7</f>
        <v/>
      </c>
      <c r="BO59">
        <f>'T_TTAFStock'!BM7</f>
        <v/>
      </c>
      <c r="BP59">
        <f>'T_TTAFStock'!BN7</f>
        <v/>
      </c>
      <c r="BQ59">
        <f>'T_TTAFStock'!BO7</f>
        <v/>
      </c>
      <c r="BR59">
        <f>'T_TTAFStock'!BP7</f>
        <v/>
      </c>
      <c r="BS59">
        <f>'T_TTAFStock'!BQ7</f>
        <v/>
      </c>
      <c r="BT59">
        <f>'T_TTAFStock'!BR7</f>
        <v/>
      </c>
      <c r="BU59">
        <f>'T_TTAFStock'!BS7</f>
        <v/>
      </c>
      <c r="BV59">
        <f>'T_TTAFStock'!BT7</f>
        <v/>
      </c>
      <c r="BW59">
        <f>'T_TTAFStock'!BU7</f>
        <v/>
      </c>
      <c r="BX59">
        <f>'T_TTAFStock'!BV7</f>
        <v/>
      </c>
      <c r="BY59">
        <f>'T_TTAFStock'!BW7</f>
        <v/>
      </c>
      <c r="BZ59">
        <f>'T_TTAFStock'!BX7</f>
        <v/>
      </c>
      <c r="CA59">
        <f>'T_TTAFStock'!BY7</f>
        <v/>
      </c>
      <c r="CB59">
        <f>'T_TTAFStock'!BZ7</f>
        <v/>
      </c>
      <c r="CC59">
        <f>'T_TTAFStock'!CA7</f>
        <v/>
      </c>
      <c r="CD59">
        <f>'T_TTAFStock'!CB7</f>
        <v/>
      </c>
      <c r="CE59">
        <f>'T_TTAFStock'!CC7</f>
        <v/>
      </c>
      <c r="CF59">
        <f>'T_TTAFStock'!CD7</f>
        <v/>
      </c>
      <c r="CG59">
        <f>'T_TTAFStock'!CE7</f>
        <v/>
      </c>
      <c r="CH59">
        <f>'T_TTAFStock'!CF7</f>
        <v/>
      </c>
      <c r="CI59">
        <f>'T_TTAFStock'!CG7</f>
        <v/>
      </c>
      <c r="CJ59">
        <f>'T_TTAFStock'!CH7</f>
        <v/>
      </c>
      <c r="CK59">
        <f>'T_TTAFStock'!CI7</f>
        <v/>
      </c>
      <c r="CL59">
        <f>'T_TTAFStock'!CJ7</f>
        <v/>
      </c>
      <c r="CM59">
        <f>'T_TTAFStock'!CK7</f>
        <v/>
      </c>
      <c r="CN59">
        <f>'T_TTAFStock'!CL7</f>
        <v/>
      </c>
      <c r="CO59">
        <f>'T_TTAFStock'!CM7</f>
        <v/>
      </c>
      <c r="CP59">
        <f>'T_TTAFStock'!CN7</f>
        <v/>
      </c>
      <c r="CQ59">
        <f>'T_TTAFStock'!CO7</f>
        <v/>
      </c>
      <c r="CR59">
        <f>'T_TTAFStock'!CP7</f>
        <v/>
      </c>
      <c r="CS59">
        <f>'T_TTAFStock'!CQ7</f>
        <v/>
      </c>
      <c r="CT59">
        <f>'T_TTAFStock'!CR7</f>
        <v/>
      </c>
      <c r="CU59">
        <f>'T_TTAFStock'!CS7</f>
        <v/>
      </c>
      <c r="CV59">
        <f>'T_TTAFStock'!CT7</f>
        <v/>
      </c>
      <c r="CW59">
        <f>'T_TTAFStock'!CU7</f>
        <v/>
      </c>
      <c r="CX59">
        <f>'T_TTAFStock'!CV7</f>
        <v/>
      </c>
      <c r="CY59">
        <f>'T_TTAFStock'!CW7</f>
        <v/>
      </c>
      <c r="CZ59">
        <f>'T_TTAFStock'!CX7</f>
        <v/>
      </c>
      <c r="DA59">
        <f>'T_TTAFStock'!CY7</f>
        <v/>
      </c>
      <c r="DB59">
        <f>'T_TTAFStock'!CZ7</f>
        <v/>
      </c>
      <c r="DC59">
        <f>'T_TTAFStock'!DA7</f>
        <v/>
      </c>
    </row>
    <row r="60">
      <c r="B60" t="inlineStr">
        <is>
          <t>自社在庫(実績,kg)</t>
        </is>
      </c>
      <c r="D60">
        <f>'T_SelfStock'!B7</f>
        <v/>
      </c>
      <c r="E60">
        <f>'T_SelfStock'!C7</f>
        <v/>
      </c>
      <c r="F60">
        <f>'T_SelfStock'!D7</f>
        <v/>
      </c>
      <c r="G60">
        <f>'T_SelfStock'!E7</f>
        <v/>
      </c>
      <c r="H60">
        <f>'T_SelfStock'!F7</f>
        <v/>
      </c>
      <c r="I60">
        <f>'T_SelfStock'!G7</f>
        <v/>
      </c>
      <c r="J60">
        <f>'T_SelfStock'!H7</f>
        <v/>
      </c>
      <c r="K60">
        <f>'T_SelfStock'!I7</f>
        <v/>
      </c>
      <c r="L60">
        <f>'T_SelfStock'!J7</f>
        <v/>
      </c>
      <c r="M60">
        <f>'T_SelfStock'!K7</f>
        <v/>
      </c>
      <c r="N60">
        <f>'T_SelfStock'!L7</f>
        <v/>
      </c>
      <c r="O60">
        <f>'T_SelfStock'!M7</f>
        <v/>
      </c>
      <c r="P60">
        <f>'T_SelfStock'!N7</f>
        <v/>
      </c>
      <c r="Q60">
        <f>'T_SelfStock'!O7</f>
        <v/>
      </c>
      <c r="R60">
        <f>'T_SelfStock'!P7</f>
        <v/>
      </c>
      <c r="S60">
        <f>'T_SelfStock'!Q7</f>
        <v/>
      </c>
      <c r="T60">
        <f>'T_SelfStock'!R7</f>
        <v/>
      </c>
      <c r="U60">
        <f>'T_SelfStock'!S7</f>
        <v/>
      </c>
      <c r="V60">
        <f>'T_SelfStock'!T7</f>
        <v/>
      </c>
      <c r="W60">
        <f>'T_SelfStock'!U7</f>
        <v/>
      </c>
      <c r="X60">
        <f>'T_SelfStock'!V7</f>
        <v/>
      </c>
      <c r="Y60">
        <f>'T_SelfStock'!W7</f>
        <v/>
      </c>
      <c r="Z60">
        <f>'T_SelfStock'!X7</f>
        <v/>
      </c>
      <c r="AA60">
        <f>'T_SelfStock'!Y7</f>
        <v/>
      </c>
      <c r="AB60">
        <f>'T_SelfStock'!Z7</f>
        <v/>
      </c>
      <c r="AC60">
        <f>'T_SelfStock'!AA7</f>
        <v/>
      </c>
      <c r="AD60">
        <f>'T_SelfStock'!AB7</f>
        <v/>
      </c>
      <c r="AE60">
        <f>'T_SelfStock'!AC7</f>
        <v/>
      </c>
      <c r="AF60">
        <f>'T_SelfStock'!AD7</f>
        <v/>
      </c>
      <c r="AG60">
        <f>'T_SelfStock'!AE7</f>
        <v/>
      </c>
      <c r="AH60">
        <f>'T_SelfStock'!AF7</f>
        <v/>
      </c>
      <c r="AI60">
        <f>'T_SelfStock'!AG7</f>
        <v/>
      </c>
      <c r="AJ60">
        <f>'T_SelfStock'!AH7</f>
        <v/>
      </c>
      <c r="AK60">
        <f>'T_SelfStock'!AI7</f>
        <v/>
      </c>
      <c r="AL60">
        <f>'T_SelfStock'!AJ7</f>
        <v/>
      </c>
      <c r="AM60">
        <f>'T_SelfStock'!AK7</f>
        <v/>
      </c>
      <c r="AN60">
        <f>'T_SelfStock'!AL7</f>
        <v/>
      </c>
      <c r="AO60">
        <f>'T_SelfStock'!AM7</f>
        <v/>
      </c>
      <c r="AP60">
        <f>'T_SelfStock'!AN7</f>
        <v/>
      </c>
      <c r="AQ60">
        <f>'T_SelfStock'!AO7</f>
        <v/>
      </c>
      <c r="AR60">
        <f>'T_SelfStock'!AP7</f>
        <v/>
      </c>
      <c r="AS60">
        <f>'T_SelfStock'!AQ7</f>
        <v/>
      </c>
      <c r="AT60">
        <f>'T_SelfStock'!AR7</f>
        <v/>
      </c>
      <c r="AU60">
        <f>'T_SelfStock'!AS7</f>
        <v/>
      </c>
      <c r="AV60">
        <f>'T_SelfStock'!AT7</f>
        <v/>
      </c>
      <c r="AW60">
        <f>'T_SelfStock'!AU7</f>
        <v/>
      </c>
      <c r="AX60">
        <f>'T_SelfStock'!AV7</f>
        <v/>
      </c>
      <c r="AY60">
        <f>'T_SelfStock'!AW7</f>
        <v/>
      </c>
      <c r="AZ60">
        <f>'T_SelfStock'!AX7</f>
        <v/>
      </c>
      <c r="BA60">
        <f>'T_SelfStock'!AY7</f>
        <v/>
      </c>
      <c r="BB60">
        <f>'T_SelfStock'!AZ7</f>
        <v/>
      </c>
      <c r="BC60">
        <f>'T_SelfStock'!BA7</f>
        <v/>
      </c>
      <c r="BD60">
        <f>'T_SelfStock'!BB7</f>
        <v/>
      </c>
      <c r="BE60">
        <f>'T_SelfStock'!BC7</f>
        <v/>
      </c>
      <c r="BF60">
        <f>'T_SelfStock'!BD7</f>
        <v/>
      </c>
      <c r="BG60">
        <f>'T_SelfStock'!BE7</f>
        <v/>
      </c>
      <c r="BH60">
        <f>'T_SelfStock'!BF7</f>
        <v/>
      </c>
      <c r="BI60">
        <f>'T_SelfStock'!BG7</f>
        <v/>
      </c>
      <c r="BJ60">
        <f>'T_SelfStock'!BH7</f>
        <v/>
      </c>
      <c r="BK60">
        <f>'T_SelfStock'!BI7</f>
        <v/>
      </c>
      <c r="BL60">
        <f>'T_SelfStock'!BJ7</f>
        <v/>
      </c>
      <c r="BM60">
        <f>'T_SelfStock'!BK7</f>
        <v/>
      </c>
      <c r="BN60">
        <f>'T_SelfStock'!BL7</f>
        <v/>
      </c>
      <c r="BO60">
        <f>'T_SelfStock'!BM7</f>
        <v/>
      </c>
      <c r="BP60">
        <f>'T_SelfStock'!BN7</f>
        <v/>
      </c>
      <c r="BQ60">
        <f>'T_SelfStock'!BO7</f>
        <v/>
      </c>
      <c r="BR60">
        <f>'T_SelfStock'!BP7</f>
        <v/>
      </c>
      <c r="BS60">
        <f>'T_SelfStock'!BQ7</f>
        <v/>
      </c>
      <c r="BT60">
        <f>'T_SelfStock'!BR7</f>
        <v/>
      </c>
      <c r="BU60">
        <f>'T_SelfStock'!BS7</f>
        <v/>
      </c>
      <c r="BV60">
        <f>'T_SelfStock'!BT7</f>
        <v/>
      </c>
      <c r="BW60">
        <f>'T_SelfStock'!BU7</f>
        <v/>
      </c>
      <c r="BX60">
        <f>'T_SelfStock'!BV7</f>
        <v/>
      </c>
      <c r="BY60">
        <f>'T_SelfStock'!BW7</f>
        <v/>
      </c>
      <c r="BZ60">
        <f>'T_SelfStock'!BX7</f>
        <v/>
      </c>
      <c r="CA60">
        <f>'T_SelfStock'!BY7</f>
        <v/>
      </c>
      <c r="CB60">
        <f>'T_SelfStock'!BZ7</f>
        <v/>
      </c>
      <c r="CC60">
        <f>'T_SelfStock'!CA7</f>
        <v/>
      </c>
      <c r="CD60">
        <f>'T_SelfStock'!CB7</f>
        <v/>
      </c>
      <c r="CE60">
        <f>'T_SelfStock'!CC7</f>
        <v/>
      </c>
      <c r="CF60">
        <f>'T_SelfStock'!CD7</f>
        <v/>
      </c>
      <c r="CG60">
        <f>'T_SelfStock'!CE7</f>
        <v/>
      </c>
      <c r="CH60">
        <f>'T_SelfStock'!CF7</f>
        <v/>
      </c>
      <c r="CI60">
        <f>'T_SelfStock'!CG7</f>
        <v/>
      </c>
      <c r="CJ60">
        <f>'T_SelfStock'!CH7</f>
        <v/>
      </c>
      <c r="CK60">
        <f>'T_SelfStock'!CI7</f>
        <v/>
      </c>
      <c r="CL60">
        <f>'T_SelfStock'!CJ7</f>
        <v/>
      </c>
      <c r="CM60">
        <f>'T_SelfStock'!CK7</f>
        <v/>
      </c>
      <c r="CN60">
        <f>'T_SelfStock'!CL7</f>
        <v/>
      </c>
      <c r="CO60">
        <f>'T_SelfStock'!CM7</f>
        <v/>
      </c>
      <c r="CP60">
        <f>'T_SelfStock'!CN7</f>
        <v/>
      </c>
      <c r="CQ60">
        <f>'T_SelfStock'!CO7</f>
        <v/>
      </c>
      <c r="CR60">
        <f>'T_SelfStock'!CP7</f>
        <v/>
      </c>
      <c r="CS60">
        <f>'T_SelfStock'!CQ7</f>
        <v/>
      </c>
      <c r="CT60">
        <f>'T_SelfStock'!CR7</f>
        <v/>
      </c>
      <c r="CU60">
        <f>'T_SelfStock'!CS7</f>
        <v/>
      </c>
      <c r="CV60">
        <f>'T_SelfStock'!CT7</f>
        <v/>
      </c>
      <c r="CW60">
        <f>'T_SelfStock'!CU7</f>
        <v/>
      </c>
      <c r="CX60">
        <f>'T_SelfStock'!CV7</f>
        <v/>
      </c>
      <c r="CY60">
        <f>'T_SelfStock'!CW7</f>
        <v/>
      </c>
      <c r="CZ60">
        <f>'T_SelfStock'!CX7</f>
        <v/>
      </c>
      <c r="DA60">
        <f>'T_SelfStock'!CY7</f>
        <v/>
      </c>
      <c r="DB60">
        <f>'T_SelfStock'!CZ7</f>
        <v/>
      </c>
      <c r="DC60">
        <f>'T_SelfStock'!DA7</f>
        <v/>
      </c>
    </row>
    <row r="61">
      <c r="B61" t="inlineStr">
        <is>
          <t>Order(発注予定,kg)</t>
        </is>
      </c>
      <c r="D61">
        <f>IF(SUMIFS(T_PlannedOrders[EffectiveQty],T_PlannedOrders[Part Name],$A53,T_PlannedOrders[WeekIndex],1)=0,"",SUMIFS(T_PlannedOrders[EffectiveQty],T_PlannedOrders[Part Name],$A53,T_PlannedOrders[WeekIndex],1)&amp;" ("&amp;TEXT(SUMPRODUCT(MAX((T_PlannedOrders[Part Name]=$A53)*(T_PlannedOrders[WeekIndex]=1)*(T_PlannedOrders[EffectiveQty]&gt;0)*T_PlannedOrders[Order_Month])),"m月")&amp;"発注)")</f>
        <v/>
      </c>
      <c r="E61">
        <f>IF(SUMIFS(T_PlannedOrders[EffectiveQty],T_PlannedOrders[Part Name],$A53,T_PlannedOrders[WeekIndex],2)=0,"",SUMIFS(T_PlannedOrders[EffectiveQty],T_PlannedOrders[Part Name],$A53,T_PlannedOrders[WeekIndex],2)&amp;" ("&amp;TEXT(SUMPRODUCT(MAX((T_PlannedOrders[Part Name]=$A53)*(T_PlannedOrders[WeekIndex]=2)*(T_PlannedOrders[EffectiveQty]&gt;0)*T_PlannedOrders[Order_Month])),"m月")&amp;"発注)")</f>
        <v/>
      </c>
      <c r="F61">
        <f>IF(SUMIFS(T_PlannedOrders[EffectiveQty],T_PlannedOrders[Part Name],$A53,T_PlannedOrders[WeekIndex],3)=0,"",SUMIFS(T_PlannedOrders[EffectiveQty],T_PlannedOrders[Part Name],$A53,T_PlannedOrders[WeekIndex],3)&amp;" ("&amp;TEXT(SUMPRODUCT(MAX((T_PlannedOrders[Part Name]=$A53)*(T_PlannedOrders[WeekIndex]=3)*(T_PlannedOrders[EffectiveQty]&gt;0)*T_PlannedOrders[Order_Month])),"m月")&amp;"発注)")</f>
        <v/>
      </c>
      <c r="G61">
        <f>IF(SUMIFS(T_PlannedOrders[EffectiveQty],T_PlannedOrders[Part Name],$A53,T_PlannedOrders[WeekIndex],4)=0,"",SUMIFS(T_PlannedOrders[EffectiveQty],T_PlannedOrders[Part Name],$A53,T_PlannedOrders[WeekIndex],4)&amp;" ("&amp;TEXT(SUMPRODUCT(MAX((T_PlannedOrders[Part Name]=$A53)*(T_PlannedOrders[WeekIndex]=4)*(T_PlannedOrders[EffectiveQty]&gt;0)*T_PlannedOrders[Order_Month])),"m月")&amp;"発注)")</f>
        <v/>
      </c>
      <c r="H61">
        <f>IF(SUMIFS(T_PlannedOrders[EffectiveQty],T_PlannedOrders[Part Name],$A53,T_PlannedOrders[WeekIndex],5)=0,"",SUMIFS(T_PlannedOrders[EffectiveQty],T_PlannedOrders[Part Name],$A53,T_PlannedOrders[WeekIndex],5)&amp;" ("&amp;TEXT(SUMPRODUCT(MAX((T_PlannedOrders[Part Name]=$A53)*(T_PlannedOrders[WeekIndex]=5)*(T_PlannedOrders[EffectiveQty]&gt;0)*T_PlannedOrders[Order_Month])),"m月")&amp;"発注)")</f>
        <v/>
      </c>
      <c r="I61">
        <f>IF(SUMIFS(T_PlannedOrders[EffectiveQty],T_PlannedOrders[Part Name],$A53,T_PlannedOrders[WeekIndex],6)=0,"",SUMIFS(T_PlannedOrders[EffectiveQty],T_PlannedOrders[Part Name],$A53,T_PlannedOrders[WeekIndex],6)&amp;" ("&amp;TEXT(SUMPRODUCT(MAX((T_PlannedOrders[Part Name]=$A53)*(T_PlannedOrders[WeekIndex]=6)*(T_PlannedOrders[EffectiveQty]&gt;0)*T_PlannedOrders[Order_Month])),"m月")&amp;"発注)")</f>
        <v/>
      </c>
      <c r="J61">
        <f>IF(SUMIFS(T_PlannedOrders[EffectiveQty],T_PlannedOrders[Part Name],$A53,T_PlannedOrders[WeekIndex],7)=0,"",SUMIFS(T_PlannedOrders[EffectiveQty],T_PlannedOrders[Part Name],$A53,T_PlannedOrders[WeekIndex],7)&amp;" ("&amp;TEXT(SUMPRODUCT(MAX((T_PlannedOrders[Part Name]=$A53)*(T_PlannedOrders[WeekIndex]=7)*(T_PlannedOrders[EffectiveQty]&gt;0)*T_PlannedOrders[Order_Month])),"m月")&amp;"発注)")</f>
        <v/>
      </c>
      <c r="K61">
        <f>IF(SUMIFS(T_PlannedOrders[EffectiveQty],T_PlannedOrders[Part Name],$A53,T_PlannedOrders[WeekIndex],8)=0,"",SUMIFS(T_PlannedOrders[EffectiveQty],T_PlannedOrders[Part Name],$A53,T_PlannedOrders[WeekIndex],8)&amp;" ("&amp;TEXT(SUMPRODUCT(MAX((T_PlannedOrders[Part Name]=$A53)*(T_PlannedOrders[WeekIndex]=8)*(T_PlannedOrders[EffectiveQty]&gt;0)*T_PlannedOrders[Order_Month])),"m月")&amp;"発注)")</f>
        <v/>
      </c>
      <c r="L61">
        <f>IF(SUMIFS(T_PlannedOrders[EffectiveQty],T_PlannedOrders[Part Name],$A53,T_PlannedOrders[WeekIndex],9)=0,"",SUMIFS(T_PlannedOrders[EffectiveQty],T_PlannedOrders[Part Name],$A53,T_PlannedOrders[WeekIndex],9)&amp;" ("&amp;TEXT(SUMPRODUCT(MAX((T_PlannedOrders[Part Name]=$A53)*(T_PlannedOrders[WeekIndex]=9)*(T_PlannedOrders[EffectiveQty]&gt;0)*T_PlannedOrders[Order_Month])),"m月")&amp;"発注)")</f>
        <v/>
      </c>
      <c r="M61">
        <f>IF(SUMIFS(T_PlannedOrders[EffectiveQty],T_PlannedOrders[Part Name],$A53,T_PlannedOrders[WeekIndex],10)=0,"",SUMIFS(T_PlannedOrders[EffectiveQty],T_PlannedOrders[Part Name],$A53,T_PlannedOrders[WeekIndex],10)&amp;" ("&amp;TEXT(SUMPRODUCT(MAX((T_PlannedOrders[Part Name]=$A53)*(T_PlannedOrders[WeekIndex]=10)*(T_PlannedOrders[EffectiveQty]&gt;0)*T_PlannedOrders[Order_Month])),"m月")&amp;"発注)")</f>
        <v/>
      </c>
      <c r="N61">
        <f>IF(SUMIFS(T_PlannedOrders[EffectiveQty],T_PlannedOrders[Part Name],$A53,T_PlannedOrders[WeekIndex],11)=0,"",SUMIFS(T_PlannedOrders[EffectiveQty],T_PlannedOrders[Part Name],$A53,T_PlannedOrders[WeekIndex],11)&amp;" ("&amp;TEXT(SUMPRODUCT(MAX((T_PlannedOrders[Part Name]=$A53)*(T_PlannedOrders[WeekIndex]=11)*(T_PlannedOrders[EffectiveQty]&gt;0)*T_PlannedOrders[Order_Month])),"m月")&amp;"発注)")</f>
        <v/>
      </c>
      <c r="O61">
        <f>IF(SUMIFS(T_PlannedOrders[EffectiveQty],T_PlannedOrders[Part Name],$A53,T_PlannedOrders[WeekIndex],12)=0,"",SUMIFS(T_PlannedOrders[EffectiveQty],T_PlannedOrders[Part Name],$A53,T_PlannedOrders[WeekIndex],12)&amp;" ("&amp;TEXT(SUMPRODUCT(MAX((T_PlannedOrders[Part Name]=$A53)*(T_PlannedOrders[WeekIndex]=12)*(T_PlannedOrders[EffectiveQty]&gt;0)*T_PlannedOrders[Order_Month])),"m月")&amp;"発注)")</f>
        <v/>
      </c>
      <c r="P61">
        <f>IF(SUMIFS(T_PlannedOrders[EffectiveQty],T_PlannedOrders[Part Name],$A53,T_PlannedOrders[WeekIndex],13)=0,"",SUMIFS(T_PlannedOrders[EffectiveQty],T_PlannedOrders[Part Name],$A53,T_PlannedOrders[WeekIndex],13)&amp;" ("&amp;TEXT(SUMPRODUCT(MAX((T_PlannedOrders[Part Name]=$A53)*(T_PlannedOrders[WeekIndex]=13)*(T_PlannedOrders[EffectiveQty]&gt;0)*T_PlannedOrders[Order_Month])),"m月")&amp;"発注)")</f>
        <v/>
      </c>
      <c r="Q61">
        <f>IF(SUMIFS(T_PlannedOrders[EffectiveQty],T_PlannedOrders[Part Name],$A53,T_PlannedOrders[WeekIndex],14)=0,"",SUMIFS(T_PlannedOrders[EffectiveQty],T_PlannedOrders[Part Name],$A53,T_PlannedOrders[WeekIndex],14)&amp;" ("&amp;TEXT(SUMPRODUCT(MAX((T_PlannedOrders[Part Name]=$A53)*(T_PlannedOrders[WeekIndex]=14)*(T_PlannedOrders[EffectiveQty]&gt;0)*T_PlannedOrders[Order_Month])),"m月")&amp;"発注)")</f>
        <v/>
      </c>
      <c r="R61">
        <f>IF(SUMIFS(T_PlannedOrders[EffectiveQty],T_PlannedOrders[Part Name],$A53,T_PlannedOrders[WeekIndex],15)=0,"",SUMIFS(T_PlannedOrders[EffectiveQty],T_PlannedOrders[Part Name],$A53,T_PlannedOrders[WeekIndex],15)&amp;" ("&amp;TEXT(SUMPRODUCT(MAX((T_PlannedOrders[Part Name]=$A53)*(T_PlannedOrders[WeekIndex]=15)*(T_PlannedOrders[EffectiveQty]&gt;0)*T_PlannedOrders[Order_Month])),"m月")&amp;"発注)")</f>
        <v/>
      </c>
      <c r="S61">
        <f>IF(SUMIFS(T_PlannedOrders[EffectiveQty],T_PlannedOrders[Part Name],$A53,T_PlannedOrders[WeekIndex],16)=0,"",SUMIFS(T_PlannedOrders[EffectiveQty],T_PlannedOrders[Part Name],$A53,T_PlannedOrders[WeekIndex],16)&amp;" ("&amp;TEXT(SUMPRODUCT(MAX((T_PlannedOrders[Part Name]=$A53)*(T_PlannedOrders[WeekIndex]=16)*(T_PlannedOrders[EffectiveQty]&gt;0)*T_PlannedOrders[Order_Month])),"m月")&amp;"発注)")</f>
        <v/>
      </c>
      <c r="T61">
        <f>IF(SUMIFS(T_PlannedOrders[EffectiveQty],T_PlannedOrders[Part Name],$A53,T_PlannedOrders[WeekIndex],17)=0,"",SUMIFS(T_PlannedOrders[EffectiveQty],T_PlannedOrders[Part Name],$A53,T_PlannedOrders[WeekIndex],17)&amp;" ("&amp;TEXT(SUMPRODUCT(MAX((T_PlannedOrders[Part Name]=$A53)*(T_PlannedOrders[WeekIndex]=17)*(T_PlannedOrders[EffectiveQty]&gt;0)*T_PlannedOrders[Order_Month])),"m月")&amp;"発注)")</f>
        <v/>
      </c>
      <c r="U61">
        <f>IF(SUMIFS(T_PlannedOrders[EffectiveQty],T_PlannedOrders[Part Name],$A53,T_PlannedOrders[WeekIndex],18)=0,"",SUMIFS(T_PlannedOrders[EffectiveQty],T_PlannedOrders[Part Name],$A53,T_PlannedOrders[WeekIndex],18)&amp;" ("&amp;TEXT(SUMPRODUCT(MAX((T_PlannedOrders[Part Name]=$A53)*(T_PlannedOrders[WeekIndex]=18)*(T_PlannedOrders[EffectiveQty]&gt;0)*T_PlannedOrders[Order_Month])),"m月")&amp;"発注)")</f>
        <v/>
      </c>
      <c r="V61">
        <f>IF(SUMIFS(T_PlannedOrders[EffectiveQty],T_PlannedOrders[Part Name],$A53,T_PlannedOrders[WeekIndex],19)=0,"",SUMIFS(T_PlannedOrders[EffectiveQty],T_PlannedOrders[Part Name],$A53,T_PlannedOrders[WeekIndex],19)&amp;" ("&amp;TEXT(SUMPRODUCT(MAX((T_PlannedOrders[Part Name]=$A53)*(T_PlannedOrders[WeekIndex]=19)*(T_PlannedOrders[EffectiveQty]&gt;0)*T_PlannedOrders[Order_Month])),"m月")&amp;"発注)")</f>
        <v/>
      </c>
      <c r="W61">
        <f>IF(SUMIFS(T_PlannedOrders[EffectiveQty],T_PlannedOrders[Part Name],$A53,T_PlannedOrders[WeekIndex],20)=0,"",SUMIFS(T_PlannedOrders[EffectiveQty],T_PlannedOrders[Part Name],$A53,T_PlannedOrders[WeekIndex],20)&amp;" ("&amp;TEXT(SUMPRODUCT(MAX((T_PlannedOrders[Part Name]=$A53)*(T_PlannedOrders[WeekIndex]=20)*(T_PlannedOrders[EffectiveQty]&gt;0)*T_PlannedOrders[Order_Month])),"m月")&amp;"発注)")</f>
        <v/>
      </c>
      <c r="X61">
        <f>IF(SUMIFS(T_PlannedOrders[EffectiveQty],T_PlannedOrders[Part Name],$A53,T_PlannedOrders[WeekIndex],21)=0,"",SUMIFS(T_PlannedOrders[EffectiveQty],T_PlannedOrders[Part Name],$A53,T_PlannedOrders[WeekIndex],21)&amp;" ("&amp;TEXT(SUMPRODUCT(MAX((T_PlannedOrders[Part Name]=$A53)*(T_PlannedOrders[WeekIndex]=21)*(T_PlannedOrders[EffectiveQty]&gt;0)*T_PlannedOrders[Order_Month])),"m月")&amp;"発注)")</f>
        <v/>
      </c>
      <c r="Y61">
        <f>IF(SUMIFS(T_PlannedOrders[EffectiveQty],T_PlannedOrders[Part Name],$A53,T_PlannedOrders[WeekIndex],22)=0,"",SUMIFS(T_PlannedOrders[EffectiveQty],T_PlannedOrders[Part Name],$A53,T_PlannedOrders[WeekIndex],22)&amp;" ("&amp;TEXT(SUMPRODUCT(MAX((T_PlannedOrders[Part Name]=$A53)*(T_PlannedOrders[WeekIndex]=22)*(T_PlannedOrders[EffectiveQty]&gt;0)*T_PlannedOrders[Order_Month])),"m月")&amp;"発注)")</f>
        <v/>
      </c>
      <c r="Z61">
        <f>IF(SUMIFS(T_PlannedOrders[EffectiveQty],T_PlannedOrders[Part Name],$A53,T_PlannedOrders[WeekIndex],23)=0,"",SUMIFS(T_PlannedOrders[EffectiveQty],T_PlannedOrders[Part Name],$A53,T_PlannedOrders[WeekIndex],23)&amp;" ("&amp;TEXT(SUMPRODUCT(MAX((T_PlannedOrders[Part Name]=$A53)*(T_PlannedOrders[WeekIndex]=23)*(T_PlannedOrders[EffectiveQty]&gt;0)*T_PlannedOrders[Order_Month])),"m月")&amp;"発注)")</f>
        <v/>
      </c>
      <c r="AA61">
        <f>IF(SUMIFS(T_PlannedOrders[EffectiveQty],T_PlannedOrders[Part Name],$A53,T_PlannedOrders[WeekIndex],24)=0,"",SUMIFS(T_PlannedOrders[EffectiveQty],T_PlannedOrders[Part Name],$A53,T_PlannedOrders[WeekIndex],24)&amp;" ("&amp;TEXT(SUMPRODUCT(MAX((T_PlannedOrders[Part Name]=$A53)*(T_PlannedOrders[WeekIndex]=24)*(T_PlannedOrders[EffectiveQty]&gt;0)*T_PlannedOrders[Order_Month])),"m月")&amp;"発注)")</f>
        <v/>
      </c>
      <c r="AB61">
        <f>IF(SUMIFS(T_PlannedOrders[EffectiveQty],T_PlannedOrders[Part Name],$A53,T_PlannedOrders[WeekIndex],25)=0,"",SUMIFS(T_PlannedOrders[EffectiveQty],T_PlannedOrders[Part Name],$A53,T_PlannedOrders[WeekIndex],25)&amp;" ("&amp;TEXT(SUMPRODUCT(MAX((T_PlannedOrders[Part Name]=$A53)*(T_PlannedOrders[WeekIndex]=25)*(T_PlannedOrders[EffectiveQty]&gt;0)*T_PlannedOrders[Order_Month])),"m月")&amp;"発注)")</f>
        <v/>
      </c>
      <c r="AC61">
        <f>IF(SUMIFS(T_PlannedOrders[EffectiveQty],T_PlannedOrders[Part Name],$A53,T_PlannedOrders[WeekIndex],26)=0,"",SUMIFS(T_PlannedOrders[EffectiveQty],T_PlannedOrders[Part Name],$A53,T_PlannedOrders[WeekIndex],26)&amp;" ("&amp;TEXT(SUMPRODUCT(MAX((T_PlannedOrders[Part Name]=$A53)*(T_PlannedOrders[WeekIndex]=26)*(T_PlannedOrders[EffectiveQty]&gt;0)*T_PlannedOrders[Order_Month])),"m月")&amp;"発注)")</f>
        <v/>
      </c>
      <c r="AD61">
        <f>IF(SUMIFS(T_PlannedOrders[EffectiveQty],T_PlannedOrders[Part Name],$A53,T_PlannedOrders[WeekIndex],27)=0,"",SUMIFS(T_PlannedOrders[EffectiveQty],T_PlannedOrders[Part Name],$A53,T_PlannedOrders[WeekIndex],27)&amp;" ("&amp;TEXT(SUMPRODUCT(MAX((T_PlannedOrders[Part Name]=$A53)*(T_PlannedOrders[WeekIndex]=27)*(T_PlannedOrders[EffectiveQty]&gt;0)*T_PlannedOrders[Order_Month])),"m月")&amp;"発注)")</f>
        <v/>
      </c>
      <c r="AE61">
        <f>IF(SUMIFS(T_PlannedOrders[EffectiveQty],T_PlannedOrders[Part Name],$A53,T_PlannedOrders[WeekIndex],28)=0,"",SUMIFS(T_PlannedOrders[EffectiveQty],T_PlannedOrders[Part Name],$A53,T_PlannedOrders[WeekIndex],28)&amp;" ("&amp;TEXT(SUMPRODUCT(MAX((T_PlannedOrders[Part Name]=$A53)*(T_PlannedOrders[WeekIndex]=28)*(T_PlannedOrders[EffectiveQty]&gt;0)*T_PlannedOrders[Order_Month])),"m月")&amp;"発注)")</f>
        <v/>
      </c>
      <c r="AF61">
        <f>IF(SUMIFS(T_PlannedOrders[EffectiveQty],T_PlannedOrders[Part Name],$A53,T_PlannedOrders[WeekIndex],29)=0,"",SUMIFS(T_PlannedOrders[EffectiveQty],T_PlannedOrders[Part Name],$A53,T_PlannedOrders[WeekIndex],29)&amp;" ("&amp;TEXT(SUMPRODUCT(MAX((T_PlannedOrders[Part Name]=$A53)*(T_PlannedOrders[WeekIndex]=29)*(T_PlannedOrders[EffectiveQty]&gt;0)*T_PlannedOrders[Order_Month])),"m月")&amp;"発注)")</f>
        <v/>
      </c>
      <c r="AG61">
        <f>IF(SUMIFS(T_PlannedOrders[EffectiveQty],T_PlannedOrders[Part Name],$A53,T_PlannedOrders[WeekIndex],30)=0,"",SUMIFS(T_PlannedOrders[EffectiveQty],T_PlannedOrders[Part Name],$A53,T_PlannedOrders[WeekIndex],30)&amp;" ("&amp;TEXT(SUMPRODUCT(MAX((T_PlannedOrders[Part Name]=$A53)*(T_PlannedOrders[WeekIndex]=30)*(T_PlannedOrders[EffectiveQty]&gt;0)*T_PlannedOrders[Order_Month])),"m月")&amp;"発注)")</f>
        <v/>
      </c>
      <c r="AH61">
        <f>IF(SUMIFS(T_PlannedOrders[EffectiveQty],T_PlannedOrders[Part Name],$A53,T_PlannedOrders[WeekIndex],31)=0,"",SUMIFS(T_PlannedOrders[EffectiveQty],T_PlannedOrders[Part Name],$A53,T_PlannedOrders[WeekIndex],31)&amp;" ("&amp;TEXT(SUMPRODUCT(MAX((T_PlannedOrders[Part Name]=$A53)*(T_PlannedOrders[WeekIndex]=31)*(T_PlannedOrders[EffectiveQty]&gt;0)*T_PlannedOrders[Order_Month])),"m月")&amp;"発注)")</f>
        <v/>
      </c>
      <c r="AI61">
        <f>IF(SUMIFS(T_PlannedOrders[EffectiveQty],T_PlannedOrders[Part Name],$A53,T_PlannedOrders[WeekIndex],32)=0,"",SUMIFS(T_PlannedOrders[EffectiveQty],T_PlannedOrders[Part Name],$A53,T_PlannedOrders[WeekIndex],32)&amp;" ("&amp;TEXT(SUMPRODUCT(MAX((T_PlannedOrders[Part Name]=$A53)*(T_PlannedOrders[WeekIndex]=32)*(T_PlannedOrders[EffectiveQty]&gt;0)*T_PlannedOrders[Order_Month])),"m月")&amp;"発注)")</f>
        <v/>
      </c>
      <c r="AJ61">
        <f>IF(SUMIFS(T_PlannedOrders[EffectiveQty],T_PlannedOrders[Part Name],$A53,T_PlannedOrders[WeekIndex],33)=0,"",SUMIFS(T_PlannedOrders[EffectiveQty],T_PlannedOrders[Part Name],$A53,T_PlannedOrders[WeekIndex],33)&amp;" ("&amp;TEXT(SUMPRODUCT(MAX((T_PlannedOrders[Part Name]=$A53)*(T_PlannedOrders[WeekIndex]=33)*(T_PlannedOrders[EffectiveQty]&gt;0)*T_PlannedOrders[Order_Month])),"m月")&amp;"発注)")</f>
        <v/>
      </c>
      <c r="AK61">
        <f>IF(SUMIFS(T_PlannedOrders[EffectiveQty],T_PlannedOrders[Part Name],$A53,T_PlannedOrders[WeekIndex],34)=0,"",SUMIFS(T_PlannedOrders[EffectiveQty],T_PlannedOrders[Part Name],$A53,T_PlannedOrders[WeekIndex],34)&amp;" ("&amp;TEXT(SUMPRODUCT(MAX((T_PlannedOrders[Part Name]=$A53)*(T_PlannedOrders[WeekIndex]=34)*(T_PlannedOrders[EffectiveQty]&gt;0)*T_PlannedOrders[Order_Month])),"m月")&amp;"発注)")</f>
        <v/>
      </c>
      <c r="AL61">
        <f>IF(SUMIFS(T_PlannedOrders[EffectiveQty],T_PlannedOrders[Part Name],$A53,T_PlannedOrders[WeekIndex],35)=0,"",SUMIFS(T_PlannedOrders[EffectiveQty],T_PlannedOrders[Part Name],$A53,T_PlannedOrders[WeekIndex],35)&amp;" ("&amp;TEXT(SUMPRODUCT(MAX((T_PlannedOrders[Part Name]=$A53)*(T_PlannedOrders[WeekIndex]=35)*(T_PlannedOrders[EffectiveQty]&gt;0)*T_PlannedOrders[Order_Month])),"m月")&amp;"発注)")</f>
        <v/>
      </c>
      <c r="AM61">
        <f>IF(SUMIFS(T_PlannedOrders[EffectiveQty],T_PlannedOrders[Part Name],$A53,T_PlannedOrders[WeekIndex],36)=0,"",SUMIFS(T_PlannedOrders[EffectiveQty],T_PlannedOrders[Part Name],$A53,T_PlannedOrders[WeekIndex],36)&amp;" ("&amp;TEXT(SUMPRODUCT(MAX((T_PlannedOrders[Part Name]=$A53)*(T_PlannedOrders[WeekIndex]=36)*(T_PlannedOrders[EffectiveQty]&gt;0)*T_PlannedOrders[Order_Month])),"m月")&amp;"発注)")</f>
        <v/>
      </c>
      <c r="AN61">
        <f>IF(SUMIFS(T_PlannedOrders[EffectiveQty],T_PlannedOrders[Part Name],$A53,T_PlannedOrders[WeekIndex],37)=0,"",SUMIFS(T_PlannedOrders[EffectiveQty],T_PlannedOrders[Part Name],$A53,T_PlannedOrders[WeekIndex],37)&amp;" ("&amp;TEXT(SUMPRODUCT(MAX((T_PlannedOrders[Part Name]=$A53)*(T_PlannedOrders[WeekIndex]=37)*(T_PlannedOrders[EffectiveQty]&gt;0)*T_PlannedOrders[Order_Month])),"m月")&amp;"発注)")</f>
        <v/>
      </c>
      <c r="AO61">
        <f>IF(SUMIFS(T_PlannedOrders[EffectiveQty],T_PlannedOrders[Part Name],$A53,T_PlannedOrders[WeekIndex],38)=0,"",SUMIFS(T_PlannedOrders[EffectiveQty],T_PlannedOrders[Part Name],$A53,T_PlannedOrders[WeekIndex],38)&amp;" ("&amp;TEXT(SUMPRODUCT(MAX((T_PlannedOrders[Part Name]=$A53)*(T_PlannedOrders[WeekIndex]=38)*(T_PlannedOrders[EffectiveQty]&gt;0)*T_PlannedOrders[Order_Month])),"m月")&amp;"発注)")</f>
        <v/>
      </c>
      <c r="AP61">
        <f>IF(SUMIFS(T_PlannedOrders[EffectiveQty],T_PlannedOrders[Part Name],$A53,T_PlannedOrders[WeekIndex],39)=0,"",SUMIFS(T_PlannedOrders[EffectiveQty],T_PlannedOrders[Part Name],$A53,T_PlannedOrders[WeekIndex],39)&amp;" ("&amp;TEXT(SUMPRODUCT(MAX((T_PlannedOrders[Part Name]=$A53)*(T_PlannedOrders[WeekIndex]=39)*(T_PlannedOrders[EffectiveQty]&gt;0)*T_PlannedOrders[Order_Month])),"m月")&amp;"発注)")</f>
        <v/>
      </c>
      <c r="AQ61">
        <f>IF(SUMIFS(T_PlannedOrders[EffectiveQty],T_PlannedOrders[Part Name],$A53,T_PlannedOrders[WeekIndex],40)=0,"",SUMIFS(T_PlannedOrders[EffectiveQty],T_PlannedOrders[Part Name],$A53,T_PlannedOrders[WeekIndex],40)&amp;" ("&amp;TEXT(SUMPRODUCT(MAX((T_PlannedOrders[Part Name]=$A53)*(T_PlannedOrders[WeekIndex]=40)*(T_PlannedOrders[EffectiveQty]&gt;0)*T_PlannedOrders[Order_Month])),"m月")&amp;"発注)")</f>
        <v/>
      </c>
      <c r="AR61">
        <f>IF(SUMIFS(T_PlannedOrders[EffectiveQty],T_PlannedOrders[Part Name],$A53,T_PlannedOrders[WeekIndex],41)=0,"",SUMIFS(T_PlannedOrders[EffectiveQty],T_PlannedOrders[Part Name],$A53,T_PlannedOrders[WeekIndex],41)&amp;" ("&amp;TEXT(SUMPRODUCT(MAX((T_PlannedOrders[Part Name]=$A53)*(T_PlannedOrders[WeekIndex]=41)*(T_PlannedOrders[EffectiveQty]&gt;0)*T_PlannedOrders[Order_Month])),"m月")&amp;"発注)")</f>
        <v/>
      </c>
      <c r="AS61">
        <f>IF(SUMIFS(T_PlannedOrders[EffectiveQty],T_PlannedOrders[Part Name],$A53,T_PlannedOrders[WeekIndex],42)=0,"",SUMIFS(T_PlannedOrders[EffectiveQty],T_PlannedOrders[Part Name],$A53,T_PlannedOrders[WeekIndex],42)&amp;" ("&amp;TEXT(SUMPRODUCT(MAX((T_PlannedOrders[Part Name]=$A53)*(T_PlannedOrders[WeekIndex]=42)*(T_PlannedOrders[EffectiveQty]&gt;0)*T_PlannedOrders[Order_Month])),"m月")&amp;"発注)")</f>
        <v/>
      </c>
      <c r="AT61">
        <f>IF(SUMIFS(T_PlannedOrders[EffectiveQty],T_PlannedOrders[Part Name],$A53,T_PlannedOrders[WeekIndex],43)=0,"",SUMIFS(T_PlannedOrders[EffectiveQty],T_PlannedOrders[Part Name],$A53,T_PlannedOrders[WeekIndex],43)&amp;" ("&amp;TEXT(SUMPRODUCT(MAX((T_PlannedOrders[Part Name]=$A53)*(T_PlannedOrders[WeekIndex]=43)*(T_PlannedOrders[EffectiveQty]&gt;0)*T_PlannedOrders[Order_Month])),"m月")&amp;"発注)")</f>
        <v/>
      </c>
      <c r="AU61">
        <f>IF(SUMIFS(T_PlannedOrders[EffectiveQty],T_PlannedOrders[Part Name],$A53,T_PlannedOrders[WeekIndex],44)=0,"",SUMIFS(T_PlannedOrders[EffectiveQty],T_PlannedOrders[Part Name],$A53,T_PlannedOrders[WeekIndex],44)&amp;" ("&amp;TEXT(SUMPRODUCT(MAX((T_PlannedOrders[Part Name]=$A53)*(T_PlannedOrders[WeekIndex]=44)*(T_PlannedOrders[EffectiveQty]&gt;0)*T_PlannedOrders[Order_Month])),"m月")&amp;"発注)")</f>
        <v/>
      </c>
      <c r="AV61">
        <f>IF(SUMIFS(T_PlannedOrders[EffectiveQty],T_PlannedOrders[Part Name],$A53,T_PlannedOrders[WeekIndex],45)=0,"",SUMIFS(T_PlannedOrders[EffectiveQty],T_PlannedOrders[Part Name],$A53,T_PlannedOrders[WeekIndex],45)&amp;" ("&amp;TEXT(SUMPRODUCT(MAX((T_PlannedOrders[Part Name]=$A53)*(T_PlannedOrders[WeekIndex]=45)*(T_PlannedOrders[EffectiveQty]&gt;0)*T_PlannedOrders[Order_Month])),"m月")&amp;"発注)")</f>
        <v/>
      </c>
      <c r="AW61">
        <f>IF(SUMIFS(T_PlannedOrders[EffectiveQty],T_PlannedOrders[Part Name],$A53,T_PlannedOrders[WeekIndex],46)=0,"",SUMIFS(T_PlannedOrders[EffectiveQty],T_PlannedOrders[Part Name],$A53,T_PlannedOrders[WeekIndex],46)&amp;" ("&amp;TEXT(SUMPRODUCT(MAX((T_PlannedOrders[Part Name]=$A53)*(T_PlannedOrders[WeekIndex]=46)*(T_PlannedOrders[EffectiveQty]&gt;0)*T_PlannedOrders[Order_Month])),"m月")&amp;"発注)")</f>
        <v/>
      </c>
      <c r="AX61">
        <f>IF(SUMIFS(T_PlannedOrders[EffectiveQty],T_PlannedOrders[Part Name],$A53,T_PlannedOrders[WeekIndex],47)=0,"",SUMIFS(T_PlannedOrders[EffectiveQty],T_PlannedOrders[Part Name],$A53,T_PlannedOrders[WeekIndex],47)&amp;" ("&amp;TEXT(SUMPRODUCT(MAX((T_PlannedOrders[Part Name]=$A53)*(T_PlannedOrders[WeekIndex]=47)*(T_PlannedOrders[EffectiveQty]&gt;0)*T_PlannedOrders[Order_Month])),"m月")&amp;"発注)")</f>
        <v/>
      </c>
      <c r="AY61">
        <f>IF(SUMIFS(T_PlannedOrders[EffectiveQty],T_PlannedOrders[Part Name],$A53,T_PlannedOrders[WeekIndex],48)=0,"",SUMIFS(T_PlannedOrders[EffectiveQty],T_PlannedOrders[Part Name],$A53,T_PlannedOrders[WeekIndex],48)&amp;" ("&amp;TEXT(SUMPRODUCT(MAX((T_PlannedOrders[Part Name]=$A53)*(T_PlannedOrders[WeekIndex]=48)*(T_PlannedOrders[EffectiveQty]&gt;0)*T_PlannedOrders[Order_Month])),"m月")&amp;"発注)")</f>
        <v/>
      </c>
      <c r="AZ61">
        <f>IF(SUMIFS(T_PlannedOrders[EffectiveQty],T_PlannedOrders[Part Name],$A53,T_PlannedOrders[WeekIndex],49)=0,"",SUMIFS(T_PlannedOrders[EffectiveQty],T_PlannedOrders[Part Name],$A53,T_PlannedOrders[WeekIndex],49)&amp;" ("&amp;TEXT(SUMPRODUCT(MAX((T_PlannedOrders[Part Name]=$A53)*(T_PlannedOrders[WeekIndex]=49)*(T_PlannedOrders[EffectiveQty]&gt;0)*T_PlannedOrders[Order_Month])),"m月")&amp;"発注)")</f>
        <v/>
      </c>
      <c r="BA61">
        <f>IF(SUMIFS(T_PlannedOrders[EffectiveQty],T_PlannedOrders[Part Name],$A53,T_PlannedOrders[WeekIndex],50)=0,"",SUMIFS(T_PlannedOrders[EffectiveQty],T_PlannedOrders[Part Name],$A53,T_PlannedOrders[WeekIndex],50)&amp;" ("&amp;TEXT(SUMPRODUCT(MAX((T_PlannedOrders[Part Name]=$A53)*(T_PlannedOrders[WeekIndex]=50)*(T_PlannedOrders[EffectiveQty]&gt;0)*T_PlannedOrders[Order_Month])),"m月")&amp;"発注)")</f>
        <v/>
      </c>
      <c r="BB61">
        <f>IF(SUMIFS(T_PlannedOrders[EffectiveQty],T_PlannedOrders[Part Name],$A53,T_PlannedOrders[WeekIndex],51)=0,"",SUMIFS(T_PlannedOrders[EffectiveQty],T_PlannedOrders[Part Name],$A53,T_PlannedOrders[WeekIndex],51)&amp;" ("&amp;TEXT(SUMPRODUCT(MAX((T_PlannedOrders[Part Name]=$A53)*(T_PlannedOrders[WeekIndex]=51)*(T_PlannedOrders[EffectiveQty]&gt;0)*T_PlannedOrders[Order_Month])),"m月")&amp;"発注)")</f>
        <v/>
      </c>
      <c r="BC61">
        <f>IF(SUMIFS(T_PlannedOrders[EffectiveQty],T_PlannedOrders[Part Name],$A53,T_PlannedOrders[WeekIndex],52)=0,"",SUMIFS(T_PlannedOrders[EffectiveQty],T_PlannedOrders[Part Name],$A53,T_PlannedOrders[WeekIndex],52)&amp;" ("&amp;TEXT(SUMPRODUCT(MAX((T_PlannedOrders[Part Name]=$A53)*(T_PlannedOrders[WeekIndex]=52)*(T_PlannedOrders[EffectiveQty]&gt;0)*T_PlannedOrders[Order_Month])),"m月")&amp;"発注)")</f>
        <v/>
      </c>
      <c r="BD61">
        <f>IF(SUMIFS(T_PlannedOrders[EffectiveQty],T_PlannedOrders[Part Name],$A53,T_PlannedOrders[WeekIndex],53)=0,"",SUMIFS(T_PlannedOrders[EffectiveQty],T_PlannedOrders[Part Name],$A53,T_PlannedOrders[WeekIndex],53)&amp;" ("&amp;TEXT(SUMPRODUCT(MAX((T_PlannedOrders[Part Name]=$A53)*(T_PlannedOrders[WeekIndex]=53)*(T_PlannedOrders[EffectiveQty]&gt;0)*T_PlannedOrders[Order_Month])),"m月")&amp;"発注)")</f>
        <v/>
      </c>
      <c r="BE61">
        <f>IF(SUMIFS(T_PlannedOrders[EffectiveQty],T_PlannedOrders[Part Name],$A53,T_PlannedOrders[WeekIndex],54)=0,"",SUMIFS(T_PlannedOrders[EffectiveQty],T_PlannedOrders[Part Name],$A53,T_PlannedOrders[WeekIndex],54)&amp;" ("&amp;TEXT(SUMPRODUCT(MAX((T_PlannedOrders[Part Name]=$A53)*(T_PlannedOrders[WeekIndex]=54)*(T_PlannedOrders[EffectiveQty]&gt;0)*T_PlannedOrders[Order_Month])),"m月")&amp;"発注)")</f>
        <v/>
      </c>
      <c r="BF61">
        <f>IF(SUMIFS(T_PlannedOrders[EffectiveQty],T_PlannedOrders[Part Name],$A53,T_PlannedOrders[WeekIndex],55)=0,"",SUMIFS(T_PlannedOrders[EffectiveQty],T_PlannedOrders[Part Name],$A53,T_PlannedOrders[WeekIndex],55)&amp;" ("&amp;TEXT(SUMPRODUCT(MAX((T_PlannedOrders[Part Name]=$A53)*(T_PlannedOrders[WeekIndex]=55)*(T_PlannedOrders[EffectiveQty]&gt;0)*T_PlannedOrders[Order_Month])),"m月")&amp;"発注)")</f>
        <v/>
      </c>
      <c r="BG61">
        <f>IF(SUMIFS(T_PlannedOrders[EffectiveQty],T_PlannedOrders[Part Name],$A53,T_PlannedOrders[WeekIndex],56)=0,"",SUMIFS(T_PlannedOrders[EffectiveQty],T_PlannedOrders[Part Name],$A53,T_PlannedOrders[WeekIndex],56)&amp;" ("&amp;TEXT(SUMPRODUCT(MAX((T_PlannedOrders[Part Name]=$A53)*(T_PlannedOrders[WeekIndex]=56)*(T_PlannedOrders[EffectiveQty]&gt;0)*T_PlannedOrders[Order_Month])),"m月")&amp;"発注)")</f>
        <v/>
      </c>
      <c r="BH61">
        <f>IF(SUMIFS(T_PlannedOrders[EffectiveQty],T_PlannedOrders[Part Name],$A53,T_PlannedOrders[WeekIndex],57)=0,"",SUMIFS(T_PlannedOrders[EffectiveQty],T_PlannedOrders[Part Name],$A53,T_PlannedOrders[WeekIndex],57)&amp;" ("&amp;TEXT(SUMPRODUCT(MAX((T_PlannedOrders[Part Name]=$A53)*(T_PlannedOrders[WeekIndex]=57)*(T_PlannedOrders[EffectiveQty]&gt;0)*T_PlannedOrders[Order_Month])),"m月")&amp;"発注)")</f>
        <v/>
      </c>
      <c r="BI61">
        <f>IF(SUMIFS(T_PlannedOrders[EffectiveQty],T_PlannedOrders[Part Name],$A53,T_PlannedOrders[WeekIndex],58)=0,"",SUMIFS(T_PlannedOrders[EffectiveQty],T_PlannedOrders[Part Name],$A53,T_PlannedOrders[WeekIndex],58)&amp;" ("&amp;TEXT(SUMPRODUCT(MAX((T_PlannedOrders[Part Name]=$A53)*(T_PlannedOrders[WeekIndex]=58)*(T_PlannedOrders[EffectiveQty]&gt;0)*T_PlannedOrders[Order_Month])),"m月")&amp;"発注)")</f>
        <v/>
      </c>
      <c r="BJ61">
        <f>IF(SUMIFS(T_PlannedOrders[EffectiveQty],T_PlannedOrders[Part Name],$A53,T_PlannedOrders[WeekIndex],59)=0,"",SUMIFS(T_PlannedOrders[EffectiveQty],T_PlannedOrders[Part Name],$A53,T_PlannedOrders[WeekIndex],59)&amp;" ("&amp;TEXT(SUMPRODUCT(MAX((T_PlannedOrders[Part Name]=$A53)*(T_PlannedOrders[WeekIndex]=59)*(T_PlannedOrders[EffectiveQty]&gt;0)*T_PlannedOrders[Order_Month])),"m月")&amp;"発注)")</f>
        <v/>
      </c>
      <c r="BK61">
        <f>IF(SUMIFS(T_PlannedOrders[EffectiveQty],T_PlannedOrders[Part Name],$A53,T_PlannedOrders[WeekIndex],60)=0,"",SUMIFS(T_PlannedOrders[EffectiveQty],T_PlannedOrders[Part Name],$A53,T_PlannedOrders[WeekIndex],60)&amp;" ("&amp;TEXT(SUMPRODUCT(MAX((T_PlannedOrders[Part Name]=$A53)*(T_PlannedOrders[WeekIndex]=60)*(T_PlannedOrders[EffectiveQty]&gt;0)*T_PlannedOrders[Order_Month])),"m月")&amp;"発注)")</f>
        <v/>
      </c>
      <c r="BL61">
        <f>IF(SUMIFS(T_PlannedOrders[EffectiveQty],T_PlannedOrders[Part Name],$A53,T_PlannedOrders[WeekIndex],61)=0,"",SUMIFS(T_PlannedOrders[EffectiveQty],T_PlannedOrders[Part Name],$A53,T_PlannedOrders[WeekIndex],61)&amp;" ("&amp;TEXT(SUMPRODUCT(MAX((T_PlannedOrders[Part Name]=$A53)*(T_PlannedOrders[WeekIndex]=61)*(T_PlannedOrders[EffectiveQty]&gt;0)*T_PlannedOrders[Order_Month])),"m月")&amp;"発注)")</f>
        <v/>
      </c>
      <c r="BM61">
        <f>IF(SUMIFS(T_PlannedOrders[EffectiveQty],T_PlannedOrders[Part Name],$A53,T_PlannedOrders[WeekIndex],62)=0,"",SUMIFS(T_PlannedOrders[EffectiveQty],T_PlannedOrders[Part Name],$A53,T_PlannedOrders[WeekIndex],62)&amp;" ("&amp;TEXT(SUMPRODUCT(MAX((T_PlannedOrders[Part Name]=$A53)*(T_PlannedOrders[WeekIndex]=62)*(T_PlannedOrders[EffectiveQty]&gt;0)*T_PlannedOrders[Order_Month])),"m月")&amp;"発注)")</f>
        <v/>
      </c>
      <c r="BN61">
        <f>IF(SUMIFS(T_PlannedOrders[EffectiveQty],T_PlannedOrders[Part Name],$A53,T_PlannedOrders[WeekIndex],63)=0,"",SUMIFS(T_PlannedOrders[EffectiveQty],T_PlannedOrders[Part Name],$A53,T_PlannedOrders[WeekIndex],63)&amp;" ("&amp;TEXT(SUMPRODUCT(MAX((T_PlannedOrders[Part Name]=$A53)*(T_PlannedOrders[WeekIndex]=63)*(T_PlannedOrders[EffectiveQty]&gt;0)*T_PlannedOrders[Order_Month])),"m月")&amp;"発注)")</f>
        <v/>
      </c>
      <c r="BO61">
        <f>IF(SUMIFS(T_PlannedOrders[EffectiveQty],T_PlannedOrders[Part Name],$A53,T_PlannedOrders[WeekIndex],64)=0,"",SUMIFS(T_PlannedOrders[EffectiveQty],T_PlannedOrders[Part Name],$A53,T_PlannedOrders[WeekIndex],64)&amp;" ("&amp;TEXT(SUMPRODUCT(MAX((T_PlannedOrders[Part Name]=$A53)*(T_PlannedOrders[WeekIndex]=64)*(T_PlannedOrders[EffectiveQty]&gt;0)*T_PlannedOrders[Order_Month])),"m月")&amp;"発注)")</f>
        <v/>
      </c>
      <c r="BP61">
        <f>IF(SUMIFS(T_PlannedOrders[EffectiveQty],T_PlannedOrders[Part Name],$A53,T_PlannedOrders[WeekIndex],65)=0,"",SUMIFS(T_PlannedOrders[EffectiveQty],T_PlannedOrders[Part Name],$A53,T_PlannedOrders[WeekIndex],65)&amp;" ("&amp;TEXT(SUMPRODUCT(MAX((T_PlannedOrders[Part Name]=$A53)*(T_PlannedOrders[WeekIndex]=65)*(T_PlannedOrders[EffectiveQty]&gt;0)*T_PlannedOrders[Order_Month])),"m月")&amp;"発注)")</f>
        <v/>
      </c>
      <c r="BQ61">
        <f>IF(SUMIFS(T_PlannedOrders[EffectiveQty],T_PlannedOrders[Part Name],$A53,T_PlannedOrders[WeekIndex],66)=0,"",SUMIFS(T_PlannedOrders[EffectiveQty],T_PlannedOrders[Part Name],$A53,T_PlannedOrders[WeekIndex],66)&amp;" ("&amp;TEXT(SUMPRODUCT(MAX((T_PlannedOrders[Part Name]=$A53)*(T_PlannedOrders[WeekIndex]=66)*(T_PlannedOrders[EffectiveQty]&gt;0)*T_PlannedOrders[Order_Month])),"m月")&amp;"発注)")</f>
        <v/>
      </c>
      <c r="BR61">
        <f>IF(SUMIFS(T_PlannedOrders[EffectiveQty],T_PlannedOrders[Part Name],$A53,T_PlannedOrders[WeekIndex],67)=0,"",SUMIFS(T_PlannedOrders[EffectiveQty],T_PlannedOrders[Part Name],$A53,T_PlannedOrders[WeekIndex],67)&amp;" ("&amp;TEXT(SUMPRODUCT(MAX((T_PlannedOrders[Part Name]=$A53)*(T_PlannedOrders[WeekIndex]=67)*(T_PlannedOrders[EffectiveQty]&gt;0)*T_PlannedOrders[Order_Month])),"m月")&amp;"発注)")</f>
        <v/>
      </c>
      <c r="BS61">
        <f>IF(SUMIFS(T_PlannedOrders[EffectiveQty],T_PlannedOrders[Part Name],$A53,T_PlannedOrders[WeekIndex],68)=0,"",SUMIFS(T_PlannedOrders[EffectiveQty],T_PlannedOrders[Part Name],$A53,T_PlannedOrders[WeekIndex],68)&amp;" ("&amp;TEXT(SUMPRODUCT(MAX((T_PlannedOrders[Part Name]=$A53)*(T_PlannedOrders[WeekIndex]=68)*(T_PlannedOrders[EffectiveQty]&gt;0)*T_PlannedOrders[Order_Month])),"m月")&amp;"発注)")</f>
        <v/>
      </c>
      <c r="BT61">
        <f>IF(SUMIFS(T_PlannedOrders[EffectiveQty],T_PlannedOrders[Part Name],$A53,T_PlannedOrders[WeekIndex],69)=0,"",SUMIFS(T_PlannedOrders[EffectiveQty],T_PlannedOrders[Part Name],$A53,T_PlannedOrders[WeekIndex],69)&amp;" ("&amp;TEXT(SUMPRODUCT(MAX((T_PlannedOrders[Part Name]=$A53)*(T_PlannedOrders[WeekIndex]=69)*(T_PlannedOrders[EffectiveQty]&gt;0)*T_PlannedOrders[Order_Month])),"m月")&amp;"発注)")</f>
        <v/>
      </c>
      <c r="BU61">
        <f>IF(SUMIFS(T_PlannedOrders[EffectiveQty],T_PlannedOrders[Part Name],$A53,T_PlannedOrders[WeekIndex],70)=0,"",SUMIFS(T_PlannedOrders[EffectiveQty],T_PlannedOrders[Part Name],$A53,T_PlannedOrders[WeekIndex],70)&amp;" ("&amp;TEXT(SUMPRODUCT(MAX((T_PlannedOrders[Part Name]=$A53)*(T_PlannedOrders[WeekIndex]=70)*(T_PlannedOrders[EffectiveQty]&gt;0)*T_PlannedOrders[Order_Month])),"m月")&amp;"発注)")</f>
        <v/>
      </c>
      <c r="BV61">
        <f>IF(SUMIFS(T_PlannedOrders[EffectiveQty],T_PlannedOrders[Part Name],$A53,T_PlannedOrders[WeekIndex],71)=0,"",SUMIFS(T_PlannedOrders[EffectiveQty],T_PlannedOrders[Part Name],$A53,T_PlannedOrders[WeekIndex],71)&amp;" ("&amp;TEXT(SUMPRODUCT(MAX((T_PlannedOrders[Part Name]=$A53)*(T_PlannedOrders[WeekIndex]=71)*(T_PlannedOrders[EffectiveQty]&gt;0)*T_PlannedOrders[Order_Month])),"m月")&amp;"発注)")</f>
        <v/>
      </c>
      <c r="BW61">
        <f>IF(SUMIFS(T_PlannedOrders[EffectiveQty],T_PlannedOrders[Part Name],$A53,T_PlannedOrders[WeekIndex],72)=0,"",SUMIFS(T_PlannedOrders[EffectiveQty],T_PlannedOrders[Part Name],$A53,T_PlannedOrders[WeekIndex],72)&amp;" ("&amp;TEXT(SUMPRODUCT(MAX((T_PlannedOrders[Part Name]=$A53)*(T_PlannedOrders[WeekIndex]=72)*(T_PlannedOrders[EffectiveQty]&gt;0)*T_PlannedOrders[Order_Month])),"m月")&amp;"発注)")</f>
        <v/>
      </c>
      <c r="BX61">
        <f>IF(SUMIFS(T_PlannedOrders[EffectiveQty],T_PlannedOrders[Part Name],$A53,T_PlannedOrders[WeekIndex],73)=0,"",SUMIFS(T_PlannedOrders[EffectiveQty],T_PlannedOrders[Part Name],$A53,T_PlannedOrders[WeekIndex],73)&amp;" ("&amp;TEXT(SUMPRODUCT(MAX((T_PlannedOrders[Part Name]=$A53)*(T_PlannedOrders[WeekIndex]=73)*(T_PlannedOrders[EffectiveQty]&gt;0)*T_PlannedOrders[Order_Month])),"m月")&amp;"発注)")</f>
        <v/>
      </c>
      <c r="BY61">
        <f>IF(SUMIFS(T_PlannedOrders[EffectiveQty],T_PlannedOrders[Part Name],$A53,T_PlannedOrders[WeekIndex],74)=0,"",SUMIFS(T_PlannedOrders[EffectiveQty],T_PlannedOrders[Part Name],$A53,T_PlannedOrders[WeekIndex],74)&amp;" ("&amp;TEXT(SUMPRODUCT(MAX((T_PlannedOrders[Part Name]=$A53)*(T_PlannedOrders[WeekIndex]=74)*(T_PlannedOrders[EffectiveQty]&gt;0)*T_PlannedOrders[Order_Month])),"m月")&amp;"発注)")</f>
        <v/>
      </c>
      <c r="BZ61">
        <f>IF(SUMIFS(T_PlannedOrders[EffectiveQty],T_PlannedOrders[Part Name],$A53,T_PlannedOrders[WeekIndex],75)=0,"",SUMIFS(T_PlannedOrders[EffectiveQty],T_PlannedOrders[Part Name],$A53,T_PlannedOrders[WeekIndex],75)&amp;" ("&amp;TEXT(SUMPRODUCT(MAX((T_PlannedOrders[Part Name]=$A53)*(T_PlannedOrders[WeekIndex]=75)*(T_PlannedOrders[EffectiveQty]&gt;0)*T_PlannedOrders[Order_Month])),"m月")&amp;"発注)")</f>
        <v/>
      </c>
      <c r="CA61">
        <f>IF(SUMIFS(T_PlannedOrders[EffectiveQty],T_PlannedOrders[Part Name],$A53,T_PlannedOrders[WeekIndex],76)=0,"",SUMIFS(T_PlannedOrders[EffectiveQty],T_PlannedOrders[Part Name],$A53,T_PlannedOrders[WeekIndex],76)&amp;" ("&amp;TEXT(SUMPRODUCT(MAX((T_PlannedOrders[Part Name]=$A53)*(T_PlannedOrders[WeekIndex]=76)*(T_PlannedOrders[EffectiveQty]&gt;0)*T_PlannedOrders[Order_Month])),"m月")&amp;"発注)")</f>
        <v/>
      </c>
      <c r="CB61">
        <f>IF(SUMIFS(T_PlannedOrders[EffectiveQty],T_PlannedOrders[Part Name],$A53,T_PlannedOrders[WeekIndex],77)=0,"",SUMIFS(T_PlannedOrders[EffectiveQty],T_PlannedOrders[Part Name],$A53,T_PlannedOrders[WeekIndex],77)&amp;" ("&amp;TEXT(SUMPRODUCT(MAX((T_PlannedOrders[Part Name]=$A53)*(T_PlannedOrders[WeekIndex]=77)*(T_PlannedOrders[EffectiveQty]&gt;0)*T_PlannedOrders[Order_Month])),"m月")&amp;"発注)")</f>
        <v/>
      </c>
      <c r="CC61">
        <f>IF(SUMIFS(T_PlannedOrders[EffectiveQty],T_PlannedOrders[Part Name],$A53,T_PlannedOrders[WeekIndex],78)=0,"",SUMIFS(T_PlannedOrders[EffectiveQty],T_PlannedOrders[Part Name],$A53,T_PlannedOrders[WeekIndex],78)&amp;" ("&amp;TEXT(SUMPRODUCT(MAX((T_PlannedOrders[Part Name]=$A53)*(T_PlannedOrders[WeekIndex]=78)*(T_PlannedOrders[EffectiveQty]&gt;0)*T_PlannedOrders[Order_Month])),"m月")&amp;"発注)")</f>
        <v/>
      </c>
      <c r="CD61">
        <f>IF(SUMIFS(T_PlannedOrders[EffectiveQty],T_PlannedOrders[Part Name],$A53,T_PlannedOrders[WeekIndex],79)=0,"",SUMIFS(T_PlannedOrders[EffectiveQty],T_PlannedOrders[Part Name],$A53,T_PlannedOrders[WeekIndex],79)&amp;" ("&amp;TEXT(SUMPRODUCT(MAX((T_PlannedOrders[Part Name]=$A53)*(T_PlannedOrders[WeekIndex]=79)*(T_PlannedOrders[EffectiveQty]&gt;0)*T_PlannedOrders[Order_Month])),"m月")&amp;"発注)")</f>
        <v/>
      </c>
      <c r="CE61">
        <f>IF(SUMIFS(T_PlannedOrders[EffectiveQty],T_PlannedOrders[Part Name],$A53,T_PlannedOrders[WeekIndex],80)=0,"",SUMIFS(T_PlannedOrders[EffectiveQty],T_PlannedOrders[Part Name],$A53,T_PlannedOrders[WeekIndex],80)&amp;" ("&amp;TEXT(SUMPRODUCT(MAX((T_PlannedOrders[Part Name]=$A53)*(T_PlannedOrders[WeekIndex]=80)*(T_PlannedOrders[EffectiveQty]&gt;0)*T_PlannedOrders[Order_Month])),"m月")&amp;"発注)")</f>
        <v/>
      </c>
      <c r="CF61">
        <f>IF(SUMIFS(T_PlannedOrders[EffectiveQty],T_PlannedOrders[Part Name],$A53,T_PlannedOrders[WeekIndex],81)=0,"",SUMIFS(T_PlannedOrders[EffectiveQty],T_PlannedOrders[Part Name],$A53,T_PlannedOrders[WeekIndex],81)&amp;" ("&amp;TEXT(SUMPRODUCT(MAX((T_PlannedOrders[Part Name]=$A53)*(T_PlannedOrders[WeekIndex]=81)*(T_PlannedOrders[EffectiveQty]&gt;0)*T_PlannedOrders[Order_Month])),"m月")&amp;"発注)")</f>
        <v/>
      </c>
      <c r="CG61">
        <f>IF(SUMIFS(T_PlannedOrders[EffectiveQty],T_PlannedOrders[Part Name],$A53,T_PlannedOrders[WeekIndex],82)=0,"",SUMIFS(T_PlannedOrders[EffectiveQty],T_PlannedOrders[Part Name],$A53,T_PlannedOrders[WeekIndex],82)&amp;" ("&amp;TEXT(SUMPRODUCT(MAX((T_PlannedOrders[Part Name]=$A53)*(T_PlannedOrders[WeekIndex]=82)*(T_PlannedOrders[EffectiveQty]&gt;0)*T_PlannedOrders[Order_Month])),"m月")&amp;"発注)")</f>
        <v/>
      </c>
      <c r="CH61">
        <f>IF(SUMIFS(T_PlannedOrders[EffectiveQty],T_PlannedOrders[Part Name],$A53,T_PlannedOrders[WeekIndex],83)=0,"",SUMIFS(T_PlannedOrders[EffectiveQty],T_PlannedOrders[Part Name],$A53,T_PlannedOrders[WeekIndex],83)&amp;" ("&amp;TEXT(SUMPRODUCT(MAX((T_PlannedOrders[Part Name]=$A53)*(T_PlannedOrders[WeekIndex]=83)*(T_PlannedOrders[EffectiveQty]&gt;0)*T_PlannedOrders[Order_Month])),"m月")&amp;"発注)")</f>
        <v/>
      </c>
      <c r="CI61">
        <f>IF(SUMIFS(T_PlannedOrders[EffectiveQty],T_PlannedOrders[Part Name],$A53,T_PlannedOrders[WeekIndex],84)=0,"",SUMIFS(T_PlannedOrders[EffectiveQty],T_PlannedOrders[Part Name],$A53,T_PlannedOrders[WeekIndex],84)&amp;" ("&amp;TEXT(SUMPRODUCT(MAX((T_PlannedOrders[Part Name]=$A53)*(T_PlannedOrders[WeekIndex]=84)*(T_PlannedOrders[EffectiveQty]&gt;0)*T_PlannedOrders[Order_Month])),"m月")&amp;"発注)")</f>
        <v/>
      </c>
      <c r="CJ61">
        <f>IF(SUMIFS(T_PlannedOrders[EffectiveQty],T_PlannedOrders[Part Name],$A53,T_PlannedOrders[WeekIndex],85)=0,"",SUMIFS(T_PlannedOrders[EffectiveQty],T_PlannedOrders[Part Name],$A53,T_PlannedOrders[WeekIndex],85)&amp;" ("&amp;TEXT(SUMPRODUCT(MAX((T_PlannedOrders[Part Name]=$A53)*(T_PlannedOrders[WeekIndex]=85)*(T_PlannedOrders[EffectiveQty]&gt;0)*T_PlannedOrders[Order_Month])),"m月")&amp;"発注)")</f>
        <v/>
      </c>
      <c r="CK61">
        <f>IF(SUMIFS(T_PlannedOrders[EffectiveQty],T_PlannedOrders[Part Name],$A53,T_PlannedOrders[WeekIndex],86)=0,"",SUMIFS(T_PlannedOrders[EffectiveQty],T_PlannedOrders[Part Name],$A53,T_PlannedOrders[WeekIndex],86)&amp;" ("&amp;TEXT(SUMPRODUCT(MAX((T_PlannedOrders[Part Name]=$A53)*(T_PlannedOrders[WeekIndex]=86)*(T_PlannedOrders[EffectiveQty]&gt;0)*T_PlannedOrders[Order_Month])),"m月")&amp;"発注)")</f>
        <v/>
      </c>
      <c r="CL61">
        <f>IF(SUMIFS(T_PlannedOrders[EffectiveQty],T_PlannedOrders[Part Name],$A53,T_PlannedOrders[WeekIndex],87)=0,"",SUMIFS(T_PlannedOrders[EffectiveQty],T_PlannedOrders[Part Name],$A53,T_PlannedOrders[WeekIndex],87)&amp;" ("&amp;TEXT(SUMPRODUCT(MAX((T_PlannedOrders[Part Name]=$A53)*(T_PlannedOrders[WeekIndex]=87)*(T_PlannedOrders[EffectiveQty]&gt;0)*T_PlannedOrders[Order_Month])),"m月")&amp;"発注)")</f>
        <v/>
      </c>
      <c r="CM61">
        <f>IF(SUMIFS(T_PlannedOrders[EffectiveQty],T_PlannedOrders[Part Name],$A53,T_PlannedOrders[WeekIndex],88)=0,"",SUMIFS(T_PlannedOrders[EffectiveQty],T_PlannedOrders[Part Name],$A53,T_PlannedOrders[WeekIndex],88)&amp;" ("&amp;TEXT(SUMPRODUCT(MAX((T_PlannedOrders[Part Name]=$A53)*(T_PlannedOrders[WeekIndex]=88)*(T_PlannedOrders[EffectiveQty]&gt;0)*T_PlannedOrders[Order_Month])),"m月")&amp;"発注)")</f>
        <v/>
      </c>
      <c r="CN61">
        <f>IF(SUMIFS(T_PlannedOrders[EffectiveQty],T_PlannedOrders[Part Name],$A53,T_PlannedOrders[WeekIndex],89)=0,"",SUMIFS(T_PlannedOrders[EffectiveQty],T_PlannedOrders[Part Name],$A53,T_PlannedOrders[WeekIndex],89)&amp;" ("&amp;TEXT(SUMPRODUCT(MAX((T_PlannedOrders[Part Name]=$A53)*(T_PlannedOrders[WeekIndex]=89)*(T_PlannedOrders[EffectiveQty]&gt;0)*T_PlannedOrders[Order_Month])),"m月")&amp;"発注)")</f>
        <v/>
      </c>
      <c r="CO61">
        <f>IF(SUMIFS(T_PlannedOrders[EffectiveQty],T_PlannedOrders[Part Name],$A53,T_PlannedOrders[WeekIndex],90)=0,"",SUMIFS(T_PlannedOrders[EffectiveQty],T_PlannedOrders[Part Name],$A53,T_PlannedOrders[WeekIndex],90)&amp;" ("&amp;TEXT(SUMPRODUCT(MAX((T_PlannedOrders[Part Name]=$A53)*(T_PlannedOrders[WeekIndex]=90)*(T_PlannedOrders[EffectiveQty]&gt;0)*T_PlannedOrders[Order_Month])),"m月")&amp;"発注)")</f>
        <v/>
      </c>
      <c r="CP61">
        <f>IF(SUMIFS(T_PlannedOrders[EffectiveQty],T_PlannedOrders[Part Name],$A53,T_PlannedOrders[WeekIndex],91)=0,"",SUMIFS(T_PlannedOrders[EffectiveQty],T_PlannedOrders[Part Name],$A53,T_PlannedOrders[WeekIndex],91)&amp;" ("&amp;TEXT(SUMPRODUCT(MAX((T_PlannedOrders[Part Name]=$A53)*(T_PlannedOrders[WeekIndex]=91)*(T_PlannedOrders[EffectiveQty]&gt;0)*T_PlannedOrders[Order_Month])),"m月")&amp;"発注)")</f>
        <v/>
      </c>
      <c r="CQ61">
        <f>IF(SUMIFS(T_PlannedOrders[EffectiveQty],T_PlannedOrders[Part Name],$A53,T_PlannedOrders[WeekIndex],92)=0,"",SUMIFS(T_PlannedOrders[EffectiveQty],T_PlannedOrders[Part Name],$A53,T_PlannedOrders[WeekIndex],92)&amp;" ("&amp;TEXT(SUMPRODUCT(MAX((T_PlannedOrders[Part Name]=$A53)*(T_PlannedOrders[WeekIndex]=92)*(T_PlannedOrders[EffectiveQty]&gt;0)*T_PlannedOrders[Order_Month])),"m月")&amp;"発注)")</f>
        <v/>
      </c>
      <c r="CR61">
        <f>IF(SUMIFS(T_PlannedOrders[EffectiveQty],T_PlannedOrders[Part Name],$A53,T_PlannedOrders[WeekIndex],93)=0,"",SUMIFS(T_PlannedOrders[EffectiveQty],T_PlannedOrders[Part Name],$A53,T_PlannedOrders[WeekIndex],93)&amp;" ("&amp;TEXT(SUMPRODUCT(MAX((T_PlannedOrders[Part Name]=$A53)*(T_PlannedOrders[WeekIndex]=93)*(T_PlannedOrders[EffectiveQty]&gt;0)*T_PlannedOrders[Order_Month])),"m月")&amp;"発注)")</f>
        <v/>
      </c>
      <c r="CS61">
        <f>IF(SUMIFS(T_PlannedOrders[EffectiveQty],T_PlannedOrders[Part Name],$A53,T_PlannedOrders[WeekIndex],94)=0,"",SUMIFS(T_PlannedOrders[EffectiveQty],T_PlannedOrders[Part Name],$A53,T_PlannedOrders[WeekIndex],94)&amp;" ("&amp;TEXT(SUMPRODUCT(MAX((T_PlannedOrders[Part Name]=$A53)*(T_PlannedOrders[WeekIndex]=94)*(T_PlannedOrders[EffectiveQty]&gt;0)*T_PlannedOrders[Order_Month])),"m月")&amp;"発注)")</f>
        <v/>
      </c>
      <c r="CT61">
        <f>IF(SUMIFS(T_PlannedOrders[EffectiveQty],T_PlannedOrders[Part Name],$A53,T_PlannedOrders[WeekIndex],95)=0,"",SUMIFS(T_PlannedOrders[EffectiveQty],T_PlannedOrders[Part Name],$A53,T_PlannedOrders[WeekIndex],95)&amp;" ("&amp;TEXT(SUMPRODUCT(MAX((T_PlannedOrders[Part Name]=$A53)*(T_PlannedOrders[WeekIndex]=95)*(T_PlannedOrders[EffectiveQty]&gt;0)*T_PlannedOrders[Order_Month])),"m月")&amp;"発注)")</f>
        <v/>
      </c>
      <c r="CU61">
        <f>IF(SUMIFS(T_PlannedOrders[EffectiveQty],T_PlannedOrders[Part Name],$A53,T_PlannedOrders[WeekIndex],96)=0,"",SUMIFS(T_PlannedOrders[EffectiveQty],T_PlannedOrders[Part Name],$A53,T_PlannedOrders[WeekIndex],96)&amp;" ("&amp;TEXT(SUMPRODUCT(MAX((T_PlannedOrders[Part Name]=$A53)*(T_PlannedOrders[WeekIndex]=96)*(T_PlannedOrders[EffectiveQty]&gt;0)*T_PlannedOrders[Order_Month])),"m月")&amp;"発注)")</f>
        <v/>
      </c>
      <c r="CV61">
        <f>IF(SUMIFS(T_PlannedOrders[EffectiveQty],T_PlannedOrders[Part Name],$A53,T_PlannedOrders[WeekIndex],97)=0,"",SUMIFS(T_PlannedOrders[EffectiveQty],T_PlannedOrders[Part Name],$A53,T_PlannedOrders[WeekIndex],97)&amp;" ("&amp;TEXT(SUMPRODUCT(MAX((T_PlannedOrders[Part Name]=$A53)*(T_PlannedOrders[WeekIndex]=97)*(T_PlannedOrders[EffectiveQty]&gt;0)*T_PlannedOrders[Order_Month])),"m月")&amp;"発注)")</f>
        <v/>
      </c>
      <c r="CW61">
        <f>IF(SUMIFS(T_PlannedOrders[EffectiveQty],T_PlannedOrders[Part Name],$A53,T_PlannedOrders[WeekIndex],98)=0,"",SUMIFS(T_PlannedOrders[EffectiveQty],T_PlannedOrders[Part Name],$A53,T_PlannedOrders[WeekIndex],98)&amp;" ("&amp;TEXT(SUMPRODUCT(MAX((T_PlannedOrders[Part Name]=$A53)*(T_PlannedOrders[WeekIndex]=98)*(T_PlannedOrders[EffectiveQty]&gt;0)*T_PlannedOrders[Order_Month])),"m月")&amp;"発注)")</f>
        <v/>
      </c>
      <c r="CX61">
        <f>IF(SUMIFS(T_PlannedOrders[EffectiveQty],T_PlannedOrders[Part Name],$A53,T_PlannedOrders[WeekIndex],99)=0,"",SUMIFS(T_PlannedOrders[EffectiveQty],T_PlannedOrders[Part Name],$A53,T_PlannedOrders[WeekIndex],99)&amp;" ("&amp;TEXT(SUMPRODUCT(MAX((T_PlannedOrders[Part Name]=$A53)*(T_PlannedOrders[WeekIndex]=99)*(T_PlannedOrders[EffectiveQty]&gt;0)*T_PlannedOrders[Order_Month])),"m月")&amp;"発注)")</f>
        <v/>
      </c>
      <c r="CY61">
        <f>IF(SUMIFS(T_PlannedOrders[EffectiveQty],T_PlannedOrders[Part Name],$A53,T_PlannedOrders[WeekIndex],100)=0,"",SUMIFS(T_PlannedOrders[EffectiveQty],T_PlannedOrders[Part Name],$A53,T_PlannedOrders[WeekIndex],100)&amp;" ("&amp;TEXT(SUMPRODUCT(MAX((T_PlannedOrders[Part Name]=$A53)*(T_PlannedOrders[WeekIndex]=100)*(T_PlannedOrders[EffectiveQty]&gt;0)*T_PlannedOrders[Order_Month])),"m月")&amp;"発注)")</f>
        <v/>
      </c>
      <c r="CZ61">
        <f>IF(SUMIFS(T_PlannedOrders[EffectiveQty],T_PlannedOrders[Part Name],$A53,T_PlannedOrders[WeekIndex],101)=0,"",SUMIFS(T_PlannedOrders[EffectiveQty],T_PlannedOrders[Part Name],$A53,T_PlannedOrders[WeekIndex],101)&amp;" ("&amp;TEXT(SUMPRODUCT(MAX((T_PlannedOrders[Part Name]=$A53)*(T_PlannedOrders[WeekIndex]=101)*(T_PlannedOrders[EffectiveQty]&gt;0)*T_PlannedOrders[Order_Month])),"m月")&amp;"発注)")</f>
        <v/>
      </c>
      <c r="DA61">
        <f>IF(SUMIFS(T_PlannedOrders[EffectiveQty],T_PlannedOrders[Part Name],$A53,T_PlannedOrders[WeekIndex],102)=0,"",SUMIFS(T_PlannedOrders[EffectiveQty],T_PlannedOrders[Part Name],$A53,T_PlannedOrders[WeekIndex],102)&amp;" ("&amp;TEXT(SUMPRODUCT(MAX((T_PlannedOrders[Part Name]=$A53)*(T_PlannedOrders[WeekIndex]=102)*(T_PlannedOrders[EffectiveQty]&gt;0)*T_PlannedOrders[Order_Month])),"m月")&amp;"発注)")</f>
        <v/>
      </c>
      <c r="DB61">
        <f>IF(SUMIFS(T_PlannedOrders[EffectiveQty],T_PlannedOrders[Part Name],$A53,T_PlannedOrders[WeekIndex],103)=0,"",SUMIFS(T_PlannedOrders[EffectiveQty],T_PlannedOrders[Part Name],$A53,T_PlannedOrders[WeekIndex],103)&amp;" ("&amp;TEXT(SUMPRODUCT(MAX((T_PlannedOrders[Part Name]=$A53)*(T_PlannedOrders[WeekIndex]=103)*(T_PlannedOrders[EffectiveQty]&gt;0)*T_PlannedOrders[Order_Month])),"m月")&amp;"発注)")</f>
        <v/>
      </c>
      <c r="DC61">
        <f>IF(SUMIFS(T_PlannedOrders[EffectiveQty],T_PlannedOrders[Part Name],$A53,T_PlannedOrders[WeekIndex],104)=0,"",SUMIFS(T_PlannedOrders[EffectiveQty],T_PlannedOrders[Part Name],$A53,T_PlannedOrders[WeekIndex],104)&amp;" ("&amp;TEXT(SUMPRODUCT(MAX((T_PlannedOrders[Part Name]=$A53)*(T_PlannedOrders[WeekIndex]=104)*(T_PlannedOrders[EffectiveQty]&gt;0)*T_PlannedOrders[Order_Month])),"m月")&amp;"発注)")</f>
        <v/>
      </c>
    </row>
    <row r="62">
      <c r="B62" s="5" t="inlineStr">
        <is>
          <t>合計在庫(週末時点,kg)</t>
        </is>
      </c>
      <c r="D62">
        <f>'Grid_Stock'!B3</f>
        <v/>
      </c>
      <c r="E62">
        <f>'Grid_Stock'!C3</f>
        <v/>
      </c>
      <c r="F62">
        <f>'Grid_Stock'!D3</f>
        <v/>
      </c>
      <c r="G62">
        <f>'Grid_Stock'!E3</f>
        <v/>
      </c>
      <c r="H62">
        <f>'Grid_Stock'!F3</f>
        <v/>
      </c>
      <c r="I62">
        <f>'Grid_Stock'!G3</f>
        <v/>
      </c>
      <c r="J62">
        <f>'Grid_Stock'!H3</f>
        <v/>
      </c>
      <c r="K62">
        <f>'Grid_Stock'!I3</f>
        <v/>
      </c>
      <c r="L62">
        <f>'Grid_Stock'!J3</f>
        <v/>
      </c>
      <c r="M62">
        <f>'Grid_Stock'!K3</f>
        <v/>
      </c>
      <c r="N62">
        <f>'Grid_Stock'!L3</f>
        <v/>
      </c>
      <c r="O62">
        <f>'Grid_Stock'!M3</f>
        <v/>
      </c>
      <c r="P62">
        <f>'Grid_Stock'!N3</f>
        <v/>
      </c>
      <c r="Q62">
        <f>'Grid_Stock'!O3</f>
        <v/>
      </c>
      <c r="R62">
        <f>'Grid_Stock'!P3</f>
        <v/>
      </c>
      <c r="S62">
        <f>'Grid_Stock'!Q3</f>
        <v/>
      </c>
      <c r="T62">
        <f>'Grid_Stock'!R3</f>
        <v/>
      </c>
      <c r="U62">
        <f>'Grid_Stock'!S3</f>
        <v/>
      </c>
      <c r="V62">
        <f>'Grid_Stock'!T3</f>
        <v/>
      </c>
      <c r="W62">
        <f>'Grid_Stock'!U3</f>
        <v/>
      </c>
      <c r="X62">
        <f>'Grid_Stock'!V3</f>
        <v/>
      </c>
      <c r="Y62">
        <f>'Grid_Stock'!W3</f>
        <v/>
      </c>
      <c r="Z62">
        <f>'Grid_Stock'!X3</f>
        <v/>
      </c>
      <c r="AA62">
        <f>'Grid_Stock'!Y3</f>
        <v/>
      </c>
      <c r="AB62">
        <f>'Grid_Stock'!Z3</f>
        <v/>
      </c>
      <c r="AC62">
        <f>'Grid_Stock'!AA3</f>
        <v/>
      </c>
      <c r="AD62">
        <f>'Grid_Stock'!AB3</f>
        <v/>
      </c>
      <c r="AE62">
        <f>'Grid_Stock'!AC3</f>
        <v/>
      </c>
      <c r="AF62">
        <f>'Grid_Stock'!AD3</f>
        <v/>
      </c>
      <c r="AG62">
        <f>'Grid_Stock'!AE3</f>
        <v/>
      </c>
      <c r="AH62">
        <f>'Grid_Stock'!AF3</f>
        <v/>
      </c>
      <c r="AI62">
        <f>'Grid_Stock'!AG3</f>
        <v/>
      </c>
      <c r="AJ62">
        <f>'Grid_Stock'!AH3</f>
        <v/>
      </c>
      <c r="AK62">
        <f>'Grid_Stock'!AI3</f>
        <v/>
      </c>
      <c r="AL62">
        <f>'Grid_Stock'!AJ3</f>
        <v/>
      </c>
      <c r="AM62">
        <f>'Grid_Stock'!AK3</f>
        <v/>
      </c>
      <c r="AN62">
        <f>'Grid_Stock'!AL3</f>
        <v/>
      </c>
      <c r="AO62">
        <f>'Grid_Stock'!AM3</f>
        <v/>
      </c>
      <c r="AP62">
        <f>'Grid_Stock'!AN3</f>
        <v/>
      </c>
      <c r="AQ62">
        <f>'Grid_Stock'!AO3</f>
        <v/>
      </c>
      <c r="AR62">
        <f>'Grid_Stock'!AP3</f>
        <v/>
      </c>
      <c r="AS62">
        <f>'Grid_Stock'!AQ3</f>
        <v/>
      </c>
      <c r="AT62">
        <f>'Grid_Stock'!AR3</f>
        <v/>
      </c>
      <c r="AU62">
        <f>'Grid_Stock'!AS3</f>
        <v/>
      </c>
      <c r="AV62">
        <f>'Grid_Stock'!AT3</f>
        <v/>
      </c>
      <c r="AW62">
        <f>'Grid_Stock'!AU3</f>
        <v/>
      </c>
      <c r="AX62">
        <f>'Grid_Stock'!AV3</f>
        <v/>
      </c>
      <c r="AY62">
        <f>'Grid_Stock'!AW3</f>
        <v/>
      </c>
      <c r="AZ62">
        <f>'Grid_Stock'!AX3</f>
        <v/>
      </c>
      <c r="BA62">
        <f>'Grid_Stock'!AY3</f>
        <v/>
      </c>
      <c r="BB62">
        <f>'Grid_Stock'!AZ3</f>
        <v/>
      </c>
      <c r="BC62">
        <f>'Grid_Stock'!BA3</f>
        <v/>
      </c>
      <c r="BD62">
        <f>'Grid_Stock'!BB3</f>
        <v/>
      </c>
      <c r="BE62">
        <f>'Grid_Stock'!BC3</f>
        <v/>
      </c>
      <c r="BF62">
        <f>'Grid_Stock'!BD3</f>
        <v/>
      </c>
      <c r="BG62">
        <f>'Grid_Stock'!BE3</f>
        <v/>
      </c>
      <c r="BH62">
        <f>'Grid_Stock'!BF3</f>
        <v/>
      </c>
      <c r="BI62">
        <f>'Grid_Stock'!BG3</f>
        <v/>
      </c>
      <c r="BJ62">
        <f>'Grid_Stock'!BH3</f>
        <v/>
      </c>
      <c r="BK62">
        <f>'Grid_Stock'!BI3</f>
        <v/>
      </c>
      <c r="BL62">
        <f>'Grid_Stock'!BJ3</f>
        <v/>
      </c>
      <c r="BM62">
        <f>'Grid_Stock'!BK3</f>
        <v/>
      </c>
      <c r="BN62">
        <f>'Grid_Stock'!BL3</f>
        <v/>
      </c>
      <c r="BO62">
        <f>'Grid_Stock'!BM3</f>
        <v/>
      </c>
      <c r="BP62">
        <f>'Grid_Stock'!BN3</f>
        <v/>
      </c>
      <c r="BQ62">
        <f>'Grid_Stock'!BO3</f>
        <v/>
      </c>
      <c r="BR62">
        <f>'Grid_Stock'!BP3</f>
        <v/>
      </c>
      <c r="BS62">
        <f>'Grid_Stock'!BQ3</f>
        <v/>
      </c>
      <c r="BT62">
        <f>'Grid_Stock'!BR3</f>
        <v/>
      </c>
      <c r="BU62">
        <f>'Grid_Stock'!BS3</f>
        <v/>
      </c>
      <c r="BV62">
        <f>'Grid_Stock'!BT3</f>
        <v/>
      </c>
      <c r="BW62">
        <f>'Grid_Stock'!BU3</f>
        <v/>
      </c>
      <c r="BX62">
        <f>'Grid_Stock'!BV3</f>
        <v/>
      </c>
      <c r="BY62">
        <f>'Grid_Stock'!BW3</f>
        <v/>
      </c>
      <c r="BZ62">
        <f>'Grid_Stock'!BX3</f>
        <v/>
      </c>
      <c r="CA62">
        <f>'Grid_Stock'!BY3</f>
        <v/>
      </c>
      <c r="CB62">
        <f>'Grid_Stock'!BZ3</f>
        <v/>
      </c>
      <c r="CC62">
        <f>'Grid_Stock'!CA3</f>
        <v/>
      </c>
      <c r="CD62">
        <f>'Grid_Stock'!CB3</f>
        <v/>
      </c>
      <c r="CE62">
        <f>'Grid_Stock'!CC3</f>
        <v/>
      </c>
      <c r="CF62">
        <f>'Grid_Stock'!CD3</f>
        <v/>
      </c>
      <c r="CG62">
        <f>'Grid_Stock'!CE3</f>
        <v/>
      </c>
      <c r="CH62">
        <f>'Grid_Stock'!CF3</f>
        <v/>
      </c>
      <c r="CI62">
        <f>'Grid_Stock'!CG3</f>
        <v/>
      </c>
      <c r="CJ62">
        <f>'Grid_Stock'!CH3</f>
        <v/>
      </c>
      <c r="CK62">
        <f>'Grid_Stock'!CI3</f>
        <v/>
      </c>
      <c r="CL62">
        <f>'Grid_Stock'!CJ3</f>
        <v/>
      </c>
      <c r="CM62">
        <f>'Grid_Stock'!CK3</f>
        <v/>
      </c>
      <c r="CN62">
        <f>'Grid_Stock'!CL3</f>
        <v/>
      </c>
      <c r="CO62">
        <f>'Grid_Stock'!CM3</f>
        <v/>
      </c>
      <c r="CP62">
        <f>'Grid_Stock'!CN3</f>
        <v/>
      </c>
      <c r="CQ62">
        <f>'Grid_Stock'!CO3</f>
        <v/>
      </c>
      <c r="CR62">
        <f>'Grid_Stock'!CP3</f>
        <v/>
      </c>
      <c r="CS62">
        <f>'Grid_Stock'!CQ3</f>
        <v/>
      </c>
      <c r="CT62">
        <f>'Grid_Stock'!CR3</f>
        <v/>
      </c>
      <c r="CU62">
        <f>'Grid_Stock'!CS3</f>
        <v/>
      </c>
      <c r="CV62">
        <f>'Grid_Stock'!CT3</f>
        <v/>
      </c>
      <c r="CW62">
        <f>'Grid_Stock'!CU3</f>
        <v/>
      </c>
      <c r="CX62">
        <f>'Grid_Stock'!CV3</f>
        <v/>
      </c>
      <c r="CY62">
        <f>'Grid_Stock'!CW3</f>
        <v/>
      </c>
      <c r="CZ62">
        <f>'Grid_Stock'!CX3</f>
        <v/>
      </c>
      <c r="DA62">
        <f>'Grid_Stock'!CY3</f>
        <v/>
      </c>
      <c r="DB62">
        <f>'Grid_Stock'!CZ3</f>
        <v/>
      </c>
      <c r="DC62">
        <f>'Grid_Stock'!DA3</f>
        <v/>
      </c>
    </row>
    <row r="63">
      <c r="B63" s="23" t="inlineStr">
        <is>
          <t>（発注の目安はDashboardの基準在庫[下限/上限]と色分けを参照）</t>
        </is>
      </c>
    </row>
    <row r="65">
      <c r="A65" s="21" t="inlineStr">
        <is>
          <t>CHEM-1540</t>
        </is>
      </c>
      <c r="B65" s="21" t="inlineStr">
        <is>
          <t>NAT 35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TPP-358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TPP-533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TSP-1444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TSP-1445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TSP-1446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TSP-1448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Name],$A65)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TSP-1449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Name],$A65)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t="inlineStr">
        <is>
          <t>TSP-369</t>
        </is>
      </c>
      <c r="C80" t="inlineStr">
        <is>
          <t>No. of batches</t>
        </is>
      </c>
      <c r="D80">
        <f>IFERROR(INDEX(PP_Grid[#Data],$DD80,2),0)</f>
        <v/>
      </c>
      <c r="E80">
        <f>IFERROR(INDEX(PP_Grid[#Data],$DD80,3),0)</f>
        <v/>
      </c>
      <c r="F80">
        <f>IFERROR(INDEX(PP_Grid[#Data],$DD80,4),0)</f>
        <v/>
      </c>
      <c r="G80">
        <f>IFERROR(INDEX(PP_Grid[#Data],$DD80,5),0)</f>
        <v/>
      </c>
      <c r="H80">
        <f>IFERROR(INDEX(PP_Grid[#Data],$DD80,6),0)</f>
        <v/>
      </c>
      <c r="I80">
        <f>IFERROR(INDEX(PP_Grid[#Data],$DD80,7),0)</f>
        <v/>
      </c>
      <c r="J80">
        <f>IFERROR(INDEX(PP_Grid[#Data],$DD80,8),0)</f>
        <v/>
      </c>
      <c r="K80">
        <f>IFERROR(INDEX(PP_Grid[#Data],$DD80,9),0)</f>
        <v/>
      </c>
      <c r="L80">
        <f>IFERROR(INDEX(PP_Grid[#Data],$DD80,10),0)</f>
        <v/>
      </c>
      <c r="M80">
        <f>IFERROR(INDEX(PP_Grid[#Data],$DD80,11),0)</f>
        <v/>
      </c>
      <c r="N80">
        <f>IFERROR(INDEX(PP_Grid[#Data],$DD80,12),0)</f>
        <v/>
      </c>
      <c r="O80">
        <f>IFERROR(INDEX(PP_Grid[#Data],$DD80,13),0)</f>
        <v/>
      </c>
      <c r="P80">
        <f>IFERROR(INDEX(PP_Grid[#Data],$DD80,14),0)</f>
        <v/>
      </c>
      <c r="Q80">
        <f>IFERROR(INDEX(PP_Grid[#Data],$DD80,15),0)</f>
        <v/>
      </c>
      <c r="R80">
        <f>IFERROR(INDEX(PP_Grid[#Data],$DD80,16),0)</f>
        <v/>
      </c>
      <c r="S80">
        <f>IFERROR(INDEX(PP_Grid[#Data],$DD80,17),0)</f>
        <v/>
      </c>
      <c r="T80">
        <f>IFERROR(INDEX(PP_Grid[#Data],$DD80,18),0)</f>
        <v/>
      </c>
      <c r="U80">
        <f>IFERROR(INDEX(PP_Grid[#Data],$DD80,19),0)</f>
        <v/>
      </c>
      <c r="V80">
        <f>IFERROR(INDEX(PP_Grid[#Data],$DD80,20),0)</f>
        <v/>
      </c>
      <c r="W80">
        <f>IFERROR(INDEX(PP_Grid[#Data],$DD80,21),0)</f>
        <v/>
      </c>
      <c r="X80">
        <f>IFERROR(INDEX(PP_Grid[#Data],$DD80,22),0)</f>
        <v/>
      </c>
      <c r="Y80">
        <f>IFERROR(INDEX(PP_Grid[#Data],$DD80,23),0)</f>
        <v/>
      </c>
      <c r="Z80">
        <f>IFERROR(INDEX(PP_Grid[#Data],$DD80,24),0)</f>
        <v/>
      </c>
      <c r="AA80">
        <f>IFERROR(INDEX(PP_Grid[#Data],$DD80,25),0)</f>
        <v/>
      </c>
      <c r="AB80">
        <f>IFERROR(INDEX(PP_Grid[#Data],$DD80,26),0)</f>
        <v/>
      </c>
      <c r="AC80">
        <f>IFERROR(INDEX(PP_Grid[#Data],$DD80,27),0)</f>
        <v/>
      </c>
      <c r="AD80">
        <f>IFERROR(INDEX(PP_Grid[#Data],$DD80,28),0)</f>
        <v/>
      </c>
      <c r="AE80">
        <f>IFERROR(INDEX(PP_Grid[#Data],$DD80,29),0)</f>
        <v/>
      </c>
      <c r="AF80">
        <f>IFERROR(INDEX(PP_Grid[#Data],$DD80,30),0)</f>
        <v/>
      </c>
      <c r="AG80">
        <f>IFERROR(INDEX(PP_Grid[#Data],$DD80,31),0)</f>
        <v/>
      </c>
      <c r="AH80">
        <f>IFERROR(INDEX(PP_Grid[#Data],$DD80,32),0)</f>
        <v/>
      </c>
      <c r="AI80">
        <f>IFERROR(INDEX(PP_Grid[#Data],$DD80,33),0)</f>
        <v/>
      </c>
      <c r="AJ80">
        <f>IFERROR(INDEX(PP_Grid[#Data],$DD80,34),0)</f>
        <v/>
      </c>
      <c r="AK80">
        <f>IFERROR(INDEX(PP_Grid[#Data],$DD80,35),0)</f>
        <v/>
      </c>
      <c r="AL80">
        <f>IFERROR(INDEX(PP_Grid[#Data],$DD80,36),0)</f>
        <v/>
      </c>
      <c r="AM80">
        <f>IFERROR(INDEX(PP_Grid[#Data],$DD80,37),0)</f>
        <v/>
      </c>
      <c r="AN80">
        <f>IFERROR(INDEX(PP_Grid[#Data],$DD80,38),0)</f>
        <v/>
      </c>
      <c r="AO80">
        <f>IFERROR(INDEX(PP_Grid[#Data],$DD80,39),0)</f>
        <v/>
      </c>
      <c r="AP80">
        <f>IFERROR(INDEX(PP_Grid[#Data],$DD80,40),0)</f>
        <v/>
      </c>
      <c r="AQ80">
        <f>IFERROR(INDEX(PP_Grid[#Data],$DD80,41),0)</f>
        <v/>
      </c>
      <c r="AR80">
        <f>IFERROR(INDEX(PP_Grid[#Data],$DD80,42),0)</f>
        <v/>
      </c>
      <c r="AS80">
        <f>IFERROR(INDEX(PP_Grid[#Data],$DD80,43),0)</f>
        <v/>
      </c>
      <c r="AT80">
        <f>IFERROR(INDEX(PP_Grid[#Data],$DD80,44),0)</f>
        <v/>
      </c>
      <c r="AU80">
        <f>IFERROR(INDEX(PP_Grid[#Data],$DD80,45),0)</f>
        <v/>
      </c>
      <c r="AV80">
        <f>IFERROR(INDEX(PP_Grid[#Data],$DD80,46),0)</f>
        <v/>
      </c>
      <c r="AW80">
        <f>IFERROR(INDEX(PP_Grid[#Data],$DD80,47),0)</f>
        <v/>
      </c>
      <c r="AX80">
        <f>IFERROR(INDEX(PP_Grid[#Data],$DD80,48),0)</f>
        <v/>
      </c>
      <c r="AY80">
        <f>IFERROR(INDEX(PP_Grid[#Data],$DD80,49),0)</f>
        <v/>
      </c>
      <c r="AZ80">
        <f>IFERROR(INDEX(PP_Grid[#Data],$DD80,50),0)</f>
        <v/>
      </c>
      <c r="BA80">
        <f>IFERROR(INDEX(PP_Grid[#Data],$DD80,51),0)</f>
        <v/>
      </c>
      <c r="BB80">
        <f>IFERROR(INDEX(PP_Grid[#Data],$DD80,52),0)</f>
        <v/>
      </c>
      <c r="BC80">
        <f>IFERROR(INDEX(PP_Grid[#Data],$DD80,53),0)</f>
        <v/>
      </c>
      <c r="BD80">
        <f>IFERROR(INDEX(PP_Grid[#Data],$DD80,54),0)</f>
        <v/>
      </c>
      <c r="BE80">
        <f>IFERROR(INDEX(PP_Grid[#Data],$DD80,55),0)</f>
        <v/>
      </c>
      <c r="BF80">
        <f>IFERROR(INDEX(PP_Grid[#Data],$DD80,56),0)</f>
        <v/>
      </c>
      <c r="BG80">
        <f>IFERROR(INDEX(PP_Grid[#Data],$DD80,57),0)</f>
        <v/>
      </c>
      <c r="BH80">
        <f>IFERROR(INDEX(PP_Grid[#Data],$DD80,58),0)</f>
        <v/>
      </c>
      <c r="BI80">
        <f>IFERROR(INDEX(PP_Grid[#Data],$DD80,59),0)</f>
        <v/>
      </c>
      <c r="BJ80">
        <f>IFERROR(INDEX(PP_Grid[#Data],$DD80,60),0)</f>
        <v/>
      </c>
      <c r="BK80">
        <f>IFERROR(INDEX(PP_Grid[#Data],$DD80,61),0)</f>
        <v/>
      </c>
      <c r="BL80">
        <f>IFERROR(INDEX(PP_Grid[#Data],$DD80,62),0)</f>
        <v/>
      </c>
      <c r="BM80">
        <f>IFERROR(INDEX(PP_Grid[#Data],$DD80,63),0)</f>
        <v/>
      </c>
      <c r="BN80">
        <f>IFERROR(INDEX(PP_Grid[#Data],$DD80,64),0)</f>
        <v/>
      </c>
      <c r="BO80">
        <f>IFERROR(INDEX(PP_Grid[#Data],$DD80,65),0)</f>
        <v/>
      </c>
      <c r="BP80">
        <f>IFERROR(INDEX(PP_Grid[#Data],$DD80,66),0)</f>
        <v/>
      </c>
      <c r="BQ80">
        <f>IFERROR(INDEX(PP_Grid[#Data],$DD80,67),0)</f>
        <v/>
      </c>
      <c r="BR80">
        <f>IFERROR(INDEX(PP_Grid[#Data],$DD80,68),0)</f>
        <v/>
      </c>
      <c r="BS80">
        <f>IFERROR(INDEX(PP_Grid[#Data],$DD80,69),0)</f>
        <v/>
      </c>
      <c r="BT80">
        <f>IFERROR(INDEX(PP_Grid[#Data],$DD80,70),0)</f>
        <v/>
      </c>
      <c r="BU80">
        <f>IFERROR(INDEX(PP_Grid[#Data],$DD80,71),0)</f>
        <v/>
      </c>
      <c r="BV80">
        <f>IFERROR(INDEX(PP_Grid[#Data],$DD80,72),0)</f>
        <v/>
      </c>
      <c r="BW80">
        <f>IFERROR(INDEX(PP_Grid[#Data],$DD80,73),0)</f>
        <v/>
      </c>
      <c r="BX80">
        <f>IFERROR(INDEX(PP_Grid[#Data],$DD80,74),0)</f>
        <v/>
      </c>
      <c r="BY80">
        <f>IFERROR(INDEX(PP_Grid[#Data],$DD80,75),0)</f>
        <v/>
      </c>
      <c r="BZ80">
        <f>IFERROR(INDEX(PP_Grid[#Data],$DD80,76),0)</f>
        <v/>
      </c>
      <c r="CA80">
        <f>IFERROR(INDEX(PP_Grid[#Data],$DD80,77),0)</f>
        <v/>
      </c>
      <c r="CB80">
        <f>IFERROR(INDEX(PP_Grid[#Data],$DD80,78),0)</f>
        <v/>
      </c>
      <c r="CC80">
        <f>IFERROR(INDEX(PP_Grid[#Data],$DD80,79),0)</f>
        <v/>
      </c>
      <c r="CD80">
        <f>IFERROR(INDEX(PP_Grid[#Data],$DD80,80),0)</f>
        <v/>
      </c>
      <c r="CE80">
        <f>IFERROR(INDEX(PP_Grid[#Data],$DD80,81),0)</f>
        <v/>
      </c>
      <c r="CF80">
        <f>IFERROR(INDEX(PP_Grid[#Data],$DD80,82),0)</f>
        <v/>
      </c>
      <c r="CG80">
        <f>IFERROR(INDEX(PP_Grid[#Data],$DD80,83),0)</f>
        <v/>
      </c>
      <c r="CH80">
        <f>IFERROR(INDEX(PP_Grid[#Data],$DD80,84),0)</f>
        <v/>
      </c>
      <c r="CI80">
        <f>IFERROR(INDEX(PP_Grid[#Data],$DD80,85),0)</f>
        <v/>
      </c>
      <c r="CJ80">
        <f>IFERROR(INDEX(PP_Grid[#Data],$DD80,86),0)</f>
        <v/>
      </c>
      <c r="CK80">
        <f>IFERROR(INDEX(PP_Grid[#Data],$DD80,87),0)</f>
        <v/>
      </c>
      <c r="CL80">
        <f>IFERROR(INDEX(PP_Grid[#Data],$DD80,88),0)</f>
        <v/>
      </c>
      <c r="CM80">
        <f>IFERROR(INDEX(PP_Grid[#Data],$DD80,89),0)</f>
        <v/>
      </c>
      <c r="CN80">
        <f>IFERROR(INDEX(PP_Grid[#Data],$DD80,90),0)</f>
        <v/>
      </c>
      <c r="CO80">
        <f>IFERROR(INDEX(PP_Grid[#Data],$DD80,91),0)</f>
        <v/>
      </c>
      <c r="CP80">
        <f>IFERROR(INDEX(PP_Grid[#Data],$DD80,92),0)</f>
        <v/>
      </c>
      <c r="CQ80">
        <f>IFERROR(INDEX(PP_Grid[#Data],$DD80,93),0)</f>
        <v/>
      </c>
      <c r="CR80">
        <f>IFERROR(INDEX(PP_Grid[#Data],$DD80,94),0)</f>
        <v/>
      </c>
      <c r="CS80">
        <f>IFERROR(INDEX(PP_Grid[#Data],$DD80,95),0)</f>
        <v/>
      </c>
      <c r="CT80">
        <f>IFERROR(INDEX(PP_Grid[#Data],$DD80,96),0)</f>
        <v/>
      </c>
      <c r="CU80">
        <f>IFERROR(INDEX(PP_Grid[#Data],$DD80,97),0)</f>
        <v/>
      </c>
      <c r="CV80">
        <f>IFERROR(INDEX(PP_Grid[#Data],$DD80,98),0)</f>
        <v/>
      </c>
      <c r="CW80">
        <f>IFERROR(INDEX(PP_Grid[#Data],$DD80,99),0)</f>
        <v/>
      </c>
      <c r="CX80">
        <f>IFERROR(INDEX(PP_Grid[#Data],$DD80,100),0)</f>
        <v/>
      </c>
      <c r="CY80">
        <f>IFERROR(INDEX(PP_Grid[#Data],$DD80,101),0)</f>
        <v/>
      </c>
      <c r="CZ80">
        <f>IFERROR(INDEX(PP_Grid[#Data],$DD80,102),0)</f>
        <v/>
      </c>
      <c r="DA80">
        <f>IFERROR(INDEX(PP_Grid[#Data],$DD80,103),0)</f>
        <v/>
      </c>
      <c r="DB80">
        <f>IFERROR(INDEX(PP_Grid[#Data],$DD80,104),0)</f>
        <v/>
      </c>
      <c r="DC80">
        <f>IFERROR(INDEX(PP_Grid[#Data],$DD80,105),0)</f>
        <v/>
      </c>
      <c r="DD80" s="12">
        <f>IFERROR(MATCH($B80,PP_Grid[Intermediate],0),99999)</f>
        <v/>
      </c>
    </row>
    <row r="81">
      <c r="B81" t="inlineStr">
        <is>
          <t>使用量(kg)</t>
        </is>
      </c>
      <c r="C81">
        <f>SUMIFS(M_BOM[RM_Qty_Per_Batch],M_BOM[Intermediate],$B80,M_BOM[Part Name],$A65)</f>
        <v/>
      </c>
      <c r="D81">
        <f>$C81*D80</f>
        <v/>
      </c>
      <c r="E81">
        <f>$C81*E80</f>
        <v/>
      </c>
      <c r="F81">
        <f>$C81*F80</f>
        <v/>
      </c>
      <c r="G81">
        <f>$C81*G80</f>
        <v/>
      </c>
      <c r="H81">
        <f>$C81*H80</f>
        <v/>
      </c>
      <c r="I81">
        <f>$C81*I80</f>
        <v/>
      </c>
      <c r="J81">
        <f>$C81*J80</f>
        <v/>
      </c>
      <c r="K81">
        <f>$C81*K80</f>
        <v/>
      </c>
      <c r="L81">
        <f>$C81*L80</f>
        <v/>
      </c>
      <c r="M81">
        <f>$C81*M80</f>
        <v/>
      </c>
      <c r="N81">
        <f>$C81*N80</f>
        <v/>
      </c>
      <c r="O81">
        <f>$C81*O80</f>
        <v/>
      </c>
      <c r="P81">
        <f>$C81*P80</f>
        <v/>
      </c>
      <c r="Q81">
        <f>$C81*Q80</f>
        <v/>
      </c>
      <c r="R81">
        <f>$C81*R80</f>
        <v/>
      </c>
      <c r="S81">
        <f>$C81*S80</f>
        <v/>
      </c>
      <c r="T81">
        <f>$C81*T80</f>
        <v/>
      </c>
      <c r="U81">
        <f>$C81*U80</f>
        <v/>
      </c>
      <c r="V81">
        <f>$C81*V80</f>
        <v/>
      </c>
      <c r="W81">
        <f>$C81*W80</f>
        <v/>
      </c>
      <c r="X81">
        <f>$C81*X80</f>
        <v/>
      </c>
      <c r="Y81">
        <f>$C81*Y80</f>
        <v/>
      </c>
      <c r="Z81">
        <f>$C81*Z80</f>
        <v/>
      </c>
      <c r="AA81">
        <f>$C81*AA80</f>
        <v/>
      </c>
      <c r="AB81">
        <f>$C81*AB80</f>
        <v/>
      </c>
      <c r="AC81">
        <f>$C81*AC80</f>
        <v/>
      </c>
      <c r="AD81">
        <f>$C81*AD80</f>
        <v/>
      </c>
      <c r="AE81">
        <f>$C81*AE80</f>
        <v/>
      </c>
      <c r="AF81">
        <f>$C81*AF80</f>
        <v/>
      </c>
      <c r="AG81">
        <f>$C81*AG80</f>
        <v/>
      </c>
      <c r="AH81">
        <f>$C81*AH80</f>
        <v/>
      </c>
      <c r="AI81">
        <f>$C81*AI80</f>
        <v/>
      </c>
      <c r="AJ81">
        <f>$C81*AJ80</f>
        <v/>
      </c>
      <c r="AK81">
        <f>$C81*AK80</f>
        <v/>
      </c>
      <c r="AL81">
        <f>$C81*AL80</f>
        <v/>
      </c>
      <c r="AM81">
        <f>$C81*AM80</f>
        <v/>
      </c>
      <c r="AN81">
        <f>$C81*AN80</f>
        <v/>
      </c>
      <c r="AO81">
        <f>$C81*AO80</f>
        <v/>
      </c>
      <c r="AP81">
        <f>$C81*AP80</f>
        <v/>
      </c>
      <c r="AQ81">
        <f>$C81*AQ80</f>
        <v/>
      </c>
      <c r="AR81">
        <f>$C81*AR80</f>
        <v/>
      </c>
      <c r="AS81">
        <f>$C81*AS80</f>
        <v/>
      </c>
      <c r="AT81">
        <f>$C81*AT80</f>
        <v/>
      </c>
      <c r="AU81">
        <f>$C81*AU80</f>
        <v/>
      </c>
      <c r="AV81">
        <f>$C81*AV80</f>
        <v/>
      </c>
      <c r="AW81">
        <f>$C81*AW80</f>
        <v/>
      </c>
      <c r="AX81">
        <f>$C81*AX80</f>
        <v/>
      </c>
      <c r="AY81">
        <f>$C81*AY80</f>
        <v/>
      </c>
      <c r="AZ81">
        <f>$C81*AZ80</f>
        <v/>
      </c>
      <c r="BA81">
        <f>$C81*BA80</f>
        <v/>
      </c>
      <c r="BB81">
        <f>$C81*BB80</f>
        <v/>
      </c>
      <c r="BC81">
        <f>$C81*BC80</f>
        <v/>
      </c>
      <c r="BD81">
        <f>$C81*BD80</f>
        <v/>
      </c>
      <c r="BE81">
        <f>$C81*BE80</f>
        <v/>
      </c>
      <c r="BF81">
        <f>$C81*BF80</f>
        <v/>
      </c>
      <c r="BG81">
        <f>$C81*BG80</f>
        <v/>
      </c>
      <c r="BH81">
        <f>$C81*BH80</f>
        <v/>
      </c>
      <c r="BI81">
        <f>$C81*BI80</f>
        <v/>
      </c>
      <c r="BJ81">
        <f>$C81*BJ80</f>
        <v/>
      </c>
      <c r="BK81">
        <f>$C81*BK80</f>
        <v/>
      </c>
      <c r="BL81">
        <f>$C81*BL80</f>
        <v/>
      </c>
      <c r="BM81">
        <f>$C81*BM80</f>
        <v/>
      </c>
      <c r="BN81">
        <f>$C81*BN80</f>
        <v/>
      </c>
      <c r="BO81">
        <f>$C81*BO80</f>
        <v/>
      </c>
      <c r="BP81">
        <f>$C81*BP80</f>
        <v/>
      </c>
      <c r="BQ81">
        <f>$C81*BQ80</f>
        <v/>
      </c>
      <c r="BR81">
        <f>$C81*BR80</f>
        <v/>
      </c>
      <c r="BS81">
        <f>$C81*BS80</f>
        <v/>
      </c>
      <c r="BT81">
        <f>$C81*BT80</f>
        <v/>
      </c>
      <c r="BU81">
        <f>$C81*BU80</f>
        <v/>
      </c>
      <c r="BV81">
        <f>$C81*BV80</f>
        <v/>
      </c>
      <c r="BW81">
        <f>$C81*BW80</f>
        <v/>
      </c>
      <c r="BX81">
        <f>$C81*BX80</f>
        <v/>
      </c>
      <c r="BY81">
        <f>$C81*BY80</f>
        <v/>
      </c>
      <c r="BZ81">
        <f>$C81*BZ80</f>
        <v/>
      </c>
      <c r="CA81">
        <f>$C81*CA80</f>
        <v/>
      </c>
      <c r="CB81">
        <f>$C81*CB80</f>
        <v/>
      </c>
      <c r="CC81">
        <f>$C81*CC80</f>
        <v/>
      </c>
      <c r="CD81">
        <f>$C81*CD80</f>
        <v/>
      </c>
      <c r="CE81">
        <f>$C81*CE80</f>
        <v/>
      </c>
      <c r="CF81">
        <f>$C81*CF80</f>
        <v/>
      </c>
      <c r="CG81">
        <f>$C81*CG80</f>
        <v/>
      </c>
      <c r="CH81">
        <f>$C81*CH80</f>
        <v/>
      </c>
      <c r="CI81">
        <f>$C81*CI80</f>
        <v/>
      </c>
      <c r="CJ81">
        <f>$C81*CJ80</f>
        <v/>
      </c>
      <c r="CK81">
        <f>$C81*CK80</f>
        <v/>
      </c>
      <c r="CL81">
        <f>$C81*CL80</f>
        <v/>
      </c>
      <c r="CM81">
        <f>$C81*CM80</f>
        <v/>
      </c>
      <c r="CN81">
        <f>$C81*CN80</f>
        <v/>
      </c>
      <c r="CO81">
        <f>$C81*CO80</f>
        <v/>
      </c>
      <c r="CP81">
        <f>$C81*CP80</f>
        <v/>
      </c>
      <c r="CQ81">
        <f>$C81*CQ80</f>
        <v/>
      </c>
      <c r="CR81">
        <f>$C81*CR80</f>
        <v/>
      </c>
      <c r="CS81">
        <f>$C81*CS80</f>
        <v/>
      </c>
      <c r="CT81">
        <f>$C81*CT80</f>
        <v/>
      </c>
      <c r="CU81">
        <f>$C81*CU80</f>
        <v/>
      </c>
      <c r="CV81">
        <f>$C81*CV80</f>
        <v/>
      </c>
      <c r="CW81">
        <f>$C81*CW80</f>
        <v/>
      </c>
      <c r="CX81">
        <f>$C81*CX80</f>
        <v/>
      </c>
      <c r="CY81">
        <f>$C81*CY80</f>
        <v/>
      </c>
      <c r="CZ81">
        <f>$C81*CZ80</f>
        <v/>
      </c>
      <c r="DA81">
        <f>$C81*DA80</f>
        <v/>
      </c>
      <c r="DB81">
        <f>$C81*DB80</f>
        <v/>
      </c>
      <c r="DC81">
        <f>$C81*DC80</f>
        <v/>
      </c>
    </row>
    <row r="82">
      <c r="B82" t="inlineStr">
        <is>
          <t>TSP-558</t>
        </is>
      </c>
      <c r="C82" t="inlineStr">
        <is>
          <t>No. of batches</t>
        </is>
      </c>
      <c r="D82">
        <f>IFERROR(INDEX(PP_Grid[#Data],$DD82,2),0)</f>
        <v/>
      </c>
      <c r="E82">
        <f>IFERROR(INDEX(PP_Grid[#Data],$DD82,3),0)</f>
        <v/>
      </c>
      <c r="F82">
        <f>IFERROR(INDEX(PP_Grid[#Data],$DD82,4),0)</f>
        <v/>
      </c>
      <c r="G82">
        <f>IFERROR(INDEX(PP_Grid[#Data],$DD82,5),0)</f>
        <v/>
      </c>
      <c r="H82">
        <f>IFERROR(INDEX(PP_Grid[#Data],$DD82,6),0)</f>
        <v/>
      </c>
      <c r="I82">
        <f>IFERROR(INDEX(PP_Grid[#Data],$DD82,7),0)</f>
        <v/>
      </c>
      <c r="J82">
        <f>IFERROR(INDEX(PP_Grid[#Data],$DD82,8),0)</f>
        <v/>
      </c>
      <c r="K82">
        <f>IFERROR(INDEX(PP_Grid[#Data],$DD82,9),0)</f>
        <v/>
      </c>
      <c r="L82">
        <f>IFERROR(INDEX(PP_Grid[#Data],$DD82,10),0)</f>
        <v/>
      </c>
      <c r="M82">
        <f>IFERROR(INDEX(PP_Grid[#Data],$DD82,11),0)</f>
        <v/>
      </c>
      <c r="N82">
        <f>IFERROR(INDEX(PP_Grid[#Data],$DD82,12),0)</f>
        <v/>
      </c>
      <c r="O82">
        <f>IFERROR(INDEX(PP_Grid[#Data],$DD82,13),0)</f>
        <v/>
      </c>
      <c r="P82">
        <f>IFERROR(INDEX(PP_Grid[#Data],$DD82,14),0)</f>
        <v/>
      </c>
      <c r="Q82">
        <f>IFERROR(INDEX(PP_Grid[#Data],$DD82,15),0)</f>
        <v/>
      </c>
      <c r="R82">
        <f>IFERROR(INDEX(PP_Grid[#Data],$DD82,16),0)</f>
        <v/>
      </c>
      <c r="S82">
        <f>IFERROR(INDEX(PP_Grid[#Data],$DD82,17),0)</f>
        <v/>
      </c>
      <c r="T82">
        <f>IFERROR(INDEX(PP_Grid[#Data],$DD82,18),0)</f>
        <v/>
      </c>
      <c r="U82">
        <f>IFERROR(INDEX(PP_Grid[#Data],$DD82,19),0)</f>
        <v/>
      </c>
      <c r="V82">
        <f>IFERROR(INDEX(PP_Grid[#Data],$DD82,20),0)</f>
        <v/>
      </c>
      <c r="W82">
        <f>IFERROR(INDEX(PP_Grid[#Data],$DD82,21),0)</f>
        <v/>
      </c>
      <c r="X82">
        <f>IFERROR(INDEX(PP_Grid[#Data],$DD82,22),0)</f>
        <v/>
      </c>
      <c r="Y82">
        <f>IFERROR(INDEX(PP_Grid[#Data],$DD82,23),0)</f>
        <v/>
      </c>
      <c r="Z82">
        <f>IFERROR(INDEX(PP_Grid[#Data],$DD82,24),0)</f>
        <v/>
      </c>
      <c r="AA82">
        <f>IFERROR(INDEX(PP_Grid[#Data],$DD82,25),0)</f>
        <v/>
      </c>
      <c r="AB82">
        <f>IFERROR(INDEX(PP_Grid[#Data],$DD82,26),0)</f>
        <v/>
      </c>
      <c r="AC82">
        <f>IFERROR(INDEX(PP_Grid[#Data],$DD82,27),0)</f>
        <v/>
      </c>
      <c r="AD82">
        <f>IFERROR(INDEX(PP_Grid[#Data],$DD82,28),0)</f>
        <v/>
      </c>
      <c r="AE82">
        <f>IFERROR(INDEX(PP_Grid[#Data],$DD82,29),0)</f>
        <v/>
      </c>
      <c r="AF82">
        <f>IFERROR(INDEX(PP_Grid[#Data],$DD82,30),0)</f>
        <v/>
      </c>
      <c r="AG82">
        <f>IFERROR(INDEX(PP_Grid[#Data],$DD82,31),0)</f>
        <v/>
      </c>
      <c r="AH82">
        <f>IFERROR(INDEX(PP_Grid[#Data],$DD82,32),0)</f>
        <v/>
      </c>
      <c r="AI82">
        <f>IFERROR(INDEX(PP_Grid[#Data],$DD82,33),0)</f>
        <v/>
      </c>
      <c r="AJ82">
        <f>IFERROR(INDEX(PP_Grid[#Data],$DD82,34),0)</f>
        <v/>
      </c>
      <c r="AK82">
        <f>IFERROR(INDEX(PP_Grid[#Data],$DD82,35),0)</f>
        <v/>
      </c>
      <c r="AL82">
        <f>IFERROR(INDEX(PP_Grid[#Data],$DD82,36),0)</f>
        <v/>
      </c>
      <c r="AM82">
        <f>IFERROR(INDEX(PP_Grid[#Data],$DD82,37),0)</f>
        <v/>
      </c>
      <c r="AN82">
        <f>IFERROR(INDEX(PP_Grid[#Data],$DD82,38),0)</f>
        <v/>
      </c>
      <c r="AO82">
        <f>IFERROR(INDEX(PP_Grid[#Data],$DD82,39),0)</f>
        <v/>
      </c>
      <c r="AP82">
        <f>IFERROR(INDEX(PP_Grid[#Data],$DD82,40),0)</f>
        <v/>
      </c>
      <c r="AQ82">
        <f>IFERROR(INDEX(PP_Grid[#Data],$DD82,41),0)</f>
        <v/>
      </c>
      <c r="AR82">
        <f>IFERROR(INDEX(PP_Grid[#Data],$DD82,42),0)</f>
        <v/>
      </c>
      <c r="AS82">
        <f>IFERROR(INDEX(PP_Grid[#Data],$DD82,43),0)</f>
        <v/>
      </c>
      <c r="AT82">
        <f>IFERROR(INDEX(PP_Grid[#Data],$DD82,44),0)</f>
        <v/>
      </c>
      <c r="AU82">
        <f>IFERROR(INDEX(PP_Grid[#Data],$DD82,45),0)</f>
        <v/>
      </c>
      <c r="AV82">
        <f>IFERROR(INDEX(PP_Grid[#Data],$DD82,46),0)</f>
        <v/>
      </c>
      <c r="AW82">
        <f>IFERROR(INDEX(PP_Grid[#Data],$DD82,47),0)</f>
        <v/>
      </c>
      <c r="AX82">
        <f>IFERROR(INDEX(PP_Grid[#Data],$DD82,48),0)</f>
        <v/>
      </c>
      <c r="AY82">
        <f>IFERROR(INDEX(PP_Grid[#Data],$DD82,49),0)</f>
        <v/>
      </c>
      <c r="AZ82">
        <f>IFERROR(INDEX(PP_Grid[#Data],$DD82,50),0)</f>
        <v/>
      </c>
      <c r="BA82">
        <f>IFERROR(INDEX(PP_Grid[#Data],$DD82,51),0)</f>
        <v/>
      </c>
      <c r="BB82">
        <f>IFERROR(INDEX(PP_Grid[#Data],$DD82,52),0)</f>
        <v/>
      </c>
      <c r="BC82">
        <f>IFERROR(INDEX(PP_Grid[#Data],$DD82,53),0)</f>
        <v/>
      </c>
      <c r="BD82">
        <f>IFERROR(INDEX(PP_Grid[#Data],$DD82,54),0)</f>
        <v/>
      </c>
      <c r="BE82">
        <f>IFERROR(INDEX(PP_Grid[#Data],$DD82,55),0)</f>
        <v/>
      </c>
      <c r="BF82">
        <f>IFERROR(INDEX(PP_Grid[#Data],$DD82,56),0)</f>
        <v/>
      </c>
      <c r="BG82">
        <f>IFERROR(INDEX(PP_Grid[#Data],$DD82,57),0)</f>
        <v/>
      </c>
      <c r="BH82">
        <f>IFERROR(INDEX(PP_Grid[#Data],$DD82,58),0)</f>
        <v/>
      </c>
      <c r="BI82">
        <f>IFERROR(INDEX(PP_Grid[#Data],$DD82,59),0)</f>
        <v/>
      </c>
      <c r="BJ82">
        <f>IFERROR(INDEX(PP_Grid[#Data],$DD82,60),0)</f>
        <v/>
      </c>
      <c r="BK82">
        <f>IFERROR(INDEX(PP_Grid[#Data],$DD82,61),0)</f>
        <v/>
      </c>
      <c r="BL82">
        <f>IFERROR(INDEX(PP_Grid[#Data],$DD82,62),0)</f>
        <v/>
      </c>
      <c r="BM82">
        <f>IFERROR(INDEX(PP_Grid[#Data],$DD82,63),0)</f>
        <v/>
      </c>
      <c r="BN82">
        <f>IFERROR(INDEX(PP_Grid[#Data],$DD82,64),0)</f>
        <v/>
      </c>
      <c r="BO82">
        <f>IFERROR(INDEX(PP_Grid[#Data],$DD82,65),0)</f>
        <v/>
      </c>
      <c r="BP82">
        <f>IFERROR(INDEX(PP_Grid[#Data],$DD82,66),0)</f>
        <v/>
      </c>
      <c r="BQ82">
        <f>IFERROR(INDEX(PP_Grid[#Data],$DD82,67),0)</f>
        <v/>
      </c>
      <c r="BR82">
        <f>IFERROR(INDEX(PP_Grid[#Data],$DD82,68),0)</f>
        <v/>
      </c>
      <c r="BS82">
        <f>IFERROR(INDEX(PP_Grid[#Data],$DD82,69),0)</f>
        <v/>
      </c>
      <c r="BT82">
        <f>IFERROR(INDEX(PP_Grid[#Data],$DD82,70),0)</f>
        <v/>
      </c>
      <c r="BU82">
        <f>IFERROR(INDEX(PP_Grid[#Data],$DD82,71),0)</f>
        <v/>
      </c>
      <c r="BV82">
        <f>IFERROR(INDEX(PP_Grid[#Data],$DD82,72),0)</f>
        <v/>
      </c>
      <c r="BW82">
        <f>IFERROR(INDEX(PP_Grid[#Data],$DD82,73),0)</f>
        <v/>
      </c>
      <c r="BX82">
        <f>IFERROR(INDEX(PP_Grid[#Data],$DD82,74),0)</f>
        <v/>
      </c>
      <c r="BY82">
        <f>IFERROR(INDEX(PP_Grid[#Data],$DD82,75),0)</f>
        <v/>
      </c>
      <c r="BZ82">
        <f>IFERROR(INDEX(PP_Grid[#Data],$DD82,76),0)</f>
        <v/>
      </c>
      <c r="CA82">
        <f>IFERROR(INDEX(PP_Grid[#Data],$DD82,77),0)</f>
        <v/>
      </c>
      <c r="CB82">
        <f>IFERROR(INDEX(PP_Grid[#Data],$DD82,78),0)</f>
        <v/>
      </c>
      <c r="CC82">
        <f>IFERROR(INDEX(PP_Grid[#Data],$DD82,79),0)</f>
        <v/>
      </c>
      <c r="CD82">
        <f>IFERROR(INDEX(PP_Grid[#Data],$DD82,80),0)</f>
        <v/>
      </c>
      <c r="CE82">
        <f>IFERROR(INDEX(PP_Grid[#Data],$DD82,81),0)</f>
        <v/>
      </c>
      <c r="CF82">
        <f>IFERROR(INDEX(PP_Grid[#Data],$DD82,82),0)</f>
        <v/>
      </c>
      <c r="CG82">
        <f>IFERROR(INDEX(PP_Grid[#Data],$DD82,83),0)</f>
        <v/>
      </c>
      <c r="CH82">
        <f>IFERROR(INDEX(PP_Grid[#Data],$DD82,84),0)</f>
        <v/>
      </c>
      <c r="CI82">
        <f>IFERROR(INDEX(PP_Grid[#Data],$DD82,85),0)</f>
        <v/>
      </c>
      <c r="CJ82">
        <f>IFERROR(INDEX(PP_Grid[#Data],$DD82,86),0)</f>
        <v/>
      </c>
      <c r="CK82">
        <f>IFERROR(INDEX(PP_Grid[#Data],$DD82,87),0)</f>
        <v/>
      </c>
      <c r="CL82">
        <f>IFERROR(INDEX(PP_Grid[#Data],$DD82,88),0)</f>
        <v/>
      </c>
      <c r="CM82">
        <f>IFERROR(INDEX(PP_Grid[#Data],$DD82,89),0)</f>
        <v/>
      </c>
      <c r="CN82">
        <f>IFERROR(INDEX(PP_Grid[#Data],$DD82,90),0)</f>
        <v/>
      </c>
      <c r="CO82">
        <f>IFERROR(INDEX(PP_Grid[#Data],$DD82,91),0)</f>
        <v/>
      </c>
      <c r="CP82">
        <f>IFERROR(INDEX(PP_Grid[#Data],$DD82,92),0)</f>
        <v/>
      </c>
      <c r="CQ82">
        <f>IFERROR(INDEX(PP_Grid[#Data],$DD82,93),0)</f>
        <v/>
      </c>
      <c r="CR82">
        <f>IFERROR(INDEX(PP_Grid[#Data],$DD82,94),0)</f>
        <v/>
      </c>
      <c r="CS82">
        <f>IFERROR(INDEX(PP_Grid[#Data],$DD82,95),0)</f>
        <v/>
      </c>
      <c r="CT82">
        <f>IFERROR(INDEX(PP_Grid[#Data],$DD82,96),0)</f>
        <v/>
      </c>
      <c r="CU82">
        <f>IFERROR(INDEX(PP_Grid[#Data],$DD82,97),0)</f>
        <v/>
      </c>
      <c r="CV82">
        <f>IFERROR(INDEX(PP_Grid[#Data],$DD82,98),0)</f>
        <v/>
      </c>
      <c r="CW82">
        <f>IFERROR(INDEX(PP_Grid[#Data],$DD82,99),0)</f>
        <v/>
      </c>
      <c r="CX82">
        <f>IFERROR(INDEX(PP_Grid[#Data],$DD82,100),0)</f>
        <v/>
      </c>
      <c r="CY82">
        <f>IFERROR(INDEX(PP_Grid[#Data],$DD82,101),0)</f>
        <v/>
      </c>
      <c r="CZ82">
        <f>IFERROR(INDEX(PP_Grid[#Data],$DD82,102),0)</f>
        <v/>
      </c>
      <c r="DA82">
        <f>IFERROR(INDEX(PP_Grid[#Data],$DD82,103),0)</f>
        <v/>
      </c>
      <c r="DB82">
        <f>IFERROR(INDEX(PP_Grid[#Data],$DD82,104),0)</f>
        <v/>
      </c>
      <c r="DC82">
        <f>IFERROR(INDEX(PP_Grid[#Data],$DD82,105),0)</f>
        <v/>
      </c>
      <c r="DD82" s="12">
        <f>IFERROR(MATCH($B82,PP_Grid[Intermediate],0),99999)</f>
        <v/>
      </c>
    </row>
    <row r="83">
      <c r="B83" t="inlineStr">
        <is>
          <t>使用量(kg)</t>
        </is>
      </c>
      <c r="C83">
        <f>SUMIFS(M_BOM[RM_Qty_Per_Batch],M_BOM[Intermediate],$B82,M_BOM[Part Name],$A65)</f>
        <v/>
      </c>
      <c r="D83">
        <f>$C83*D82</f>
        <v/>
      </c>
      <c r="E83">
        <f>$C83*E82</f>
        <v/>
      </c>
      <c r="F83">
        <f>$C83*F82</f>
        <v/>
      </c>
      <c r="G83">
        <f>$C83*G82</f>
        <v/>
      </c>
      <c r="H83">
        <f>$C83*H82</f>
        <v/>
      </c>
      <c r="I83">
        <f>$C83*I82</f>
        <v/>
      </c>
      <c r="J83">
        <f>$C83*J82</f>
        <v/>
      </c>
      <c r="K83">
        <f>$C83*K82</f>
        <v/>
      </c>
      <c r="L83">
        <f>$C83*L82</f>
        <v/>
      </c>
      <c r="M83">
        <f>$C83*M82</f>
        <v/>
      </c>
      <c r="N83">
        <f>$C83*N82</f>
        <v/>
      </c>
      <c r="O83">
        <f>$C83*O82</f>
        <v/>
      </c>
      <c r="P83">
        <f>$C83*P82</f>
        <v/>
      </c>
      <c r="Q83">
        <f>$C83*Q82</f>
        <v/>
      </c>
      <c r="R83">
        <f>$C83*R82</f>
        <v/>
      </c>
      <c r="S83">
        <f>$C83*S82</f>
        <v/>
      </c>
      <c r="T83">
        <f>$C83*T82</f>
        <v/>
      </c>
      <c r="U83">
        <f>$C83*U82</f>
        <v/>
      </c>
      <c r="V83">
        <f>$C83*V82</f>
        <v/>
      </c>
      <c r="W83">
        <f>$C83*W82</f>
        <v/>
      </c>
      <c r="X83">
        <f>$C83*X82</f>
        <v/>
      </c>
      <c r="Y83">
        <f>$C83*Y82</f>
        <v/>
      </c>
      <c r="Z83">
        <f>$C83*Z82</f>
        <v/>
      </c>
      <c r="AA83">
        <f>$C83*AA82</f>
        <v/>
      </c>
      <c r="AB83">
        <f>$C83*AB82</f>
        <v/>
      </c>
      <c r="AC83">
        <f>$C83*AC82</f>
        <v/>
      </c>
      <c r="AD83">
        <f>$C83*AD82</f>
        <v/>
      </c>
      <c r="AE83">
        <f>$C83*AE82</f>
        <v/>
      </c>
      <c r="AF83">
        <f>$C83*AF82</f>
        <v/>
      </c>
      <c r="AG83">
        <f>$C83*AG82</f>
        <v/>
      </c>
      <c r="AH83">
        <f>$C83*AH82</f>
        <v/>
      </c>
      <c r="AI83">
        <f>$C83*AI82</f>
        <v/>
      </c>
      <c r="AJ83">
        <f>$C83*AJ82</f>
        <v/>
      </c>
      <c r="AK83">
        <f>$C83*AK82</f>
        <v/>
      </c>
      <c r="AL83">
        <f>$C83*AL82</f>
        <v/>
      </c>
      <c r="AM83">
        <f>$C83*AM82</f>
        <v/>
      </c>
      <c r="AN83">
        <f>$C83*AN82</f>
        <v/>
      </c>
      <c r="AO83">
        <f>$C83*AO82</f>
        <v/>
      </c>
      <c r="AP83">
        <f>$C83*AP82</f>
        <v/>
      </c>
      <c r="AQ83">
        <f>$C83*AQ82</f>
        <v/>
      </c>
      <c r="AR83">
        <f>$C83*AR82</f>
        <v/>
      </c>
      <c r="AS83">
        <f>$C83*AS82</f>
        <v/>
      </c>
      <c r="AT83">
        <f>$C83*AT82</f>
        <v/>
      </c>
      <c r="AU83">
        <f>$C83*AU82</f>
        <v/>
      </c>
      <c r="AV83">
        <f>$C83*AV82</f>
        <v/>
      </c>
      <c r="AW83">
        <f>$C83*AW82</f>
        <v/>
      </c>
      <c r="AX83">
        <f>$C83*AX82</f>
        <v/>
      </c>
      <c r="AY83">
        <f>$C83*AY82</f>
        <v/>
      </c>
      <c r="AZ83">
        <f>$C83*AZ82</f>
        <v/>
      </c>
      <c r="BA83">
        <f>$C83*BA82</f>
        <v/>
      </c>
      <c r="BB83">
        <f>$C83*BB82</f>
        <v/>
      </c>
      <c r="BC83">
        <f>$C83*BC82</f>
        <v/>
      </c>
      <c r="BD83">
        <f>$C83*BD82</f>
        <v/>
      </c>
      <c r="BE83">
        <f>$C83*BE82</f>
        <v/>
      </c>
      <c r="BF83">
        <f>$C83*BF82</f>
        <v/>
      </c>
      <c r="BG83">
        <f>$C83*BG82</f>
        <v/>
      </c>
      <c r="BH83">
        <f>$C83*BH82</f>
        <v/>
      </c>
      <c r="BI83">
        <f>$C83*BI82</f>
        <v/>
      </c>
      <c r="BJ83">
        <f>$C83*BJ82</f>
        <v/>
      </c>
      <c r="BK83">
        <f>$C83*BK82</f>
        <v/>
      </c>
      <c r="BL83">
        <f>$C83*BL82</f>
        <v/>
      </c>
      <c r="BM83">
        <f>$C83*BM82</f>
        <v/>
      </c>
      <c r="BN83">
        <f>$C83*BN82</f>
        <v/>
      </c>
      <c r="BO83">
        <f>$C83*BO82</f>
        <v/>
      </c>
      <c r="BP83">
        <f>$C83*BP82</f>
        <v/>
      </c>
      <c r="BQ83">
        <f>$C83*BQ82</f>
        <v/>
      </c>
      <c r="BR83">
        <f>$C83*BR82</f>
        <v/>
      </c>
      <c r="BS83">
        <f>$C83*BS82</f>
        <v/>
      </c>
      <c r="BT83">
        <f>$C83*BT82</f>
        <v/>
      </c>
      <c r="BU83">
        <f>$C83*BU82</f>
        <v/>
      </c>
      <c r="BV83">
        <f>$C83*BV82</f>
        <v/>
      </c>
      <c r="BW83">
        <f>$C83*BW82</f>
        <v/>
      </c>
      <c r="BX83">
        <f>$C83*BX82</f>
        <v/>
      </c>
      <c r="BY83">
        <f>$C83*BY82</f>
        <v/>
      </c>
      <c r="BZ83">
        <f>$C83*BZ82</f>
        <v/>
      </c>
      <c r="CA83">
        <f>$C83*CA82</f>
        <v/>
      </c>
      <c r="CB83">
        <f>$C83*CB82</f>
        <v/>
      </c>
      <c r="CC83">
        <f>$C83*CC82</f>
        <v/>
      </c>
      <c r="CD83">
        <f>$C83*CD82</f>
        <v/>
      </c>
      <c r="CE83">
        <f>$C83*CE82</f>
        <v/>
      </c>
      <c r="CF83">
        <f>$C83*CF82</f>
        <v/>
      </c>
      <c r="CG83">
        <f>$C83*CG82</f>
        <v/>
      </c>
      <c r="CH83">
        <f>$C83*CH82</f>
        <v/>
      </c>
      <c r="CI83">
        <f>$C83*CI82</f>
        <v/>
      </c>
      <c r="CJ83">
        <f>$C83*CJ82</f>
        <v/>
      </c>
      <c r="CK83">
        <f>$C83*CK82</f>
        <v/>
      </c>
      <c r="CL83">
        <f>$C83*CL82</f>
        <v/>
      </c>
      <c r="CM83">
        <f>$C83*CM82</f>
        <v/>
      </c>
      <c r="CN83">
        <f>$C83*CN82</f>
        <v/>
      </c>
      <c r="CO83">
        <f>$C83*CO82</f>
        <v/>
      </c>
      <c r="CP83">
        <f>$C83*CP82</f>
        <v/>
      </c>
      <c r="CQ83">
        <f>$C83*CQ82</f>
        <v/>
      </c>
      <c r="CR83">
        <f>$C83*CR82</f>
        <v/>
      </c>
      <c r="CS83">
        <f>$C83*CS82</f>
        <v/>
      </c>
      <c r="CT83">
        <f>$C83*CT82</f>
        <v/>
      </c>
      <c r="CU83">
        <f>$C83*CU82</f>
        <v/>
      </c>
      <c r="CV83">
        <f>$C83*CV82</f>
        <v/>
      </c>
      <c r="CW83">
        <f>$C83*CW82</f>
        <v/>
      </c>
      <c r="CX83">
        <f>$C83*CX82</f>
        <v/>
      </c>
      <c r="CY83">
        <f>$C83*CY82</f>
        <v/>
      </c>
      <c r="CZ83">
        <f>$C83*CZ82</f>
        <v/>
      </c>
      <c r="DA83">
        <f>$C83*DA82</f>
        <v/>
      </c>
      <c r="DB83">
        <f>$C83*DB82</f>
        <v/>
      </c>
      <c r="DC83">
        <f>$C83*DC82</f>
        <v/>
      </c>
    </row>
    <row r="84">
      <c r="B84" t="inlineStr">
        <is>
          <t>TSP-620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Name],$A65)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t="inlineStr">
        <is>
          <t>TSP-623</t>
        </is>
      </c>
      <c r="C86" t="inlineStr">
        <is>
          <t>No. of batches</t>
        </is>
      </c>
      <c r="D86">
        <f>IFERROR(INDEX(PP_Grid[#Data],$DD86,2),0)</f>
        <v/>
      </c>
      <c r="E86">
        <f>IFERROR(INDEX(PP_Grid[#Data],$DD86,3),0)</f>
        <v/>
      </c>
      <c r="F86">
        <f>IFERROR(INDEX(PP_Grid[#Data],$DD86,4),0)</f>
        <v/>
      </c>
      <c r="G86">
        <f>IFERROR(INDEX(PP_Grid[#Data],$DD86,5),0)</f>
        <v/>
      </c>
      <c r="H86">
        <f>IFERROR(INDEX(PP_Grid[#Data],$DD86,6),0)</f>
        <v/>
      </c>
      <c r="I86">
        <f>IFERROR(INDEX(PP_Grid[#Data],$DD86,7),0)</f>
        <v/>
      </c>
      <c r="J86">
        <f>IFERROR(INDEX(PP_Grid[#Data],$DD86,8),0)</f>
        <v/>
      </c>
      <c r="K86">
        <f>IFERROR(INDEX(PP_Grid[#Data],$DD86,9),0)</f>
        <v/>
      </c>
      <c r="L86">
        <f>IFERROR(INDEX(PP_Grid[#Data],$DD86,10),0)</f>
        <v/>
      </c>
      <c r="M86">
        <f>IFERROR(INDEX(PP_Grid[#Data],$DD86,11),0)</f>
        <v/>
      </c>
      <c r="N86">
        <f>IFERROR(INDEX(PP_Grid[#Data],$DD86,12),0)</f>
        <v/>
      </c>
      <c r="O86">
        <f>IFERROR(INDEX(PP_Grid[#Data],$DD86,13),0)</f>
        <v/>
      </c>
      <c r="P86">
        <f>IFERROR(INDEX(PP_Grid[#Data],$DD86,14),0)</f>
        <v/>
      </c>
      <c r="Q86">
        <f>IFERROR(INDEX(PP_Grid[#Data],$DD86,15),0)</f>
        <v/>
      </c>
      <c r="R86">
        <f>IFERROR(INDEX(PP_Grid[#Data],$DD86,16),0)</f>
        <v/>
      </c>
      <c r="S86">
        <f>IFERROR(INDEX(PP_Grid[#Data],$DD86,17),0)</f>
        <v/>
      </c>
      <c r="T86">
        <f>IFERROR(INDEX(PP_Grid[#Data],$DD86,18),0)</f>
        <v/>
      </c>
      <c r="U86">
        <f>IFERROR(INDEX(PP_Grid[#Data],$DD86,19),0)</f>
        <v/>
      </c>
      <c r="V86">
        <f>IFERROR(INDEX(PP_Grid[#Data],$DD86,20),0)</f>
        <v/>
      </c>
      <c r="W86">
        <f>IFERROR(INDEX(PP_Grid[#Data],$DD86,21),0)</f>
        <v/>
      </c>
      <c r="X86">
        <f>IFERROR(INDEX(PP_Grid[#Data],$DD86,22),0)</f>
        <v/>
      </c>
      <c r="Y86">
        <f>IFERROR(INDEX(PP_Grid[#Data],$DD86,23),0)</f>
        <v/>
      </c>
      <c r="Z86">
        <f>IFERROR(INDEX(PP_Grid[#Data],$DD86,24),0)</f>
        <v/>
      </c>
      <c r="AA86">
        <f>IFERROR(INDEX(PP_Grid[#Data],$DD86,25),0)</f>
        <v/>
      </c>
      <c r="AB86">
        <f>IFERROR(INDEX(PP_Grid[#Data],$DD86,26),0)</f>
        <v/>
      </c>
      <c r="AC86">
        <f>IFERROR(INDEX(PP_Grid[#Data],$DD86,27),0)</f>
        <v/>
      </c>
      <c r="AD86">
        <f>IFERROR(INDEX(PP_Grid[#Data],$DD86,28),0)</f>
        <v/>
      </c>
      <c r="AE86">
        <f>IFERROR(INDEX(PP_Grid[#Data],$DD86,29),0)</f>
        <v/>
      </c>
      <c r="AF86">
        <f>IFERROR(INDEX(PP_Grid[#Data],$DD86,30),0)</f>
        <v/>
      </c>
      <c r="AG86">
        <f>IFERROR(INDEX(PP_Grid[#Data],$DD86,31),0)</f>
        <v/>
      </c>
      <c r="AH86">
        <f>IFERROR(INDEX(PP_Grid[#Data],$DD86,32),0)</f>
        <v/>
      </c>
      <c r="AI86">
        <f>IFERROR(INDEX(PP_Grid[#Data],$DD86,33),0)</f>
        <v/>
      </c>
      <c r="AJ86">
        <f>IFERROR(INDEX(PP_Grid[#Data],$DD86,34),0)</f>
        <v/>
      </c>
      <c r="AK86">
        <f>IFERROR(INDEX(PP_Grid[#Data],$DD86,35),0)</f>
        <v/>
      </c>
      <c r="AL86">
        <f>IFERROR(INDEX(PP_Grid[#Data],$DD86,36),0)</f>
        <v/>
      </c>
      <c r="AM86">
        <f>IFERROR(INDEX(PP_Grid[#Data],$DD86,37),0)</f>
        <v/>
      </c>
      <c r="AN86">
        <f>IFERROR(INDEX(PP_Grid[#Data],$DD86,38),0)</f>
        <v/>
      </c>
      <c r="AO86">
        <f>IFERROR(INDEX(PP_Grid[#Data],$DD86,39),0)</f>
        <v/>
      </c>
      <c r="AP86">
        <f>IFERROR(INDEX(PP_Grid[#Data],$DD86,40),0)</f>
        <v/>
      </c>
      <c r="AQ86">
        <f>IFERROR(INDEX(PP_Grid[#Data],$DD86,41),0)</f>
        <v/>
      </c>
      <c r="AR86">
        <f>IFERROR(INDEX(PP_Grid[#Data],$DD86,42),0)</f>
        <v/>
      </c>
      <c r="AS86">
        <f>IFERROR(INDEX(PP_Grid[#Data],$DD86,43),0)</f>
        <v/>
      </c>
      <c r="AT86">
        <f>IFERROR(INDEX(PP_Grid[#Data],$DD86,44),0)</f>
        <v/>
      </c>
      <c r="AU86">
        <f>IFERROR(INDEX(PP_Grid[#Data],$DD86,45),0)</f>
        <v/>
      </c>
      <c r="AV86">
        <f>IFERROR(INDEX(PP_Grid[#Data],$DD86,46),0)</f>
        <v/>
      </c>
      <c r="AW86">
        <f>IFERROR(INDEX(PP_Grid[#Data],$DD86,47),0)</f>
        <v/>
      </c>
      <c r="AX86">
        <f>IFERROR(INDEX(PP_Grid[#Data],$DD86,48),0)</f>
        <v/>
      </c>
      <c r="AY86">
        <f>IFERROR(INDEX(PP_Grid[#Data],$DD86,49),0)</f>
        <v/>
      </c>
      <c r="AZ86">
        <f>IFERROR(INDEX(PP_Grid[#Data],$DD86,50),0)</f>
        <v/>
      </c>
      <c r="BA86">
        <f>IFERROR(INDEX(PP_Grid[#Data],$DD86,51),0)</f>
        <v/>
      </c>
      <c r="BB86">
        <f>IFERROR(INDEX(PP_Grid[#Data],$DD86,52),0)</f>
        <v/>
      </c>
      <c r="BC86">
        <f>IFERROR(INDEX(PP_Grid[#Data],$DD86,53),0)</f>
        <v/>
      </c>
      <c r="BD86">
        <f>IFERROR(INDEX(PP_Grid[#Data],$DD86,54),0)</f>
        <v/>
      </c>
      <c r="BE86">
        <f>IFERROR(INDEX(PP_Grid[#Data],$DD86,55),0)</f>
        <v/>
      </c>
      <c r="BF86">
        <f>IFERROR(INDEX(PP_Grid[#Data],$DD86,56),0)</f>
        <v/>
      </c>
      <c r="BG86">
        <f>IFERROR(INDEX(PP_Grid[#Data],$DD86,57),0)</f>
        <v/>
      </c>
      <c r="BH86">
        <f>IFERROR(INDEX(PP_Grid[#Data],$DD86,58),0)</f>
        <v/>
      </c>
      <c r="BI86">
        <f>IFERROR(INDEX(PP_Grid[#Data],$DD86,59),0)</f>
        <v/>
      </c>
      <c r="BJ86">
        <f>IFERROR(INDEX(PP_Grid[#Data],$DD86,60),0)</f>
        <v/>
      </c>
      <c r="BK86">
        <f>IFERROR(INDEX(PP_Grid[#Data],$DD86,61),0)</f>
        <v/>
      </c>
      <c r="BL86">
        <f>IFERROR(INDEX(PP_Grid[#Data],$DD86,62),0)</f>
        <v/>
      </c>
      <c r="BM86">
        <f>IFERROR(INDEX(PP_Grid[#Data],$DD86,63),0)</f>
        <v/>
      </c>
      <c r="BN86">
        <f>IFERROR(INDEX(PP_Grid[#Data],$DD86,64),0)</f>
        <v/>
      </c>
      <c r="BO86">
        <f>IFERROR(INDEX(PP_Grid[#Data],$DD86,65),0)</f>
        <v/>
      </c>
      <c r="BP86">
        <f>IFERROR(INDEX(PP_Grid[#Data],$DD86,66),0)</f>
        <v/>
      </c>
      <c r="BQ86">
        <f>IFERROR(INDEX(PP_Grid[#Data],$DD86,67),0)</f>
        <v/>
      </c>
      <c r="BR86">
        <f>IFERROR(INDEX(PP_Grid[#Data],$DD86,68),0)</f>
        <v/>
      </c>
      <c r="BS86">
        <f>IFERROR(INDEX(PP_Grid[#Data],$DD86,69),0)</f>
        <v/>
      </c>
      <c r="BT86">
        <f>IFERROR(INDEX(PP_Grid[#Data],$DD86,70),0)</f>
        <v/>
      </c>
      <c r="BU86">
        <f>IFERROR(INDEX(PP_Grid[#Data],$DD86,71),0)</f>
        <v/>
      </c>
      <c r="BV86">
        <f>IFERROR(INDEX(PP_Grid[#Data],$DD86,72),0)</f>
        <v/>
      </c>
      <c r="BW86">
        <f>IFERROR(INDEX(PP_Grid[#Data],$DD86,73),0)</f>
        <v/>
      </c>
      <c r="BX86">
        <f>IFERROR(INDEX(PP_Grid[#Data],$DD86,74),0)</f>
        <v/>
      </c>
      <c r="BY86">
        <f>IFERROR(INDEX(PP_Grid[#Data],$DD86,75),0)</f>
        <v/>
      </c>
      <c r="BZ86">
        <f>IFERROR(INDEX(PP_Grid[#Data],$DD86,76),0)</f>
        <v/>
      </c>
      <c r="CA86">
        <f>IFERROR(INDEX(PP_Grid[#Data],$DD86,77),0)</f>
        <v/>
      </c>
      <c r="CB86">
        <f>IFERROR(INDEX(PP_Grid[#Data],$DD86,78),0)</f>
        <v/>
      </c>
      <c r="CC86">
        <f>IFERROR(INDEX(PP_Grid[#Data],$DD86,79),0)</f>
        <v/>
      </c>
      <c r="CD86">
        <f>IFERROR(INDEX(PP_Grid[#Data],$DD86,80),0)</f>
        <v/>
      </c>
      <c r="CE86">
        <f>IFERROR(INDEX(PP_Grid[#Data],$DD86,81),0)</f>
        <v/>
      </c>
      <c r="CF86">
        <f>IFERROR(INDEX(PP_Grid[#Data],$DD86,82),0)</f>
        <v/>
      </c>
      <c r="CG86">
        <f>IFERROR(INDEX(PP_Grid[#Data],$DD86,83),0)</f>
        <v/>
      </c>
      <c r="CH86">
        <f>IFERROR(INDEX(PP_Grid[#Data],$DD86,84),0)</f>
        <v/>
      </c>
      <c r="CI86">
        <f>IFERROR(INDEX(PP_Grid[#Data],$DD86,85),0)</f>
        <v/>
      </c>
      <c r="CJ86">
        <f>IFERROR(INDEX(PP_Grid[#Data],$DD86,86),0)</f>
        <v/>
      </c>
      <c r="CK86">
        <f>IFERROR(INDEX(PP_Grid[#Data],$DD86,87),0)</f>
        <v/>
      </c>
      <c r="CL86">
        <f>IFERROR(INDEX(PP_Grid[#Data],$DD86,88),0)</f>
        <v/>
      </c>
      <c r="CM86">
        <f>IFERROR(INDEX(PP_Grid[#Data],$DD86,89),0)</f>
        <v/>
      </c>
      <c r="CN86">
        <f>IFERROR(INDEX(PP_Grid[#Data],$DD86,90),0)</f>
        <v/>
      </c>
      <c r="CO86">
        <f>IFERROR(INDEX(PP_Grid[#Data],$DD86,91),0)</f>
        <v/>
      </c>
      <c r="CP86">
        <f>IFERROR(INDEX(PP_Grid[#Data],$DD86,92),0)</f>
        <v/>
      </c>
      <c r="CQ86">
        <f>IFERROR(INDEX(PP_Grid[#Data],$DD86,93),0)</f>
        <v/>
      </c>
      <c r="CR86">
        <f>IFERROR(INDEX(PP_Grid[#Data],$DD86,94),0)</f>
        <v/>
      </c>
      <c r="CS86">
        <f>IFERROR(INDEX(PP_Grid[#Data],$DD86,95),0)</f>
        <v/>
      </c>
      <c r="CT86">
        <f>IFERROR(INDEX(PP_Grid[#Data],$DD86,96),0)</f>
        <v/>
      </c>
      <c r="CU86">
        <f>IFERROR(INDEX(PP_Grid[#Data],$DD86,97),0)</f>
        <v/>
      </c>
      <c r="CV86">
        <f>IFERROR(INDEX(PP_Grid[#Data],$DD86,98),0)</f>
        <v/>
      </c>
      <c r="CW86">
        <f>IFERROR(INDEX(PP_Grid[#Data],$DD86,99),0)</f>
        <v/>
      </c>
      <c r="CX86">
        <f>IFERROR(INDEX(PP_Grid[#Data],$DD86,100),0)</f>
        <v/>
      </c>
      <c r="CY86">
        <f>IFERROR(INDEX(PP_Grid[#Data],$DD86,101),0)</f>
        <v/>
      </c>
      <c r="CZ86">
        <f>IFERROR(INDEX(PP_Grid[#Data],$DD86,102),0)</f>
        <v/>
      </c>
      <c r="DA86">
        <f>IFERROR(INDEX(PP_Grid[#Data],$DD86,103),0)</f>
        <v/>
      </c>
      <c r="DB86">
        <f>IFERROR(INDEX(PP_Grid[#Data],$DD86,104),0)</f>
        <v/>
      </c>
      <c r="DC86">
        <f>IFERROR(INDEX(PP_Grid[#Data],$DD86,105),0)</f>
        <v/>
      </c>
      <c r="DD86" s="12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SUMIFS(M_BOM[RM_Qty_Per_Batch],M_BOM[Intermediate],$B86,M_BOM[Part Name],$A65)</f>
        <v/>
      </c>
      <c r="D87">
        <f>$C87*D86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</row>
    <row r="88">
      <c r="B88" t="inlineStr">
        <is>
          <t>TSP-927</t>
        </is>
      </c>
      <c r="C88" t="inlineStr">
        <is>
          <t>No. of batches</t>
        </is>
      </c>
      <c r="D88">
        <f>IFERROR(INDEX(PP_Grid[#Data],$DD88,2),0)</f>
        <v/>
      </c>
      <c r="E88">
        <f>IFERROR(INDEX(PP_Grid[#Data],$DD88,3),0)</f>
        <v/>
      </c>
      <c r="F88">
        <f>IFERROR(INDEX(PP_Grid[#Data],$DD88,4),0)</f>
        <v/>
      </c>
      <c r="G88">
        <f>IFERROR(INDEX(PP_Grid[#Data],$DD88,5),0)</f>
        <v/>
      </c>
      <c r="H88">
        <f>IFERROR(INDEX(PP_Grid[#Data],$DD88,6),0)</f>
        <v/>
      </c>
      <c r="I88">
        <f>IFERROR(INDEX(PP_Grid[#Data],$DD88,7),0)</f>
        <v/>
      </c>
      <c r="J88">
        <f>IFERROR(INDEX(PP_Grid[#Data],$DD88,8),0)</f>
        <v/>
      </c>
      <c r="K88">
        <f>IFERROR(INDEX(PP_Grid[#Data],$DD88,9),0)</f>
        <v/>
      </c>
      <c r="L88">
        <f>IFERROR(INDEX(PP_Grid[#Data],$DD88,10),0)</f>
        <v/>
      </c>
      <c r="M88">
        <f>IFERROR(INDEX(PP_Grid[#Data],$DD88,11),0)</f>
        <v/>
      </c>
      <c r="N88">
        <f>IFERROR(INDEX(PP_Grid[#Data],$DD88,12),0)</f>
        <v/>
      </c>
      <c r="O88">
        <f>IFERROR(INDEX(PP_Grid[#Data],$DD88,13),0)</f>
        <v/>
      </c>
      <c r="P88">
        <f>IFERROR(INDEX(PP_Grid[#Data],$DD88,14),0)</f>
        <v/>
      </c>
      <c r="Q88">
        <f>IFERROR(INDEX(PP_Grid[#Data],$DD88,15),0)</f>
        <v/>
      </c>
      <c r="R88">
        <f>IFERROR(INDEX(PP_Grid[#Data],$DD88,16),0)</f>
        <v/>
      </c>
      <c r="S88">
        <f>IFERROR(INDEX(PP_Grid[#Data],$DD88,17),0)</f>
        <v/>
      </c>
      <c r="T88">
        <f>IFERROR(INDEX(PP_Grid[#Data],$DD88,18),0)</f>
        <v/>
      </c>
      <c r="U88">
        <f>IFERROR(INDEX(PP_Grid[#Data],$DD88,19),0)</f>
        <v/>
      </c>
      <c r="V88">
        <f>IFERROR(INDEX(PP_Grid[#Data],$DD88,20),0)</f>
        <v/>
      </c>
      <c r="W88">
        <f>IFERROR(INDEX(PP_Grid[#Data],$DD88,21),0)</f>
        <v/>
      </c>
      <c r="X88">
        <f>IFERROR(INDEX(PP_Grid[#Data],$DD88,22),0)</f>
        <v/>
      </c>
      <c r="Y88">
        <f>IFERROR(INDEX(PP_Grid[#Data],$DD88,23),0)</f>
        <v/>
      </c>
      <c r="Z88">
        <f>IFERROR(INDEX(PP_Grid[#Data],$DD88,24),0)</f>
        <v/>
      </c>
      <c r="AA88">
        <f>IFERROR(INDEX(PP_Grid[#Data],$DD88,25),0)</f>
        <v/>
      </c>
      <c r="AB88">
        <f>IFERROR(INDEX(PP_Grid[#Data],$DD88,26),0)</f>
        <v/>
      </c>
      <c r="AC88">
        <f>IFERROR(INDEX(PP_Grid[#Data],$DD88,27),0)</f>
        <v/>
      </c>
      <c r="AD88">
        <f>IFERROR(INDEX(PP_Grid[#Data],$DD88,28),0)</f>
        <v/>
      </c>
      <c r="AE88">
        <f>IFERROR(INDEX(PP_Grid[#Data],$DD88,29),0)</f>
        <v/>
      </c>
      <c r="AF88">
        <f>IFERROR(INDEX(PP_Grid[#Data],$DD88,30),0)</f>
        <v/>
      </c>
      <c r="AG88">
        <f>IFERROR(INDEX(PP_Grid[#Data],$DD88,31),0)</f>
        <v/>
      </c>
      <c r="AH88">
        <f>IFERROR(INDEX(PP_Grid[#Data],$DD88,32),0)</f>
        <v/>
      </c>
      <c r="AI88">
        <f>IFERROR(INDEX(PP_Grid[#Data],$DD88,33),0)</f>
        <v/>
      </c>
      <c r="AJ88">
        <f>IFERROR(INDEX(PP_Grid[#Data],$DD88,34),0)</f>
        <v/>
      </c>
      <c r="AK88">
        <f>IFERROR(INDEX(PP_Grid[#Data],$DD88,35),0)</f>
        <v/>
      </c>
      <c r="AL88">
        <f>IFERROR(INDEX(PP_Grid[#Data],$DD88,36),0)</f>
        <v/>
      </c>
      <c r="AM88">
        <f>IFERROR(INDEX(PP_Grid[#Data],$DD88,37),0)</f>
        <v/>
      </c>
      <c r="AN88">
        <f>IFERROR(INDEX(PP_Grid[#Data],$DD88,38),0)</f>
        <v/>
      </c>
      <c r="AO88">
        <f>IFERROR(INDEX(PP_Grid[#Data],$DD88,39),0)</f>
        <v/>
      </c>
      <c r="AP88">
        <f>IFERROR(INDEX(PP_Grid[#Data],$DD88,40),0)</f>
        <v/>
      </c>
      <c r="AQ88">
        <f>IFERROR(INDEX(PP_Grid[#Data],$DD88,41),0)</f>
        <v/>
      </c>
      <c r="AR88">
        <f>IFERROR(INDEX(PP_Grid[#Data],$DD88,42),0)</f>
        <v/>
      </c>
      <c r="AS88">
        <f>IFERROR(INDEX(PP_Grid[#Data],$DD88,43),0)</f>
        <v/>
      </c>
      <c r="AT88">
        <f>IFERROR(INDEX(PP_Grid[#Data],$DD88,44),0)</f>
        <v/>
      </c>
      <c r="AU88">
        <f>IFERROR(INDEX(PP_Grid[#Data],$DD88,45),0)</f>
        <v/>
      </c>
      <c r="AV88">
        <f>IFERROR(INDEX(PP_Grid[#Data],$DD88,46),0)</f>
        <v/>
      </c>
      <c r="AW88">
        <f>IFERROR(INDEX(PP_Grid[#Data],$DD88,47),0)</f>
        <v/>
      </c>
      <c r="AX88">
        <f>IFERROR(INDEX(PP_Grid[#Data],$DD88,48),0)</f>
        <v/>
      </c>
      <c r="AY88">
        <f>IFERROR(INDEX(PP_Grid[#Data],$DD88,49),0)</f>
        <v/>
      </c>
      <c r="AZ88">
        <f>IFERROR(INDEX(PP_Grid[#Data],$DD88,50),0)</f>
        <v/>
      </c>
      <c r="BA88">
        <f>IFERROR(INDEX(PP_Grid[#Data],$DD88,51),0)</f>
        <v/>
      </c>
      <c r="BB88">
        <f>IFERROR(INDEX(PP_Grid[#Data],$DD88,52),0)</f>
        <v/>
      </c>
      <c r="BC88">
        <f>IFERROR(INDEX(PP_Grid[#Data],$DD88,53),0)</f>
        <v/>
      </c>
      <c r="BD88">
        <f>IFERROR(INDEX(PP_Grid[#Data],$DD88,54),0)</f>
        <v/>
      </c>
      <c r="BE88">
        <f>IFERROR(INDEX(PP_Grid[#Data],$DD88,55),0)</f>
        <v/>
      </c>
      <c r="BF88">
        <f>IFERROR(INDEX(PP_Grid[#Data],$DD88,56),0)</f>
        <v/>
      </c>
      <c r="BG88">
        <f>IFERROR(INDEX(PP_Grid[#Data],$DD88,57),0)</f>
        <v/>
      </c>
      <c r="BH88">
        <f>IFERROR(INDEX(PP_Grid[#Data],$DD88,58),0)</f>
        <v/>
      </c>
      <c r="BI88">
        <f>IFERROR(INDEX(PP_Grid[#Data],$DD88,59),0)</f>
        <v/>
      </c>
      <c r="BJ88">
        <f>IFERROR(INDEX(PP_Grid[#Data],$DD88,60),0)</f>
        <v/>
      </c>
      <c r="BK88">
        <f>IFERROR(INDEX(PP_Grid[#Data],$DD88,61),0)</f>
        <v/>
      </c>
      <c r="BL88">
        <f>IFERROR(INDEX(PP_Grid[#Data],$DD88,62),0)</f>
        <v/>
      </c>
      <c r="BM88">
        <f>IFERROR(INDEX(PP_Grid[#Data],$DD88,63),0)</f>
        <v/>
      </c>
      <c r="BN88">
        <f>IFERROR(INDEX(PP_Grid[#Data],$DD88,64),0)</f>
        <v/>
      </c>
      <c r="BO88">
        <f>IFERROR(INDEX(PP_Grid[#Data],$DD88,65),0)</f>
        <v/>
      </c>
      <c r="BP88">
        <f>IFERROR(INDEX(PP_Grid[#Data],$DD88,66),0)</f>
        <v/>
      </c>
      <c r="BQ88">
        <f>IFERROR(INDEX(PP_Grid[#Data],$DD88,67),0)</f>
        <v/>
      </c>
      <c r="BR88">
        <f>IFERROR(INDEX(PP_Grid[#Data],$DD88,68),0)</f>
        <v/>
      </c>
      <c r="BS88">
        <f>IFERROR(INDEX(PP_Grid[#Data],$DD88,69),0)</f>
        <v/>
      </c>
      <c r="BT88">
        <f>IFERROR(INDEX(PP_Grid[#Data],$DD88,70),0)</f>
        <v/>
      </c>
      <c r="BU88">
        <f>IFERROR(INDEX(PP_Grid[#Data],$DD88,71),0)</f>
        <v/>
      </c>
      <c r="BV88">
        <f>IFERROR(INDEX(PP_Grid[#Data],$DD88,72),0)</f>
        <v/>
      </c>
      <c r="BW88">
        <f>IFERROR(INDEX(PP_Grid[#Data],$DD88,73),0)</f>
        <v/>
      </c>
      <c r="BX88">
        <f>IFERROR(INDEX(PP_Grid[#Data],$DD88,74),0)</f>
        <v/>
      </c>
      <c r="BY88">
        <f>IFERROR(INDEX(PP_Grid[#Data],$DD88,75),0)</f>
        <v/>
      </c>
      <c r="BZ88">
        <f>IFERROR(INDEX(PP_Grid[#Data],$DD88,76),0)</f>
        <v/>
      </c>
      <c r="CA88">
        <f>IFERROR(INDEX(PP_Grid[#Data],$DD88,77),0)</f>
        <v/>
      </c>
      <c r="CB88">
        <f>IFERROR(INDEX(PP_Grid[#Data],$DD88,78),0)</f>
        <v/>
      </c>
      <c r="CC88">
        <f>IFERROR(INDEX(PP_Grid[#Data],$DD88,79),0)</f>
        <v/>
      </c>
      <c r="CD88">
        <f>IFERROR(INDEX(PP_Grid[#Data],$DD88,80),0)</f>
        <v/>
      </c>
      <c r="CE88">
        <f>IFERROR(INDEX(PP_Grid[#Data],$DD88,81),0)</f>
        <v/>
      </c>
      <c r="CF88">
        <f>IFERROR(INDEX(PP_Grid[#Data],$DD88,82),0)</f>
        <v/>
      </c>
      <c r="CG88">
        <f>IFERROR(INDEX(PP_Grid[#Data],$DD88,83),0)</f>
        <v/>
      </c>
      <c r="CH88">
        <f>IFERROR(INDEX(PP_Grid[#Data],$DD88,84),0)</f>
        <v/>
      </c>
      <c r="CI88">
        <f>IFERROR(INDEX(PP_Grid[#Data],$DD88,85),0)</f>
        <v/>
      </c>
      <c r="CJ88">
        <f>IFERROR(INDEX(PP_Grid[#Data],$DD88,86),0)</f>
        <v/>
      </c>
      <c r="CK88">
        <f>IFERROR(INDEX(PP_Grid[#Data],$DD88,87),0)</f>
        <v/>
      </c>
      <c r="CL88">
        <f>IFERROR(INDEX(PP_Grid[#Data],$DD88,88),0)</f>
        <v/>
      </c>
      <c r="CM88">
        <f>IFERROR(INDEX(PP_Grid[#Data],$DD88,89),0)</f>
        <v/>
      </c>
      <c r="CN88">
        <f>IFERROR(INDEX(PP_Grid[#Data],$DD88,90),0)</f>
        <v/>
      </c>
      <c r="CO88">
        <f>IFERROR(INDEX(PP_Grid[#Data],$DD88,91),0)</f>
        <v/>
      </c>
      <c r="CP88">
        <f>IFERROR(INDEX(PP_Grid[#Data],$DD88,92),0)</f>
        <v/>
      </c>
      <c r="CQ88">
        <f>IFERROR(INDEX(PP_Grid[#Data],$DD88,93),0)</f>
        <v/>
      </c>
      <c r="CR88">
        <f>IFERROR(INDEX(PP_Grid[#Data],$DD88,94),0)</f>
        <v/>
      </c>
      <c r="CS88">
        <f>IFERROR(INDEX(PP_Grid[#Data],$DD88,95),0)</f>
        <v/>
      </c>
      <c r="CT88">
        <f>IFERROR(INDEX(PP_Grid[#Data],$DD88,96),0)</f>
        <v/>
      </c>
      <c r="CU88">
        <f>IFERROR(INDEX(PP_Grid[#Data],$DD88,97),0)</f>
        <v/>
      </c>
      <c r="CV88">
        <f>IFERROR(INDEX(PP_Grid[#Data],$DD88,98),0)</f>
        <v/>
      </c>
      <c r="CW88">
        <f>IFERROR(INDEX(PP_Grid[#Data],$DD88,99),0)</f>
        <v/>
      </c>
      <c r="CX88">
        <f>IFERROR(INDEX(PP_Grid[#Data],$DD88,100),0)</f>
        <v/>
      </c>
      <c r="CY88">
        <f>IFERROR(INDEX(PP_Grid[#Data],$DD88,101),0)</f>
        <v/>
      </c>
      <c r="CZ88">
        <f>IFERROR(INDEX(PP_Grid[#Data],$DD88,102),0)</f>
        <v/>
      </c>
      <c r="DA88">
        <f>IFERROR(INDEX(PP_Grid[#Data],$DD88,103),0)</f>
        <v/>
      </c>
      <c r="DB88">
        <f>IFERROR(INDEX(PP_Grid[#Data],$DD88,104),0)</f>
        <v/>
      </c>
      <c r="DC88">
        <f>IFERROR(INDEX(PP_Grid[#Data],$DD88,105),0)</f>
        <v/>
      </c>
      <c r="DD88" s="12">
        <f>IFERROR(MATCH($B88,PP_Grid[Intermediate],0),99999)</f>
        <v/>
      </c>
    </row>
    <row r="89">
      <c r="B89" t="inlineStr">
        <is>
          <t>使用量(kg)</t>
        </is>
      </c>
      <c r="C89">
        <f>SUMIFS(M_BOM[RM_Qty_Per_Batch],M_BOM[Intermediate],$B88,M_BOM[Part Name],$A65)</f>
        <v/>
      </c>
      <c r="D89">
        <f>$C89*D88</f>
        <v/>
      </c>
      <c r="E89">
        <f>$C89*E88</f>
        <v/>
      </c>
      <c r="F89">
        <f>$C89*F88</f>
        <v/>
      </c>
      <c r="G89">
        <f>$C89*G88</f>
        <v/>
      </c>
      <c r="H89">
        <f>$C89*H88</f>
        <v/>
      </c>
      <c r="I89">
        <f>$C89*I88</f>
        <v/>
      </c>
      <c r="J89">
        <f>$C89*J88</f>
        <v/>
      </c>
      <c r="K89">
        <f>$C89*K88</f>
        <v/>
      </c>
      <c r="L89">
        <f>$C89*L88</f>
        <v/>
      </c>
      <c r="M89">
        <f>$C89*M88</f>
        <v/>
      </c>
      <c r="N89">
        <f>$C89*N88</f>
        <v/>
      </c>
      <c r="O89">
        <f>$C89*O88</f>
        <v/>
      </c>
      <c r="P89">
        <f>$C89*P88</f>
        <v/>
      </c>
      <c r="Q89">
        <f>$C89*Q88</f>
        <v/>
      </c>
      <c r="R89">
        <f>$C89*R88</f>
        <v/>
      </c>
      <c r="S89">
        <f>$C89*S88</f>
        <v/>
      </c>
      <c r="T89">
        <f>$C89*T88</f>
        <v/>
      </c>
      <c r="U89">
        <f>$C89*U88</f>
        <v/>
      </c>
      <c r="V89">
        <f>$C89*V88</f>
        <v/>
      </c>
      <c r="W89">
        <f>$C89*W88</f>
        <v/>
      </c>
      <c r="X89">
        <f>$C89*X88</f>
        <v/>
      </c>
      <c r="Y89">
        <f>$C89*Y88</f>
        <v/>
      </c>
      <c r="Z89">
        <f>$C89*Z88</f>
        <v/>
      </c>
      <c r="AA89">
        <f>$C89*AA88</f>
        <v/>
      </c>
      <c r="AB89">
        <f>$C89*AB88</f>
        <v/>
      </c>
      <c r="AC89">
        <f>$C89*AC88</f>
        <v/>
      </c>
      <c r="AD89">
        <f>$C89*AD88</f>
        <v/>
      </c>
      <c r="AE89">
        <f>$C89*AE88</f>
        <v/>
      </c>
      <c r="AF89">
        <f>$C89*AF88</f>
        <v/>
      </c>
      <c r="AG89">
        <f>$C89*AG88</f>
        <v/>
      </c>
      <c r="AH89">
        <f>$C89*AH88</f>
        <v/>
      </c>
      <c r="AI89">
        <f>$C89*AI88</f>
        <v/>
      </c>
      <c r="AJ89">
        <f>$C89*AJ88</f>
        <v/>
      </c>
      <c r="AK89">
        <f>$C89*AK88</f>
        <v/>
      </c>
      <c r="AL89">
        <f>$C89*AL88</f>
        <v/>
      </c>
      <c r="AM89">
        <f>$C89*AM88</f>
        <v/>
      </c>
      <c r="AN89">
        <f>$C89*AN88</f>
        <v/>
      </c>
      <c r="AO89">
        <f>$C89*AO88</f>
        <v/>
      </c>
      <c r="AP89">
        <f>$C89*AP88</f>
        <v/>
      </c>
      <c r="AQ89">
        <f>$C89*AQ88</f>
        <v/>
      </c>
      <c r="AR89">
        <f>$C89*AR88</f>
        <v/>
      </c>
      <c r="AS89">
        <f>$C89*AS88</f>
        <v/>
      </c>
      <c r="AT89">
        <f>$C89*AT88</f>
        <v/>
      </c>
      <c r="AU89">
        <f>$C89*AU88</f>
        <v/>
      </c>
      <c r="AV89">
        <f>$C89*AV88</f>
        <v/>
      </c>
      <c r="AW89">
        <f>$C89*AW88</f>
        <v/>
      </c>
      <c r="AX89">
        <f>$C89*AX88</f>
        <v/>
      </c>
      <c r="AY89">
        <f>$C89*AY88</f>
        <v/>
      </c>
      <c r="AZ89">
        <f>$C89*AZ88</f>
        <v/>
      </c>
      <c r="BA89">
        <f>$C89*BA88</f>
        <v/>
      </c>
      <c r="BB89">
        <f>$C89*BB88</f>
        <v/>
      </c>
      <c r="BC89">
        <f>$C89*BC88</f>
        <v/>
      </c>
      <c r="BD89">
        <f>$C89*BD88</f>
        <v/>
      </c>
      <c r="BE89">
        <f>$C89*BE88</f>
        <v/>
      </c>
      <c r="BF89">
        <f>$C89*BF88</f>
        <v/>
      </c>
      <c r="BG89">
        <f>$C89*BG88</f>
        <v/>
      </c>
      <c r="BH89">
        <f>$C89*BH88</f>
        <v/>
      </c>
      <c r="BI89">
        <f>$C89*BI88</f>
        <v/>
      </c>
      <c r="BJ89">
        <f>$C89*BJ88</f>
        <v/>
      </c>
      <c r="BK89">
        <f>$C89*BK88</f>
        <v/>
      </c>
      <c r="BL89">
        <f>$C89*BL88</f>
        <v/>
      </c>
      <c r="BM89">
        <f>$C89*BM88</f>
        <v/>
      </c>
      <c r="BN89">
        <f>$C89*BN88</f>
        <v/>
      </c>
      <c r="BO89">
        <f>$C89*BO88</f>
        <v/>
      </c>
      <c r="BP89">
        <f>$C89*BP88</f>
        <v/>
      </c>
      <c r="BQ89">
        <f>$C89*BQ88</f>
        <v/>
      </c>
      <c r="BR89">
        <f>$C89*BR88</f>
        <v/>
      </c>
      <c r="BS89">
        <f>$C89*BS88</f>
        <v/>
      </c>
      <c r="BT89">
        <f>$C89*BT88</f>
        <v/>
      </c>
      <c r="BU89">
        <f>$C89*BU88</f>
        <v/>
      </c>
      <c r="BV89">
        <f>$C89*BV88</f>
        <v/>
      </c>
      <c r="BW89">
        <f>$C89*BW88</f>
        <v/>
      </c>
      <c r="BX89">
        <f>$C89*BX88</f>
        <v/>
      </c>
      <c r="BY89">
        <f>$C89*BY88</f>
        <v/>
      </c>
      <c r="BZ89">
        <f>$C89*BZ88</f>
        <v/>
      </c>
      <c r="CA89">
        <f>$C89*CA88</f>
        <v/>
      </c>
      <c r="CB89">
        <f>$C89*CB88</f>
        <v/>
      </c>
      <c r="CC89">
        <f>$C89*CC88</f>
        <v/>
      </c>
      <c r="CD89">
        <f>$C89*CD88</f>
        <v/>
      </c>
      <c r="CE89">
        <f>$C89*CE88</f>
        <v/>
      </c>
      <c r="CF89">
        <f>$C89*CF88</f>
        <v/>
      </c>
      <c r="CG89">
        <f>$C89*CG88</f>
        <v/>
      </c>
      <c r="CH89">
        <f>$C89*CH88</f>
        <v/>
      </c>
      <c r="CI89">
        <f>$C89*CI88</f>
        <v/>
      </c>
      <c r="CJ89">
        <f>$C89*CJ88</f>
        <v/>
      </c>
      <c r="CK89">
        <f>$C89*CK88</f>
        <v/>
      </c>
      <c r="CL89">
        <f>$C89*CL88</f>
        <v/>
      </c>
      <c r="CM89">
        <f>$C89*CM88</f>
        <v/>
      </c>
      <c r="CN89">
        <f>$C89*CN88</f>
        <v/>
      </c>
      <c r="CO89">
        <f>$C89*CO88</f>
        <v/>
      </c>
      <c r="CP89">
        <f>$C89*CP88</f>
        <v/>
      </c>
      <c r="CQ89">
        <f>$C89*CQ88</f>
        <v/>
      </c>
      <c r="CR89">
        <f>$C89*CR88</f>
        <v/>
      </c>
      <c r="CS89">
        <f>$C89*CS88</f>
        <v/>
      </c>
      <c r="CT89">
        <f>$C89*CT88</f>
        <v/>
      </c>
      <c r="CU89">
        <f>$C89*CU88</f>
        <v/>
      </c>
      <c r="CV89">
        <f>$C89*CV88</f>
        <v/>
      </c>
      <c r="CW89">
        <f>$C89*CW88</f>
        <v/>
      </c>
      <c r="CX89">
        <f>$C89*CX88</f>
        <v/>
      </c>
      <c r="CY89">
        <f>$C89*CY88</f>
        <v/>
      </c>
      <c r="CZ89">
        <f>$C89*CZ88</f>
        <v/>
      </c>
      <c r="DA89">
        <f>$C89*DA88</f>
        <v/>
      </c>
      <c r="DB89">
        <f>$C89*DB88</f>
        <v/>
      </c>
      <c r="DC89">
        <f>$C89*DC88</f>
        <v/>
      </c>
    </row>
    <row r="90">
      <c r="B90" t="inlineStr">
        <is>
          <t>TSP-928</t>
        </is>
      </c>
      <c r="C90" t="inlineStr">
        <is>
          <t>No. of batches</t>
        </is>
      </c>
      <c r="D90">
        <f>IFERROR(INDEX(PP_Grid[#Data],$DD90,2),0)</f>
        <v/>
      </c>
      <c r="E90">
        <f>IFERROR(INDEX(PP_Grid[#Data],$DD90,3),0)</f>
        <v/>
      </c>
      <c r="F90">
        <f>IFERROR(INDEX(PP_Grid[#Data],$DD90,4),0)</f>
        <v/>
      </c>
      <c r="G90">
        <f>IFERROR(INDEX(PP_Grid[#Data],$DD90,5),0)</f>
        <v/>
      </c>
      <c r="H90">
        <f>IFERROR(INDEX(PP_Grid[#Data],$DD90,6),0)</f>
        <v/>
      </c>
      <c r="I90">
        <f>IFERROR(INDEX(PP_Grid[#Data],$DD90,7),0)</f>
        <v/>
      </c>
      <c r="J90">
        <f>IFERROR(INDEX(PP_Grid[#Data],$DD90,8),0)</f>
        <v/>
      </c>
      <c r="K90">
        <f>IFERROR(INDEX(PP_Grid[#Data],$DD90,9),0)</f>
        <v/>
      </c>
      <c r="L90">
        <f>IFERROR(INDEX(PP_Grid[#Data],$DD90,10),0)</f>
        <v/>
      </c>
      <c r="M90">
        <f>IFERROR(INDEX(PP_Grid[#Data],$DD90,11),0)</f>
        <v/>
      </c>
      <c r="N90">
        <f>IFERROR(INDEX(PP_Grid[#Data],$DD90,12),0)</f>
        <v/>
      </c>
      <c r="O90">
        <f>IFERROR(INDEX(PP_Grid[#Data],$DD90,13),0)</f>
        <v/>
      </c>
      <c r="P90">
        <f>IFERROR(INDEX(PP_Grid[#Data],$DD90,14),0)</f>
        <v/>
      </c>
      <c r="Q90">
        <f>IFERROR(INDEX(PP_Grid[#Data],$DD90,15),0)</f>
        <v/>
      </c>
      <c r="R90">
        <f>IFERROR(INDEX(PP_Grid[#Data],$DD90,16),0)</f>
        <v/>
      </c>
      <c r="S90">
        <f>IFERROR(INDEX(PP_Grid[#Data],$DD90,17),0)</f>
        <v/>
      </c>
      <c r="T90">
        <f>IFERROR(INDEX(PP_Grid[#Data],$DD90,18),0)</f>
        <v/>
      </c>
      <c r="U90">
        <f>IFERROR(INDEX(PP_Grid[#Data],$DD90,19),0)</f>
        <v/>
      </c>
      <c r="V90">
        <f>IFERROR(INDEX(PP_Grid[#Data],$DD90,20),0)</f>
        <v/>
      </c>
      <c r="W90">
        <f>IFERROR(INDEX(PP_Grid[#Data],$DD90,21),0)</f>
        <v/>
      </c>
      <c r="X90">
        <f>IFERROR(INDEX(PP_Grid[#Data],$DD90,22),0)</f>
        <v/>
      </c>
      <c r="Y90">
        <f>IFERROR(INDEX(PP_Grid[#Data],$DD90,23),0)</f>
        <v/>
      </c>
      <c r="Z90">
        <f>IFERROR(INDEX(PP_Grid[#Data],$DD90,24),0)</f>
        <v/>
      </c>
      <c r="AA90">
        <f>IFERROR(INDEX(PP_Grid[#Data],$DD90,25),0)</f>
        <v/>
      </c>
      <c r="AB90">
        <f>IFERROR(INDEX(PP_Grid[#Data],$DD90,26),0)</f>
        <v/>
      </c>
      <c r="AC90">
        <f>IFERROR(INDEX(PP_Grid[#Data],$DD90,27),0)</f>
        <v/>
      </c>
      <c r="AD90">
        <f>IFERROR(INDEX(PP_Grid[#Data],$DD90,28),0)</f>
        <v/>
      </c>
      <c r="AE90">
        <f>IFERROR(INDEX(PP_Grid[#Data],$DD90,29),0)</f>
        <v/>
      </c>
      <c r="AF90">
        <f>IFERROR(INDEX(PP_Grid[#Data],$DD90,30),0)</f>
        <v/>
      </c>
      <c r="AG90">
        <f>IFERROR(INDEX(PP_Grid[#Data],$DD90,31),0)</f>
        <v/>
      </c>
      <c r="AH90">
        <f>IFERROR(INDEX(PP_Grid[#Data],$DD90,32),0)</f>
        <v/>
      </c>
      <c r="AI90">
        <f>IFERROR(INDEX(PP_Grid[#Data],$DD90,33),0)</f>
        <v/>
      </c>
      <c r="AJ90">
        <f>IFERROR(INDEX(PP_Grid[#Data],$DD90,34),0)</f>
        <v/>
      </c>
      <c r="AK90">
        <f>IFERROR(INDEX(PP_Grid[#Data],$DD90,35),0)</f>
        <v/>
      </c>
      <c r="AL90">
        <f>IFERROR(INDEX(PP_Grid[#Data],$DD90,36),0)</f>
        <v/>
      </c>
      <c r="AM90">
        <f>IFERROR(INDEX(PP_Grid[#Data],$DD90,37),0)</f>
        <v/>
      </c>
      <c r="AN90">
        <f>IFERROR(INDEX(PP_Grid[#Data],$DD90,38),0)</f>
        <v/>
      </c>
      <c r="AO90">
        <f>IFERROR(INDEX(PP_Grid[#Data],$DD90,39),0)</f>
        <v/>
      </c>
      <c r="AP90">
        <f>IFERROR(INDEX(PP_Grid[#Data],$DD90,40),0)</f>
        <v/>
      </c>
      <c r="AQ90">
        <f>IFERROR(INDEX(PP_Grid[#Data],$DD90,41),0)</f>
        <v/>
      </c>
      <c r="AR90">
        <f>IFERROR(INDEX(PP_Grid[#Data],$DD90,42),0)</f>
        <v/>
      </c>
      <c r="AS90">
        <f>IFERROR(INDEX(PP_Grid[#Data],$DD90,43),0)</f>
        <v/>
      </c>
      <c r="AT90">
        <f>IFERROR(INDEX(PP_Grid[#Data],$DD90,44),0)</f>
        <v/>
      </c>
      <c r="AU90">
        <f>IFERROR(INDEX(PP_Grid[#Data],$DD90,45),0)</f>
        <v/>
      </c>
      <c r="AV90">
        <f>IFERROR(INDEX(PP_Grid[#Data],$DD90,46),0)</f>
        <v/>
      </c>
      <c r="AW90">
        <f>IFERROR(INDEX(PP_Grid[#Data],$DD90,47),0)</f>
        <v/>
      </c>
      <c r="AX90">
        <f>IFERROR(INDEX(PP_Grid[#Data],$DD90,48),0)</f>
        <v/>
      </c>
      <c r="AY90">
        <f>IFERROR(INDEX(PP_Grid[#Data],$DD90,49),0)</f>
        <v/>
      </c>
      <c r="AZ90">
        <f>IFERROR(INDEX(PP_Grid[#Data],$DD90,50),0)</f>
        <v/>
      </c>
      <c r="BA90">
        <f>IFERROR(INDEX(PP_Grid[#Data],$DD90,51),0)</f>
        <v/>
      </c>
      <c r="BB90">
        <f>IFERROR(INDEX(PP_Grid[#Data],$DD90,52),0)</f>
        <v/>
      </c>
      <c r="BC90">
        <f>IFERROR(INDEX(PP_Grid[#Data],$DD90,53),0)</f>
        <v/>
      </c>
      <c r="BD90">
        <f>IFERROR(INDEX(PP_Grid[#Data],$DD90,54),0)</f>
        <v/>
      </c>
      <c r="BE90">
        <f>IFERROR(INDEX(PP_Grid[#Data],$DD90,55),0)</f>
        <v/>
      </c>
      <c r="BF90">
        <f>IFERROR(INDEX(PP_Grid[#Data],$DD90,56),0)</f>
        <v/>
      </c>
      <c r="BG90">
        <f>IFERROR(INDEX(PP_Grid[#Data],$DD90,57),0)</f>
        <v/>
      </c>
      <c r="BH90">
        <f>IFERROR(INDEX(PP_Grid[#Data],$DD90,58),0)</f>
        <v/>
      </c>
      <c r="BI90">
        <f>IFERROR(INDEX(PP_Grid[#Data],$DD90,59),0)</f>
        <v/>
      </c>
      <c r="BJ90">
        <f>IFERROR(INDEX(PP_Grid[#Data],$DD90,60),0)</f>
        <v/>
      </c>
      <c r="BK90">
        <f>IFERROR(INDEX(PP_Grid[#Data],$DD90,61),0)</f>
        <v/>
      </c>
      <c r="BL90">
        <f>IFERROR(INDEX(PP_Grid[#Data],$DD90,62),0)</f>
        <v/>
      </c>
      <c r="BM90">
        <f>IFERROR(INDEX(PP_Grid[#Data],$DD90,63),0)</f>
        <v/>
      </c>
      <c r="BN90">
        <f>IFERROR(INDEX(PP_Grid[#Data],$DD90,64),0)</f>
        <v/>
      </c>
      <c r="BO90">
        <f>IFERROR(INDEX(PP_Grid[#Data],$DD90,65),0)</f>
        <v/>
      </c>
      <c r="BP90">
        <f>IFERROR(INDEX(PP_Grid[#Data],$DD90,66),0)</f>
        <v/>
      </c>
      <c r="BQ90">
        <f>IFERROR(INDEX(PP_Grid[#Data],$DD90,67),0)</f>
        <v/>
      </c>
      <c r="BR90">
        <f>IFERROR(INDEX(PP_Grid[#Data],$DD90,68),0)</f>
        <v/>
      </c>
      <c r="BS90">
        <f>IFERROR(INDEX(PP_Grid[#Data],$DD90,69),0)</f>
        <v/>
      </c>
      <c r="BT90">
        <f>IFERROR(INDEX(PP_Grid[#Data],$DD90,70),0)</f>
        <v/>
      </c>
      <c r="BU90">
        <f>IFERROR(INDEX(PP_Grid[#Data],$DD90,71),0)</f>
        <v/>
      </c>
      <c r="BV90">
        <f>IFERROR(INDEX(PP_Grid[#Data],$DD90,72),0)</f>
        <v/>
      </c>
      <c r="BW90">
        <f>IFERROR(INDEX(PP_Grid[#Data],$DD90,73),0)</f>
        <v/>
      </c>
      <c r="BX90">
        <f>IFERROR(INDEX(PP_Grid[#Data],$DD90,74),0)</f>
        <v/>
      </c>
      <c r="BY90">
        <f>IFERROR(INDEX(PP_Grid[#Data],$DD90,75),0)</f>
        <v/>
      </c>
      <c r="BZ90">
        <f>IFERROR(INDEX(PP_Grid[#Data],$DD90,76),0)</f>
        <v/>
      </c>
      <c r="CA90">
        <f>IFERROR(INDEX(PP_Grid[#Data],$DD90,77),0)</f>
        <v/>
      </c>
      <c r="CB90">
        <f>IFERROR(INDEX(PP_Grid[#Data],$DD90,78),0)</f>
        <v/>
      </c>
      <c r="CC90">
        <f>IFERROR(INDEX(PP_Grid[#Data],$DD90,79),0)</f>
        <v/>
      </c>
      <c r="CD90">
        <f>IFERROR(INDEX(PP_Grid[#Data],$DD90,80),0)</f>
        <v/>
      </c>
      <c r="CE90">
        <f>IFERROR(INDEX(PP_Grid[#Data],$DD90,81),0)</f>
        <v/>
      </c>
      <c r="CF90">
        <f>IFERROR(INDEX(PP_Grid[#Data],$DD90,82),0)</f>
        <v/>
      </c>
      <c r="CG90">
        <f>IFERROR(INDEX(PP_Grid[#Data],$DD90,83),0)</f>
        <v/>
      </c>
      <c r="CH90">
        <f>IFERROR(INDEX(PP_Grid[#Data],$DD90,84),0)</f>
        <v/>
      </c>
      <c r="CI90">
        <f>IFERROR(INDEX(PP_Grid[#Data],$DD90,85),0)</f>
        <v/>
      </c>
      <c r="CJ90">
        <f>IFERROR(INDEX(PP_Grid[#Data],$DD90,86),0)</f>
        <v/>
      </c>
      <c r="CK90">
        <f>IFERROR(INDEX(PP_Grid[#Data],$DD90,87),0)</f>
        <v/>
      </c>
      <c r="CL90">
        <f>IFERROR(INDEX(PP_Grid[#Data],$DD90,88),0)</f>
        <v/>
      </c>
      <c r="CM90">
        <f>IFERROR(INDEX(PP_Grid[#Data],$DD90,89),0)</f>
        <v/>
      </c>
      <c r="CN90">
        <f>IFERROR(INDEX(PP_Grid[#Data],$DD90,90),0)</f>
        <v/>
      </c>
      <c r="CO90">
        <f>IFERROR(INDEX(PP_Grid[#Data],$DD90,91),0)</f>
        <v/>
      </c>
      <c r="CP90">
        <f>IFERROR(INDEX(PP_Grid[#Data],$DD90,92),0)</f>
        <v/>
      </c>
      <c r="CQ90">
        <f>IFERROR(INDEX(PP_Grid[#Data],$DD90,93),0)</f>
        <v/>
      </c>
      <c r="CR90">
        <f>IFERROR(INDEX(PP_Grid[#Data],$DD90,94),0)</f>
        <v/>
      </c>
      <c r="CS90">
        <f>IFERROR(INDEX(PP_Grid[#Data],$DD90,95),0)</f>
        <v/>
      </c>
      <c r="CT90">
        <f>IFERROR(INDEX(PP_Grid[#Data],$DD90,96),0)</f>
        <v/>
      </c>
      <c r="CU90">
        <f>IFERROR(INDEX(PP_Grid[#Data],$DD90,97),0)</f>
        <v/>
      </c>
      <c r="CV90">
        <f>IFERROR(INDEX(PP_Grid[#Data],$DD90,98),0)</f>
        <v/>
      </c>
      <c r="CW90">
        <f>IFERROR(INDEX(PP_Grid[#Data],$DD90,99),0)</f>
        <v/>
      </c>
      <c r="CX90">
        <f>IFERROR(INDEX(PP_Grid[#Data],$DD90,100),0)</f>
        <v/>
      </c>
      <c r="CY90">
        <f>IFERROR(INDEX(PP_Grid[#Data],$DD90,101),0)</f>
        <v/>
      </c>
      <c r="CZ90">
        <f>IFERROR(INDEX(PP_Grid[#Data],$DD90,102),0)</f>
        <v/>
      </c>
      <c r="DA90">
        <f>IFERROR(INDEX(PP_Grid[#Data],$DD90,103),0)</f>
        <v/>
      </c>
      <c r="DB90">
        <f>IFERROR(INDEX(PP_Grid[#Data],$DD90,104),0)</f>
        <v/>
      </c>
      <c r="DC90">
        <f>IFERROR(INDEX(PP_Grid[#Data],$DD90,105),0)</f>
        <v/>
      </c>
      <c r="DD90" s="12">
        <f>IFERROR(MATCH($B90,PP_Grid[Intermediate],0),99999)</f>
        <v/>
      </c>
    </row>
    <row r="91">
      <c r="B91" t="inlineStr">
        <is>
          <t>使用量(kg)</t>
        </is>
      </c>
      <c r="C91">
        <f>SUMIFS(M_BOM[RM_Qty_Per_Batch],M_BOM[Intermediate],$B90,M_BOM[Part Name],$A65)</f>
        <v/>
      </c>
      <c r="D91">
        <f>$C91*D90</f>
        <v/>
      </c>
      <c r="E91">
        <f>$C91*E90</f>
        <v/>
      </c>
      <c r="F91">
        <f>$C91*F90</f>
        <v/>
      </c>
      <c r="G91">
        <f>$C91*G90</f>
        <v/>
      </c>
      <c r="H91">
        <f>$C91*H90</f>
        <v/>
      </c>
      <c r="I91">
        <f>$C91*I90</f>
        <v/>
      </c>
      <c r="J91">
        <f>$C91*J90</f>
        <v/>
      </c>
      <c r="K91">
        <f>$C91*K90</f>
        <v/>
      </c>
      <c r="L91">
        <f>$C91*L90</f>
        <v/>
      </c>
      <c r="M91">
        <f>$C91*M90</f>
        <v/>
      </c>
      <c r="N91">
        <f>$C91*N90</f>
        <v/>
      </c>
      <c r="O91">
        <f>$C91*O90</f>
        <v/>
      </c>
      <c r="P91">
        <f>$C91*P90</f>
        <v/>
      </c>
      <c r="Q91">
        <f>$C91*Q90</f>
        <v/>
      </c>
      <c r="R91">
        <f>$C91*R90</f>
        <v/>
      </c>
      <c r="S91">
        <f>$C91*S90</f>
        <v/>
      </c>
      <c r="T91">
        <f>$C91*T90</f>
        <v/>
      </c>
      <c r="U91">
        <f>$C91*U90</f>
        <v/>
      </c>
      <c r="V91">
        <f>$C91*V90</f>
        <v/>
      </c>
      <c r="W91">
        <f>$C91*W90</f>
        <v/>
      </c>
      <c r="X91">
        <f>$C91*X90</f>
        <v/>
      </c>
      <c r="Y91">
        <f>$C91*Y90</f>
        <v/>
      </c>
      <c r="Z91">
        <f>$C91*Z90</f>
        <v/>
      </c>
      <c r="AA91">
        <f>$C91*AA90</f>
        <v/>
      </c>
      <c r="AB91">
        <f>$C91*AB90</f>
        <v/>
      </c>
      <c r="AC91">
        <f>$C91*AC90</f>
        <v/>
      </c>
      <c r="AD91">
        <f>$C91*AD90</f>
        <v/>
      </c>
      <c r="AE91">
        <f>$C91*AE90</f>
        <v/>
      </c>
      <c r="AF91">
        <f>$C91*AF90</f>
        <v/>
      </c>
      <c r="AG91">
        <f>$C91*AG90</f>
        <v/>
      </c>
      <c r="AH91">
        <f>$C91*AH90</f>
        <v/>
      </c>
      <c r="AI91">
        <f>$C91*AI90</f>
        <v/>
      </c>
      <c r="AJ91">
        <f>$C91*AJ90</f>
        <v/>
      </c>
      <c r="AK91">
        <f>$C91*AK90</f>
        <v/>
      </c>
      <c r="AL91">
        <f>$C91*AL90</f>
        <v/>
      </c>
      <c r="AM91">
        <f>$C91*AM90</f>
        <v/>
      </c>
      <c r="AN91">
        <f>$C91*AN90</f>
        <v/>
      </c>
      <c r="AO91">
        <f>$C91*AO90</f>
        <v/>
      </c>
      <c r="AP91">
        <f>$C91*AP90</f>
        <v/>
      </c>
      <c r="AQ91">
        <f>$C91*AQ90</f>
        <v/>
      </c>
      <c r="AR91">
        <f>$C91*AR90</f>
        <v/>
      </c>
      <c r="AS91">
        <f>$C91*AS90</f>
        <v/>
      </c>
      <c r="AT91">
        <f>$C91*AT90</f>
        <v/>
      </c>
      <c r="AU91">
        <f>$C91*AU90</f>
        <v/>
      </c>
      <c r="AV91">
        <f>$C91*AV90</f>
        <v/>
      </c>
      <c r="AW91">
        <f>$C91*AW90</f>
        <v/>
      </c>
      <c r="AX91">
        <f>$C91*AX90</f>
        <v/>
      </c>
      <c r="AY91">
        <f>$C91*AY90</f>
        <v/>
      </c>
      <c r="AZ91">
        <f>$C91*AZ90</f>
        <v/>
      </c>
      <c r="BA91">
        <f>$C91*BA90</f>
        <v/>
      </c>
      <c r="BB91">
        <f>$C91*BB90</f>
        <v/>
      </c>
      <c r="BC91">
        <f>$C91*BC90</f>
        <v/>
      </c>
      <c r="BD91">
        <f>$C91*BD90</f>
        <v/>
      </c>
      <c r="BE91">
        <f>$C91*BE90</f>
        <v/>
      </c>
      <c r="BF91">
        <f>$C91*BF90</f>
        <v/>
      </c>
      <c r="BG91">
        <f>$C91*BG90</f>
        <v/>
      </c>
      <c r="BH91">
        <f>$C91*BH90</f>
        <v/>
      </c>
      <c r="BI91">
        <f>$C91*BI90</f>
        <v/>
      </c>
      <c r="BJ91">
        <f>$C91*BJ90</f>
        <v/>
      </c>
      <c r="BK91">
        <f>$C91*BK90</f>
        <v/>
      </c>
      <c r="BL91">
        <f>$C91*BL90</f>
        <v/>
      </c>
      <c r="BM91">
        <f>$C91*BM90</f>
        <v/>
      </c>
      <c r="BN91">
        <f>$C91*BN90</f>
        <v/>
      </c>
      <c r="BO91">
        <f>$C91*BO90</f>
        <v/>
      </c>
      <c r="BP91">
        <f>$C91*BP90</f>
        <v/>
      </c>
      <c r="BQ91">
        <f>$C91*BQ90</f>
        <v/>
      </c>
      <c r="BR91">
        <f>$C91*BR90</f>
        <v/>
      </c>
      <c r="BS91">
        <f>$C91*BS90</f>
        <v/>
      </c>
      <c r="BT91">
        <f>$C91*BT90</f>
        <v/>
      </c>
      <c r="BU91">
        <f>$C91*BU90</f>
        <v/>
      </c>
      <c r="BV91">
        <f>$C91*BV90</f>
        <v/>
      </c>
      <c r="BW91">
        <f>$C91*BW90</f>
        <v/>
      </c>
      <c r="BX91">
        <f>$C91*BX90</f>
        <v/>
      </c>
      <c r="BY91">
        <f>$C91*BY90</f>
        <v/>
      </c>
      <c r="BZ91">
        <f>$C91*BZ90</f>
        <v/>
      </c>
      <c r="CA91">
        <f>$C91*CA90</f>
        <v/>
      </c>
      <c r="CB91">
        <f>$C91*CB90</f>
        <v/>
      </c>
      <c r="CC91">
        <f>$C91*CC90</f>
        <v/>
      </c>
      <c r="CD91">
        <f>$C91*CD90</f>
        <v/>
      </c>
      <c r="CE91">
        <f>$C91*CE90</f>
        <v/>
      </c>
      <c r="CF91">
        <f>$C91*CF90</f>
        <v/>
      </c>
      <c r="CG91">
        <f>$C91*CG90</f>
        <v/>
      </c>
      <c r="CH91">
        <f>$C91*CH90</f>
        <v/>
      </c>
      <c r="CI91">
        <f>$C91*CI90</f>
        <v/>
      </c>
      <c r="CJ91">
        <f>$C91*CJ90</f>
        <v/>
      </c>
      <c r="CK91">
        <f>$C91*CK90</f>
        <v/>
      </c>
      <c r="CL91">
        <f>$C91*CL90</f>
        <v/>
      </c>
      <c r="CM91">
        <f>$C91*CM90</f>
        <v/>
      </c>
      <c r="CN91">
        <f>$C91*CN90</f>
        <v/>
      </c>
      <c r="CO91">
        <f>$C91*CO90</f>
        <v/>
      </c>
      <c r="CP91">
        <f>$C91*CP90</f>
        <v/>
      </c>
      <c r="CQ91">
        <f>$C91*CQ90</f>
        <v/>
      </c>
      <c r="CR91">
        <f>$C91*CR90</f>
        <v/>
      </c>
      <c r="CS91">
        <f>$C91*CS90</f>
        <v/>
      </c>
      <c r="CT91">
        <f>$C91*CT90</f>
        <v/>
      </c>
      <c r="CU91">
        <f>$C91*CU90</f>
        <v/>
      </c>
      <c r="CV91">
        <f>$C91*CV90</f>
        <v/>
      </c>
      <c r="CW91">
        <f>$C91*CW90</f>
        <v/>
      </c>
      <c r="CX91">
        <f>$C91*CX90</f>
        <v/>
      </c>
      <c r="CY91">
        <f>$C91*CY90</f>
        <v/>
      </c>
      <c r="CZ91">
        <f>$C91*CZ90</f>
        <v/>
      </c>
      <c r="DA91">
        <f>$C91*DA90</f>
        <v/>
      </c>
      <c r="DB91">
        <f>$C91*DB90</f>
        <v/>
      </c>
      <c r="DC91">
        <f>$C91*DC90</f>
        <v/>
      </c>
    </row>
    <row r="92">
      <c r="B92" t="inlineStr">
        <is>
          <t>TSP-929</t>
        </is>
      </c>
      <c r="C92" t="inlineStr">
        <is>
          <t>No. of batches</t>
        </is>
      </c>
      <c r="D92">
        <f>IFERROR(INDEX(PP_Grid[#Data],$DD92,2),0)</f>
        <v/>
      </c>
      <c r="E92">
        <f>IFERROR(INDEX(PP_Grid[#Data],$DD92,3),0)</f>
        <v/>
      </c>
      <c r="F92">
        <f>IFERROR(INDEX(PP_Grid[#Data],$DD92,4),0)</f>
        <v/>
      </c>
      <c r="G92">
        <f>IFERROR(INDEX(PP_Grid[#Data],$DD92,5),0)</f>
        <v/>
      </c>
      <c r="H92">
        <f>IFERROR(INDEX(PP_Grid[#Data],$DD92,6),0)</f>
        <v/>
      </c>
      <c r="I92">
        <f>IFERROR(INDEX(PP_Grid[#Data],$DD92,7),0)</f>
        <v/>
      </c>
      <c r="J92">
        <f>IFERROR(INDEX(PP_Grid[#Data],$DD92,8),0)</f>
        <v/>
      </c>
      <c r="K92">
        <f>IFERROR(INDEX(PP_Grid[#Data],$DD92,9),0)</f>
        <v/>
      </c>
      <c r="L92">
        <f>IFERROR(INDEX(PP_Grid[#Data],$DD92,10),0)</f>
        <v/>
      </c>
      <c r="M92">
        <f>IFERROR(INDEX(PP_Grid[#Data],$DD92,11),0)</f>
        <v/>
      </c>
      <c r="N92">
        <f>IFERROR(INDEX(PP_Grid[#Data],$DD92,12),0)</f>
        <v/>
      </c>
      <c r="O92">
        <f>IFERROR(INDEX(PP_Grid[#Data],$DD92,13),0)</f>
        <v/>
      </c>
      <c r="P92">
        <f>IFERROR(INDEX(PP_Grid[#Data],$DD92,14),0)</f>
        <v/>
      </c>
      <c r="Q92">
        <f>IFERROR(INDEX(PP_Grid[#Data],$DD92,15),0)</f>
        <v/>
      </c>
      <c r="R92">
        <f>IFERROR(INDEX(PP_Grid[#Data],$DD92,16),0)</f>
        <v/>
      </c>
      <c r="S92">
        <f>IFERROR(INDEX(PP_Grid[#Data],$DD92,17),0)</f>
        <v/>
      </c>
      <c r="T92">
        <f>IFERROR(INDEX(PP_Grid[#Data],$DD92,18),0)</f>
        <v/>
      </c>
      <c r="U92">
        <f>IFERROR(INDEX(PP_Grid[#Data],$DD92,19),0)</f>
        <v/>
      </c>
      <c r="V92">
        <f>IFERROR(INDEX(PP_Grid[#Data],$DD92,20),0)</f>
        <v/>
      </c>
      <c r="W92">
        <f>IFERROR(INDEX(PP_Grid[#Data],$DD92,21),0)</f>
        <v/>
      </c>
      <c r="X92">
        <f>IFERROR(INDEX(PP_Grid[#Data],$DD92,22),0)</f>
        <v/>
      </c>
      <c r="Y92">
        <f>IFERROR(INDEX(PP_Grid[#Data],$DD92,23),0)</f>
        <v/>
      </c>
      <c r="Z92">
        <f>IFERROR(INDEX(PP_Grid[#Data],$DD92,24),0)</f>
        <v/>
      </c>
      <c r="AA92">
        <f>IFERROR(INDEX(PP_Grid[#Data],$DD92,25),0)</f>
        <v/>
      </c>
      <c r="AB92">
        <f>IFERROR(INDEX(PP_Grid[#Data],$DD92,26),0)</f>
        <v/>
      </c>
      <c r="AC92">
        <f>IFERROR(INDEX(PP_Grid[#Data],$DD92,27),0)</f>
        <v/>
      </c>
      <c r="AD92">
        <f>IFERROR(INDEX(PP_Grid[#Data],$DD92,28),0)</f>
        <v/>
      </c>
      <c r="AE92">
        <f>IFERROR(INDEX(PP_Grid[#Data],$DD92,29),0)</f>
        <v/>
      </c>
      <c r="AF92">
        <f>IFERROR(INDEX(PP_Grid[#Data],$DD92,30),0)</f>
        <v/>
      </c>
      <c r="AG92">
        <f>IFERROR(INDEX(PP_Grid[#Data],$DD92,31),0)</f>
        <v/>
      </c>
      <c r="AH92">
        <f>IFERROR(INDEX(PP_Grid[#Data],$DD92,32),0)</f>
        <v/>
      </c>
      <c r="AI92">
        <f>IFERROR(INDEX(PP_Grid[#Data],$DD92,33),0)</f>
        <v/>
      </c>
      <c r="AJ92">
        <f>IFERROR(INDEX(PP_Grid[#Data],$DD92,34),0)</f>
        <v/>
      </c>
      <c r="AK92">
        <f>IFERROR(INDEX(PP_Grid[#Data],$DD92,35),0)</f>
        <v/>
      </c>
      <c r="AL92">
        <f>IFERROR(INDEX(PP_Grid[#Data],$DD92,36),0)</f>
        <v/>
      </c>
      <c r="AM92">
        <f>IFERROR(INDEX(PP_Grid[#Data],$DD92,37),0)</f>
        <v/>
      </c>
      <c r="AN92">
        <f>IFERROR(INDEX(PP_Grid[#Data],$DD92,38),0)</f>
        <v/>
      </c>
      <c r="AO92">
        <f>IFERROR(INDEX(PP_Grid[#Data],$DD92,39),0)</f>
        <v/>
      </c>
      <c r="AP92">
        <f>IFERROR(INDEX(PP_Grid[#Data],$DD92,40),0)</f>
        <v/>
      </c>
      <c r="AQ92">
        <f>IFERROR(INDEX(PP_Grid[#Data],$DD92,41),0)</f>
        <v/>
      </c>
      <c r="AR92">
        <f>IFERROR(INDEX(PP_Grid[#Data],$DD92,42),0)</f>
        <v/>
      </c>
      <c r="AS92">
        <f>IFERROR(INDEX(PP_Grid[#Data],$DD92,43),0)</f>
        <v/>
      </c>
      <c r="AT92">
        <f>IFERROR(INDEX(PP_Grid[#Data],$DD92,44),0)</f>
        <v/>
      </c>
      <c r="AU92">
        <f>IFERROR(INDEX(PP_Grid[#Data],$DD92,45),0)</f>
        <v/>
      </c>
      <c r="AV92">
        <f>IFERROR(INDEX(PP_Grid[#Data],$DD92,46),0)</f>
        <v/>
      </c>
      <c r="AW92">
        <f>IFERROR(INDEX(PP_Grid[#Data],$DD92,47),0)</f>
        <v/>
      </c>
      <c r="AX92">
        <f>IFERROR(INDEX(PP_Grid[#Data],$DD92,48),0)</f>
        <v/>
      </c>
      <c r="AY92">
        <f>IFERROR(INDEX(PP_Grid[#Data],$DD92,49),0)</f>
        <v/>
      </c>
      <c r="AZ92">
        <f>IFERROR(INDEX(PP_Grid[#Data],$DD92,50),0)</f>
        <v/>
      </c>
      <c r="BA92">
        <f>IFERROR(INDEX(PP_Grid[#Data],$DD92,51),0)</f>
        <v/>
      </c>
      <c r="BB92">
        <f>IFERROR(INDEX(PP_Grid[#Data],$DD92,52),0)</f>
        <v/>
      </c>
      <c r="BC92">
        <f>IFERROR(INDEX(PP_Grid[#Data],$DD92,53),0)</f>
        <v/>
      </c>
      <c r="BD92">
        <f>IFERROR(INDEX(PP_Grid[#Data],$DD92,54),0)</f>
        <v/>
      </c>
      <c r="BE92">
        <f>IFERROR(INDEX(PP_Grid[#Data],$DD92,55),0)</f>
        <v/>
      </c>
      <c r="BF92">
        <f>IFERROR(INDEX(PP_Grid[#Data],$DD92,56),0)</f>
        <v/>
      </c>
      <c r="BG92">
        <f>IFERROR(INDEX(PP_Grid[#Data],$DD92,57),0)</f>
        <v/>
      </c>
      <c r="BH92">
        <f>IFERROR(INDEX(PP_Grid[#Data],$DD92,58),0)</f>
        <v/>
      </c>
      <c r="BI92">
        <f>IFERROR(INDEX(PP_Grid[#Data],$DD92,59),0)</f>
        <v/>
      </c>
      <c r="BJ92">
        <f>IFERROR(INDEX(PP_Grid[#Data],$DD92,60),0)</f>
        <v/>
      </c>
      <c r="BK92">
        <f>IFERROR(INDEX(PP_Grid[#Data],$DD92,61),0)</f>
        <v/>
      </c>
      <c r="BL92">
        <f>IFERROR(INDEX(PP_Grid[#Data],$DD92,62),0)</f>
        <v/>
      </c>
      <c r="BM92">
        <f>IFERROR(INDEX(PP_Grid[#Data],$DD92,63),0)</f>
        <v/>
      </c>
      <c r="BN92">
        <f>IFERROR(INDEX(PP_Grid[#Data],$DD92,64),0)</f>
        <v/>
      </c>
      <c r="BO92">
        <f>IFERROR(INDEX(PP_Grid[#Data],$DD92,65),0)</f>
        <v/>
      </c>
      <c r="BP92">
        <f>IFERROR(INDEX(PP_Grid[#Data],$DD92,66),0)</f>
        <v/>
      </c>
      <c r="BQ92">
        <f>IFERROR(INDEX(PP_Grid[#Data],$DD92,67),0)</f>
        <v/>
      </c>
      <c r="BR92">
        <f>IFERROR(INDEX(PP_Grid[#Data],$DD92,68),0)</f>
        <v/>
      </c>
      <c r="BS92">
        <f>IFERROR(INDEX(PP_Grid[#Data],$DD92,69),0)</f>
        <v/>
      </c>
      <c r="BT92">
        <f>IFERROR(INDEX(PP_Grid[#Data],$DD92,70),0)</f>
        <v/>
      </c>
      <c r="BU92">
        <f>IFERROR(INDEX(PP_Grid[#Data],$DD92,71),0)</f>
        <v/>
      </c>
      <c r="BV92">
        <f>IFERROR(INDEX(PP_Grid[#Data],$DD92,72),0)</f>
        <v/>
      </c>
      <c r="BW92">
        <f>IFERROR(INDEX(PP_Grid[#Data],$DD92,73),0)</f>
        <v/>
      </c>
      <c r="BX92">
        <f>IFERROR(INDEX(PP_Grid[#Data],$DD92,74),0)</f>
        <v/>
      </c>
      <c r="BY92">
        <f>IFERROR(INDEX(PP_Grid[#Data],$DD92,75),0)</f>
        <v/>
      </c>
      <c r="BZ92">
        <f>IFERROR(INDEX(PP_Grid[#Data],$DD92,76),0)</f>
        <v/>
      </c>
      <c r="CA92">
        <f>IFERROR(INDEX(PP_Grid[#Data],$DD92,77),0)</f>
        <v/>
      </c>
      <c r="CB92">
        <f>IFERROR(INDEX(PP_Grid[#Data],$DD92,78),0)</f>
        <v/>
      </c>
      <c r="CC92">
        <f>IFERROR(INDEX(PP_Grid[#Data],$DD92,79),0)</f>
        <v/>
      </c>
      <c r="CD92">
        <f>IFERROR(INDEX(PP_Grid[#Data],$DD92,80),0)</f>
        <v/>
      </c>
      <c r="CE92">
        <f>IFERROR(INDEX(PP_Grid[#Data],$DD92,81),0)</f>
        <v/>
      </c>
      <c r="CF92">
        <f>IFERROR(INDEX(PP_Grid[#Data],$DD92,82),0)</f>
        <v/>
      </c>
      <c r="CG92">
        <f>IFERROR(INDEX(PP_Grid[#Data],$DD92,83),0)</f>
        <v/>
      </c>
      <c r="CH92">
        <f>IFERROR(INDEX(PP_Grid[#Data],$DD92,84),0)</f>
        <v/>
      </c>
      <c r="CI92">
        <f>IFERROR(INDEX(PP_Grid[#Data],$DD92,85),0)</f>
        <v/>
      </c>
      <c r="CJ92">
        <f>IFERROR(INDEX(PP_Grid[#Data],$DD92,86),0)</f>
        <v/>
      </c>
      <c r="CK92">
        <f>IFERROR(INDEX(PP_Grid[#Data],$DD92,87),0)</f>
        <v/>
      </c>
      <c r="CL92">
        <f>IFERROR(INDEX(PP_Grid[#Data],$DD92,88),0)</f>
        <v/>
      </c>
      <c r="CM92">
        <f>IFERROR(INDEX(PP_Grid[#Data],$DD92,89),0)</f>
        <v/>
      </c>
      <c r="CN92">
        <f>IFERROR(INDEX(PP_Grid[#Data],$DD92,90),0)</f>
        <v/>
      </c>
      <c r="CO92">
        <f>IFERROR(INDEX(PP_Grid[#Data],$DD92,91),0)</f>
        <v/>
      </c>
      <c r="CP92">
        <f>IFERROR(INDEX(PP_Grid[#Data],$DD92,92),0)</f>
        <v/>
      </c>
      <c r="CQ92">
        <f>IFERROR(INDEX(PP_Grid[#Data],$DD92,93),0)</f>
        <v/>
      </c>
      <c r="CR92">
        <f>IFERROR(INDEX(PP_Grid[#Data],$DD92,94),0)</f>
        <v/>
      </c>
      <c r="CS92">
        <f>IFERROR(INDEX(PP_Grid[#Data],$DD92,95),0)</f>
        <v/>
      </c>
      <c r="CT92">
        <f>IFERROR(INDEX(PP_Grid[#Data],$DD92,96),0)</f>
        <v/>
      </c>
      <c r="CU92">
        <f>IFERROR(INDEX(PP_Grid[#Data],$DD92,97),0)</f>
        <v/>
      </c>
      <c r="CV92">
        <f>IFERROR(INDEX(PP_Grid[#Data],$DD92,98),0)</f>
        <v/>
      </c>
      <c r="CW92">
        <f>IFERROR(INDEX(PP_Grid[#Data],$DD92,99),0)</f>
        <v/>
      </c>
      <c r="CX92">
        <f>IFERROR(INDEX(PP_Grid[#Data],$DD92,100),0)</f>
        <v/>
      </c>
      <c r="CY92">
        <f>IFERROR(INDEX(PP_Grid[#Data],$DD92,101),0)</f>
        <v/>
      </c>
      <c r="CZ92">
        <f>IFERROR(INDEX(PP_Grid[#Data],$DD92,102),0)</f>
        <v/>
      </c>
      <c r="DA92">
        <f>IFERROR(INDEX(PP_Grid[#Data],$DD92,103),0)</f>
        <v/>
      </c>
      <c r="DB92">
        <f>IFERROR(INDEX(PP_Grid[#Data],$DD92,104),0)</f>
        <v/>
      </c>
      <c r="DC92">
        <f>IFERROR(INDEX(PP_Grid[#Data],$DD92,105),0)</f>
        <v/>
      </c>
      <c r="DD92" s="12">
        <f>IFERROR(MATCH($B92,PP_Grid[Intermediate],0),99999)</f>
        <v/>
      </c>
    </row>
    <row r="93">
      <c r="B93" t="inlineStr">
        <is>
          <t>使用量(kg)</t>
        </is>
      </c>
      <c r="C93">
        <f>SUMIFS(M_BOM[RM_Qty_Per_Batch],M_BOM[Intermediate],$B92,M_BOM[Part Name],$A65)</f>
        <v/>
      </c>
      <c r="D93">
        <f>$C93*D92</f>
        <v/>
      </c>
      <c r="E93">
        <f>$C93*E92</f>
        <v/>
      </c>
      <c r="F93">
        <f>$C93*F92</f>
        <v/>
      </c>
      <c r="G93">
        <f>$C93*G92</f>
        <v/>
      </c>
      <c r="H93">
        <f>$C93*H92</f>
        <v/>
      </c>
      <c r="I93">
        <f>$C93*I92</f>
        <v/>
      </c>
      <c r="J93">
        <f>$C93*J92</f>
        <v/>
      </c>
      <c r="K93">
        <f>$C93*K92</f>
        <v/>
      </c>
      <c r="L93">
        <f>$C93*L92</f>
        <v/>
      </c>
      <c r="M93">
        <f>$C93*M92</f>
        <v/>
      </c>
      <c r="N93">
        <f>$C93*N92</f>
        <v/>
      </c>
      <c r="O93">
        <f>$C93*O92</f>
        <v/>
      </c>
      <c r="P93">
        <f>$C93*P92</f>
        <v/>
      </c>
      <c r="Q93">
        <f>$C93*Q92</f>
        <v/>
      </c>
      <c r="R93">
        <f>$C93*R92</f>
        <v/>
      </c>
      <c r="S93">
        <f>$C93*S92</f>
        <v/>
      </c>
      <c r="T93">
        <f>$C93*T92</f>
        <v/>
      </c>
      <c r="U93">
        <f>$C93*U92</f>
        <v/>
      </c>
      <c r="V93">
        <f>$C93*V92</f>
        <v/>
      </c>
      <c r="W93">
        <f>$C93*W92</f>
        <v/>
      </c>
      <c r="X93">
        <f>$C93*X92</f>
        <v/>
      </c>
      <c r="Y93">
        <f>$C93*Y92</f>
        <v/>
      </c>
      <c r="Z93">
        <f>$C93*Z92</f>
        <v/>
      </c>
      <c r="AA93">
        <f>$C93*AA92</f>
        <v/>
      </c>
      <c r="AB93">
        <f>$C93*AB92</f>
        <v/>
      </c>
      <c r="AC93">
        <f>$C93*AC92</f>
        <v/>
      </c>
      <c r="AD93">
        <f>$C93*AD92</f>
        <v/>
      </c>
      <c r="AE93">
        <f>$C93*AE92</f>
        <v/>
      </c>
      <c r="AF93">
        <f>$C93*AF92</f>
        <v/>
      </c>
      <c r="AG93">
        <f>$C93*AG92</f>
        <v/>
      </c>
      <c r="AH93">
        <f>$C93*AH92</f>
        <v/>
      </c>
      <c r="AI93">
        <f>$C93*AI92</f>
        <v/>
      </c>
      <c r="AJ93">
        <f>$C93*AJ92</f>
        <v/>
      </c>
      <c r="AK93">
        <f>$C93*AK92</f>
        <v/>
      </c>
      <c r="AL93">
        <f>$C93*AL92</f>
        <v/>
      </c>
      <c r="AM93">
        <f>$C93*AM92</f>
        <v/>
      </c>
      <c r="AN93">
        <f>$C93*AN92</f>
        <v/>
      </c>
      <c r="AO93">
        <f>$C93*AO92</f>
        <v/>
      </c>
      <c r="AP93">
        <f>$C93*AP92</f>
        <v/>
      </c>
      <c r="AQ93">
        <f>$C93*AQ92</f>
        <v/>
      </c>
      <c r="AR93">
        <f>$C93*AR92</f>
        <v/>
      </c>
      <c r="AS93">
        <f>$C93*AS92</f>
        <v/>
      </c>
      <c r="AT93">
        <f>$C93*AT92</f>
        <v/>
      </c>
      <c r="AU93">
        <f>$C93*AU92</f>
        <v/>
      </c>
      <c r="AV93">
        <f>$C93*AV92</f>
        <v/>
      </c>
      <c r="AW93">
        <f>$C93*AW92</f>
        <v/>
      </c>
      <c r="AX93">
        <f>$C93*AX92</f>
        <v/>
      </c>
      <c r="AY93">
        <f>$C93*AY92</f>
        <v/>
      </c>
      <c r="AZ93">
        <f>$C93*AZ92</f>
        <v/>
      </c>
      <c r="BA93">
        <f>$C93*BA92</f>
        <v/>
      </c>
      <c r="BB93">
        <f>$C93*BB92</f>
        <v/>
      </c>
      <c r="BC93">
        <f>$C93*BC92</f>
        <v/>
      </c>
      <c r="BD93">
        <f>$C93*BD92</f>
        <v/>
      </c>
      <c r="BE93">
        <f>$C93*BE92</f>
        <v/>
      </c>
      <c r="BF93">
        <f>$C93*BF92</f>
        <v/>
      </c>
      <c r="BG93">
        <f>$C93*BG92</f>
        <v/>
      </c>
      <c r="BH93">
        <f>$C93*BH92</f>
        <v/>
      </c>
      <c r="BI93">
        <f>$C93*BI92</f>
        <v/>
      </c>
      <c r="BJ93">
        <f>$C93*BJ92</f>
        <v/>
      </c>
      <c r="BK93">
        <f>$C93*BK92</f>
        <v/>
      </c>
      <c r="BL93">
        <f>$C93*BL92</f>
        <v/>
      </c>
      <c r="BM93">
        <f>$C93*BM92</f>
        <v/>
      </c>
      <c r="BN93">
        <f>$C93*BN92</f>
        <v/>
      </c>
      <c r="BO93">
        <f>$C93*BO92</f>
        <v/>
      </c>
      <c r="BP93">
        <f>$C93*BP92</f>
        <v/>
      </c>
      <c r="BQ93">
        <f>$C93*BQ92</f>
        <v/>
      </c>
      <c r="BR93">
        <f>$C93*BR92</f>
        <v/>
      </c>
      <c r="BS93">
        <f>$C93*BS92</f>
        <v/>
      </c>
      <c r="BT93">
        <f>$C93*BT92</f>
        <v/>
      </c>
      <c r="BU93">
        <f>$C93*BU92</f>
        <v/>
      </c>
      <c r="BV93">
        <f>$C93*BV92</f>
        <v/>
      </c>
      <c r="BW93">
        <f>$C93*BW92</f>
        <v/>
      </c>
      <c r="BX93">
        <f>$C93*BX92</f>
        <v/>
      </c>
      <c r="BY93">
        <f>$C93*BY92</f>
        <v/>
      </c>
      <c r="BZ93">
        <f>$C93*BZ92</f>
        <v/>
      </c>
      <c r="CA93">
        <f>$C93*CA92</f>
        <v/>
      </c>
      <c r="CB93">
        <f>$C93*CB92</f>
        <v/>
      </c>
      <c r="CC93">
        <f>$C93*CC92</f>
        <v/>
      </c>
      <c r="CD93">
        <f>$C93*CD92</f>
        <v/>
      </c>
      <c r="CE93">
        <f>$C93*CE92</f>
        <v/>
      </c>
      <c r="CF93">
        <f>$C93*CF92</f>
        <v/>
      </c>
      <c r="CG93">
        <f>$C93*CG92</f>
        <v/>
      </c>
      <c r="CH93">
        <f>$C93*CH92</f>
        <v/>
      </c>
      <c r="CI93">
        <f>$C93*CI92</f>
        <v/>
      </c>
      <c r="CJ93">
        <f>$C93*CJ92</f>
        <v/>
      </c>
      <c r="CK93">
        <f>$C93*CK92</f>
        <v/>
      </c>
      <c r="CL93">
        <f>$C93*CL92</f>
        <v/>
      </c>
      <c r="CM93">
        <f>$C93*CM92</f>
        <v/>
      </c>
      <c r="CN93">
        <f>$C93*CN92</f>
        <v/>
      </c>
      <c r="CO93">
        <f>$C93*CO92</f>
        <v/>
      </c>
      <c r="CP93">
        <f>$C93*CP92</f>
        <v/>
      </c>
      <c r="CQ93">
        <f>$C93*CQ92</f>
        <v/>
      </c>
      <c r="CR93">
        <f>$C93*CR92</f>
        <v/>
      </c>
      <c r="CS93">
        <f>$C93*CS92</f>
        <v/>
      </c>
      <c r="CT93">
        <f>$C93*CT92</f>
        <v/>
      </c>
      <c r="CU93">
        <f>$C93*CU92</f>
        <v/>
      </c>
      <c r="CV93">
        <f>$C93*CV92</f>
        <v/>
      </c>
      <c r="CW93">
        <f>$C93*CW92</f>
        <v/>
      </c>
      <c r="CX93">
        <f>$C93*CX92</f>
        <v/>
      </c>
      <c r="CY93">
        <f>$C93*CY92</f>
        <v/>
      </c>
      <c r="CZ93">
        <f>$C93*CZ92</f>
        <v/>
      </c>
      <c r="DA93">
        <f>$C93*DA92</f>
        <v/>
      </c>
      <c r="DB93">
        <f>$C93*DB92</f>
        <v/>
      </c>
      <c r="DC93">
        <f>$C93*DC92</f>
        <v/>
      </c>
    </row>
    <row r="94">
      <c r="B94" t="inlineStr">
        <is>
          <t>TSP-930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Name],$A65)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t="inlineStr">
        <is>
          <t>TSP-934</t>
        </is>
      </c>
      <c r="C96" t="inlineStr">
        <is>
          <t>No. of batches</t>
        </is>
      </c>
      <c r="D96">
        <f>IFERROR(INDEX(PP_Grid[#Data],$DD96,2),0)</f>
        <v/>
      </c>
      <c r="E96">
        <f>IFERROR(INDEX(PP_Grid[#Data],$DD96,3),0)</f>
        <v/>
      </c>
      <c r="F96">
        <f>IFERROR(INDEX(PP_Grid[#Data],$DD96,4),0)</f>
        <v/>
      </c>
      <c r="G96">
        <f>IFERROR(INDEX(PP_Grid[#Data],$DD96,5),0)</f>
        <v/>
      </c>
      <c r="H96">
        <f>IFERROR(INDEX(PP_Grid[#Data],$DD96,6),0)</f>
        <v/>
      </c>
      <c r="I96">
        <f>IFERROR(INDEX(PP_Grid[#Data],$DD96,7),0)</f>
        <v/>
      </c>
      <c r="J96">
        <f>IFERROR(INDEX(PP_Grid[#Data],$DD96,8),0)</f>
        <v/>
      </c>
      <c r="K96">
        <f>IFERROR(INDEX(PP_Grid[#Data],$DD96,9),0)</f>
        <v/>
      </c>
      <c r="L96">
        <f>IFERROR(INDEX(PP_Grid[#Data],$DD96,10),0)</f>
        <v/>
      </c>
      <c r="M96">
        <f>IFERROR(INDEX(PP_Grid[#Data],$DD96,11),0)</f>
        <v/>
      </c>
      <c r="N96">
        <f>IFERROR(INDEX(PP_Grid[#Data],$DD96,12),0)</f>
        <v/>
      </c>
      <c r="O96">
        <f>IFERROR(INDEX(PP_Grid[#Data],$DD96,13),0)</f>
        <v/>
      </c>
      <c r="P96">
        <f>IFERROR(INDEX(PP_Grid[#Data],$DD96,14),0)</f>
        <v/>
      </c>
      <c r="Q96">
        <f>IFERROR(INDEX(PP_Grid[#Data],$DD96,15),0)</f>
        <v/>
      </c>
      <c r="R96">
        <f>IFERROR(INDEX(PP_Grid[#Data],$DD96,16),0)</f>
        <v/>
      </c>
      <c r="S96">
        <f>IFERROR(INDEX(PP_Grid[#Data],$DD96,17),0)</f>
        <v/>
      </c>
      <c r="T96">
        <f>IFERROR(INDEX(PP_Grid[#Data],$DD96,18),0)</f>
        <v/>
      </c>
      <c r="U96">
        <f>IFERROR(INDEX(PP_Grid[#Data],$DD96,19),0)</f>
        <v/>
      </c>
      <c r="V96">
        <f>IFERROR(INDEX(PP_Grid[#Data],$DD96,20),0)</f>
        <v/>
      </c>
      <c r="W96">
        <f>IFERROR(INDEX(PP_Grid[#Data],$DD96,21),0)</f>
        <v/>
      </c>
      <c r="X96">
        <f>IFERROR(INDEX(PP_Grid[#Data],$DD96,22),0)</f>
        <v/>
      </c>
      <c r="Y96">
        <f>IFERROR(INDEX(PP_Grid[#Data],$DD96,23),0)</f>
        <v/>
      </c>
      <c r="Z96">
        <f>IFERROR(INDEX(PP_Grid[#Data],$DD96,24),0)</f>
        <v/>
      </c>
      <c r="AA96">
        <f>IFERROR(INDEX(PP_Grid[#Data],$DD96,25),0)</f>
        <v/>
      </c>
      <c r="AB96">
        <f>IFERROR(INDEX(PP_Grid[#Data],$DD96,26),0)</f>
        <v/>
      </c>
      <c r="AC96">
        <f>IFERROR(INDEX(PP_Grid[#Data],$DD96,27),0)</f>
        <v/>
      </c>
      <c r="AD96">
        <f>IFERROR(INDEX(PP_Grid[#Data],$DD96,28),0)</f>
        <v/>
      </c>
      <c r="AE96">
        <f>IFERROR(INDEX(PP_Grid[#Data],$DD96,29),0)</f>
        <v/>
      </c>
      <c r="AF96">
        <f>IFERROR(INDEX(PP_Grid[#Data],$DD96,30),0)</f>
        <v/>
      </c>
      <c r="AG96">
        <f>IFERROR(INDEX(PP_Grid[#Data],$DD96,31),0)</f>
        <v/>
      </c>
      <c r="AH96">
        <f>IFERROR(INDEX(PP_Grid[#Data],$DD96,32),0)</f>
        <v/>
      </c>
      <c r="AI96">
        <f>IFERROR(INDEX(PP_Grid[#Data],$DD96,33),0)</f>
        <v/>
      </c>
      <c r="AJ96">
        <f>IFERROR(INDEX(PP_Grid[#Data],$DD96,34),0)</f>
        <v/>
      </c>
      <c r="AK96">
        <f>IFERROR(INDEX(PP_Grid[#Data],$DD96,35),0)</f>
        <v/>
      </c>
      <c r="AL96">
        <f>IFERROR(INDEX(PP_Grid[#Data],$DD96,36),0)</f>
        <v/>
      </c>
      <c r="AM96">
        <f>IFERROR(INDEX(PP_Grid[#Data],$DD96,37),0)</f>
        <v/>
      </c>
      <c r="AN96">
        <f>IFERROR(INDEX(PP_Grid[#Data],$DD96,38),0)</f>
        <v/>
      </c>
      <c r="AO96">
        <f>IFERROR(INDEX(PP_Grid[#Data],$DD96,39),0)</f>
        <v/>
      </c>
      <c r="AP96">
        <f>IFERROR(INDEX(PP_Grid[#Data],$DD96,40),0)</f>
        <v/>
      </c>
      <c r="AQ96">
        <f>IFERROR(INDEX(PP_Grid[#Data],$DD96,41),0)</f>
        <v/>
      </c>
      <c r="AR96">
        <f>IFERROR(INDEX(PP_Grid[#Data],$DD96,42),0)</f>
        <v/>
      </c>
      <c r="AS96">
        <f>IFERROR(INDEX(PP_Grid[#Data],$DD96,43),0)</f>
        <v/>
      </c>
      <c r="AT96">
        <f>IFERROR(INDEX(PP_Grid[#Data],$DD96,44),0)</f>
        <v/>
      </c>
      <c r="AU96">
        <f>IFERROR(INDEX(PP_Grid[#Data],$DD96,45),0)</f>
        <v/>
      </c>
      <c r="AV96">
        <f>IFERROR(INDEX(PP_Grid[#Data],$DD96,46),0)</f>
        <v/>
      </c>
      <c r="AW96">
        <f>IFERROR(INDEX(PP_Grid[#Data],$DD96,47),0)</f>
        <v/>
      </c>
      <c r="AX96">
        <f>IFERROR(INDEX(PP_Grid[#Data],$DD96,48),0)</f>
        <v/>
      </c>
      <c r="AY96">
        <f>IFERROR(INDEX(PP_Grid[#Data],$DD96,49),0)</f>
        <v/>
      </c>
      <c r="AZ96">
        <f>IFERROR(INDEX(PP_Grid[#Data],$DD96,50),0)</f>
        <v/>
      </c>
      <c r="BA96">
        <f>IFERROR(INDEX(PP_Grid[#Data],$DD96,51),0)</f>
        <v/>
      </c>
      <c r="BB96">
        <f>IFERROR(INDEX(PP_Grid[#Data],$DD96,52),0)</f>
        <v/>
      </c>
      <c r="BC96">
        <f>IFERROR(INDEX(PP_Grid[#Data],$DD96,53),0)</f>
        <v/>
      </c>
      <c r="BD96">
        <f>IFERROR(INDEX(PP_Grid[#Data],$DD96,54),0)</f>
        <v/>
      </c>
      <c r="BE96">
        <f>IFERROR(INDEX(PP_Grid[#Data],$DD96,55),0)</f>
        <v/>
      </c>
      <c r="BF96">
        <f>IFERROR(INDEX(PP_Grid[#Data],$DD96,56),0)</f>
        <v/>
      </c>
      <c r="BG96">
        <f>IFERROR(INDEX(PP_Grid[#Data],$DD96,57),0)</f>
        <v/>
      </c>
      <c r="BH96">
        <f>IFERROR(INDEX(PP_Grid[#Data],$DD96,58),0)</f>
        <v/>
      </c>
      <c r="BI96">
        <f>IFERROR(INDEX(PP_Grid[#Data],$DD96,59),0)</f>
        <v/>
      </c>
      <c r="BJ96">
        <f>IFERROR(INDEX(PP_Grid[#Data],$DD96,60),0)</f>
        <v/>
      </c>
      <c r="BK96">
        <f>IFERROR(INDEX(PP_Grid[#Data],$DD96,61),0)</f>
        <v/>
      </c>
      <c r="BL96">
        <f>IFERROR(INDEX(PP_Grid[#Data],$DD96,62),0)</f>
        <v/>
      </c>
      <c r="BM96">
        <f>IFERROR(INDEX(PP_Grid[#Data],$DD96,63),0)</f>
        <v/>
      </c>
      <c r="BN96">
        <f>IFERROR(INDEX(PP_Grid[#Data],$DD96,64),0)</f>
        <v/>
      </c>
      <c r="BO96">
        <f>IFERROR(INDEX(PP_Grid[#Data],$DD96,65),0)</f>
        <v/>
      </c>
      <c r="BP96">
        <f>IFERROR(INDEX(PP_Grid[#Data],$DD96,66),0)</f>
        <v/>
      </c>
      <c r="BQ96">
        <f>IFERROR(INDEX(PP_Grid[#Data],$DD96,67),0)</f>
        <v/>
      </c>
      <c r="BR96">
        <f>IFERROR(INDEX(PP_Grid[#Data],$DD96,68),0)</f>
        <v/>
      </c>
      <c r="BS96">
        <f>IFERROR(INDEX(PP_Grid[#Data],$DD96,69),0)</f>
        <v/>
      </c>
      <c r="BT96">
        <f>IFERROR(INDEX(PP_Grid[#Data],$DD96,70),0)</f>
        <v/>
      </c>
      <c r="BU96">
        <f>IFERROR(INDEX(PP_Grid[#Data],$DD96,71),0)</f>
        <v/>
      </c>
      <c r="BV96">
        <f>IFERROR(INDEX(PP_Grid[#Data],$DD96,72),0)</f>
        <v/>
      </c>
      <c r="BW96">
        <f>IFERROR(INDEX(PP_Grid[#Data],$DD96,73),0)</f>
        <v/>
      </c>
      <c r="BX96">
        <f>IFERROR(INDEX(PP_Grid[#Data],$DD96,74),0)</f>
        <v/>
      </c>
      <c r="BY96">
        <f>IFERROR(INDEX(PP_Grid[#Data],$DD96,75),0)</f>
        <v/>
      </c>
      <c r="BZ96">
        <f>IFERROR(INDEX(PP_Grid[#Data],$DD96,76),0)</f>
        <v/>
      </c>
      <c r="CA96">
        <f>IFERROR(INDEX(PP_Grid[#Data],$DD96,77),0)</f>
        <v/>
      </c>
      <c r="CB96">
        <f>IFERROR(INDEX(PP_Grid[#Data],$DD96,78),0)</f>
        <v/>
      </c>
      <c r="CC96">
        <f>IFERROR(INDEX(PP_Grid[#Data],$DD96,79),0)</f>
        <v/>
      </c>
      <c r="CD96">
        <f>IFERROR(INDEX(PP_Grid[#Data],$DD96,80),0)</f>
        <v/>
      </c>
      <c r="CE96">
        <f>IFERROR(INDEX(PP_Grid[#Data],$DD96,81),0)</f>
        <v/>
      </c>
      <c r="CF96">
        <f>IFERROR(INDEX(PP_Grid[#Data],$DD96,82),0)</f>
        <v/>
      </c>
      <c r="CG96">
        <f>IFERROR(INDEX(PP_Grid[#Data],$DD96,83),0)</f>
        <v/>
      </c>
      <c r="CH96">
        <f>IFERROR(INDEX(PP_Grid[#Data],$DD96,84),0)</f>
        <v/>
      </c>
      <c r="CI96">
        <f>IFERROR(INDEX(PP_Grid[#Data],$DD96,85),0)</f>
        <v/>
      </c>
      <c r="CJ96">
        <f>IFERROR(INDEX(PP_Grid[#Data],$DD96,86),0)</f>
        <v/>
      </c>
      <c r="CK96">
        <f>IFERROR(INDEX(PP_Grid[#Data],$DD96,87),0)</f>
        <v/>
      </c>
      <c r="CL96">
        <f>IFERROR(INDEX(PP_Grid[#Data],$DD96,88),0)</f>
        <v/>
      </c>
      <c r="CM96">
        <f>IFERROR(INDEX(PP_Grid[#Data],$DD96,89),0)</f>
        <v/>
      </c>
      <c r="CN96">
        <f>IFERROR(INDEX(PP_Grid[#Data],$DD96,90),0)</f>
        <v/>
      </c>
      <c r="CO96">
        <f>IFERROR(INDEX(PP_Grid[#Data],$DD96,91),0)</f>
        <v/>
      </c>
      <c r="CP96">
        <f>IFERROR(INDEX(PP_Grid[#Data],$DD96,92),0)</f>
        <v/>
      </c>
      <c r="CQ96">
        <f>IFERROR(INDEX(PP_Grid[#Data],$DD96,93),0)</f>
        <v/>
      </c>
      <c r="CR96">
        <f>IFERROR(INDEX(PP_Grid[#Data],$DD96,94),0)</f>
        <v/>
      </c>
      <c r="CS96">
        <f>IFERROR(INDEX(PP_Grid[#Data],$DD96,95),0)</f>
        <v/>
      </c>
      <c r="CT96">
        <f>IFERROR(INDEX(PP_Grid[#Data],$DD96,96),0)</f>
        <v/>
      </c>
      <c r="CU96">
        <f>IFERROR(INDEX(PP_Grid[#Data],$DD96,97),0)</f>
        <v/>
      </c>
      <c r="CV96">
        <f>IFERROR(INDEX(PP_Grid[#Data],$DD96,98),0)</f>
        <v/>
      </c>
      <c r="CW96">
        <f>IFERROR(INDEX(PP_Grid[#Data],$DD96,99),0)</f>
        <v/>
      </c>
      <c r="CX96">
        <f>IFERROR(INDEX(PP_Grid[#Data],$DD96,100),0)</f>
        <v/>
      </c>
      <c r="CY96">
        <f>IFERROR(INDEX(PP_Grid[#Data],$DD96,101),0)</f>
        <v/>
      </c>
      <c r="CZ96">
        <f>IFERROR(INDEX(PP_Grid[#Data],$DD96,102),0)</f>
        <v/>
      </c>
      <c r="DA96">
        <f>IFERROR(INDEX(PP_Grid[#Data],$DD96,103),0)</f>
        <v/>
      </c>
      <c r="DB96">
        <f>IFERROR(INDEX(PP_Grid[#Data],$DD96,104),0)</f>
        <v/>
      </c>
      <c r="DC96">
        <f>IFERROR(INDEX(PP_Grid[#Data],$DD96,105),0)</f>
        <v/>
      </c>
      <c r="DD96" s="12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SUMIFS(M_BOM[RM_Qty_Per_Batch],M_BOM[Intermediate],$B96,M_BOM[Part Name],$A65)</f>
        <v/>
      </c>
      <c r="D97">
        <f>$C97*D96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</row>
    <row r="98">
      <c r="B98" t="inlineStr">
        <is>
          <t>TSP-935</t>
        </is>
      </c>
      <c r="C98" t="inlineStr">
        <is>
          <t>No. of batches</t>
        </is>
      </c>
      <c r="D98">
        <f>IFERROR(INDEX(PP_Grid[#Data],$DD98,2),0)</f>
        <v/>
      </c>
      <c r="E98">
        <f>IFERROR(INDEX(PP_Grid[#Data],$DD98,3),0)</f>
        <v/>
      </c>
      <c r="F98">
        <f>IFERROR(INDEX(PP_Grid[#Data],$DD98,4),0)</f>
        <v/>
      </c>
      <c r="G98">
        <f>IFERROR(INDEX(PP_Grid[#Data],$DD98,5),0)</f>
        <v/>
      </c>
      <c r="H98">
        <f>IFERROR(INDEX(PP_Grid[#Data],$DD98,6),0)</f>
        <v/>
      </c>
      <c r="I98">
        <f>IFERROR(INDEX(PP_Grid[#Data],$DD98,7),0)</f>
        <v/>
      </c>
      <c r="J98">
        <f>IFERROR(INDEX(PP_Grid[#Data],$DD98,8),0)</f>
        <v/>
      </c>
      <c r="K98">
        <f>IFERROR(INDEX(PP_Grid[#Data],$DD98,9),0)</f>
        <v/>
      </c>
      <c r="L98">
        <f>IFERROR(INDEX(PP_Grid[#Data],$DD98,10),0)</f>
        <v/>
      </c>
      <c r="M98">
        <f>IFERROR(INDEX(PP_Grid[#Data],$DD98,11),0)</f>
        <v/>
      </c>
      <c r="N98">
        <f>IFERROR(INDEX(PP_Grid[#Data],$DD98,12),0)</f>
        <v/>
      </c>
      <c r="O98">
        <f>IFERROR(INDEX(PP_Grid[#Data],$DD98,13),0)</f>
        <v/>
      </c>
      <c r="P98">
        <f>IFERROR(INDEX(PP_Grid[#Data],$DD98,14),0)</f>
        <v/>
      </c>
      <c r="Q98">
        <f>IFERROR(INDEX(PP_Grid[#Data],$DD98,15),0)</f>
        <v/>
      </c>
      <c r="R98">
        <f>IFERROR(INDEX(PP_Grid[#Data],$DD98,16),0)</f>
        <v/>
      </c>
      <c r="S98">
        <f>IFERROR(INDEX(PP_Grid[#Data],$DD98,17),0)</f>
        <v/>
      </c>
      <c r="T98">
        <f>IFERROR(INDEX(PP_Grid[#Data],$DD98,18),0)</f>
        <v/>
      </c>
      <c r="U98">
        <f>IFERROR(INDEX(PP_Grid[#Data],$DD98,19),0)</f>
        <v/>
      </c>
      <c r="V98">
        <f>IFERROR(INDEX(PP_Grid[#Data],$DD98,20),0)</f>
        <v/>
      </c>
      <c r="W98">
        <f>IFERROR(INDEX(PP_Grid[#Data],$DD98,21),0)</f>
        <v/>
      </c>
      <c r="X98">
        <f>IFERROR(INDEX(PP_Grid[#Data],$DD98,22),0)</f>
        <v/>
      </c>
      <c r="Y98">
        <f>IFERROR(INDEX(PP_Grid[#Data],$DD98,23),0)</f>
        <v/>
      </c>
      <c r="Z98">
        <f>IFERROR(INDEX(PP_Grid[#Data],$DD98,24),0)</f>
        <v/>
      </c>
      <c r="AA98">
        <f>IFERROR(INDEX(PP_Grid[#Data],$DD98,25),0)</f>
        <v/>
      </c>
      <c r="AB98">
        <f>IFERROR(INDEX(PP_Grid[#Data],$DD98,26),0)</f>
        <v/>
      </c>
      <c r="AC98">
        <f>IFERROR(INDEX(PP_Grid[#Data],$DD98,27),0)</f>
        <v/>
      </c>
      <c r="AD98">
        <f>IFERROR(INDEX(PP_Grid[#Data],$DD98,28),0)</f>
        <v/>
      </c>
      <c r="AE98">
        <f>IFERROR(INDEX(PP_Grid[#Data],$DD98,29),0)</f>
        <v/>
      </c>
      <c r="AF98">
        <f>IFERROR(INDEX(PP_Grid[#Data],$DD98,30),0)</f>
        <v/>
      </c>
      <c r="AG98">
        <f>IFERROR(INDEX(PP_Grid[#Data],$DD98,31),0)</f>
        <v/>
      </c>
      <c r="AH98">
        <f>IFERROR(INDEX(PP_Grid[#Data],$DD98,32),0)</f>
        <v/>
      </c>
      <c r="AI98">
        <f>IFERROR(INDEX(PP_Grid[#Data],$DD98,33),0)</f>
        <v/>
      </c>
      <c r="AJ98">
        <f>IFERROR(INDEX(PP_Grid[#Data],$DD98,34),0)</f>
        <v/>
      </c>
      <c r="AK98">
        <f>IFERROR(INDEX(PP_Grid[#Data],$DD98,35),0)</f>
        <v/>
      </c>
      <c r="AL98">
        <f>IFERROR(INDEX(PP_Grid[#Data],$DD98,36),0)</f>
        <v/>
      </c>
      <c r="AM98">
        <f>IFERROR(INDEX(PP_Grid[#Data],$DD98,37),0)</f>
        <v/>
      </c>
      <c r="AN98">
        <f>IFERROR(INDEX(PP_Grid[#Data],$DD98,38),0)</f>
        <v/>
      </c>
      <c r="AO98">
        <f>IFERROR(INDEX(PP_Grid[#Data],$DD98,39),0)</f>
        <v/>
      </c>
      <c r="AP98">
        <f>IFERROR(INDEX(PP_Grid[#Data],$DD98,40),0)</f>
        <v/>
      </c>
      <c r="AQ98">
        <f>IFERROR(INDEX(PP_Grid[#Data],$DD98,41),0)</f>
        <v/>
      </c>
      <c r="AR98">
        <f>IFERROR(INDEX(PP_Grid[#Data],$DD98,42),0)</f>
        <v/>
      </c>
      <c r="AS98">
        <f>IFERROR(INDEX(PP_Grid[#Data],$DD98,43),0)</f>
        <v/>
      </c>
      <c r="AT98">
        <f>IFERROR(INDEX(PP_Grid[#Data],$DD98,44),0)</f>
        <v/>
      </c>
      <c r="AU98">
        <f>IFERROR(INDEX(PP_Grid[#Data],$DD98,45),0)</f>
        <v/>
      </c>
      <c r="AV98">
        <f>IFERROR(INDEX(PP_Grid[#Data],$DD98,46),0)</f>
        <v/>
      </c>
      <c r="AW98">
        <f>IFERROR(INDEX(PP_Grid[#Data],$DD98,47),0)</f>
        <v/>
      </c>
      <c r="AX98">
        <f>IFERROR(INDEX(PP_Grid[#Data],$DD98,48),0)</f>
        <v/>
      </c>
      <c r="AY98">
        <f>IFERROR(INDEX(PP_Grid[#Data],$DD98,49),0)</f>
        <v/>
      </c>
      <c r="AZ98">
        <f>IFERROR(INDEX(PP_Grid[#Data],$DD98,50),0)</f>
        <v/>
      </c>
      <c r="BA98">
        <f>IFERROR(INDEX(PP_Grid[#Data],$DD98,51),0)</f>
        <v/>
      </c>
      <c r="BB98">
        <f>IFERROR(INDEX(PP_Grid[#Data],$DD98,52),0)</f>
        <v/>
      </c>
      <c r="BC98">
        <f>IFERROR(INDEX(PP_Grid[#Data],$DD98,53),0)</f>
        <v/>
      </c>
      <c r="BD98">
        <f>IFERROR(INDEX(PP_Grid[#Data],$DD98,54),0)</f>
        <v/>
      </c>
      <c r="BE98">
        <f>IFERROR(INDEX(PP_Grid[#Data],$DD98,55),0)</f>
        <v/>
      </c>
      <c r="BF98">
        <f>IFERROR(INDEX(PP_Grid[#Data],$DD98,56),0)</f>
        <v/>
      </c>
      <c r="BG98">
        <f>IFERROR(INDEX(PP_Grid[#Data],$DD98,57),0)</f>
        <v/>
      </c>
      <c r="BH98">
        <f>IFERROR(INDEX(PP_Grid[#Data],$DD98,58),0)</f>
        <v/>
      </c>
      <c r="BI98">
        <f>IFERROR(INDEX(PP_Grid[#Data],$DD98,59),0)</f>
        <v/>
      </c>
      <c r="BJ98">
        <f>IFERROR(INDEX(PP_Grid[#Data],$DD98,60),0)</f>
        <v/>
      </c>
      <c r="BK98">
        <f>IFERROR(INDEX(PP_Grid[#Data],$DD98,61),0)</f>
        <v/>
      </c>
      <c r="BL98">
        <f>IFERROR(INDEX(PP_Grid[#Data],$DD98,62),0)</f>
        <v/>
      </c>
      <c r="BM98">
        <f>IFERROR(INDEX(PP_Grid[#Data],$DD98,63),0)</f>
        <v/>
      </c>
      <c r="BN98">
        <f>IFERROR(INDEX(PP_Grid[#Data],$DD98,64),0)</f>
        <v/>
      </c>
      <c r="BO98">
        <f>IFERROR(INDEX(PP_Grid[#Data],$DD98,65),0)</f>
        <v/>
      </c>
      <c r="BP98">
        <f>IFERROR(INDEX(PP_Grid[#Data],$DD98,66),0)</f>
        <v/>
      </c>
      <c r="BQ98">
        <f>IFERROR(INDEX(PP_Grid[#Data],$DD98,67),0)</f>
        <v/>
      </c>
      <c r="BR98">
        <f>IFERROR(INDEX(PP_Grid[#Data],$DD98,68),0)</f>
        <v/>
      </c>
      <c r="BS98">
        <f>IFERROR(INDEX(PP_Grid[#Data],$DD98,69),0)</f>
        <v/>
      </c>
      <c r="BT98">
        <f>IFERROR(INDEX(PP_Grid[#Data],$DD98,70),0)</f>
        <v/>
      </c>
      <c r="BU98">
        <f>IFERROR(INDEX(PP_Grid[#Data],$DD98,71),0)</f>
        <v/>
      </c>
      <c r="BV98">
        <f>IFERROR(INDEX(PP_Grid[#Data],$DD98,72),0)</f>
        <v/>
      </c>
      <c r="BW98">
        <f>IFERROR(INDEX(PP_Grid[#Data],$DD98,73),0)</f>
        <v/>
      </c>
      <c r="BX98">
        <f>IFERROR(INDEX(PP_Grid[#Data],$DD98,74),0)</f>
        <v/>
      </c>
      <c r="BY98">
        <f>IFERROR(INDEX(PP_Grid[#Data],$DD98,75),0)</f>
        <v/>
      </c>
      <c r="BZ98">
        <f>IFERROR(INDEX(PP_Grid[#Data],$DD98,76),0)</f>
        <v/>
      </c>
      <c r="CA98">
        <f>IFERROR(INDEX(PP_Grid[#Data],$DD98,77),0)</f>
        <v/>
      </c>
      <c r="CB98">
        <f>IFERROR(INDEX(PP_Grid[#Data],$DD98,78),0)</f>
        <v/>
      </c>
      <c r="CC98">
        <f>IFERROR(INDEX(PP_Grid[#Data],$DD98,79),0)</f>
        <v/>
      </c>
      <c r="CD98">
        <f>IFERROR(INDEX(PP_Grid[#Data],$DD98,80),0)</f>
        <v/>
      </c>
      <c r="CE98">
        <f>IFERROR(INDEX(PP_Grid[#Data],$DD98,81),0)</f>
        <v/>
      </c>
      <c r="CF98">
        <f>IFERROR(INDEX(PP_Grid[#Data],$DD98,82),0)</f>
        <v/>
      </c>
      <c r="CG98">
        <f>IFERROR(INDEX(PP_Grid[#Data],$DD98,83),0)</f>
        <v/>
      </c>
      <c r="CH98">
        <f>IFERROR(INDEX(PP_Grid[#Data],$DD98,84),0)</f>
        <v/>
      </c>
      <c r="CI98">
        <f>IFERROR(INDEX(PP_Grid[#Data],$DD98,85),0)</f>
        <v/>
      </c>
      <c r="CJ98">
        <f>IFERROR(INDEX(PP_Grid[#Data],$DD98,86),0)</f>
        <v/>
      </c>
      <c r="CK98">
        <f>IFERROR(INDEX(PP_Grid[#Data],$DD98,87),0)</f>
        <v/>
      </c>
      <c r="CL98">
        <f>IFERROR(INDEX(PP_Grid[#Data],$DD98,88),0)</f>
        <v/>
      </c>
      <c r="CM98">
        <f>IFERROR(INDEX(PP_Grid[#Data],$DD98,89),0)</f>
        <v/>
      </c>
      <c r="CN98">
        <f>IFERROR(INDEX(PP_Grid[#Data],$DD98,90),0)</f>
        <v/>
      </c>
      <c r="CO98">
        <f>IFERROR(INDEX(PP_Grid[#Data],$DD98,91),0)</f>
        <v/>
      </c>
      <c r="CP98">
        <f>IFERROR(INDEX(PP_Grid[#Data],$DD98,92),0)</f>
        <v/>
      </c>
      <c r="CQ98">
        <f>IFERROR(INDEX(PP_Grid[#Data],$DD98,93),0)</f>
        <v/>
      </c>
      <c r="CR98">
        <f>IFERROR(INDEX(PP_Grid[#Data],$DD98,94),0)</f>
        <v/>
      </c>
      <c r="CS98">
        <f>IFERROR(INDEX(PP_Grid[#Data],$DD98,95),0)</f>
        <v/>
      </c>
      <c r="CT98">
        <f>IFERROR(INDEX(PP_Grid[#Data],$DD98,96),0)</f>
        <v/>
      </c>
      <c r="CU98">
        <f>IFERROR(INDEX(PP_Grid[#Data],$DD98,97),0)</f>
        <v/>
      </c>
      <c r="CV98">
        <f>IFERROR(INDEX(PP_Grid[#Data],$DD98,98),0)</f>
        <v/>
      </c>
      <c r="CW98">
        <f>IFERROR(INDEX(PP_Grid[#Data],$DD98,99),0)</f>
        <v/>
      </c>
      <c r="CX98">
        <f>IFERROR(INDEX(PP_Grid[#Data],$DD98,100),0)</f>
        <v/>
      </c>
      <c r="CY98">
        <f>IFERROR(INDEX(PP_Grid[#Data],$DD98,101),0)</f>
        <v/>
      </c>
      <c r="CZ98">
        <f>IFERROR(INDEX(PP_Grid[#Data],$DD98,102),0)</f>
        <v/>
      </c>
      <c r="DA98">
        <f>IFERROR(INDEX(PP_Grid[#Data],$DD98,103),0)</f>
        <v/>
      </c>
      <c r="DB98">
        <f>IFERROR(INDEX(PP_Grid[#Data],$DD98,104),0)</f>
        <v/>
      </c>
      <c r="DC98">
        <f>IFERROR(INDEX(PP_Grid[#Data],$DD98,105),0)</f>
        <v/>
      </c>
      <c r="DD98" s="12">
        <f>IFERROR(MATCH($B98,PP_Grid[Intermediate],0),99999)</f>
        <v/>
      </c>
    </row>
    <row r="99">
      <c r="B99" t="inlineStr">
        <is>
          <t>使用量(kg)</t>
        </is>
      </c>
      <c r="C99">
        <f>SUMIFS(M_BOM[RM_Qty_Per_Batch],M_BOM[Intermediate],$B98,M_BOM[Part Name],$A65)</f>
        <v/>
      </c>
      <c r="D99">
        <f>$C99*D98</f>
        <v/>
      </c>
      <c r="E99">
        <f>$C99*E98</f>
        <v/>
      </c>
      <c r="F99">
        <f>$C99*F98</f>
        <v/>
      </c>
      <c r="G99">
        <f>$C99*G98</f>
        <v/>
      </c>
      <c r="H99">
        <f>$C99*H98</f>
        <v/>
      </c>
      <c r="I99">
        <f>$C99*I98</f>
        <v/>
      </c>
      <c r="J99">
        <f>$C99*J98</f>
        <v/>
      </c>
      <c r="K99">
        <f>$C99*K98</f>
        <v/>
      </c>
      <c r="L99">
        <f>$C99*L98</f>
        <v/>
      </c>
      <c r="M99">
        <f>$C99*M98</f>
        <v/>
      </c>
      <c r="N99">
        <f>$C99*N98</f>
        <v/>
      </c>
      <c r="O99">
        <f>$C99*O98</f>
        <v/>
      </c>
      <c r="P99">
        <f>$C99*P98</f>
        <v/>
      </c>
      <c r="Q99">
        <f>$C99*Q98</f>
        <v/>
      </c>
      <c r="R99">
        <f>$C99*R98</f>
        <v/>
      </c>
      <c r="S99">
        <f>$C99*S98</f>
        <v/>
      </c>
      <c r="T99">
        <f>$C99*T98</f>
        <v/>
      </c>
      <c r="U99">
        <f>$C99*U98</f>
        <v/>
      </c>
      <c r="V99">
        <f>$C99*V98</f>
        <v/>
      </c>
      <c r="W99">
        <f>$C99*W98</f>
        <v/>
      </c>
      <c r="X99">
        <f>$C99*X98</f>
        <v/>
      </c>
      <c r="Y99">
        <f>$C99*Y98</f>
        <v/>
      </c>
      <c r="Z99">
        <f>$C99*Z98</f>
        <v/>
      </c>
      <c r="AA99">
        <f>$C99*AA98</f>
        <v/>
      </c>
      <c r="AB99">
        <f>$C99*AB98</f>
        <v/>
      </c>
      <c r="AC99">
        <f>$C99*AC98</f>
        <v/>
      </c>
      <c r="AD99">
        <f>$C99*AD98</f>
        <v/>
      </c>
      <c r="AE99">
        <f>$C99*AE98</f>
        <v/>
      </c>
      <c r="AF99">
        <f>$C99*AF98</f>
        <v/>
      </c>
      <c r="AG99">
        <f>$C99*AG98</f>
        <v/>
      </c>
      <c r="AH99">
        <f>$C99*AH98</f>
        <v/>
      </c>
      <c r="AI99">
        <f>$C99*AI98</f>
        <v/>
      </c>
      <c r="AJ99">
        <f>$C99*AJ98</f>
        <v/>
      </c>
      <c r="AK99">
        <f>$C99*AK98</f>
        <v/>
      </c>
      <c r="AL99">
        <f>$C99*AL98</f>
        <v/>
      </c>
      <c r="AM99">
        <f>$C99*AM98</f>
        <v/>
      </c>
      <c r="AN99">
        <f>$C99*AN98</f>
        <v/>
      </c>
      <c r="AO99">
        <f>$C99*AO98</f>
        <v/>
      </c>
      <c r="AP99">
        <f>$C99*AP98</f>
        <v/>
      </c>
      <c r="AQ99">
        <f>$C99*AQ98</f>
        <v/>
      </c>
      <c r="AR99">
        <f>$C99*AR98</f>
        <v/>
      </c>
      <c r="AS99">
        <f>$C99*AS98</f>
        <v/>
      </c>
      <c r="AT99">
        <f>$C99*AT98</f>
        <v/>
      </c>
      <c r="AU99">
        <f>$C99*AU98</f>
        <v/>
      </c>
      <c r="AV99">
        <f>$C99*AV98</f>
        <v/>
      </c>
      <c r="AW99">
        <f>$C99*AW98</f>
        <v/>
      </c>
      <c r="AX99">
        <f>$C99*AX98</f>
        <v/>
      </c>
      <c r="AY99">
        <f>$C99*AY98</f>
        <v/>
      </c>
      <c r="AZ99">
        <f>$C99*AZ98</f>
        <v/>
      </c>
      <c r="BA99">
        <f>$C99*BA98</f>
        <v/>
      </c>
      <c r="BB99">
        <f>$C99*BB98</f>
        <v/>
      </c>
      <c r="BC99">
        <f>$C99*BC98</f>
        <v/>
      </c>
      <c r="BD99">
        <f>$C99*BD98</f>
        <v/>
      </c>
      <c r="BE99">
        <f>$C99*BE98</f>
        <v/>
      </c>
      <c r="BF99">
        <f>$C99*BF98</f>
        <v/>
      </c>
      <c r="BG99">
        <f>$C99*BG98</f>
        <v/>
      </c>
      <c r="BH99">
        <f>$C99*BH98</f>
        <v/>
      </c>
      <c r="BI99">
        <f>$C99*BI98</f>
        <v/>
      </c>
      <c r="BJ99">
        <f>$C99*BJ98</f>
        <v/>
      </c>
      <c r="BK99">
        <f>$C99*BK98</f>
        <v/>
      </c>
      <c r="BL99">
        <f>$C99*BL98</f>
        <v/>
      </c>
      <c r="BM99">
        <f>$C99*BM98</f>
        <v/>
      </c>
      <c r="BN99">
        <f>$C99*BN98</f>
        <v/>
      </c>
      <c r="BO99">
        <f>$C99*BO98</f>
        <v/>
      </c>
      <c r="BP99">
        <f>$C99*BP98</f>
        <v/>
      </c>
      <c r="BQ99">
        <f>$C99*BQ98</f>
        <v/>
      </c>
      <c r="BR99">
        <f>$C99*BR98</f>
        <v/>
      </c>
      <c r="BS99">
        <f>$C99*BS98</f>
        <v/>
      </c>
      <c r="BT99">
        <f>$C99*BT98</f>
        <v/>
      </c>
      <c r="BU99">
        <f>$C99*BU98</f>
        <v/>
      </c>
      <c r="BV99">
        <f>$C99*BV98</f>
        <v/>
      </c>
      <c r="BW99">
        <f>$C99*BW98</f>
        <v/>
      </c>
      <c r="BX99">
        <f>$C99*BX98</f>
        <v/>
      </c>
      <c r="BY99">
        <f>$C99*BY98</f>
        <v/>
      </c>
      <c r="BZ99">
        <f>$C99*BZ98</f>
        <v/>
      </c>
      <c r="CA99">
        <f>$C99*CA98</f>
        <v/>
      </c>
      <c r="CB99">
        <f>$C99*CB98</f>
        <v/>
      </c>
      <c r="CC99">
        <f>$C99*CC98</f>
        <v/>
      </c>
      <c r="CD99">
        <f>$C99*CD98</f>
        <v/>
      </c>
      <c r="CE99">
        <f>$C99*CE98</f>
        <v/>
      </c>
      <c r="CF99">
        <f>$C99*CF98</f>
        <v/>
      </c>
      <c r="CG99">
        <f>$C99*CG98</f>
        <v/>
      </c>
      <c r="CH99">
        <f>$C99*CH98</f>
        <v/>
      </c>
      <c r="CI99">
        <f>$C99*CI98</f>
        <v/>
      </c>
      <c r="CJ99">
        <f>$C99*CJ98</f>
        <v/>
      </c>
      <c r="CK99">
        <f>$C99*CK98</f>
        <v/>
      </c>
      <c r="CL99">
        <f>$C99*CL98</f>
        <v/>
      </c>
      <c r="CM99">
        <f>$C99*CM98</f>
        <v/>
      </c>
      <c r="CN99">
        <f>$C99*CN98</f>
        <v/>
      </c>
      <c r="CO99">
        <f>$C99*CO98</f>
        <v/>
      </c>
      <c r="CP99">
        <f>$C99*CP98</f>
        <v/>
      </c>
      <c r="CQ99">
        <f>$C99*CQ98</f>
        <v/>
      </c>
      <c r="CR99">
        <f>$C99*CR98</f>
        <v/>
      </c>
      <c r="CS99">
        <f>$C99*CS98</f>
        <v/>
      </c>
      <c r="CT99">
        <f>$C99*CT98</f>
        <v/>
      </c>
      <c r="CU99">
        <f>$C99*CU98</f>
        <v/>
      </c>
      <c r="CV99">
        <f>$C99*CV98</f>
        <v/>
      </c>
      <c r="CW99">
        <f>$C99*CW98</f>
        <v/>
      </c>
      <c r="CX99">
        <f>$C99*CX98</f>
        <v/>
      </c>
      <c r="CY99">
        <f>$C99*CY98</f>
        <v/>
      </c>
      <c r="CZ99">
        <f>$C99*CZ98</f>
        <v/>
      </c>
      <c r="DA99">
        <f>$C99*DA98</f>
        <v/>
      </c>
      <c r="DB99">
        <f>$C99*DB98</f>
        <v/>
      </c>
      <c r="DC99">
        <f>$C99*DC98</f>
        <v/>
      </c>
    </row>
    <row r="100">
      <c r="B100" t="inlineStr">
        <is>
          <t>TSP-936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Name],$A65)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t="inlineStr">
        <is>
          <t>TSP-937</t>
        </is>
      </c>
      <c r="C102" t="inlineStr">
        <is>
          <t>No. of batches</t>
        </is>
      </c>
      <c r="D102">
        <f>IFERROR(INDEX(PP_Grid[#Data],$DD102,2),0)</f>
        <v/>
      </c>
      <c r="E102">
        <f>IFERROR(INDEX(PP_Grid[#Data],$DD102,3),0)</f>
        <v/>
      </c>
      <c r="F102">
        <f>IFERROR(INDEX(PP_Grid[#Data],$DD102,4),0)</f>
        <v/>
      </c>
      <c r="G102">
        <f>IFERROR(INDEX(PP_Grid[#Data],$DD102,5),0)</f>
        <v/>
      </c>
      <c r="H102">
        <f>IFERROR(INDEX(PP_Grid[#Data],$DD102,6),0)</f>
        <v/>
      </c>
      <c r="I102">
        <f>IFERROR(INDEX(PP_Grid[#Data],$DD102,7),0)</f>
        <v/>
      </c>
      <c r="J102">
        <f>IFERROR(INDEX(PP_Grid[#Data],$DD102,8),0)</f>
        <v/>
      </c>
      <c r="K102">
        <f>IFERROR(INDEX(PP_Grid[#Data],$DD102,9),0)</f>
        <v/>
      </c>
      <c r="L102">
        <f>IFERROR(INDEX(PP_Grid[#Data],$DD102,10),0)</f>
        <v/>
      </c>
      <c r="M102">
        <f>IFERROR(INDEX(PP_Grid[#Data],$DD102,11),0)</f>
        <v/>
      </c>
      <c r="N102">
        <f>IFERROR(INDEX(PP_Grid[#Data],$DD102,12),0)</f>
        <v/>
      </c>
      <c r="O102">
        <f>IFERROR(INDEX(PP_Grid[#Data],$DD102,13),0)</f>
        <v/>
      </c>
      <c r="P102">
        <f>IFERROR(INDEX(PP_Grid[#Data],$DD102,14),0)</f>
        <v/>
      </c>
      <c r="Q102">
        <f>IFERROR(INDEX(PP_Grid[#Data],$DD102,15),0)</f>
        <v/>
      </c>
      <c r="R102">
        <f>IFERROR(INDEX(PP_Grid[#Data],$DD102,16),0)</f>
        <v/>
      </c>
      <c r="S102">
        <f>IFERROR(INDEX(PP_Grid[#Data],$DD102,17),0)</f>
        <v/>
      </c>
      <c r="T102">
        <f>IFERROR(INDEX(PP_Grid[#Data],$DD102,18),0)</f>
        <v/>
      </c>
      <c r="U102">
        <f>IFERROR(INDEX(PP_Grid[#Data],$DD102,19),0)</f>
        <v/>
      </c>
      <c r="V102">
        <f>IFERROR(INDEX(PP_Grid[#Data],$DD102,20),0)</f>
        <v/>
      </c>
      <c r="W102">
        <f>IFERROR(INDEX(PP_Grid[#Data],$DD102,21),0)</f>
        <v/>
      </c>
      <c r="X102">
        <f>IFERROR(INDEX(PP_Grid[#Data],$DD102,22),0)</f>
        <v/>
      </c>
      <c r="Y102">
        <f>IFERROR(INDEX(PP_Grid[#Data],$DD102,23),0)</f>
        <v/>
      </c>
      <c r="Z102">
        <f>IFERROR(INDEX(PP_Grid[#Data],$DD102,24),0)</f>
        <v/>
      </c>
      <c r="AA102">
        <f>IFERROR(INDEX(PP_Grid[#Data],$DD102,25),0)</f>
        <v/>
      </c>
      <c r="AB102">
        <f>IFERROR(INDEX(PP_Grid[#Data],$DD102,26),0)</f>
        <v/>
      </c>
      <c r="AC102">
        <f>IFERROR(INDEX(PP_Grid[#Data],$DD102,27),0)</f>
        <v/>
      </c>
      <c r="AD102">
        <f>IFERROR(INDEX(PP_Grid[#Data],$DD102,28),0)</f>
        <v/>
      </c>
      <c r="AE102">
        <f>IFERROR(INDEX(PP_Grid[#Data],$DD102,29),0)</f>
        <v/>
      </c>
      <c r="AF102">
        <f>IFERROR(INDEX(PP_Grid[#Data],$DD102,30),0)</f>
        <v/>
      </c>
      <c r="AG102">
        <f>IFERROR(INDEX(PP_Grid[#Data],$DD102,31),0)</f>
        <v/>
      </c>
      <c r="AH102">
        <f>IFERROR(INDEX(PP_Grid[#Data],$DD102,32),0)</f>
        <v/>
      </c>
      <c r="AI102">
        <f>IFERROR(INDEX(PP_Grid[#Data],$DD102,33),0)</f>
        <v/>
      </c>
      <c r="AJ102">
        <f>IFERROR(INDEX(PP_Grid[#Data],$DD102,34),0)</f>
        <v/>
      </c>
      <c r="AK102">
        <f>IFERROR(INDEX(PP_Grid[#Data],$DD102,35),0)</f>
        <v/>
      </c>
      <c r="AL102">
        <f>IFERROR(INDEX(PP_Grid[#Data],$DD102,36),0)</f>
        <v/>
      </c>
      <c r="AM102">
        <f>IFERROR(INDEX(PP_Grid[#Data],$DD102,37),0)</f>
        <v/>
      </c>
      <c r="AN102">
        <f>IFERROR(INDEX(PP_Grid[#Data],$DD102,38),0)</f>
        <v/>
      </c>
      <c r="AO102">
        <f>IFERROR(INDEX(PP_Grid[#Data],$DD102,39),0)</f>
        <v/>
      </c>
      <c r="AP102">
        <f>IFERROR(INDEX(PP_Grid[#Data],$DD102,40),0)</f>
        <v/>
      </c>
      <c r="AQ102">
        <f>IFERROR(INDEX(PP_Grid[#Data],$DD102,41),0)</f>
        <v/>
      </c>
      <c r="AR102">
        <f>IFERROR(INDEX(PP_Grid[#Data],$DD102,42),0)</f>
        <v/>
      </c>
      <c r="AS102">
        <f>IFERROR(INDEX(PP_Grid[#Data],$DD102,43),0)</f>
        <v/>
      </c>
      <c r="AT102">
        <f>IFERROR(INDEX(PP_Grid[#Data],$DD102,44),0)</f>
        <v/>
      </c>
      <c r="AU102">
        <f>IFERROR(INDEX(PP_Grid[#Data],$DD102,45),0)</f>
        <v/>
      </c>
      <c r="AV102">
        <f>IFERROR(INDEX(PP_Grid[#Data],$DD102,46),0)</f>
        <v/>
      </c>
      <c r="AW102">
        <f>IFERROR(INDEX(PP_Grid[#Data],$DD102,47),0)</f>
        <v/>
      </c>
      <c r="AX102">
        <f>IFERROR(INDEX(PP_Grid[#Data],$DD102,48),0)</f>
        <v/>
      </c>
      <c r="AY102">
        <f>IFERROR(INDEX(PP_Grid[#Data],$DD102,49),0)</f>
        <v/>
      </c>
      <c r="AZ102">
        <f>IFERROR(INDEX(PP_Grid[#Data],$DD102,50),0)</f>
        <v/>
      </c>
      <c r="BA102">
        <f>IFERROR(INDEX(PP_Grid[#Data],$DD102,51),0)</f>
        <v/>
      </c>
      <c r="BB102">
        <f>IFERROR(INDEX(PP_Grid[#Data],$DD102,52),0)</f>
        <v/>
      </c>
      <c r="BC102">
        <f>IFERROR(INDEX(PP_Grid[#Data],$DD102,53),0)</f>
        <v/>
      </c>
      <c r="BD102">
        <f>IFERROR(INDEX(PP_Grid[#Data],$DD102,54),0)</f>
        <v/>
      </c>
      <c r="BE102">
        <f>IFERROR(INDEX(PP_Grid[#Data],$DD102,55),0)</f>
        <v/>
      </c>
      <c r="BF102">
        <f>IFERROR(INDEX(PP_Grid[#Data],$DD102,56),0)</f>
        <v/>
      </c>
      <c r="BG102">
        <f>IFERROR(INDEX(PP_Grid[#Data],$DD102,57),0)</f>
        <v/>
      </c>
      <c r="BH102">
        <f>IFERROR(INDEX(PP_Grid[#Data],$DD102,58),0)</f>
        <v/>
      </c>
      <c r="BI102">
        <f>IFERROR(INDEX(PP_Grid[#Data],$DD102,59),0)</f>
        <v/>
      </c>
      <c r="BJ102">
        <f>IFERROR(INDEX(PP_Grid[#Data],$DD102,60),0)</f>
        <v/>
      </c>
      <c r="BK102">
        <f>IFERROR(INDEX(PP_Grid[#Data],$DD102,61),0)</f>
        <v/>
      </c>
      <c r="BL102">
        <f>IFERROR(INDEX(PP_Grid[#Data],$DD102,62),0)</f>
        <v/>
      </c>
      <c r="BM102">
        <f>IFERROR(INDEX(PP_Grid[#Data],$DD102,63),0)</f>
        <v/>
      </c>
      <c r="BN102">
        <f>IFERROR(INDEX(PP_Grid[#Data],$DD102,64),0)</f>
        <v/>
      </c>
      <c r="BO102">
        <f>IFERROR(INDEX(PP_Grid[#Data],$DD102,65),0)</f>
        <v/>
      </c>
      <c r="BP102">
        <f>IFERROR(INDEX(PP_Grid[#Data],$DD102,66),0)</f>
        <v/>
      </c>
      <c r="BQ102">
        <f>IFERROR(INDEX(PP_Grid[#Data],$DD102,67),0)</f>
        <v/>
      </c>
      <c r="BR102">
        <f>IFERROR(INDEX(PP_Grid[#Data],$DD102,68),0)</f>
        <v/>
      </c>
      <c r="BS102">
        <f>IFERROR(INDEX(PP_Grid[#Data],$DD102,69),0)</f>
        <v/>
      </c>
      <c r="BT102">
        <f>IFERROR(INDEX(PP_Grid[#Data],$DD102,70),0)</f>
        <v/>
      </c>
      <c r="BU102">
        <f>IFERROR(INDEX(PP_Grid[#Data],$DD102,71),0)</f>
        <v/>
      </c>
      <c r="BV102">
        <f>IFERROR(INDEX(PP_Grid[#Data],$DD102,72),0)</f>
        <v/>
      </c>
      <c r="BW102">
        <f>IFERROR(INDEX(PP_Grid[#Data],$DD102,73),0)</f>
        <v/>
      </c>
      <c r="BX102">
        <f>IFERROR(INDEX(PP_Grid[#Data],$DD102,74),0)</f>
        <v/>
      </c>
      <c r="BY102">
        <f>IFERROR(INDEX(PP_Grid[#Data],$DD102,75),0)</f>
        <v/>
      </c>
      <c r="BZ102">
        <f>IFERROR(INDEX(PP_Grid[#Data],$DD102,76),0)</f>
        <v/>
      </c>
      <c r="CA102">
        <f>IFERROR(INDEX(PP_Grid[#Data],$DD102,77),0)</f>
        <v/>
      </c>
      <c r="CB102">
        <f>IFERROR(INDEX(PP_Grid[#Data],$DD102,78),0)</f>
        <v/>
      </c>
      <c r="CC102">
        <f>IFERROR(INDEX(PP_Grid[#Data],$DD102,79),0)</f>
        <v/>
      </c>
      <c r="CD102">
        <f>IFERROR(INDEX(PP_Grid[#Data],$DD102,80),0)</f>
        <v/>
      </c>
      <c r="CE102">
        <f>IFERROR(INDEX(PP_Grid[#Data],$DD102,81),0)</f>
        <v/>
      </c>
      <c r="CF102">
        <f>IFERROR(INDEX(PP_Grid[#Data],$DD102,82),0)</f>
        <v/>
      </c>
      <c r="CG102">
        <f>IFERROR(INDEX(PP_Grid[#Data],$DD102,83),0)</f>
        <v/>
      </c>
      <c r="CH102">
        <f>IFERROR(INDEX(PP_Grid[#Data],$DD102,84),0)</f>
        <v/>
      </c>
      <c r="CI102">
        <f>IFERROR(INDEX(PP_Grid[#Data],$DD102,85),0)</f>
        <v/>
      </c>
      <c r="CJ102">
        <f>IFERROR(INDEX(PP_Grid[#Data],$DD102,86),0)</f>
        <v/>
      </c>
      <c r="CK102">
        <f>IFERROR(INDEX(PP_Grid[#Data],$DD102,87),0)</f>
        <v/>
      </c>
      <c r="CL102">
        <f>IFERROR(INDEX(PP_Grid[#Data],$DD102,88),0)</f>
        <v/>
      </c>
      <c r="CM102">
        <f>IFERROR(INDEX(PP_Grid[#Data],$DD102,89),0)</f>
        <v/>
      </c>
      <c r="CN102">
        <f>IFERROR(INDEX(PP_Grid[#Data],$DD102,90),0)</f>
        <v/>
      </c>
      <c r="CO102">
        <f>IFERROR(INDEX(PP_Grid[#Data],$DD102,91),0)</f>
        <v/>
      </c>
      <c r="CP102">
        <f>IFERROR(INDEX(PP_Grid[#Data],$DD102,92),0)</f>
        <v/>
      </c>
      <c r="CQ102">
        <f>IFERROR(INDEX(PP_Grid[#Data],$DD102,93),0)</f>
        <v/>
      </c>
      <c r="CR102">
        <f>IFERROR(INDEX(PP_Grid[#Data],$DD102,94),0)</f>
        <v/>
      </c>
      <c r="CS102">
        <f>IFERROR(INDEX(PP_Grid[#Data],$DD102,95),0)</f>
        <v/>
      </c>
      <c r="CT102">
        <f>IFERROR(INDEX(PP_Grid[#Data],$DD102,96),0)</f>
        <v/>
      </c>
      <c r="CU102">
        <f>IFERROR(INDEX(PP_Grid[#Data],$DD102,97),0)</f>
        <v/>
      </c>
      <c r="CV102">
        <f>IFERROR(INDEX(PP_Grid[#Data],$DD102,98),0)</f>
        <v/>
      </c>
      <c r="CW102">
        <f>IFERROR(INDEX(PP_Grid[#Data],$DD102,99),0)</f>
        <v/>
      </c>
      <c r="CX102">
        <f>IFERROR(INDEX(PP_Grid[#Data],$DD102,100),0)</f>
        <v/>
      </c>
      <c r="CY102">
        <f>IFERROR(INDEX(PP_Grid[#Data],$DD102,101),0)</f>
        <v/>
      </c>
      <c r="CZ102">
        <f>IFERROR(INDEX(PP_Grid[#Data],$DD102,102),0)</f>
        <v/>
      </c>
      <c r="DA102">
        <f>IFERROR(INDEX(PP_Grid[#Data],$DD102,103),0)</f>
        <v/>
      </c>
      <c r="DB102">
        <f>IFERROR(INDEX(PP_Grid[#Data],$DD102,104),0)</f>
        <v/>
      </c>
      <c r="DC102">
        <f>IFERROR(INDEX(PP_Grid[#Data],$DD102,105),0)</f>
        <v/>
      </c>
      <c r="DD102" s="12">
        <f>IFERROR(MATCH($B102,PP_Grid[Intermediate],0),99999)</f>
        <v/>
      </c>
    </row>
    <row r="103">
      <c r="B103" t="inlineStr">
        <is>
          <t>使用量(kg)</t>
        </is>
      </c>
      <c r="C103">
        <f>SUMIFS(M_BOM[RM_Qty_Per_Batch],M_BOM[Intermediate],$B102,M_BOM[Part Name],$A65)</f>
        <v/>
      </c>
      <c r="D103">
        <f>$C103*D102</f>
        <v/>
      </c>
      <c r="E103">
        <f>$C103*E102</f>
        <v/>
      </c>
      <c r="F103">
        <f>$C103*F102</f>
        <v/>
      </c>
      <c r="G103">
        <f>$C103*G102</f>
        <v/>
      </c>
      <c r="H103">
        <f>$C103*H102</f>
        <v/>
      </c>
      <c r="I103">
        <f>$C103*I102</f>
        <v/>
      </c>
      <c r="J103">
        <f>$C103*J102</f>
        <v/>
      </c>
      <c r="K103">
        <f>$C103*K102</f>
        <v/>
      </c>
      <c r="L103">
        <f>$C103*L102</f>
        <v/>
      </c>
      <c r="M103">
        <f>$C103*M102</f>
        <v/>
      </c>
      <c r="N103">
        <f>$C103*N102</f>
        <v/>
      </c>
      <c r="O103">
        <f>$C103*O102</f>
        <v/>
      </c>
      <c r="P103">
        <f>$C103*P102</f>
        <v/>
      </c>
      <c r="Q103">
        <f>$C103*Q102</f>
        <v/>
      </c>
      <c r="R103">
        <f>$C103*R102</f>
        <v/>
      </c>
      <c r="S103">
        <f>$C103*S102</f>
        <v/>
      </c>
      <c r="T103">
        <f>$C103*T102</f>
        <v/>
      </c>
      <c r="U103">
        <f>$C103*U102</f>
        <v/>
      </c>
      <c r="V103">
        <f>$C103*V102</f>
        <v/>
      </c>
      <c r="W103">
        <f>$C103*W102</f>
        <v/>
      </c>
      <c r="X103">
        <f>$C103*X102</f>
        <v/>
      </c>
      <c r="Y103">
        <f>$C103*Y102</f>
        <v/>
      </c>
      <c r="Z103">
        <f>$C103*Z102</f>
        <v/>
      </c>
      <c r="AA103">
        <f>$C103*AA102</f>
        <v/>
      </c>
      <c r="AB103">
        <f>$C103*AB102</f>
        <v/>
      </c>
      <c r="AC103">
        <f>$C103*AC102</f>
        <v/>
      </c>
      <c r="AD103">
        <f>$C103*AD102</f>
        <v/>
      </c>
      <c r="AE103">
        <f>$C103*AE102</f>
        <v/>
      </c>
      <c r="AF103">
        <f>$C103*AF102</f>
        <v/>
      </c>
      <c r="AG103">
        <f>$C103*AG102</f>
        <v/>
      </c>
      <c r="AH103">
        <f>$C103*AH102</f>
        <v/>
      </c>
      <c r="AI103">
        <f>$C103*AI102</f>
        <v/>
      </c>
      <c r="AJ103">
        <f>$C103*AJ102</f>
        <v/>
      </c>
      <c r="AK103">
        <f>$C103*AK102</f>
        <v/>
      </c>
      <c r="AL103">
        <f>$C103*AL102</f>
        <v/>
      </c>
      <c r="AM103">
        <f>$C103*AM102</f>
        <v/>
      </c>
      <c r="AN103">
        <f>$C103*AN102</f>
        <v/>
      </c>
      <c r="AO103">
        <f>$C103*AO102</f>
        <v/>
      </c>
      <c r="AP103">
        <f>$C103*AP102</f>
        <v/>
      </c>
      <c r="AQ103">
        <f>$C103*AQ102</f>
        <v/>
      </c>
      <c r="AR103">
        <f>$C103*AR102</f>
        <v/>
      </c>
      <c r="AS103">
        <f>$C103*AS102</f>
        <v/>
      </c>
      <c r="AT103">
        <f>$C103*AT102</f>
        <v/>
      </c>
      <c r="AU103">
        <f>$C103*AU102</f>
        <v/>
      </c>
      <c r="AV103">
        <f>$C103*AV102</f>
        <v/>
      </c>
      <c r="AW103">
        <f>$C103*AW102</f>
        <v/>
      </c>
      <c r="AX103">
        <f>$C103*AX102</f>
        <v/>
      </c>
      <c r="AY103">
        <f>$C103*AY102</f>
        <v/>
      </c>
      <c r="AZ103">
        <f>$C103*AZ102</f>
        <v/>
      </c>
      <c r="BA103">
        <f>$C103*BA102</f>
        <v/>
      </c>
      <c r="BB103">
        <f>$C103*BB102</f>
        <v/>
      </c>
      <c r="BC103">
        <f>$C103*BC102</f>
        <v/>
      </c>
      <c r="BD103">
        <f>$C103*BD102</f>
        <v/>
      </c>
      <c r="BE103">
        <f>$C103*BE102</f>
        <v/>
      </c>
      <c r="BF103">
        <f>$C103*BF102</f>
        <v/>
      </c>
      <c r="BG103">
        <f>$C103*BG102</f>
        <v/>
      </c>
      <c r="BH103">
        <f>$C103*BH102</f>
        <v/>
      </c>
      <c r="BI103">
        <f>$C103*BI102</f>
        <v/>
      </c>
      <c r="BJ103">
        <f>$C103*BJ102</f>
        <v/>
      </c>
      <c r="BK103">
        <f>$C103*BK102</f>
        <v/>
      </c>
      <c r="BL103">
        <f>$C103*BL102</f>
        <v/>
      </c>
      <c r="BM103">
        <f>$C103*BM102</f>
        <v/>
      </c>
      <c r="BN103">
        <f>$C103*BN102</f>
        <v/>
      </c>
      <c r="BO103">
        <f>$C103*BO102</f>
        <v/>
      </c>
      <c r="BP103">
        <f>$C103*BP102</f>
        <v/>
      </c>
      <c r="BQ103">
        <f>$C103*BQ102</f>
        <v/>
      </c>
      <c r="BR103">
        <f>$C103*BR102</f>
        <v/>
      </c>
      <c r="BS103">
        <f>$C103*BS102</f>
        <v/>
      </c>
      <c r="BT103">
        <f>$C103*BT102</f>
        <v/>
      </c>
      <c r="BU103">
        <f>$C103*BU102</f>
        <v/>
      </c>
      <c r="BV103">
        <f>$C103*BV102</f>
        <v/>
      </c>
      <c r="BW103">
        <f>$C103*BW102</f>
        <v/>
      </c>
      <c r="BX103">
        <f>$C103*BX102</f>
        <v/>
      </c>
      <c r="BY103">
        <f>$C103*BY102</f>
        <v/>
      </c>
      <c r="BZ103">
        <f>$C103*BZ102</f>
        <v/>
      </c>
      <c r="CA103">
        <f>$C103*CA102</f>
        <v/>
      </c>
      <c r="CB103">
        <f>$C103*CB102</f>
        <v/>
      </c>
      <c r="CC103">
        <f>$C103*CC102</f>
        <v/>
      </c>
      <c r="CD103">
        <f>$C103*CD102</f>
        <v/>
      </c>
      <c r="CE103">
        <f>$C103*CE102</f>
        <v/>
      </c>
      <c r="CF103">
        <f>$C103*CF102</f>
        <v/>
      </c>
      <c r="CG103">
        <f>$C103*CG102</f>
        <v/>
      </c>
      <c r="CH103">
        <f>$C103*CH102</f>
        <v/>
      </c>
      <c r="CI103">
        <f>$C103*CI102</f>
        <v/>
      </c>
      <c r="CJ103">
        <f>$C103*CJ102</f>
        <v/>
      </c>
      <c r="CK103">
        <f>$C103*CK102</f>
        <v/>
      </c>
      <c r="CL103">
        <f>$C103*CL102</f>
        <v/>
      </c>
      <c r="CM103">
        <f>$C103*CM102</f>
        <v/>
      </c>
      <c r="CN103">
        <f>$C103*CN102</f>
        <v/>
      </c>
      <c r="CO103">
        <f>$C103*CO102</f>
        <v/>
      </c>
      <c r="CP103">
        <f>$C103*CP102</f>
        <v/>
      </c>
      <c r="CQ103">
        <f>$C103*CQ102</f>
        <v/>
      </c>
      <c r="CR103">
        <f>$C103*CR102</f>
        <v/>
      </c>
      <c r="CS103">
        <f>$C103*CS102</f>
        <v/>
      </c>
      <c r="CT103">
        <f>$C103*CT102</f>
        <v/>
      </c>
      <c r="CU103">
        <f>$C103*CU102</f>
        <v/>
      </c>
      <c r="CV103">
        <f>$C103*CV102</f>
        <v/>
      </c>
      <c r="CW103">
        <f>$C103*CW102</f>
        <v/>
      </c>
      <c r="CX103">
        <f>$C103*CX102</f>
        <v/>
      </c>
      <c r="CY103">
        <f>$C103*CY102</f>
        <v/>
      </c>
      <c r="CZ103">
        <f>$C103*CZ102</f>
        <v/>
      </c>
      <c r="DA103">
        <f>$C103*DA102</f>
        <v/>
      </c>
      <c r="DB103">
        <f>$C103*DB102</f>
        <v/>
      </c>
      <c r="DC103">
        <f>$C103*DC102</f>
        <v/>
      </c>
    </row>
    <row r="104">
      <c r="B104" s="5" t="inlineStr">
        <is>
          <t>合計使用量(kg)/週</t>
        </is>
      </c>
      <c r="D104">
        <f>'Grid_Requirement'!B19</f>
        <v/>
      </c>
      <c r="E104">
        <f>'Grid_Requirement'!C19</f>
        <v/>
      </c>
      <c r="F104">
        <f>'Grid_Requirement'!D19</f>
        <v/>
      </c>
      <c r="G104">
        <f>'Grid_Requirement'!E19</f>
        <v/>
      </c>
      <c r="H104">
        <f>'Grid_Requirement'!F19</f>
        <v/>
      </c>
      <c r="I104">
        <f>'Grid_Requirement'!G19</f>
        <v/>
      </c>
      <c r="J104">
        <f>'Grid_Requirement'!H19</f>
        <v/>
      </c>
      <c r="K104">
        <f>'Grid_Requirement'!I19</f>
        <v/>
      </c>
      <c r="L104">
        <f>'Grid_Requirement'!J19</f>
        <v/>
      </c>
      <c r="M104">
        <f>'Grid_Requirement'!K19</f>
        <v/>
      </c>
      <c r="N104">
        <f>'Grid_Requirement'!L19</f>
        <v/>
      </c>
      <c r="O104">
        <f>'Grid_Requirement'!M19</f>
        <v/>
      </c>
      <c r="P104">
        <f>'Grid_Requirement'!N19</f>
        <v/>
      </c>
      <c r="Q104">
        <f>'Grid_Requirement'!O19</f>
        <v/>
      </c>
      <c r="R104">
        <f>'Grid_Requirement'!P19</f>
        <v/>
      </c>
      <c r="S104">
        <f>'Grid_Requirement'!Q19</f>
        <v/>
      </c>
      <c r="T104">
        <f>'Grid_Requirement'!R19</f>
        <v/>
      </c>
      <c r="U104">
        <f>'Grid_Requirement'!S19</f>
        <v/>
      </c>
      <c r="V104">
        <f>'Grid_Requirement'!T19</f>
        <v/>
      </c>
      <c r="W104">
        <f>'Grid_Requirement'!U19</f>
        <v/>
      </c>
      <c r="X104">
        <f>'Grid_Requirement'!V19</f>
        <v/>
      </c>
      <c r="Y104">
        <f>'Grid_Requirement'!W19</f>
        <v/>
      </c>
      <c r="Z104">
        <f>'Grid_Requirement'!X19</f>
        <v/>
      </c>
      <c r="AA104">
        <f>'Grid_Requirement'!Y19</f>
        <v/>
      </c>
      <c r="AB104">
        <f>'Grid_Requirement'!Z19</f>
        <v/>
      </c>
      <c r="AC104">
        <f>'Grid_Requirement'!AA19</f>
        <v/>
      </c>
      <c r="AD104">
        <f>'Grid_Requirement'!AB19</f>
        <v/>
      </c>
      <c r="AE104">
        <f>'Grid_Requirement'!AC19</f>
        <v/>
      </c>
      <c r="AF104">
        <f>'Grid_Requirement'!AD19</f>
        <v/>
      </c>
      <c r="AG104">
        <f>'Grid_Requirement'!AE19</f>
        <v/>
      </c>
      <c r="AH104">
        <f>'Grid_Requirement'!AF19</f>
        <v/>
      </c>
      <c r="AI104">
        <f>'Grid_Requirement'!AG19</f>
        <v/>
      </c>
      <c r="AJ104">
        <f>'Grid_Requirement'!AH19</f>
        <v/>
      </c>
      <c r="AK104">
        <f>'Grid_Requirement'!AI19</f>
        <v/>
      </c>
      <c r="AL104">
        <f>'Grid_Requirement'!AJ19</f>
        <v/>
      </c>
      <c r="AM104">
        <f>'Grid_Requirement'!AK19</f>
        <v/>
      </c>
      <c r="AN104">
        <f>'Grid_Requirement'!AL19</f>
        <v/>
      </c>
      <c r="AO104">
        <f>'Grid_Requirement'!AM19</f>
        <v/>
      </c>
      <c r="AP104">
        <f>'Grid_Requirement'!AN19</f>
        <v/>
      </c>
      <c r="AQ104">
        <f>'Grid_Requirement'!AO19</f>
        <v/>
      </c>
      <c r="AR104">
        <f>'Grid_Requirement'!AP19</f>
        <v/>
      </c>
      <c r="AS104">
        <f>'Grid_Requirement'!AQ19</f>
        <v/>
      </c>
      <c r="AT104">
        <f>'Grid_Requirement'!AR19</f>
        <v/>
      </c>
      <c r="AU104">
        <f>'Grid_Requirement'!AS19</f>
        <v/>
      </c>
      <c r="AV104">
        <f>'Grid_Requirement'!AT19</f>
        <v/>
      </c>
      <c r="AW104">
        <f>'Grid_Requirement'!AU19</f>
        <v/>
      </c>
      <c r="AX104">
        <f>'Grid_Requirement'!AV19</f>
        <v/>
      </c>
      <c r="AY104">
        <f>'Grid_Requirement'!AW19</f>
        <v/>
      </c>
      <c r="AZ104">
        <f>'Grid_Requirement'!AX19</f>
        <v/>
      </c>
      <c r="BA104">
        <f>'Grid_Requirement'!AY19</f>
        <v/>
      </c>
      <c r="BB104">
        <f>'Grid_Requirement'!AZ19</f>
        <v/>
      </c>
      <c r="BC104">
        <f>'Grid_Requirement'!BA19</f>
        <v/>
      </c>
      <c r="BD104">
        <f>'Grid_Requirement'!BB19</f>
        <v/>
      </c>
      <c r="BE104">
        <f>'Grid_Requirement'!BC19</f>
        <v/>
      </c>
      <c r="BF104">
        <f>'Grid_Requirement'!BD19</f>
        <v/>
      </c>
      <c r="BG104">
        <f>'Grid_Requirement'!BE19</f>
        <v/>
      </c>
      <c r="BH104">
        <f>'Grid_Requirement'!BF19</f>
        <v/>
      </c>
      <c r="BI104">
        <f>'Grid_Requirement'!BG19</f>
        <v/>
      </c>
      <c r="BJ104">
        <f>'Grid_Requirement'!BH19</f>
        <v/>
      </c>
      <c r="BK104">
        <f>'Grid_Requirement'!BI19</f>
        <v/>
      </c>
      <c r="BL104">
        <f>'Grid_Requirement'!BJ19</f>
        <v/>
      </c>
      <c r="BM104">
        <f>'Grid_Requirement'!BK19</f>
        <v/>
      </c>
      <c r="BN104">
        <f>'Grid_Requirement'!BL19</f>
        <v/>
      </c>
      <c r="BO104">
        <f>'Grid_Requirement'!BM19</f>
        <v/>
      </c>
      <c r="BP104">
        <f>'Grid_Requirement'!BN19</f>
        <v/>
      </c>
      <c r="BQ104">
        <f>'Grid_Requirement'!BO19</f>
        <v/>
      </c>
      <c r="BR104">
        <f>'Grid_Requirement'!BP19</f>
        <v/>
      </c>
      <c r="BS104">
        <f>'Grid_Requirement'!BQ19</f>
        <v/>
      </c>
      <c r="BT104">
        <f>'Grid_Requirement'!BR19</f>
        <v/>
      </c>
      <c r="BU104">
        <f>'Grid_Requirement'!BS19</f>
        <v/>
      </c>
      <c r="BV104">
        <f>'Grid_Requirement'!BT19</f>
        <v/>
      </c>
      <c r="BW104">
        <f>'Grid_Requirement'!BU19</f>
        <v/>
      </c>
      <c r="BX104">
        <f>'Grid_Requirement'!BV19</f>
        <v/>
      </c>
      <c r="BY104">
        <f>'Grid_Requirement'!BW19</f>
        <v/>
      </c>
      <c r="BZ104">
        <f>'Grid_Requirement'!BX19</f>
        <v/>
      </c>
      <c r="CA104">
        <f>'Grid_Requirement'!BY19</f>
        <v/>
      </c>
      <c r="CB104">
        <f>'Grid_Requirement'!BZ19</f>
        <v/>
      </c>
      <c r="CC104">
        <f>'Grid_Requirement'!CA19</f>
        <v/>
      </c>
      <c r="CD104">
        <f>'Grid_Requirement'!CB19</f>
        <v/>
      </c>
      <c r="CE104">
        <f>'Grid_Requirement'!CC19</f>
        <v/>
      </c>
      <c r="CF104">
        <f>'Grid_Requirement'!CD19</f>
        <v/>
      </c>
      <c r="CG104">
        <f>'Grid_Requirement'!CE19</f>
        <v/>
      </c>
      <c r="CH104">
        <f>'Grid_Requirement'!CF19</f>
        <v/>
      </c>
      <c r="CI104">
        <f>'Grid_Requirement'!CG19</f>
        <v/>
      </c>
      <c r="CJ104">
        <f>'Grid_Requirement'!CH19</f>
        <v/>
      </c>
      <c r="CK104">
        <f>'Grid_Requirement'!CI19</f>
        <v/>
      </c>
      <c r="CL104">
        <f>'Grid_Requirement'!CJ19</f>
        <v/>
      </c>
      <c r="CM104">
        <f>'Grid_Requirement'!CK19</f>
        <v/>
      </c>
      <c r="CN104">
        <f>'Grid_Requirement'!CL19</f>
        <v/>
      </c>
      <c r="CO104">
        <f>'Grid_Requirement'!CM19</f>
        <v/>
      </c>
      <c r="CP104">
        <f>'Grid_Requirement'!CN19</f>
        <v/>
      </c>
      <c r="CQ104">
        <f>'Grid_Requirement'!CO19</f>
        <v/>
      </c>
      <c r="CR104">
        <f>'Grid_Requirement'!CP19</f>
        <v/>
      </c>
      <c r="CS104">
        <f>'Grid_Requirement'!CQ19</f>
        <v/>
      </c>
      <c r="CT104">
        <f>'Grid_Requirement'!CR19</f>
        <v/>
      </c>
      <c r="CU104">
        <f>'Grid_Requirement'!CS19</f>
        <v/>
      </c>
      <c r="CV104">
        <f>'Grid_Requirement'!CT19</f>
        <v/>
      </c>
      <c r="CW104">
        <f>'Grid_Requirement'!CU19</f>
        <v/>
      </c>
      <c r="CX104">
        <f>'Grid_Requirement'!CV19</f>
        <v/>
      </c>
      <c r="CY104">
        <f>'Grid_Requirement'!CW19</f>
        <v/>
      </c>
      <c r="CZ104">
        <f>'Grid_Requirement'!CX19</f>
        <v/>
      </c>
      <c r="DA104">
        <f>'Grid_Requirement'!CY19</f>
        <v/>
      </c>
      <c r="DB104">
        <f>'Grid_Requirement'!CZ19</f>
        <v/>
      </c>
      <c r="DC104">
        <f>'Grid_Requirement'!DA19</f>
        <v/>
      </c>
    </row>
    <row r="105">
      <c r="B105" t="inlineStr">
        <is>
          <t>TTAF在庫(実績,kg)</t>
        </is>
      </c>
      <c r="D105">
        <f>'T_TTAFStock'!B23</f>
        <v/>
      </c>
      <c r="E105">
        <f>'T_TTAFStock'!C23</f>
        <v/>
      </c>
      <c r="F105">
        <f>'T_TTAFStock'!D23</f>
        <v/>
      </c>
      <c r="G105">
        <f>'T_TTAFStock'!E23</f>
        <v/>
      </c>
      <c r="H105">
        <f>'T_TTAFStock'!F23</f>
        <v/>
      </c>
      <c r="I105">
        <f>'T_TTAFStock'!G23</f>
        <v/>
      </c>
      <c r="J105">
        <f>'T_TTAFStock'!H23</f>
        <v/>
      </c>
      <c r="K105">
        <f>'T_TTAFStock'!I23</f>
        <v/>
      </c>
      <c r="L105">
        <f>'T_TTAFStock'!J23</f>
        <v/>
      </c>
      <c r="M105">
        <f>'T_TTAFStock'!K23</f>
        <v/>
      </c>
      <c r="N105">
        <f>'T_TTAFStock'!L23</f>
        <v/>
      </c>
      <c r="O105">
        <f>'T_TTAFStock'!M23</f>
        <v/>
      </c>
      <c r="P105">
        <f>'T_TTAFStock'!N23</f>
        <v/>
      </c>
      <c r="Q105">
        <f>'T_TTAFStock'!O23</f>
        <v/>
      </c>
      <c r="R105">
        <f>'T_TTAFStock'!P23</f>
        <v/>
      </c>
      <c r="S105">
        <f>'T_TTAFStock'!Q23</f>
        <v/>
      </c>
      <c r="T105">
        <f>'T_TTAFStock'!R23</f>
        <v/>
      </c>
      <c r="U105">
        <f>'T_TTAFStock'!S23</f>
        <v/>
      </c>
      <c r="V105">
        <f>'T_TTAFStock'!T23</f>
        <v/>
      </c>
      <c r="W105">
        <f>'T_TTAFStock'!U23</f>
        <v/>
      </c>
      <c r="X105">
        <f>'T_TTAFStock'!V23</f>
        <v/>
      </c>
      <c r="Y105">
        <f>'T_TTAFStock'!W23</f>
        <v/>
      </c>
      <c r="Z105">
        <f>'T_TTAFStock'!X23</f>
        <v/>
      </c>
      <c r="AA105">
        <f>'T_TTAFStock'!Y23</f>
        <v/>
      </c>
      <c r="AB105">
        <f>'T_TTAFStock'!Z23</f>
        <v/>
      </c>
      <c r="AC105">
        <f>'T_TTAFStock'!AA23</f>
        <v/>
      </c>
      <c r="AD105">
        <f>'T_TTAFStock'!AB23</f>
        <v/>
      </c>
      <c r="AE105">
        <f>'T_TTAFStock'!AC23</f>
        <v/>
      </c>
      <c r="AF105">
        <f>'T_TTAFStock'!AD23</f>
        <v/>
      </c>
      <c r="AG105">
        <f>'T_TTAFStock'!AE23</f>
        <v/>
      </c>
      <c r="AH105">
        <f>'T_TTAFStock'!AF23</f>
        <v/>
      </c>
      <c r="AI105">
        <f>'T_TTAFStock'!AG23</f>
        <v/>
      </c>
      <c r="AJ105">
        <f>'T_TTAFStock'!AH23</f>
        <v/>
      </c>
      <c r="AK105">
        <f>'T_TTAFStock'!AI23</f>
        <v/>
      </c>
      <c r="AL105">
        <f>'T_TTAFStock'!AJ23</f>
        <v/>
      </c>
      <c r="AM105">
        <f>'T_TTAFStock'!AK23</f>
        <v/>
      </c>
      <c r="AN105">
        <f>'T_TTAFStock'!AL23</f>
        <v/>
      </c>
      <c r="AO105">
        <f>'T_TTAFStock'!AM23</f>
        <v/>
      </c>
      <c r="AP105">
        <f>'T_TTAFStock'!AN23</f>
        <v/>
      </c>
      <c r="AQ105">
        <f>'T_TTAFStock'!AO23</f>
        <v/>
      </c>
      <c r="AR105">
        <f>'T_TTAFStock'!AP23</f>
        <v/>
      </c>
      <c r="AS105">
        <f>'T_TTAFStock'!AQ23</f>
        <v/>
      </c>
      <c r="AT105">
        <f>'T_TTAFStock'!AR23</f>
        <v/>
      </c>
      <c r="AU105">
        <f>'T_TTAFStock'!AS23</f>
        <v/>
      </c>
      <c r="AV105">
        <f>'T_TTAFStock'!AT23</f>
        <v/>
      </c>
      <c r="AW105">
        <f>'T_TTAFStock'!AU23</f>
        <v/>
      </c>
      <c r="AX105">
        <f>'T_TTAFStock'!AV23</f>
        <v/>
      </c>
      <c r="AY105">
        <f>'T_TTAFStock'!AW23</f>
        <v/>
      </c>
      <c r="AZ105">
        <f>'T_TTAFStock'!AX23</f>
        <v/>
      </c>
      <c r="BA105">
        <f>'T_TTAFStock'!AY23</f>
        <v/>
      </c>
      <c r="BB105">
        <f>'T_TTAFStock'!AZ23</f>
        <v/>
      </c>
      <c r="BC105">
        <f>'T_TTAFStock'!BA23</f>
        <v/>
      </c>
      <c r="BD105">
        <f>'T_TTAFStock'!BB23</f>
        <v/>
      </c>
      <c r="BE105">
        <f>'T_TTAFStock'!BC23</f>
        <v/>
      </c>
      <c r="BF105">
        <f>'T_TTAFStock'!BD23</f>
        <v/>
      </c>
      <c r="BG105">
        <f>'T_TTAFStock'!BE23</f>
        <v/>
      </c>
      <c r="BH105">
        <f>'T_TTAFStock'!BF23</f>
        <v/>
      </c>
      <c r="BI105">
        <f>'T_TTAFStock'!BG23</f>
        <v/>
      </c>
      <c r="BJ105">
        <f>'T_TTAFStock'!BH23</f>
        <v/>
      </c>
      <c r="BK105">
        <f>'T_TTAFStock'!BI23</f>
        <v/>
      </c>
      <c r="BL105">
        <f>'T_TTAFStock'!BJ23</f>
        <v/>
      </c>
      <c r="BM105">
        <f>'T_TTAFStock'!BK23</f>
        <v/>
      </c>
      <c r="BN105">
        <f>'T_TTAFStock'!BL23</f>
        <v/>
      </c>
      <c r="BO105">
        <f>'T_TTAFStock'!BM23</f>
        <v/>
      </c>
      <c r="BP105">
        <f>'T_TTAFStock'!BN23</f>
        <v/>
      </c>
      <c r="BQ105">
        <f>'T_TTAFStock'!BO23</f>
        <v/>
      </c>
      <c r="BR105">
        <f>'T_TTAFStock'!BP23</f>
        <v/>
      </c>
      <c r="BS105">
        <f>'T_TTAFStock'!BQ23</f>
        <v/>
      </c>
      <c r="BT105">
        <f>'T_TTAFStock'!BR23</f>
        <v/>
      </c>
      <c r="BU105">
        <f>'T_TTAFStock'!BS23</f>
        <v/>
      </c>
      <c r="BV105">
        <f>'T_TTAFStock'!BT23</f>
        <v/>
      </c>
      <c r="BW105">
        <f>'T_TTAFStock'!BU23</f>
        <v/>
      </c>
      <c r="BX105">
        <f>'T_TTAFStock'!BV23</f>
        <v/>
      </c>
      <c r="BY105">
        <f>'T_TTAFStock'!BW23</f>
        <v/>
      </c>
      <c r="BZ105">
        <f>'T_TTAFStock'!BX23</f>
        <v/>
      </c>
      <c r="CA105">
        <f>'T_TTAFStock'!BY23</f>
        <v/>
      </c>
      <c r="CB105">
        <f>'T_TTAFStock'!BZ23</f>
        <v/>
      </c>
      <c r="CC105">
        <f>'T_TTAFStock'!CA23</f>
        <v/>
      </c>
      <c r="CD105">
        <f>'T_TTAFStock'!CB23</f>
        <v/>
      </c>
      <c r="CE105">
        <f>'T_TTAFStock'!CC23</f>
        <v/>
      </c>
      <c r="CF105">
        <f>'T_TTAFStock'!CD23</f>
        <v/>
      </c>
      <c r="CG105">
        <f>'T_TTAFStock'!CE23</f>
        <v/>
      </c>
      <c r="CH105">
        <f>'T_TTAFStock'!CF23</f>
        <v/>
      </c>
      <c r="CI105">
        <f>'T_TTAFStock'!CG23</f>
        <v/>
      </c>
      <c r="CJ105">
        <f>'T_TTAFStock'!CH23</f>
        <v/>
      </c>
      <c r="CK105">
        <f>'T_TTAFStock'!CI23</f>
        <v/>
      </c>
      <c r="CL105">
        <f>'T_TTAFStock'!CJ23</f>
        <v/>
      </c>
      <c r="CM105">
        <f>'T_TTAFStock'!CK23</f>
        <v/>
      </c>
      <c r="CN105">
        <f>'T_TTAFStock'!CL23</f>
        <v/>
      </c>
      <c r="CO105">
        <f>'T_TTAFStock'!CM23</f>
        <v/>
      </c>
      <c r="CP105">
        <f>'T_TTAFStock'!CN23</f>
        <v/>
      </c>
      <c r="CQ105">
        <f>'T_TTAFStock'!CO23</f>
        <v/>
      </c>
      <c r="CR105">
        <f>'T_TTAFStock'!CP23</f>
        <v/>
      </c>
      <c r="CS105">
        <f>'T_TTAFStock'!CQ23</f>
        <v/>
      </c>
      <c r="CT105">
        <f>'T_TTAFStock'!CR23</f>
        <v/>
      </c>
      <c r="CU105">
        <f>'T_TTAFStock'!CS23</f>
        <v/>
      </c>
      <c r="CV105">
        <f>'T_TTAFStock'!CT23</f>
        <v/>
      </c>
      <c r="CW105">
        <f>'T_TTAFStock'!CU23</f>
        <v/>
      </c>
      <c r="CX105">
        <f>'T_TTAFStock'!CV23</f>
        <v/>
      </c>
      <c r="CY105">
        <f>'T_TTAFStock'!CW23</f>
        <v/>
      </c>
      <c r="CZ105">
        <f>'T_TTAFStock'!CX23</f>
        <v/>
      </c>
      <c r="DA105">
        <f>'T_TTAFStock'!CY23</f>
        <v/>
      </c>
      <c r="DB105">
        <f>'T_TTAFStock'!CZ23</f>
        <v/>
      </c>
      <c r="DC105">
        <f>'T_TTAFStock'!DA23</f>
        <v/>
      </c>
    </row>
    <row r="106">
      <c r="B106" t="inlineStr">
        <is>
          <t>自社在庫(実績,kg)</t>
        </is>
      </c>
      <c r="D106">
        <f>'T_SelfStock'!B23</f>
        <v/>
      </c>
      <c r="E106">
        <f>'T_SelfStock'!C23</f>
        <v/>
      </c>
      <c r="F106">
        <f>'T_SelfStock'!D23</f>
        <v/>
      </c>
      <c r="G106">
        <f>'T_SelfStock'!E23</f>
        <v/>
      </c>
      <c r="H106">
        <f>'T_SelfStock'!F23</f>
        <v/>
      </c>
      <c r="I106">
        <f>'T_SelfStock'!G23</f>
        <v/>
      </c>
      <c r="J106">
        <f>'T_SelfStock'!H23</f>
        <v/>
      </c>
      <c r="K106">
        <f>'T_SelfStock'!I23</f>
        <v/>
      </c>
      <c r="L106">
        <f>'T_SelfStock'!J23</f>
        <v/>
      </c>
      <c r="M106">
        <f>'T_SelfStock'!K23</f>
        <v/>
      </c>
      <c r="N106">
        <f>'T_SelfStock'!L23</f>
        <v/>
      </c>
      <c r="O106">
        <f>'T_SelfStock'!M23</f>
        <v/>
      </c>
      <c r="P106">
        <f>'T_SelfStock'!N23</f>
        <v/>
      </c>
      <c r="Q106">
        <f>'T_SelfStock'!O23</f>
        <v/>
      </c>
      <c r="R106">
        <f>'T_SelfStock'!P23</f>
        <v/>
      </c>
      <c r="S106">
        <f>'T_SelfStock'!Q23</f>
        <v/>
      </c>
      <c r="T106">
        <f>'T_SelfStock'!R23</f>
        <v/>
      </c>
      <c r="U106">
        <f>'T_SelfStock'!S23</f>
        <v/>
      </c>
      <c r="V106">
        <f>'T_SelfStock'!T23</f>
        <v/>
      </c>
      <c r="W106">
        <f>'T_SelfStock'!U23</f>
        <v/>
      </c>
      <c r="X106">
        <f>'T_SelfStock'!V23</f>
        <v/>
      </c>
      <c r="Y106">
        <f>'T_SelfStock'!W23</f>
        <v/>
      </c>
      <c r="Z106">
        <f>'T_SelfStock'!X23</f>
        <v/>
      </c>
      <c r="AA106">
        <f>'T_SelfStock'!Y23</f>
        <v/>
      </c>
      <c r="AB106">
        <f>'T_SelfStock'!Z23</f>
        <v/>
      </c>
      <c r="AC106">
        <f>'T_SelfStock'!AA23</f>
        <v/>
      </c>
      <c r="AD106">
        <f>'T_SelfStock'!AB23</f>
        <v/>
      </c>
      <c r="AE106">
        <f>'T_SelfStock'!AC23</f>
        <v/>
      </c>
      <c r="AF106">
        <f>'T_SelfStock'!AD23</f>
        <v/>
      </c>
      <c r="AG106">
        <f>'T_SelfStock'!AE23</f>
        <v/>
      </c>
      <c r="AH106">
        <f>'T_SelfStock'!AF23</f>
        <v/>
      </c>
      <c r="AI106">
        <f>'T_SelfStock'!AG23</f>
        <v/>
      </c>
      <c r="AJ106">
        <f>'T_SelfStock'!AH23</f>
        <v/>
      </c>
      <c r="AK106">
        <f>'T_SelfStock'!AI23</f>
        <v/>
      </c>
      <c r="AL106">
        <f>'T_SelfStock'!AJ23</f>
        <v/>
      </c>
      <c r="AM106">
        <f>'T_SelfStock'!AK23</f>
        <v/>
      </c>
      <c r="AN106">
        <f>'T_SelfStock'!AL23</f>
        <v/>
      </c>
      <c r="AO106">
        <f>'T_SelfStock'!AM23</f>
        <v/>
      </c>
      <c r="AP106">
        <f>'T_SelfStock'!AN23</f>
        <v/>
      </c>
      <c r="AQ106">
        <f>'T_SelfStock'!AO23</f>
        <v/>
      </c>
      <c r="AR106">
        <f>'T_SelfStock'!AP23</f>
        <v/>
      </c>
      <c r="AS106">
        <f>'T_SelfStock'!AQ23</f>
        <v/>
      </c>
      <c r="AT106">
        <f>'T_SelfStock'!AR23</f>
        <v/>
      </c>
      <c r="AU106">
        <f>'T_SelfStock'!AS23</f>
        <v/>
      </c>
      <c r="AV106">
        <f>'T_SelfStock'!AT23</f>
        <v/>
      </c>
      <c r="AW106">
        <f>'T_SelfStock'!AU23</f>
        <v/>
      </c>
      <c r="AX106">
        <f>'T_SelfStock'!AV23</f>
        <v/>
      </c>
      <c r="AY106">
        <f>'T_SelfStock'!AW23</f>
        <v/>
      </c>
      <c r="AZ106">
        <f>'T_SelfStock'!AX23</f>
        <v/>
      </c>
      <c r="BA106">
        <f>'T_SelfStock'!AY23</f>
        <v/>
      </c>
      <c r="BB106">
        <f>'T_SelfStock'!AZ23</f>
        <v/>
      </c>
      <c r="BC106">
        <f>'T_SelfStock'!BA23</f>
        <v/>
      </c>
      <c r="BD106">
        <f>'T_SelfStock'!BB23</f>
        <v/>
      </c>
      <c r="BE106">
        <f>'T_SelfStock'!BC23</f>
        <v/>
      </c>
      <c r="BF106">
        <f>'T_SelfStock'!BD23</f>
        <v/>
      </c>
      <c r="BG106">
        <f>'T_SelfStock'!BE23</f>
        <v/>
      </c>
      <c r="BH106">
        <f>'T_SelfStock'!BF23</f>
        <v/>
      </c>
      <c r="BI106">
        <f>'T_SelfStock'!BG23</f>
        <v/>
      </c>
      <c r="BJ106">
        <f>'T_SelfStock'!BH23</f>
        <v/>
      </c>
      <c r="BK106">
        <f>'T_SelfStock'!BI23</f>
        <v/>
      </c>
      <c r="BL106">
        <f>'T_SelfStock'!BJ23</f>
        <v/>
      </c>
      <c r="BM106">
        <f>'T_SelfStock'!BK23</f>
        <v/>
      </c>
      <c r="BN106">
        <f>'T_SelfStock'!BL23</f>
        <v/>
      </c>
      <c r="BO106">
        <f>'T_SelfStock'!BM23</f>
        <v/>
      </c>
      <c r="BP106">
        <f>'T_SelfStock'!BN23</f>
        <v/>
      </c>
      <c r="BQ106">
        <f>'T_SelfStock'!BO23</f>
        <v/>
      </c>
      <c r="BR106">
        <f>'T_SelfStock'!BP23</f>
        <v/>
      </c>
      <c r="BS106">
        <f>'T_SelfStock'!BQ23</f>
        <v/>
      </c>
      <c r="BT106">
        <f>'T_SelfStock'!BR23</f>
        <v/>
      </c>
      <c r="BU106">
        <f>'T_SelfStock'!BS23</f>
        <v/>
      </c>
      <c r="BV106">
        <f>'T_SelfStock'!BT23</f>
        <v/>
      </c>
      <c r="BW106">
        <f>'T_SelfStock'!BU23</f>
        <v/>
      </c>
      <c r="BX106">
        <f>'T_SelfStock'!BV23</f>
        <v/>
      </c>
      <c r="BY106">
        <f>'T_SelfStock'!BW23</f>
        <v/>
      </c>
      <c r="BZ106">
        <f>'T_SelfStock'!BX23</f>
        <v/>
      </c>
      <c r="CA106">
        <f>'T_SelfStock'!BY23</f>
        <v/>
      </c>
      <c r="CB106">
        <f>'T_SelfStock'!BZ23</f>
        <v/>
      </c>
      <c r="CC106">
        <f>'T_SelfStock'!CA23</f>
        <v/>
      </c>
      <c r="CD106">
        <f>'T_SelfStock'!CB23</f>
        <v/>
      </c>
      <c r="CE106">
        <f>'T_SelfStock'!CC23</f>
        <v/>
      </c>
      <c r="CF106">
        <f>'T_SelfStock'!CD23</f>
        <v/>
      </c>
      <c r="CG106">
        <f>'T_SelfStock'!CE23</f>
        <v/>
      </c>
      <c r="CH106">
        <f>'T_SelfStock'!CF23</f>
        <v/>
      </c>
      <c r="CI106">
        <f>'T_SelfStock'!CG23</f>
        <v/>
      </c>
      <c r="CJ106">
        <f>'T_SelfStock'!CH23</f>
        <v/>
      </c>
      <c r="CK106">
        <f>'T_SelfStock'!CI23</f>
        <v/>
      </c>
      <c r="CL106">
        <f>'T_SelfStock'!CJ23</f>
        <v/>
      </c>
      <c r="CM106">
        <f>'T_SelfStock'!CK23</f>
        <v/>
      </c>
      <c r="CN106">
        <f>'T_SelfStock'!CL23</f>
        <v/>
      </c>
      <c r="CO106">
        <f>'T_SelfStock'!CM23</f>
        <v/>
      </c>
      <c r="CP106">
        <f>'T_SelfStock'!CN23</f>
        <v/>
      </c>
      <c r="CQ106">
        <f>'T_SelfStock'!CO23</f>
        <v/>
      </c>
      <c r="CR106">
        <f>'T_SelfStock'!CP23</f>
        <v/>
      </c>
      <c r="CS106">
        <f>'T_SelfStock'!CQ23</f>
        <v/>
      </c>
      <c r="CT106">
        <f>'T_SelfStock'!CR23</f>
        <v/>
      </c>
      <c r="CU106">
        <f>'T_SelfStock'!CS23</f>
        <v/>
      </c>
      <c r="CV106">
        <f>'T_SelfStock'!CT23</f>
        <v/>
      </c>
      <c r="CW106">
        <f>'T_SelfStock'!CU23</f>
        <v/>
      </c>
      <c r="CX106">
        <f>'T_SelfStock'!CV23</f>
        <v/>
      </c>
      <c r="CY106">
        <f>'T_SelfStock'!CW23</f>
        <v/>
      </c>
      <c r="CZ106">
        <f>'T_SelfStock'!CX23</f>
        <v/>
      </c>
      <c r="DA106">
        <f>'T_SelfStock'!CY23</f>
        <v/>
      </c>
      <c r="DB106">
        <f>'T_SelfStock'!CZ23</f>
        <v/>
      </c>
      <c r="DC106">
        <f>'T_SelfStock'!DA23</f>
        <v/>
      </c>
    </row>
    <row r="107">
      <c r="B107" t="inlineStr">
        <is>
          <t>Order(発注予定,kg)</t>
        </is>
      </c>
      <c r="D107">
        <f>IF(SUMIFS(T_PlannedOrders[EffectiveQty],T_PlannedOrders[Part Name],$A65,T_PlannedOrders[WeekIndex],1)=0,"",SUMIFS(T_PlannedOrders[EffectiveQty],T_PlannedOrders[Part Name],$A65,T_PlannedOrders[WeekIndex],1)&amp;" ("&amp;TEXT(SUMPRODUCT(MAX((T_PlannedOrders[Part Name]=$A65)*(T_PlannedOrders[WeekIndex]=1)*(T_PlannedOrders[EffectiveQty]&gt;0)*T_PlannedOrders[Order_Month])),"m月")&amp;"発注)")</f>
        <v/>
      </c>
      <c r="E107">
        <f>IF(SUMIFS(T_PlannedOrders[EffectiveQty],T_PlannedOrders[Part Name],$A65,T_PlannedOrders[WeekIndex],2)=0,"",SUMIFS(T_PlannedOrders[EffectiveQty],T_PlannedOrders[Part Name],$A65,T_PlannedOrders[WeekIndex],2)&amp;" ("&amp;TEXT(SUMPRODUCT(MAX((T_PlannedOrders[Part Name]=$A65)*(T_PlannedOrders[WeekIndex]=2)*(T_PlannedOrders[EffectiveQty]&gt;0)*T_PlannedOrders[Order_Month])),"m月")&amp;"発注)")</f>
        <v/>
      </c>
      <c r="F107">
        <f>IF(SUMIFS(T_PlannedOrders[EffectiveQty],T_PlannedOrders[Part Name],$A65,T_PlannedOrders[WeekIndex],3)=0,"",SUMIFS(T_PlannedOrders[EffectiveQty],T_PlannedOrders[Part Name],$A65,T_PlannedOrders[WeekIndex],3)&amp;" ("&amp;TEXT(SUMPRODUCT(MAX((T_PlannedOrders[Part Name]=$A65)*(T_PlannedOrders[WeekIndex]=3)*(T_PlannedOrders[EffectiveQty]&gt;0)*T_PlannedOrders[Order_Month])),"m月")&amp;"発注)")</f>
        <v/>
      </c>
      <c r="G107">
        <f>IF(SUMIFS(T_PlannedOrders[EffectiveQty],T_PlannedOrders[Part Name],$A65,T_PlannedOrders[WeekIndex],4)=0,"",SUMIFS(T_PlannedOrders[EffectiveQty],T_PlannedOrders[Part Name],$A65,T_PlannedOrders[WeekIndex],4)&amp;" ("&amp;TEXT(SUMPRODUCT(MAX((T_PlannedOrders[Part Name]=$A65)*(T_PlannedOrders[WeekIndex]=4)*(T_PlannedOrders[EffectiveQty]&gt;0)*T_PlannedOrders[Order_Month])),"m月")&amp;"発注)")</f>
        <v/>
      </c>
      <c r="H107">
        <f>IF(SUMIFS(T_PlannedOrders[EffectiveQty],T_PlannedOrders[Part Name],$A65,T_PlannedOrders[WeekIndex],5)=0,"",SUMIFS(T_PlannedOrders[EffectiveQty],T_PlannedOrders[Part Name],$A65,T_PlannedOrders[WeekIndex],5)&amp;" ("&amp;TEXT(SUMPRODUCT(MAX((T_PlannedOrders[Part Name]=$A65)*(T_PlannedOrders[WeekIndex]=5)*(T_PlannedOrders[EffectiveQty]&gt;0)*T_PlannedOrders[Order_Month])),"m月")&amp;"発注)")</f>
        <v/>
      </c>
      <c r="I107">
        <f>IF(SUMIFS(T_PlannedOrders[EffectiveQty],T_PlannedOrders[Part Name],$A65,T_PlannedOrders[WeekIndex],6)=0,"",SUMIFS(T_PlannedOrders[EffectiveQty],T_PlannedOrders[Part Name],$A65,T_PlannedOrders[WeekIndex],6)&amp;" ("&amp;TEXT(SUMPRODUCT(MAX((T_PlannedOrders[Part Name]=$A65)*(T_PlannedOrders[WeekIndex]=6)*(T_PlannedOrders[EffectiveQty]&gt;0)*T_PlannedOrders[Order_Month])),"m月")&amp;"発注)")</f>
        <v/>
      </c>
      <c r="J107">
        <f>IF(SUMIFS(T_PlannedOrders[EffectiveQty],T_PlannedOrders[Part Name],$A65,T_PlannedOrders[WeekIndex],7)=0,"",SUMIFS(T_PlannedOrders[EffectiveQty],T_PlannedOrders[Part Name],$A65,T_PlannedOrders[WeekIndex],7)&amp;" ("&amp;TEXT(SUMPRODUCT(MAX((T_PlannedOrders[Part Name]=$A65)*(T_PlannedOrders[WeekIndex]=7)*(T_PlannedOrders[EffectiveQty]&gt;0)*T_PlannedOrders[Order_Month])),"m月")&amp;"発注)")</f>
        <v/>
      </c>
      <c r="K107">
        <f>IF(SUMIFS(T_PlannedOrders[EffectiveQty],T_PlannedOrders[Part Name],$A65,T_PlannedOrders[WeekIndex],8)=0,"",SUMIFS(T_PlannedOrders[EffectiveQty],T_PlannedOrders[Part Name],$A65,T_PlannedOrders[WeekIndex],8)&amp;" ("&amp;TEXT(SUMPRODUCT(MAX((T_PlannedOrders[Part Name]=$A65)*(T_PlannedOrders[WeekIndex]=8)*(T_PlannedOrders[EffectiveQty]&gt;0)*T_PlannedOrders[Order_Month])),"m月")&amp;"発注)")</f>
        <v/>
      </c>
      <c r="L107">
        <f>IF(SUMIFS(T_PlannedOrders[EffectiveQty],T_PlannedOrders[Part Name],$A65,T_PlannedOrders[WeekIndex],9)=0,"",SUMIFS(T_PlannedOrders[EffectiveQty],T_PlannedOrders[Part Name],$A65,T_PlannedOrders[WeekIndex],9)&amp;" ("&amp;TEXT(SUMPRODUCT(MAX((T_PlannedOrders[Part Name]=$A65)*(T_PlannedOrders[WeekIndex]=9)*(T_PlannedOrders[EffectiveQty]&gt;0)*T_PlannedOrders[Order_Month])),"m月")&amp;"発注)")</f>
        <v/>
      </c>
      <c r="M107">
        <f>IF(SUMIFS(T_PlannedOrders[EffectiveQty],T_PlannedOrders[Part Name],$A65,T_PlannedOrders[WeekIndex],10)=0,"",SUMIFS(T_PlannedOrders[EffectiveQty],T_PlannedOrders[Part Name],$A65,T_PlannedOrders[WeekIndex],10)&amp;" ("&amp;TEXT(SUMPRODUCT(MAX((T_PlannedOrders[Part Name]=$A65)*(T_PlannedOrders[WeekIndex]=10)*(T_PlannedOrders[EffectiveQty]&gt;0)*T_PlannedOrders[Order_Month])),"m月")&amp;"発注)")</f>
        <v/>
      </c>
      <c r="N107">
        <f>IF(SUMIFS(T_PlannedOrders[EffectiveQty],T_PlannedOrders[Part Name],$A65,T_PlannedOrders[WeekIndex],11)=0,"",SUMIFS(T_PlannedOrders[EffectiveQty],T_PlannedOrders[Part Name],$A65,T_PlannedOrders[WeekIndex],11)&amp;" ("&amp;TEXT(SUMPRODUCT(MAX((T_PlannedOrders[Part Name]=$A65)*(T_PlannedOrders[WeekIndex]=11)*(T_PlannedOrders[EffectiveQty]&gt;0)*T_PlannedOrders[Order_Month])),"m月")&amp;"発注)")</f>
        <v/>
      </c>
      <c r="O107">
        <f>IF(SUMIFS(T_PlannedOrders[EffectiveQty],T_PlannedOrders[Part Name],$A65,T_PlannedOrders[WeekIndex],12)=0,"",SUMIFS(T_PlannedOrders[EffectiveQty],T_PlannedOrders[Part Name],$A65,T_PlannedOrders[WeekIndex],12)&amp;" ("&amp;TEXT(SUMPRODUCT(MAX((T_PlannedOrders[Part Name]=$A65)*(T_PlannedOrders[WeekIndex]=12)*(T_PlannedOrders[EffectiveQty]&gt;0)*T_PlannedOrders[Order_Month])),"m月")&amp;"発注)")</f>
        <v/>
      </c>
      <c r="P107">
        <f>IF(SUMIFS(T_PlannedOrders[EffectiveQty],T_PlannedOrders[Part Name],$A65,T_PlannedOrders[WeekIndex],13)=0,"",SUMIFS(T_PlannedOrders[EffectiveQty],T_PlannedOrders[Part Name],$A65,T_PlannedOrders[WeekIndex],13)&amp;" ("&amp;TEXT(SUMPRODUCT(MAX((T_PlannedOrders[Part Name]=$A65)*(T_PlannedOrders[WeekIndex]=13)*(T_PlannedOrders[EffectiveQty]&gt;0)*T_PlannedOrders[Order_Month])),"m月")&amp;"発注)")</f>
        <v/>
      </c>
      <c r="Q107">
        <f>IF(SUMIFS(T_PlannedOrders[EffectiveQty],T_PlannedOrders[Part Name],$A65,T_PlannedOrders[WeekIndex],14)=0,"",SUMIFS(T_PlannedOrders[EffectiveQty],T_PlannedOrders[Part Name],$A65,T_PlannedOrders[WeekIndex],14)&amp;" ("&amp;TEXT(SUMPRODUCT(MAX((T_PlannedOrders[Part Name]=$A65)*(T_PlannedOrders[WeekIndex]=14)*(T_PlannedOrders[EffectiveQty]&gt;0)*T_PlannedOrders[Order_Month])),"m月")&amp;"発注)")</f>
        <v/>
      </c>
      <c r="R107">
        <f>IF(SUMIFS(T_PlannedOrders[EffectiveQty],T_PlannedOrders[Part Name],$A65,T_PlannedOrders[WeekIndex],15)=0,"",SUMIFS(T_PlannedOrders[EffectiveQty],T_PlannedOrders[Part Name],$A65,T_PlannedOrders[WeekIndex],15)&amp;" ("&amp;TEXT(SUMPRODUCT(MAX((T_PlannedOrders[Part Name]=$A65)*(T_PlannedOrders[WeekIndex]=15)*(T_PlannedOrders[EffectiveQty]&gt;0)*T_PlannedOrders[Order_Month])),"m月")&amp;"発注)")</f>
        <v/>
      </c>
      <c r="S107">
        <f>IF(SUMIFS(T_PlannedOrders[EffectiveQty],T_PlannedOrders[Part Name],$A65,T_PlannedOrders[WeekIndex],16)=0,"",SUMIFS(T_PlannedOrders[EffectiveQty],T_PlannedOrders[Part Name],$A65,T_PlannedOrders[WeekIndex],16)&amp;" ("&amp;TEXT(SUMPRODUCT(MAX((T_PlannedOrders[Part Name]=$A65)*(T_PlannedOrders[WeekIndex]=16)*(T_PlannedOrders[EffectiveQty]&gt;0)*T_PlannedOrders[Order_Month])),"m月")&amp;"発注)")</f>
        <v/>
      </c>
      <c r="T107">
        <f>IF(SUMIFS(T_PlannedOrders[EffectiveQty],T_PlannedOrders[Part Name],$A65,T_PlannedOrders[WeekIndex],17)=0,"",SUMIFS(T_PlannedOrders[EffectiveQty],T_PlannedOrders[Part Name],$A65,T_PlannedOrders[WeekIndex],17)&amp;" ("&amp;TEXT(SUMPRODUCT(MAX((T_PlannedOrders[Part Name]=$A65)*(T_PlannedOrders[WeekIndex]=17)*(T_PlannedOrders[EffectiveQty]&gt;0)*T_PlannedOrders[Order_Month])),"m月")&amp;"発注)")</f>
        <v/>
      </c>
      <c r="U107">
        <f>IF(SUMIFS(T_PlannedOrders[EffectiveQty],T_PlannedOrders[Part Name],$A65,T_PlannedOrders[WeekIndex],18)=0,"",SUMIFS(T_PlannedOrders[EffectiveQty],T_PlannedOrders[Part Name],$A65,T_PlannedOrders[WeekIndex],18)&amp;" ("&amp;TEXT(SUMPRODUCT(MAX((T_PlannedOrders[Part Name]=$A65)*(T_PlannedOrders[WeekIndex]=18)*(T_PlannedOrders[EffectiveQty]&gt;0)*T_PlannedOrders[Order_Month])),"m月")&amp;"発注)")</f>
        <v/>
      </c>
      <c r="V107">
        <f>IF(SUMIFS(T_PlannedOrders[EffectiveQty],T_PlannedOrders[Part Name],$A65,T_PlannedOrders[WeekIndex],19)=0,"",SUMIFS(T_PlannedOrders[EffectiveQty],T_PlannedOrders[Part Name],$A65,T_PlannedOrders[WeekIndex],19)&amp;" ("&amp;TEXT(SUMPRODUCT(MAX((T_PlannedOrders[Part Name]=$A65)*(T_PlannedOrders[WeekIndex]=19)*(T_PlannedOrders[EffectiveQty]&gt;0)*T_PlannedOrders[Order_Month])),"m月")&amp;"発注)")</f>
        <v/>
      </c>
      <c r="W107">
        <f>IF(SUMIFS(T_PlannedOrders[EffectiveQty],T_PlannedOrders[Part Name],$A65,T_PlannedOrders[WeekIndex],20)=0,"",SUMIFS(T_PlannedOrders[EffectiveQty],T_PlannedOrders[Part Name],$A65,T_PlannedOrders[WeekIndex],20)&amp;" ("&amp;TEXT(SUMPRODUCT(MAX((T_PlannedOrders[Part Name]=$A65)*(T_PlannedOrders[WeekIndex]=20)*(T_PlannedOrders[EffectiveQty]&gt;0)*T_PlannedOrders[Order_Month])),"m月")&amp;"発注)")</f>
        <v/>
      </c>
      <c r="X107">
        <f>IF(SUMIFS(T_PlannedOrders[EffectiveQty],T_PlannedOrders[Part Name],$A65,T_PlannedOrders[WeekIndex],21)=0,"",SUMIFS(T_PlannedOrders[EffectiveQty],T_PlannedOrders[Part Name],$A65,T_PlannedOrders[WeekIndex],21)&amp;" ("&amp;TEXT(SUMPRODUCT(MAX((T_PlannedOrders[Part Name]=$A65)*(T_PlannedOrders[WeekIndex]=21)*(T_PlannedOrders[EffectiveQty]&gt;0)*T_PlannedOrders[Order_Month])),"m月")&amp;"発注)")</f>
        <v/>
      </c>
      <c r="Y107">
        <f>IF(SUMIFS(T_PlannedOrders[EffectiveQty],T_PlannedOrders[Part Name],$A65,T_PlannedOrders[WeekIndex],22)=0,"",SUMIFS(T_PlannedOrders[EffectiveQty],T_PlannedOrders[Part Name],$A65,T_PlannedOrders[WeekIndex],22)&amp;" ("&amp;TEXT(SUMPRODUCT(MAX((T_PlannedOrders[Part Name]=$A65)*(T_PlannedOrders[WeekIndex]=22)*(T_PlannedOrders[EffectiveQty]&gt;0)*T_PlannedOrders[Order_Month])),"m月")&amp;"発注)")</f>
        <v/>
      </c>
      <c r="Z107">
        <f>IF(SUMIFS(T_PlannedOrders[EffectiveQty],T_PlannedOrders[Part Name],$A65,T_PlannedOrders[WeekIndex],23)=0,"",SUMIFS(T_PlannedOrders[EffectiveQty],T_PlannedOrders[Part Name],$A65,T_PlannedOrders[WeekIndex],23)&amp;" ("&amp;TEXT(SUMPRODUCT(MAX((T_PlannedOrders[Part Name]=$A65)*(T_PlannedOrders[WeekIndex]=23)*(T_PlannedOrders[EffectiveQty]&gt;0)*T_PlannedOrders[Order_Month])),"m月")&amp;"発注)")</f>
        <v/>
      </c>
      <c r="AA107">
        <f>IF(SUMIFS(T_PlannedOrders[EffectiveQty],T_PlannedOrders[Part Name],$A65,T_PlannedOrders[WeekIndex],24)=0,"",SUMIFS(T_PlannedOrders[EffectiveQty],T_PlannedOrders[Part Name],$A65,T_PlannedOrders[WeekIndex],24)&amp;" ("&amp;TEXT(SUMPRODUCT(MAX((T_PlannedOrders[Part Name]=$A65)*(T_PlannedOrders[WeekIndex]=24)*(T_PlannedOrders[EffectiveQty]&gt;0)*T_PlannedOrders[Order_Month])),"m月")&amp;"発注)")</f>
        <v/>
      </c>
      <c r="AB107">
        <f>IF(SUMIFS(T_PlannedOrders[EffectiveQty],T_PlannedOrders[Part Name],$A65,T_PlannedOrders[WeekIndex],25)=0,"",SUMIFS(T_PlannedOrders[EffectiveQty],T_PlannedOrders[Part Name],$A65,T_PlannedOrders[WeekIndex],25)&amp;" ("&amp;TEXT(SUMPRODUCT(MAX((T_PlannedOrders[Part Name]=$A65)*(T_PlannedOrders[WeekIndex]=25)*(T_PlannedOrders[EffectiveQty]&gt;0)*T_PlannedOrders[Order_Month])),"m月")&amp;"発注)")</f>
        <v/>
      </c>
      <c r="AC107">
        <f>IF(SUMIFS(T_PlannedOrders[EffectiveQty],T_PlannedOrders[Part Name],$A65,T_PlannedOrders[WeekIndex],26)=0,"",SUMIFS(T_PlannedOrders[EffectiveQty],T_PlannedOrders[Part Name],$A65,T_PlannedOrders[WeekIndex],26)&amp;" ("&amp;TEXT(SUMPRODUCT(MAX((T_PlannedOrders[Part Name]=$A65)*(T_PlannedOrders[WeekIndex]=26)*(T_PlannedOrders[EffectiveQty]&gt;0)*T_PlannedOrders[Order_Month])),"m月")&amp;"発注)")</f>
        <v/>
      </c>
      <c r="AD107">
        <f>IF(SUMIFS(T_PlannedOrders[EffectiveQty],T_PlannedOrders[Part Name],$A65,T_PlannedOrders[WeekIndex],27)=0,"",SUMIFS(T_PlannedOrders[EffectiveQty],T_PlannedOrders[Part Name],$A65,T_PlannedOrders[WeekIndex],27)&amp;" ("&amp;TEXT(SUMPRODUCT(MAX((T_PlannedOrders[Part Name]=$A65)*(T_PlannedOrders[WeekIndex]=27)*(T_PlannedOrders[EffectiveQty]&gt;0)*T_PlannedOrders[Order_Month])),"m月")&amp;"発注)")</f>
        <v/>
      </c>
      <c r="AE107">
        <f>IF(SUMIFS(T_PlannedOrders[EffectiveQty],T_PlannedOrders[Part Name],$A65,T_PlannedOrders[WeekIndex],28)=0,"",SUMIFS(T_PlannedOrders[EffectiveQty],T_PlannedOrders[Part Name],$A65,T_PlannedOrders[WeekIndex],28)&amp;" ("&amp;TEXT(SUMPRODUCT(MAX((T_PlannedOrders[Part Name]=$A65)*(T_PlannedOrders[WeekIndex]=28)*(T_PlannedOrders[EffectiveQty]&gt;0)*T_PlannedOrders[Order_Month])),"m月")&amp;"発注)")</f>
        <v/>
      </c>
      <c r="AF107">
        <f>IF(SUMIFS(T_PlannedOrders[EffectiveQty],T_PlannedOrders[Part Name],$A65,T_PlannedOrders[WeekIndex],29)=0,"",SUMIFS(T_PlannedOrders[EffectiveQty],T_PlannedOrders[Part Name],$A65,T_PlannedOrders[WeekIndex],29)&amp;" ("&amp;TEXT(SUMPRODUCT(MAX((T_PlannedOrders[Part Name]=$A65)*(T_PlannedOrders[WeekIndex]=29)*(T_PlannedOrders[EffectiveQty]&gt;0)*T_PlannedOrders[Order_Month])),"m月")&amp;"発注)")</f>
        <v/>
      </c>
      <c r="AG107">
        <f>IF(SUMIFS(T_PlannedOrders[EffectiveQty],T_PlannedOrders[Part Name],$A65,T_PlannedOrders[WeekIndex],30)=0,"",SUMIFS(T_PlannedOrders[EffectiveQty],T_PlannedOrders[Part Name],$A65,T_PlannedOrders[WeekIndex],30)&amp;" ("&amp;TEXT(SUMPRODUCT(MAX((T_PlannedOrders[Part Name]=$A65)*(T_PlannedOrders[WeekIndex]=30)*(T_PlannedOrders[EffectiveQty]&gt;0)*T_PlannedOrders[Order_Month])),"m月")&amp;"発注)")</f>
        <v/>
      </c>
      <c r="AH107">
        <f>IF(SUMIFS(T_PlannedOrders[EffectiveQty],T_PlannedOrders[Part Name],$A65,T_PlannedOrders[WeekIndex],31)=0,"",SUMIFS(T_PlannedOrders[EffectiveQty],T_PlannedOrders[Part Name],$A65,T_PlannedOrders[WeekIndex],31)&amp;" ("&amp;TEXT(SUMPRODUCT(MAX((T_PlannedOrders[Part Name]=$A65)*(T_PlannedOrders[WeekIndex]=31)*(T_PlannedOrders[EffectiveQty]&gt;0)*T_PlannedOrders[Order_Month])),"m月")&amp;"発注)")</f>
        <v/>
      </c>
      <c r="AI107">
        <f>IF(SUMIFS(T_PlannedOrders[EffectiveQty],T_PlannedOrders[Part Name],$A65,T_PlannedOrders[WeekIndex],32)=0,"",SUMIFS(T_PlannedOrders[EffectiveQty],T_PlannedOrders[Part Name],$A65,T_PlannedOrders[WeekIndex],32)&amp;" ("&amp;TEXT(SUMPRODUCT(MAX((T_PlannedOrders[Part Name]=$A65)*(T_PlannedOrders[WeekIndex]=32)*(T_PlannedOrders[EffectiveQty]&gt;0)*T_PlannedOrders[Order_Month])),"m月")&amp;"発注)")</f>
        <v/>
      </c>
      <c r="AJ107">
        <f>IF(SUMIFS(T_PlannedOrders[EffectiveQty],T_PlannedOrders[Part Name],$A65,T_PlannedOrders[WeekIndex],33)=0,"",SUMIFS(T_PlannedOrders[EffectiveQty],T_PlannedOrders[Part Name],$A65,T_PlannedOrders[WeekIndex],33)&amp;" ("&amp;TEXT(SUMPRODUCT(MAX((T_PlannedOrders[Part Name]=$A65)*(T_PlannedOrders[WeekIndex]=33)*(T_PlannedOrders[EffectiveQty]&gt;0)*T_PlannedOrders[Order_Month])),"m月")&amp;"発注)")</f>
        <v/>
      </c>
      <c r="AK107">
        <f>IF(SUMIFS(T_PlannedOrders[EffectiveQty],T_PlannedOrders[Part Name],$A65,T_PlannedOrders[WeekIndex],34)=0,"",SUMIFS(T_PlannedOrders[EffectiveQty],T_PlannedOrders[Part Name],$A65,T_PlannedOrders[WeekIndex],34)&amp;" ("&amp;TEXT(SUMPRODUCT(MAX((T_PlannedOrders[Part Name]=$A65)*(T_PlannedOrders[WeekIndex]=34)*(T_PlannedOrders[EffectiveQty]&gt;0)*T_PlannedOrders[Order_Month])),"m月")&amp;"発注)")</f>
        <v/>
      </c>
      <c r="AL107">
        <f>IF(SUMIFS(T_PlannedOrders[EffectiveQty],T_PlannedOrders[Part Name],$A65,T_PlannedOrders[WeekIndex],35)=0,"",SUMIFS(T_PlannedOrders[EffectiveQty],T_PlannedOrders[Part Name],$A65,T_PlannedOrders[WeekIndex],35)&amp;" ("&amp;TEXT(SUMPRODUCT(MAX((T_PlannedOrders[Part Name]=$A65)*(T_PlannedOrders[WeekIndex]=35)*(T_PlannedOrders[EffectiveQty]&gt;0)*T_PlannedOrders[Order_Month])),"m月")&amp;"発注)")</f>
        <v/>
      </c>
      <c r="AM107">
        <f>IF(SUMIFS(T_PlannedOrders[EffectiveQty],T_PlannedOrders[Part Name],$A65,T_PlannedOrders[WeekIndex],36)=0,"",SUMIFS(T_PlannedOrders[EffectiveQty],T_PlannedOrders[Part Name],$A65,T_PlannedOrders[WeekIndex],36)&amp;" ("&amp;TEXT(SUMPRODUCT(MAX((T_PlannedOrders[Part Name]=$A65)*(T_PlannedOrders[WeekIndex]=36)*(T_PlannedOrders[EffectiveQty]&gt;0)*T_PlannedOrders[Order_Month])),"m月")&amp;"発注)")</f>
        <v/>
      </c>
      <c r="AN107">
        <f>IF(SUMIFS(T_PlannedOrders[EffectiveQty],T_PlannedOrders[Part Name],$A65,T_PlannedOrders[WeekIndex],37)=0,"",SUMIFS(T_PlannedOrders[EffectiveQty],T_PlannedOrders[Part Name],$A65,T_PlannedOrders[WeekIndex],37)&amp;" ("&amp;TEXT(SUMPRODUCT(MAX((T_PlannedOrders[Part Name]=$A65)*(T_PlannedOrders[WeekIndex]=37)*(T_PlannedOrders[EffectiveQty]&gt;0)*T_PlannedOrders[Order_Month])),"m月")&amp;"発注)")</f>
        <v/>
      </c>
      <c r="AO107">
        <f>IF(SUMIFS(T_PlannedOrders[EffectiveQty],T_PlannedOrders[Part Name],$A65,T_PlannedOrders[WeekIndex],38)=0,"",SUMIFS(T_PlannedOrders[EffectiveQty],T_PlannedOrders[Part Name],$A65,T_PlannedOrders[WeekIndex],38)&amp;" ("&amp;TEXT(SUMPRODUCT(MAX((T_PlannedOrders[Part Name]=$A65)*(T_PlannedOrders[WeekIndex]=38)*(T_PlannedOrders[EffectiveQty]&gt;0)*T_PlannedOrders[Order_Month])),"m月")&amp;"発注)")</f>
        <v/>
      </c>
      <c r="AP107">
        <f>IF(SUMIFS(T_PlannedOrders[EffectiveQty],T_PlannedOrders[Part Name],$A65,T_PlannedOrders[WeekIndex],39)=0,"",SUMIFS(T_PlannedOrders[EffectiveQty],T_PlannedOrders[Part Name],$A65,T_PlannedOrders[WeekIndex],39)&amp;" ("&amp;TEXT(SUMPRODUCT(MAX((T_PlannedOrders[Part Name]=$A65)*(T_PlannedOrders[WeekIndex]=39)*(T_PlannedOrders[EffectiveQty]&gt;0)*T_PlannedOrders[Order_Month])),"m月")&amp;"発注)")</f>
        <v/>
      </c>
      <c r="AQ107">
        <f>IF(SUMIFS(T_PlannedOrders[EffectiveQty],T_PlannedOrders[Part Name],$A65,T_PlannedOrders[WeekIndex],40)=0,"",SUMIFS(T_PlannedOrders[EffectiveQty],T_PlannedOrders[Part Name],$A65,T_PlannedOrders[WeekIndex],40)&amp;" ("&amp;TEXT(SUMPRODUCT(MAX((T_PlannedOrders[Part Name]=$A65)*(T_PlannedOrders[WeekIndex]=40)*(T_PlannedOrders[EffectiveQty]&gt;0)*T_PlannedOrders[Order_Month])),"m月")&amp;"発注)")</f>
        <v/>
      </c>
      <c r="AR107">
        <f>IF(SUMIFS(T_PlannedOrders[EffectiveQty],T_PlannedOrders[Part Name],$A65,T_PlannedOrders[WeekIndex],41)=0,"",SUMIFS(T_PlannedOrders[EffectiveQty],T_PlannedOrders[Part Name],$A65,T_PlannedOrders[WeekIndex],41)&amp;" ("&amp;TEXT(SUMPRODUCT(MAX((T_PlannedOrders[Part Name]=$A65)*(T_PlannedOrders[WeekIndex]=41)*(T_PlannedOrders[EffectiveQty]&gt;0)*T_PlannedOrders[Order_Month])),"m月")&amp;"発注)")</f>
        <v/>
      </c>
      <c r="AS107">
        <f>IF(SUMIFS(T_PlannedOrders[EffectiveQty],T_PlannedOrders[Part Name],$A65,T_PlannedOrders[WeekIndex],42)=0,"",SUMIFS(T_PlannedOrders[EffectiveQty],T_PlannedOrders[Part Name],$A65,T_PlannedOrders[WeekIndex],42)&amp;" ("&amp;TEXT(SUMPRODUCT(MAX((T_PlannedOrders[Part Name]=$A65)*(T_PlannedOrders[WeekIndex]=42)*(T_PlannedOrders[EffectiveQty]&gt;0)*T_PlannedOrders[Order_Month])),"m月")&amp;"発注)")</f>
        <v/>
      </c>
      <c r="AT107">
        <f>IF(SUMIFS(T_PlannedOrders[EffectiveQty],T_PlannedOrders[Part Name],$A65,T_PlannedOrders[WeekIndex],43)=0,"",SUMIFS(T_PlannedOrders[EffectiveQty],T_PlannedOrders[Part Name],$A65,T_PlannedOrders[WeekIndex],43)&amp;" ("&amp;TEXT(SUMPRODUCT(MAX((T_PlannedOrders[Part Name]=$A65)*(T_PlannedOrders[WeekIndex]=43)*(T_PlannedOrders[EffectiveQty]&gt;0)*T_PlannedOrders[Order_Month])),"m月")&amp;"発注)")</f>
        <v/>
      </c>
      <c r="AU107">
        <f>IF(SUMIFS(T_PlannedOrders[EffectiveQty],T_PlannedOrders[Part Name],$A65,T_PlannedOrders[WeekIndex],44)=0,"",SUMIFS(T_PlannedOrders[EffectiveQty],T_PlannedOrders[Part Name],$A65,T_PlannedOrders[WeekIndex],44)&amp;" ("&amp;TEXT(SUMPRODUCT(MAX((T_PlannedOrders[Part Name]=$A65)*(T_PlannedOrders[WeekIndex]=44)*(T_PlannedOrders[EffectiveQty]&gt;0)*T_PlannedOrders[Order_Month])),"m月")&amp;"発注)")</f>
        <v/>
      </c>
      <c r="AV107">
        <f>IF(SUMIFS(T_PlannedOrders[EffectiveQty],T_PlannedOrders[Part Name],$A65,T_PlannedOrders[WeekIndex],45)=0,"",SUMIFS(T_PlannedOrders[EffectiveQty],T_PlannedOrders[Part Name],$A65,T_PlannedOrders[WeekIndex],45)&amp;" ("&amp;TEXT(SUMPRODUCT(MAX((T_PlannedOrders[Part Name]=$A65)*(T_PlannedOrders[WeekIndex]=45)*(T_PlannedOrders[EffectiveQty]&gt;0)*T_PlannedOrders[Order_Month])),"m月")&amp;"発注)")</f>
        <v/>
      </c>
      <c r="AW107">
        <f>IF(SUMIFS(T_PlannedOrders[EffectiveQty],T_PlannedOrders[Part Name],$A65,T_PlannedOrders[WeekIndex],46)=0,"",SUMIFS(T_PlannedOrders[EffectiveQty],T_PlannedOrders[Part Name],$A65,T_PlannedOrders[WeekIndex],46)&amp;" ("&amp;TEXT(SUMPRODUCT(MAX((T_PlannedOrders[Part Name]=$A65)*(T_PlannedOrders[WeekIndex]=46)*(T_PlannedOrders[EffectiveQty]&gt;0)*T_PlannedOrders[Order_Month])),"m月")&amp;"発注)")</f>
        <v/>
      </c>
      <c r="AX107">
        <f>IF(SUMIFS(T_PlannedOrders[EffectiveQty],T_PlannedOrders[Part Name],$A65,T_PlannedOrders[WeekIndex],47)=0,"",SUMIFS(T_PlannedOrders[EffectiveQty],T_PlannedOrders[Part Name],$A65,T_PlannedOrders[WeekIndex],47)&amp;" ("&amp;TEXT(SUMPRODUCT(MAX((T_PlannedOrders[Part Name]=$A65)*(T_PlannedOrders[WeekIndex]=47)*(T_PlannedOrders[EffectiveQty]&gt;0)*T_PlannedOrders[Order_Month])),"m月")&amp;"発注)")</f>
        <v/>
      </c>
      <c r="AY107">
        <f>IF(SUMIFS(T_PlannedOrders[EffectiveQty],T_PlannedOrders[Part Name],$A65,T_PlannedOrders[WeekIndex],48)=0,"",SUMIFS(T_PlannedOrders[EffectiveQty],T_PlannedOrders[Part Name],$A65,T_PlannedOrders[WeekIndex],48)&amp;" ("&amp;TEXT(SUMPRODUCT(MAX((T_PlannedOrders[Part Name]=$A65)*(T_PlannedOrders[WeekIndex]=48)*(T_PlannedOrders[EffectiveQty]&gt;0)*T_PlannedOrders[Order_Month])),"m月")&amp;"発注)")</f>
        <v/>
      </c>
      <c r="AZ107">
        <f>IF(SUMIFS(T_PlannedOrders[EffectiveQty],T_PlannedOrders[Part Name],$A65,T_PlannedOrders[WeekIndex],49)=0,"",SUMIFS(T_PlannedOrders[EffectiveQty],T_PlannedOrders[Part Name],$A65,T_PlannedOrders[WeekIndex],49)&amp;" ("&amp;TEXT(SUMPRODUCT(MAX((T_PlannedOrders[Part Name]=$A65)*(T_PlannedOrders[WeekIndex]=49)*(T_PlannedOrders[EffectiveQty]&gt;0)*T_PlannedOrders[Order_Month])),"m月")&amp;"発注)")</f>
        <v/>
      </c>
      <c r="BA107">
        <f>IF(SUMIFS(T_PlannedOrders[EffectiveQty],T_PlannedOrders[Part Name],$A65,T_PlannedOrders[WeekIndex],50)=0,"",SUMIFS(T_PlannedOrders[EffectiveQty],T_PlannedOrders[Part Name],$A65,T_PlannedOrders[WeekIndex],50)&amp;" ("&amp;TEXT(SUMPRODUCT(MAX((T_PlannedOrders[Part Name]=$A65)*(T_PlannedOrders[WeekIndex]=50)*(T_PlannedOrders[EffectiveQty]&gt;0)*T_PlannedOrders[Order_Month])),"m月")&amp;"発注)")</f>
        <v/>
      </c>
      <c r="BB107">
        <f>IF(SUMIFS(T_PlannedOrders[EffectiveQty],T_PlannedOrders[Part Name],$A65,T_PlannedOrders[WeekIndex],51)=0,"",SUMIFS(T_PlannedOrders[EffectiveQty],T_PlannedOrders[Part Name],$A65,T_PlannedOrders[WeekIndex],51)&amp;" ("&amp;TEXT(SUMPRODUCT(MAX((T_PlannedOrders[Part Name]=$A65)*(T_PlannedOrders[WeekIndex]=51)*(T_PlannedOrders[EffectiveQty]&gt;0)*T_PlannedOrders[Order_Month])),"m月")&amp;"発注)")</f>
        <v/>
      </c>
      <c r="BC107">
        <f>IF(SUMIFS(T_PlannedOrders[EffectiveQty],T_PlannedOrders[Part Name],$A65,T_PlannedOrders[WeekIndex],52)=0,"",SUMIFS(T_PlannedOrders[EffectiveQty],T_PlannedOrders[Part Name],$A65,T_PlannedOrders[WeekIndex],52)&amp;" ("&amp;TEXT(SUMPRODUCT(MAX((T_PlannedOrders[Part Name]=$A65)*(T_PlannedOrders[WeekIndex]=52)*(T_PlannedOrders[EffectiveQty]&gt;0)*T_PlannedOrders[Order_Month])),"m月")&amp;"発注)")</f>
        <v/>
      </c>
      <c r="BD107">
        <f>IF(SUMIFS(T_PlannedOrders[EffectiveQty],T_PlannedOrders[Part Name],$A65,T_PlannedOrders[WeekIndex],53)=0,"",SUMIFS(T_PlannedOrders[EffectiveQty],T_PlannedOrders[Part Name],$A65,T_PlannedOrders[WeekIndex],53)&amp;" ("&amp;TEXT(SUMPRODUCT(MAX((T_PlannedOrders[Part Name]=$A65)*(T_PlannedOrders[WeekIndex]=53)*(T_PlannedOrders[EffectiveQty]&gt;0)*T_PlannedOrders[Order_Month])),"m月")&amp;"発注)")</f>
        <v/>
      </c>
      <c r="BE107">
        <f>IF(SUMIFS(T_PlannedOrders[EffectiveQty],T_PlannedOrders[Part Name],$A65,T_PlannedOrders[WeekIndex],54)=0,"",SUMIFS(T_PlannedOrders[EffectiveQty],T_PlannedOrders[Part Name],$A65,T_PlannedOrders[WeekIndex],54)&amp;" ("&amp;TEXT(SUMPRODUCT(MAX((T_PlannedOrders[Part Name]=$A65)*(T_PlannedOrders[WeekIndex]=54)*(T_PlannedOrders[EffectiveQty]&gt;0)*T_PlannedOrders[Order_Month])),"m月")&amp;"発注)")</f>
        <v/>
      </c>
      <c r="BF107">
        <f>IF(SUMIFS(T_PlannedOrders[EffectiveQty],T_PlannedOrders[Part Name],$A65,T_PlannedOrders[WeekIndex],55)=0,"",SUMIFS(T_PlannedOrders[EffectiveQty],T_PlannedOrders[Part Name],$A65,T_PlannedOrders[WeekIndex],55)&amp;" ("&amp;TEXT(SUMPRODUCT(MAX((T_PlannedOrders[Part Name]=$A65)*(T_PlannedOrders[WeekIndex]=55)*(T_PlannedOrders[EffectiveQty]&gt;0)*T_PlannedOrders[Order_Month])),"m月")&amp;"発注)")</f>
        <v/>
      </c>
      <c r="BG107">
        <f>IF(SUMIFS(T_PlannedOrders[EffectiveQty],T_PlannedOrders[Part Name],$A65,T_PlannedOrders[WeekIndex],56)=0,"",SUMIFS(T_PlannedOrders[EffectiveQty],T_PlannedOrders[Part Name],$A65,T_PlannedOrders[WeekIndex],56)&amp;" ("&amp;TEXT(SUMPRODUCT(MAX((T_PlannedOrders[Part Name]=$A65)*(T_PlannedOrders[WeekIndex]=56)*(T_PlannedOrders[EffectiveQty]&gt;0)*T_PlannedOrders[Order_Month])),"m月")&amp;"発注)")</f>
        <v/>
      </c>
      <c r="BH107">
        <f>IF(SUMIFS(T_PlannedOrders[EffectiveQty],T_PlannedOrders[Part Name],$A65,T_PlannedOrders[WeekIndex],57)=0,"",SUMIFS(T_PlannedOrders[EffectiveQty],T_PlannedOrders[Part Name],$A65,T_PlannedOrders[WeekIndex],57)&amp;" ("&amp;TEXT(SUMPRODUCT(MAX((T_PlannedOrders[Part Name]=$A65)*(T_PlannedOrders[WeekIndex]=57)*(T_PlannedOrders[EffectiveQty]&gt;0)*T_PlannedOrders[Order_Month])),"m月")&amp;"発注)")</f>
        <v/>
      </c>
      <c r="BI107">
        <f>IF(SUMIFS(T_PlannedOrders[EffectiveQty],T_PlannedOrders[Part Name],$A65,T_PlannedOrders[WeekIndex],58)=0,"",SUMIFS(T_PlannedOrders[EffectiveQty],T_PlannedOrders[Part Name],$A65,T_PlannedOrders[WeekIndex],58)&amp;" ("&amp;TEXT(SUMPRODUCT(MAX((T_PlannedOrders[Part Name]=$A65)*(T_PlannedOrders[WeekIndex]=58)*(T_PlannedOrders[EffectiveQty]&gt;0)*T_PlannedOrders[Order_Month])),"m月")&amp;"発注)")</f>
        <v/>
      </c>
      <c r="BJ107">
        <f>IF(SUMIFS(T_PlannedOrders[EffectiveQty],T_PlannedOrders[Part Name],$A65,T_PlannedOrders[WeekIndex],59)=0,"",SUMIFS(T_PlannedOrders[EffectiveQty],T_PlannedOrders[Part Name],$A65,T_PlannedOrders[WeekIndex],59)&amp;" ("&amp;TEXT(SUMPRODUCT(MAX((T_PlannedOrders[Part Name]=$A65)*(T_PlannedOrders[WeekIndex]=59)*(T_PlannedOrders[EffectiveQty]&gt;0)*T_PlannedOrders[Order_Month])),"m月")&amp;"発注)")</f>
        <v/>
      </c>
      <c r="BK107">
        <f>IF(SUMIFS(T_PlannedOrders[EffectiveQty],T_PlannedOrders[Part Name],$A65,T_PlannedOrders[WeekIndex],60)=0,"",SUMIFS(T_PlannedOrders[EffectiveQty],T_PlannedOrders[Part Name],$A65,T_PlannedOrders[WeekIndex],60)&amp;" ("&amp;TEXT(SUMPRODUCT(MAX((T_PlannedOrders[Part Name]=$A65)*(T_PlannedOrders[WeekIndex]=60)*(T_PlannedOrders[EffectiveQty]&gt;0)*T_PlannedOrders[Order_Month])),"m月")&amp;"発注)")</f>
        <v/>
      </c>
      <c r="BL107">
        <f>IF(SUMIFS(T_PlannedOrders[EffectiveQty],T_PlannedOrders[Part Name],$A65,T_PlannedOrders[WeekIndex],61)=0,"",SUMIFS(T_PlannedOrders[EffectiveQty],T_PlannedOrders[Part Name],$A65,T_PlannedOrders[WeekIndex],61)&amp;" ("&amp;TEXT(SUMPRODUCT(MAX((T_PlannedOrders[Part Name]=$A65)*(T_PlannedOrders[WeekIndex]=61)*(T_PlannedOrders[EffectiveQty]&gt;0)*T_PlannedOrders[Order_Month])),"m月")&amp;"発注)")</f>
        <v/>
      </c>
      <c r="BM107">
        <f>IF(SUMIFS(T_PlannedOrders[EffectiveQty],T_PlannedOrders[Part Name],$A65,T_PlannedOrders[WeekIndex],62)=0,"",SUMIFS(T_PlannedOrders[EffectiveQty],T_PlannedOrders[Part Name],$A65,T_PlannedOrders[WeekIndex],62)&amp;" ("&amp;TEXT(SUMPRODUCT(MAX((T_PlannedOrders[Part Name]=$A65)*(T_PlannedOrders[WeekIndex]=62)*(T_PlannedOrders[EffectiveQty]&gt;0)*T_PlannedOrders[Order_Month])),"m月")&amp;"発注)")</f>
        <v/>
      </c>
      <c r="BN107">
        <f>IF(SUMIFS(T_PlannedOrders[EffectiveQty],T_PlannedOrders[Part Name],$A65,T_PlannedOrders[WeekIndex],63)=0,"",SUMIFS(T_PlannedOrders[EffectiveQty],T_PlannedOrders[Part Name],$A65,T_PlannedOrders[WeekIndex],63)&amp;" ("&amp;TEXT(SUMPRODUCT(MAX((T_PlannedOrders[Part Name]=$A65)*(T_PlannedOrders[WeekIndex]=63)*(T_PlannedOrders[EffectiveQty]&gt;0)*T_PlannedOrders[Order_Month])),"m月")&amp;"発注)")</f>
        <v/>
      </c>
      <c r="BO107">
        <f>IF(SUMIFS(T_PlannedOrders[EffectiveQty],T_PlannedOrders[Part Name],$A65,T_PlannedOrders[WeekIndex],64)=0,"",SUMIFS(T_PlannedOrders[EffectiveQty],T_PlannedOrders[Part Name],$A65,T_PlannedOrders[WeekIndex],64)&amp;" ("&amp;TEXT(SUMPRODUCT(MAX((T_PlannedOrders[Part Name]=$A65)*(T_PlannedOrders[WeekIndex]=64)*(T_PlannedOrders[EffectiveQty]&gt;0)*T_PlannedOrders[Order_Month])),"m月")&amp;"発注)")</f>
        <v/>
      </c>
      <c r="BP107">
        <f>IF(SUMIFS(T_PlannedOrders[EffectiveQty],T_PlannedOrders[Part Name],$A65,T_PlannedOrders[WeekIndex],65)=0,"",SUMIFS(T_PlannedOrders[EffectiveQty],T_PlannedOrders[Part Name],$A65,T_PlannedOrders[WeekIndex],65)&amp;" ("&amp;TEXT(SUMPRODUCT(MAX((T_PlannedOrders[Part Name]=$A65)*(T_PlannedOrders[WeekIndex]=65)*(T_PlannedOrders[EffectiveQty]&gt;0)*T_PlannedOrders[Order_Month])),"m月")&amp;"発注)")</f>
        <v/>
      </c>
      <c r="BQ107">
        <f>IF(SUMIFS(T_PlannedOrders[EffectiveQty],T_PlannedOrders[Part Name],$A65,T_PlannedOrders[WeekIndex],66)=0,"",SUMIFS(T_PlannedOrders[EffectiveQty],T_PlannedOrders[Part Name],$A65,T_PlannedOrders[WeekIndex],66)&amp;" ("&amp;TEXT(SUMPRODUCT(MAX((T_PlannedOrders[Part Name]=$A65)*(T_PlannedOrders[WeekIndex]=66)*(T_PlannedOrders[EffectiveQty]&gt;0)*T_PlannedOrders[Order_Month])),"m月")&amp;"発注)")</f>
        <v/>
      </c>
      <c r="BR107">
        <f>IF(SUMIFS(T_PlannedOrders[EffectiveQty],T_PlannedOrders[Part Name],$A65,T_PlannedOrders[WeekIndex],67)=0,"",SUMIFS(T_PlannedOrders[EffectiveQty],T_PlannedOrders[Part Name],$A65,T_PlannedOrders[WeekIndex],67)&amp;" ("&amp;TEXT(SUMPRODUCT(MAX((T_PlannedOrders[Part Name]=$A65)*(T_PlannedOrders[WeekIndex]=67)*(T_PlannedOrders[EffectiveQty]&gt;0)*T_PlannedOrders[Order_Month])),"m月")&amp;"発注)")</f>
        <v/>
      </c>
      <c r="BS107">
        <f>IF(SUMIFS(T_PlannedOrders[EffectiveQty],T_PlannedOrders[Part Name],$A65,T_PlannedOrders[WeekIndex],68)=0,"",SUMIFS(T_PlannedOrders[EffectiveQty],T_PlannedOrders[Part Name],$A65,T_PlannedOrders[WeekIndex],68)&amp;" ("&amp;TEXT(SUMPRODUCT(MAX((T_PlannedOrders[Part Name]=$A65)*(T_PlannedOrders[WeekIndex]=68)*(T_PlannedOrders[EffectiveQty]&gt;0)*T_PlannedOrders[Order_Month])),"m月")&amp;"発注)")</f>
        <v/>
      </c>
      <c r="BT107">
        <f>IF(SUMIFS(T_PlannedOrders[EffectiveQty],T_PlannedOrders[Part Name],$A65,T_PlannedOrders[WeekIndex],69)=0,"",SUMIFS(T_PlannedOrders[EffectiveQty],T_PlannedOrders[Part Name],$A65,T_PlannedOrders[WeekIndex],69)&amp;" ("&amp;TEXT(SUMPRODUCT(MAX((T_PlannedOrders[Part Name]=$A65)*(T_PlannedOrders[WeekIndex]=69)*(T_PlannedOrders[EffectiveQty]&gt;0)*T_PlannedOrders[Order_Month])),"m月")&amp;"発注)")</f>
        <v/>
      </c>
      <c r="BU107">
        <f>IF(SUMIFS(T_PlannedOrders[EffectiveQty],T_PlannedOrders[Part Name],$A65,T_PlannedOrders[WeekIndex],70)=0,"",SUMIFS(T_PlannedOrders[EffectiveQty],T_PlannedOrders[Part Name],$A65,T_PlannedOrders[WeekIndex],70)&amp;" ("&amp;TEXT(SUMPRODUCT(MAX((T_PlannedOrders[Part Name]=$A65)*(T_PlannedOrders[WeekIndex]=70)*(T_PlannedOrders[EffectiveQty]&gt;0)*T_PlannedOrders[Order_Month])),"m月")&amp;"発注)")</f>
        <v/>
      </c>
      <c r="BV107">
        <f>IF(SUMIFS(T_PlannedOrders[EffectiveQty],T_PlannedOrders[Part Name],$A65,T_PlannedOrders[WeekIndex],71)=0,"",SUMIFS(T_PlannedOrders[EffectiveQty],T_PlannedOrders[Part Name],$A65,T_PlannedOrders[WeekIndex],71)&amp;" ("&amp;TEXT(SUMPRODUCT(MAX((T_PlannedOrders[Part Name]=$A65)*(T_PlannedOrders[WeekIndex]=71)*(T_PlannedOrders[EffectiveQty]&gt;0)*T_PlannedOrders[Order_Month])),"m月")&amp;"発注)")</f>
        <v/>
      </c>
      <c r="BW107">
        <f>IF(SUMIFS(T_PlannedOrders[EffectiveQty],T_PlannedOrders[Part Name],$A65,T_PlannedOrders[WeekIndex],72)=0,"",SUMIFS(T_PlannedOrders[EffectiveQty],T_PlannedOrders[Part Name],$A65,T_PlannedOrders[WeekIndex],72)&amp;" ("&amp;TEXT(SUMPRODUCT(MAX((T_PlannedOrders[Part Name]=$A65)*(T_PlannedOrders[WeekIndex]=72)*(T_PlannedOrders[EffectiveQty]&gt;0)*T_PlannedOrders[Order_Month])),"m月")&amp;"発注)")</f>
        <v/>
      </c>
      <c r="BX107">
        <f>IF(SUMIFS(T_PlannedOrders[EffectiveQty],T_PlannedOrders[Part Name],$A65,T_PlannedOrders[WeekIndex],73)=0,"",SUMIFS(T_PlannedOrders[EffectiveQty],T_PlannedOrders[Part Name],$A65,T_PlannedOrders[WeekIndex],73)&amp;" ("&amp;TEXT(SUMPRODUCT(MAX((T_PlannedOrders[Part Name]=$A65)*(T_PlannedOrders[WeekIndex]=73)*(T_PlannedOrders[EffectiveQty]&gt;0)*T_PlannedOrders[Order_Month])),"m月")&amp;"発注)")</f>
        <v/>
      </c>
      <c r="BY107">
        <f>IF(SUMIFS(T_PlannedOrders[EffectiveQty],T_PlannedOrders[Part Name],$A65,T_PlannedOrders[WeekIndex],74)=0,"",SUMIFS(T_PlannedOrders[EffectiveQty],T_PlannedOrders[Part Name],$A65,T_PlannedOrders[WeekIndex],74)&amp;" ("&amp;TEXT(SUMPRODUCT(MAX((T_PlannedOrders[Part Name]=$A65)*(T_PlannedOrders[WeekIndex]=74)*(T_PlannedOrders[EffectiveQty]&gt;0)*T_PlannedOrders[Order_Month])),"m月")&amp;"発注)")</f>
        <v/>
      </c>
      <c r="BZ107">
        <f>IF(SUMIFS(T_PlannedOrders[EffectiveQty],T_PlannedOrders[Part Name],$A65,T_PlannedOrders[WeekIndex],75)=0,"",SUMIFS(T_PlannedOrders[EffectiveQty],T_PlannedOrders[Part Name],$A65,T_PlannedOrders[WeekIndex],75)&amp;" ("&amp;TEXT(SUMPRODUCT(MAX((T_PlannedOrders[Part Name]=$A65)*(T_PlannedOrders[WeekIndex]=75)*(T_PlannedOrders[EffectiveQty]&gt;0)*T_PlannedOrders[Order_Month])),"m月")&amp;"発注)")</f>
        <v/>
      </c>
      <c r="CA107">
        <f>IF(SUMIFS(T_PlannedOrders[EffectiveQty],T_PlannedOrders[Part Name],$A65,T_PlannedOrders[WeekIndex],76)=0,"",SUMIFS(T_PlannedOrders[EffectiveQty],T_PlannedOrders[Part Name],$A65,T_PlannedOrders[WeekIndex],76)&amp;" ("&amp;TEXT(SUMPRODUCT(MAX((T_PlannedOrders[Part Name]=$A65)*(T_PlannedOrders[WeekIndex]=76)*(T_PlannedOrders[EffectiveQty]&gt;0)*T_PlannedOrders[Order_Month])),"m月")&amp;"発注)")</f>
        <v/>
      </c>
      <c r="CB107">
        <f>IF(SUMIFS(T_PlannedOrders[EffectiveQty],T_PlannedOrders[Part Name],$A65,T_PlannedOrders[WeekIndex],77)=0,"",SUMIFS(T_PlannedOrders[EffectiveQty],T_PlannedOrders[Part Name],$A65,T_PlannedOrders[WeekIndex],77)&amp;" ("&amp;TEXT(SUMPRODUCT(MAX((T_PlannedOrders[Part Name]=$A65)*(T_PlannedOrders[WeekIndex]=77)*(T_PlannedOrders[EffectiveQty]&gt;0)*T_PlannedOrders[Order_Month])),"m月")&amp;"発注)")</f>
        <v/>
      </c>
      <c r="CC107">
        <f>IF(SUMIFS(T_PlannedOrders[EffectiveQty],T_PlannedOrders[Part Name],$A65,T_PlannedOrders[WeekIndex],78)=0,"",SUMIFS(T_PlannedOrders[EffectiveQty],T_PlannedOrders[Part Name],$A65,T_PlannedOrders[WeekIndex],78)&amp;" ("&amp;TEXT(SUMPRODUCT(MAX((T_PlannedOrders[Part Name]=$A65)*(T_PlannedOrders[WeekIndex]=78)*(T_PlannedOrders[EffectiveQty]&gt;0)*T_PlannedOrders[Order_Month])),"m月")&amp;"発注)")</f>
        <v/>
      </c>
      <c r="CD107">
        <f>IF(SUMIFS(T_PlannedOrders[EffectiveQty],T_PlannedOrders[Part Name],$A65,T_PlannedOrders[WeekIndex],79)=0,"",SUMIFS(T_PlannedOrders[EffectiveQty],T_PlannedOrders[Part Name],$A65,T_PlannedOrders[WeekIndex],79)&amp;" ("&amp;TEXT(SUMPRODUCT(MAX((T_PlannedOrders[Part Name]=$A65)*(T_PlannedOrders[WeekIndex]=79)*(T_PlannedOrders[EffectiveQty]&gt;0)*T_PlannedOrders[Order_Month])),"m月")&amp;"発注)")</f>
        <v/>
      </c>
      <c r="CE107">
        <f>IF(SUMIFS(T_PlannedOrders[EffectiveQty],T_PlannedOrders[Part Name],$A65,T_PlannedOrders[WeekIndex],80)=0,"",SUMIFS(T_PlannedOrders[EffectiveQty],T_PlannedOrders[Part Name],$A65,T_PlannedOrders[WeekIndex],80)&amp;" ("&amp;TEXT(SUMPRODUCT(MAX((T_PlannedOrders[Part Name]=$A65)*(T_PlannedOrders[WeekIndex]=80)*(T_PlannedOrders[EffectiveQty]&gt;0)*T_PlannedOrders[Order_Month])),"m月")&amp;"発注)")</f>
        <v/>
      </c>
      <c r="CF107">
        <f>IF(SUMIFS(T_PlannedOrders[EffectiveQty],T_PlannedOrders[Part Name],$A65,T_PlannedOrders[WeekIndex],81)=0,"",SUMIFS(T_PlannedOrders[EffectiveQty],T_PlannedOrders[Part Name],$A65,T_PlannedOrders[WeekIndex],81)&amp;" ("&amp;TEXT(SUMPRODUCT(MAX((T_PlannedOrders[Part Name]=$A65)*(T_PlannedOrders[WeekIndex]=81)*(T_PlannedOrders[EffectiveQty]&gt;0)*T_PlannedOrders[Order_Month])),"m月")&amp;"発注)")</f>
        <v/>
      </c>
      <c r="CG107">
        <f>IF(SUMIFS(T_PlannedOrders[EffectiveQty],T_PlannedOrders[Part Name],$A65,T_PlannedOrders[WeekIndex],82)=0,"",SUMIFS(T_PlannedOrders[EffectiveQty],T_PlannedOrders[Part Name],$A65,T_PlannedOrders[WeekIndex],82)&amp;" ("&amp;TEXT(SUMPRODUCT(MAX((T_PlannedOrders[Part Name]=$A65)*(T_PlannedOrders[WeekIndex]=82)*(T_PlannedOrders[EffectiveQty]&gt;0)*T_PlannedOrders[Order_Month])),"m月")&amp;"発注)")</f>
        <v/>
      </c>
      <c r="CH107">
        <f>IF(SUMIFS(T_PlannedOrders[EffectiveQty],T_PlannedOrders[Part Name],$A65,T_PlannedOrders[WeekIndex],83)=0,"",SUMIFS(T_PlannedOrders[EffectiveQty],T_PlannedOrders[Part Name],$A65,T_PlannedOrders[WeekIndex],83)&amp;" ("&amp;TEXT(SUMPRODUCT(MAX((T_PlannedOrders[Part Name]=$A65)*(T_PlannedOrders[WeekIndex]=83)*(T_PlannedOrders[EffectiveQty]&gt;0)*T_PlannedOrders[Order_Month])),"m月")&amp;"発注)")</f>
        <v/>
      </c>
      <c r="CI107">
        <f>IF(SUMIFS(T_PlannedOrders[EffectiveQty],T_PlannedOrders[Part Name],$A65,T_PlannedOrders[WeekIndex],84)=0,"",SUMIFS(T_PlannedOrders[EffectiveQty],T_PlannedOrders[Part Name],$A65,T_PlannedOrders[WeekIndex],84)&amp;" ("&amp;TEXT(SUMPRODUCT(MAX((T_PlannedOrders[Part Name]=$A65)*(T_PlannedOrders[WeekIndex]=84)*(T_PlannedOrders[EffectiveQty]&gt;0)*T_PlannedOrders[Order_Month])),"m月")&amp;"発注)")</f>
        <v/>
      </c>
      <c r="CJ107">
        <f>IF(SUMIFS(T_PlannedOrders[EffectiveQty],T_PlannedOrders[Part Name],$A65,T_PlannedOrders[WeekIndex],85)=0,"",SUMIFS(T_PlannedOrders[EffectiveQty],T_PlannedOrders[Part Name],$A65,T_PlannedOrders[WeekIndex],85)&amp;" ("&amp;TEXT(SUMPRODUCT(MAX((T_PlannedOrders[Part Name]=$A65)*(T_PlannedOrders[WeekIndex]=85)*(T_PlannedOrders[EffectiveQty]&gt;0)*T_PlannedOrders[Order_Month])),"m月")&amp;"発注)")</f>
        <v/>
      </c>
      <c r="CK107">
        <f>IF(SUMIFS(T_PlannedOrders[EffectiveQty],T_PlannedOrders[Part Name],$A65,T_PlannedOrders[WeekIndex],86)=0,"",SUMIFS(T_PlannedOrders[EffectiveQty],T_PlannedOrders[Part Name],$A65,T_PlannedOrders[WeekIndex],86)&amp;" ("&amp;TEXT(SUMPRODUCT(MAX((T_PlannedOrders[Part Name]=$A65)*(T_PlannedOrders[WeekIndex]=86)*(T_PlannedOrders[EffectiveQty]&gt;0)*T_PlannedOrders[Order_Month])),"m月")&amp;"発注)")</f>
        <v/>
      </c>
      <c r="CL107">
        <f>IF(SUMIFS(T_PlannedOrders[EffectiveQty],T_PlannedOrders[Part Name],$A65,T_PlannedOrders[WeekIndex],87)=0,"",SUMIFS(T_PlannedOrders[EffectiveQty],T_PlannedOrders[Part Name],$A65,T_PlannedOrders[WeekIndex],87)&amp;" ("&amp;TEXT(SUMPRODUCT(MAX((T_PlannedOrders[Part Name]=$A65)*(T_PlannedOrders[WeekIndex]=87)*(T_PlannedOrders[EffectiveQty]&gt;0)*T_PlannedOrders[Order_Month])),"m月")&amp;"発注)")</f>
        <v/>
      </c>
      <c r="CM107">
        <f>IF(SUMIFS(T_PlannedOrders[EffectiveQty],T_PlannedOrders[Part Name],$A65,T_PlannedOrders[WeekIndex],88)=0,"",SUMIFS(T_PlannedOrders[EffectiveQty],T_PlannedOrders[Part Name],$A65,T_PlannedOrders[WeekIndex],88)&amp;" ("&amp;TEXT(SUMPRODUCT(MAX((T_PlannedOrders[Part Name]=$A65)*(T_PlannedOrders[WeekIndex]=88)*(T_PlannedOrders[EffectiveQty]&gt;0)*T_PlannedOrders[Order_Month])),"m月")&amp;"発注)")</f>
        <v/>
      </c>
      <c r="CN107">
        <f>IF(SUMIFS(T_PlannedOrders[EffectiveQty],T_PlannedOrders[Part Name],$A65,T_PlannedOrders[WeekIndex],89)=0,"",SUMIFS(T_PlannedOrders[EffectiveQty],T_PlannedOrders[Part Name],$A65,T_PlannedOrders[WeekIndex],89)&amp;" ("&amp;TEXT(SUMPRODUCT(MAX((T_PlannedOrders[Part Name]=$A65)*(T_PlannedOrders[WeekIndex]=89)*(T_PlannedOrders[EffectiveQty]&gt;0)*T_PlannedOrders[Order_Month])),"m月")&amp;"発注)")</f>
        <v/>
      </c>
      <c r="CO107">
        <f>IF(SUMIFS(T_PlannedOrders[EffectiveQty],T_PlannedOrders[Part Name],$A65,T_PlannedOrders[WeekIndex],90)=0,"",SUMIFS(T_PlannedOrders[EffectiveQty],T_PlannedOrders[Part Name],$A65,T_PlannedOrders[WeekIndex],90)&amp;" ("&amp;TEXT(SUMPRODUCT(MAX((T_PlannedOrders[Part Name]=$A65)*(T_PlannedOrders[WeekIndex]=90)*(T_PlannedOrders[EffectiveQty]&gt;0)*T_PlannedOrders[Order_Month])),"m月")&amp;"発注)")</f>
        <v/>
      </c>
      <c r="CP107">
        <f>IF(SUMIFS(T_PlannedOrders[EffectiveQty],T_PlannedOrders[Part Name],$A65,T_PlannedOrders[WeekIndex],91)=0,"",SUMIFS(T_PlannedOrders[EffectiveQty],T_PlannedOrders[Part Name],$A65,T_PlannedOrders[WeekIndex],91)&amp;" ("&amp;TEXT(SUMPRODUCT(MAX((T_PlannedOrders[Part Name]=$A65)*(T_PlannedOrders[WeekIndex]=91)*(T_PlannedOrders[EffectiveQty]&gt;0)*T_PlannedOrders[Order_Month])),"m月")&amp;"発注)")</f>
        <v/>
      </c>
      <c r="CQ107">
        <f>IF(SUMIFS(T_PlannedOrders[EffectiveQty],T_PlannedOrders[Part Name],$A65,T_PlannedOrders[WeekIndex],92)=0,"",SUMIFS(T_PlannedOrders[EffectiveQty],T_PlannedOrders[Part Name],$A65,T_PlannedOrders[WeekIndex],92)&amp;" ("&amp;TEXT(SUMPRODUCT(MAX((T_PlannedOrders[Part Name]=$A65)*(T_PlannedOrders[WeekIndex]=92)*(T_PlannedOrders[EffectiveQty]&gt;0)*T_PlannedOrders[Order_Month])),"m月")&amp;"発注)")</f>
        <v/>
      </c>
      <c r="CR107">
        <f>IF(SUMIFS(T_PlannedOrders[EffectiveQty],T_PlannedOrders[Part Name],$A65,T_PlannedOrders[WeekIndex],93)=0,"",SUMIFS(T_PlannedOrders[EffectiveQty],T_PlannedOrders[Part Name],$A65,T_PlannedOrders[WeekIndex],93)&amp;" ("&amp;TEXT(SUMPRODUCT(MAX((T_PlannedOrders[Part Name]=$A65)*(T_PlannedOrders[WeekIndex]=93)*(T_PlannedOrders[EffectiveQty]&gt;0)*T_PlannedOrders[Order_Month])),"m月")&amp;"発注)")</f>
        <v/>
      </c>
      <c r="CS107">
        <f>IF(SUMIFS(T_PlannedOrders[EffectiveQty],T_PlannedOrders[Part Name],$A65,T_PlannedOrders[WeekIndex],94)=0,"",SUMIFS(T_PlannedOrders[EffectiveQty],T_PlannedOrders[Part Name],$A65,T_PlannedOrders[WeekIndex],94)&amp;" ("&amp;TEXT(SUMPRODUCT(MAX((T_PlannedOrders[Part Name]=$A65)*(T_PlannedOrders[WeekIndex]=94)*(T_PlannedOrders[EffectiveQty]&gt;0)*T_PlannedOrders[Order_Month])),"m月")&amp;"発注)")</f>
        <v/>
      </c>
      <c r="CT107">
        <f>IF(SUMIFS(T_PlannedOrders[EffectiveQty],T_PlannedOrders[Part Name],$A65,T_PlannedOrders[WeekIndex],95)=0,"",SUMIFS(T_PlannedOrders[EffectiveQty],T_PlannedOrders[Part Name],$A65,T_PlannedOrders[WeekIndex],95)&amp;" ("&amp;TEXT(SUMPRODUCT(MAX((T_PlannedOrders[Part Name]=$A65)*(T_PlannedOrders[WeekIndex]=95)*(T_PlannedOrders[EffectiveQty]&gt;0)*T_PlannedOrders[Order_Month])),"m月")&amp;"発注)")</f>
        <v/>
      </c>
      <c r="CU107">
        <f>IF(SUMIFS(T_PlannedOrders[EffectiveQty],T_PlannedOrders[Part Name],$A65,T_PlannedOrders[WeekIndex],96)=0,"",SUMIFS(T_PlannedOrders[EffectiveQty],T_PlannedOrders[Part Name],$A65,T_PlannedOrders[WeekIndex],96)&amp;" ("&amp;TEXT(SUMPRODUCT(MAX((T_PlannedOrders[Part Name]=$A65)*(T_PlannedOrders[WeekIndex]=96)*(T_PlannedOrders[EffectiveQty]&gt;0)*T_PlannedOrders[Order_Month])),"m月")&amp;"発注)")</f>
        <v/>
      </c>
      <c r="CV107">
        <f>IF(SUMIFS(T_PlannedOrders[EffectiveQty],T_PlannedOrders[Part Name],$A65,T_PlannedOrders[WeekIndex],97)=0,"",SUMIFS(T_PlannedOrders[EffectiveQty],T_PlannedOrders[Part Name],$A65,T_PlannedOrders[WeekIndex],97)&amp;" ("&amp;TEXT(SUMPRODUCT(MAX((T_PlannedOrders[Part Name]=$A65)*(T_PlannedOrders[WeekIndex]=97)*(T_PlannedOrders[EffectiveQty]&gt;0)*T_PlannedOrders[Order_Month])),"m月")&amp;"発注)")</f>
        <v/>
      </c>
      <c r="CW107">
        <f>IF(SUMIFS(T_PlannedOrders[EffectiveQty],T_PlannedOrders[Part Name],$A65,T_PlannedOrders[WeekIndex],98)=0,"",SUMIFS(T_PlannedOrders[EffectiveQty],T_PlannedOrders[Part Name],$A65,T_PlannedOrders[WeekIndex],98)&amp;" ("&amp;TEXT(SUMPRODUCT(MAX((T_PlannedOrders[Part Name]=$A65)*(T_PlannedOrders[WeekIndex]=98)*(T_PlannedOrders[EffectiveQty]&gt;0)*T_PlannedOrders[Order_Month])),"m月")&amp;"発注)")</f>
        <v/>
      </c>
      <c r="CX107">
        <f>IF(SUMIFS(T_PlannedOrders[EffectiveQty],T_PlannedOrders[Part Name],$A65,T_PlannedOrders[WeekIndex],99)=0,"",SUMIFS(T_PlannedOrders[EffectiveQty],T_PlannedOrders[Part Name],$A65,T_PlannedOrders[WeekIndex],99)&amp;" ("&amp;TEXT(SUMPRODUCT(MAX((T_PlannedOrders[Part Name]=$A65)*(T_PlannedOrders[WeekIndex]=99)*(T_PlannedOrders[EffectiveQty]&gt;0)*T_PlannedOrders[Order_Month])),"m月")&amp;"発注)")</f>
        <v/>
      </c>
      <c r="CY107">
        <f>IF(SUMIFS(T_PlannedOrders[EffectiveQty],T_PlannedOrders[Part Name],$A65,T_PlannedOrders[WeekIndex],100)=0,"",SUMIFS(T_PlannedOrders[EffectiveQty],T_PlannedOrders[Part Name],$A65,T_PlannedOrders[WeekIndex],100)&amp;" ("&amp;TEXT(SUMPRODUCT(MAX((T_PlannedOrders[Part Name]=$A65)*(T_PlannedOrders[WeekIndex]=100)*(T_PlannedOrders[EffectiveQty]&gt;0)*T_PlannedOrders[Order_Month])),"m月")&amp;"発注)")</f>
        <v/>
      </c>
      <c r="CZ107">
        <f>IF(SUMIFS(T_PlannedOrders[EffectiveQty],T_PlannedOrders[Part Name],$A65,T_PlannedOrders[WeekIndex],101)=0,"",SUMIFS(T_PlannedOrders[EffectiveQty],T_PlannedOrders[Part Name],$A65,T_PlannedOrders[WeekIndex],101)&amp;" ("&amp;TEXT(SUMPRODUCT(MAX((T_PlannedOrders[Part Name]=$A65)*(T_PlannedOrders[WeekIndex]=101)*(T_PlannedOrders[EffectiveQty]&gt;0)*T_PlannedOrders[Order_Month])),"m月")&amp;"発注)")</f>
        <v/>
      </c>
      <c r="DA107">
        <f>IF(SUMIFS(T_PlannedOrders[EffectiveQty],T_PlannedOrders[Part Name],$A65,T_PlannedOrders[WeekIndex],102)=0,"",SUMIFS(T_PlannedOrders[EffectiveQty],T_PlannedOrders[Part Name],$A65,T_PlannedOrders[WeekIndex],102)&amp;" ("&amp;TEXT(SUMPRODUCT(MAX((T_PlannedOrders[Part Name]=$A65)*(T_PlannedOrders[WeekIndex]=102)*(T_PlannedOrders[EffectiveQty]&gt;0)*T_PlannedOrders[Order_Month])),"m月")&amp;"発注)")</f>
        <v/>
      </c>
      <c r="DB107">
        <f>IF(SUMIFS(T_PlannedOrders[EffectiveQty],T_PlannedOrders[Part Name],$A65,T_PlannedOrders[WeekIndex],103)=0,"",SUMIFS(T_PlannedOrders[EffectiveQty],T_PlannedOrders[Part Name],$A65,T_PlannedOrders[WeekIndex],103)&amp;" ("&amp;TEXT(SUMPRODUCT(MAX((T_PlannedOrders[Part Name]=$A65)*(T_PlannedOrders[WeekIndex]=103)*(T_PlannedOrders[EffectiveQty]&gt;0)*T_PlannedOrders[Order_Month])),"m月")&amp;"発注)")</f>
        <v/>
      </c>
      <c r="DC107">
        <f>IF(SUMIFS(T_PlannedOrders[EffectiveQty],T_PlannedOrders[Part Name],$A65,T_PlannedOrders[WeekIndex],104)=0,"",SUMIFS(T_PlannedOrders[EffectiveQty],T_PlannedOrders[Part Name],$A65,T_PlannedOrders[WeekIndex],104)&amp;" ("&amp;TEXT(SUMPRODUCT(MAX((T_PlannedOrders[Part Name]=$A65)*(T_PlannedOrders[WeekIndex]=104)*(T_PlannedOrders[EffectiveQty]&gt;0)*T_PlannedOrders[Order_Month])),"m月")&amp;"発注)")</f>
        <v/>
      </c>
    </row>
    <row r="108">
      <c r="B108" s="5" t="inlineStr">
        <is>
          <t>合計在庫(週末時点,kg)</t>
        </is>
      </c>
      <c r="D108">
        <f>'Grid_Stock'!B19</f>
        <v/>
      </c>
      <c r="E108">
        <f>'Grid_Stock'!C19</f>
        <v/>
      </c>
      <c r="F108">
        <f>'Grid_Stock'!D19</f>
        <v/>
      </c>
      <c r="G108">
        <f>'Grid_Stock'!E19</f>
        <v/>
      </c>
      <c r="H108">
        <f>'Grid_Stock'!F19</f>
        <v/>
      </c>
      <c r="I108">
        <f>'Grid_Stock'!G19</f>
        <v/>
      </c>
      <c r="J108">
        <f>'Grid_Stock'!H19</f>
        <v/>
      </c>
      <c r="K108">
        <f>'Grid_Stock'!I19</f>
        <v/>
      </c>
      <c r="L108">
        <f>'Grid_Stock'!J19</f>
        <v/>
      </c>
      <c r="M108">
        <f>'Grid_Stock'!K19</f>
        <v/>
      </c>
      <c r="N108">
        <f>'Grid_Stock'!L19</f>
        <v/>
      </c>
      <c r="O108">
        <f>'Grid_Stock'!M19</f>
        <v/>
      </c>
      <c r="P108">
        <f>'Grid_Stock'!N19</f>
        <v/>
      </c>
      <c r="Q108">
        <f>'Grid_Stock'!O19</f>
        <v/>
      </c>
      <c r="R108">
        <f>'Grid_Stock'!P19</f>
        <v/>
      </c>
      <c r="S108">
        <f>'Grid_Stock'!Q19</f>
        <v/>
      </c>
      <c r="T108">
        <f>'Grid_Stock'!R19</f>
        <v/>
      </c>
      <c r="U108">
        <f>'Grid_Stock'!S19</f>
        <v/>
      </c>
      <c r="V108">
        <f>'Grid_Stock'!T19</f>
        <v/>
      </c>
      <c r="W108">
        <f>'Grid_Stock'!U19</f>
        <v/>
      </c>
      <c r="X108">
        <f>'Grid_Stock'!V19</f>
        <v/>
      </c>
      <c r="Y108">
        <f>'Grid_Stock'!W19</f>
        <v/>
      </c>
      <c r="Z108">
        <f>'Grid_Stock'!X19</f>
        <v/>
      </c>
      <c r="AA108">
        <f>'Grid_Stock'!Y19</f>
        <v/>
      </c>
      <c r="AB108">
        <f>'Grid_Stock'!Z19</f>
        <v/>
      </c>
      <c r="AC108">
        <f>'Grid_Stock'!AA19</f>
        <v/>
      </c>
      <c r="AD108">
        <f>'Grid_Stock'!AB19</f>
        <v/>
      </c>
      <c r="AE108">
        <f>'Grid_Stock'!AC19</f>
        <v/>
      </c>
      <c r="AF108">
        <f>'Grid_Stock'!AD19</f>
        <v/>
      </c>
      <c r="AG108">
        <f>'Grid_Stock'!AE19</f>
        <v/>
      </c>
      <c r="AH108">
        <f>'Grid_Stock'!AF19</f>
        <v/>
      </c>
      <c r="AI108">
        <f>'Grid_Stock'!AG19</f>
        <v/>
      </c>
      <c r="AJ108">
        <f>'Grid_Stock'!AH19</f>
        <v/>
      </c>
      <c r="AK108">
        <f>'Grid_Stock'!AI19</f>
        <v/>
      </c>
      <c r="AL108">
        <f>'Grid_Stock'!AJ19</f>
        <v/>
      </c>
      <c r="AM108">
        <f>'Grid_Stock'!AK19</f>
        <v/>
      </c>
      <c r="AN108">
        <f>'Grid_Stock'!AL19</f>
        <v/>
      </c>
      <c r="AO108">
        <f>'Grid_Stock'!AM19</f>
        <v/>
      </c>
      <c r="AP108">
        <f>'Grid_Stock'!AN19</f>
        <v/>
      </c>
      <c r="AQ108">
        <f>'Grid_Stock'!AO19</f>
        <v/>
      </c>
      <c r="AR108">
        <f>'Grid_Stock'!AP19</f>
        <v/>
      </c>
      <c r="AS108">
        <f>'Grid_Stock'!AQ19</f>
        <v/>
      </c>
      <c r="AT108">
        <f>'Grid_Stock'!AR19</f>
        <v/>
      </c>
      <c r="AU108">
        <f>'Grid_Stock'!AS19</f>
        <v/>
      </c>
      <c r="AV108">
        <f>'Grid_Stock'!AT19</f>
        <v/>
      </c>
      <c r="AW108">
        <f>'Grid_Stock'!AU19</f>
        <v/>
      </c>
      <c r="AX108">
        <f>'Grid_Stock'!AV19</f>
        <v/>
      </c>
      <c r="AY108">
        <f>'Grid_Stock'!AW19</f>
        <v/>
      </c>
      <c r="AZ108">
        <f>'Grid_Stock'!AX19</f>
        <v/>
      </c>
      <c r="BA108">
        <f>'Grid_Stock'!AY19</f>
        <v/>
      </c>
      <c r="BB108">
        <f>'Grid_Stock'!AZ19</f>
        <v/>
      </c>
      <c r="BC108">
        <f>'Grid_Stock'!BA19</f>
        <v/>
      </c>
      <c r="BD108">
        <f>'Grid_Stock'!BB19</f>
        <v/>
      </c>
      <c r="BE108">
        <f>'Grid_Stock'!BC19</f>
        <v/>
      </c>
      <c r="BF108">
        <f>'Grid_Stock'!BD19</f>
        <v/>
      </c>
      <c r="BG108">
        <f>'Grid_Stock'!BE19</f>
        <v/>
      </c>
      <c r="BH108">
        <f>'Grid_Stock'!BF19</f>
        <v/>
      </c>
      <c r="BI108">
        <f>'Grid_Stock'!BG19</f>
        <v/>
      </c>
      <c r="BJ108">
        <f>'Grid_Stock'!BH19</f>
        <v/>
      </c>
      <c r="BK108">
        <f>'Grid_Stock'!BI19</f>
        <v/>
      </c>
      <c r="BL108">
        <f>'Grid_Stock'!BJ19</f>
        <v/>
      </c>
      <c r="BM108">
        <f>'Grid_Stock'!BK19</f>
        <v/>
      </c>
      <c r="BN108">
        <f>'Grid_Stock'!BL19</f>
        <v/>
      </c>
      <c r="BO108">
        <f>'Grid_Stock'!BM19</f>
        <v/>
      </c>
      <c r="BP108">
        <f>'Grid_Stock'!BN19</f>
        <v/>
      </c>
      <c r="BQ108">
        <f>'Grid_Stock'!BO19</f>
        <v/>
      </c>
      <c r="BR108">
        <f>'Grid_Stock'!BP19</f>
        <v/>
      </c>
      <c r="BS108">
        <f>'Grid_Stock'!BQ19</f>
        <v/>
      </c>
      <c r="BT108">
        <f>'Grid_Stock'!BR19</f>
        <v/>
      </c>
      <c r="BU108">
        <f>'Grid_Stock'!BS19</f>
        <v/>
      </c>
      <c r="BV108">
        <f>'Grid_Stock'!BT19</f>
        <v/>
      </c>
      <c r="BW108">
        <f>'Grid_Stock'!BU19</f>
        <v/>
      </c>
      <c r="BX108">
        <f>'Grid_Stock'!BV19</f>
        <v/>
      </c>
      <c r="BY108">
        <f>'Grid_Stock'!BW19</f>
        <v/>
      </c>
      <c r="BZ108">
        <f>'Grid_Stock'!BX19</f>
        <v/>
      </c>
      <c r="CA108">
        <f>'Grid_Stock'!BY19</f>
        <v/>
      </c>
      <c r="CB108">
        <f>'Grid_Stock'!BZ19</f>
        <v/>
      </c>
      <c r="CC108">
        <f>'Grid_Stock'!CA19</f>
        <v/>
      </c>
      <c r="CD108">
        <f>'Grid_Stock'!CB19</f>
        <v/>
      </c>
      <c r="CE108">
        <f>'Grid_Stock'!CC19</f>
        <v/>
      </c>
      <c r="CF108">
        <f>'Grid_Stock'!CD19</f>
        <v/>
      </c>
      <c r="CG108">
        <f>'Grid_Stock'!CE19</f>
        <v/>
      </c>
      <c r="CH108">
        <f>'Grid_Stock'!CF19</f>
        <v/>
      </c>
      <c r="CI108">
        <f>'Grid_Stock'!CG19</f>
        <v/>
      </c>
      <c r="CJ108">
        <f>'Grid_Stock'!CH19</f>
        <v/>
      </c>
      <c r="CK108">
        <f>'Grid_Stock'!CI19</f>
        <v/>
      </c>
      <c r="CL108">
        <f>'Grid_Stock'!CJ19</f>
        <v/>
      </c>
      <c r="CM108">
        <f>'Grid_Stock'!CK19</f>
        <v/>
      </c>
      <c r="CN108">
        <f>'Grid_Stock'!CL19</f>
        <v/>
      </c>
      <c r="CO108">
        <f>'Grid_Stock'!CM19</f>
        <v/>
      </c>
      <c r="CP108">
        <f>'Grid_Stock'!CN19</f>
        <v/>
      </c>
      <c r="CQ108">
        <f>'Grid_Stock'!CO19</f>
        <v/>
      </c>
      <c r="CR108">
        <f>'Grid_Stock'!CP19</f>
        <v/>
      </c>
      <c r="CS108">
        <f>'Grid_Stock'!CQ19</f>
        <v/>
      </c>
      <c r="CT108">
        <f>'Grid_Stock'!CR19</f>
        <v/>
      </c>
      <c r="CU108">
        <f>'Grid_Stock'!CS19</f>
        <v/>
      </c>
      <c r="CV108">
        <f>'Grid_Stock'!CT19</f>
        <v/>
      </c>
      <c r="CW108">
        <f>'Grid_Stock'!CU19</f>
        <v/>
      </c>
      <c r="CX108">
        <f>'Grid_Stock'!CV19</f>
        <v/>
      </c>
      <c r="CY108">
        <f>'Grid_Stock'!CW19</f>
        <v/>
      </c>
      <c r="CZ108">
        <f>'Grid_Stock'!CX19</f>
        <v/>
      </c>
      <c r="DA108">
        <f>'Grid_Stock'!CY19</f>
        <v/>
      </c>
      <c r="DB108">
        <f>'Grid_Stock'!CZ19</f>
        <v/>
      </c>
      <c r="DC108">
        <f>'Grid_Stock'!DA19</f>
        <v/>
      </c>
    </row>
    <row r="109">
      <c r="B109" s="23" t="inlineStr">
        <is>
          <t>（発注の目安はDashboardの基準在庫[下限/上限]と色分けを参照）</t>
        </is>
      </c>
    </row>
    <row r="111">
      <c r="A111" s="21" t="inlineStr">
        <is>
          <t>CHEM-1680</t>
        </is>
      </c>
      <c r="B111" s="21" t="inlineStr">
        <is>
          <t>NAT 38</t>
        </is>
      </c>
      <c r="C111" s="22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21" t="n"/>
      <c r="AC111" s="21" t="n"/>
      <c r="AD111" s="21" t="n"/>
      <c r="AE111" s="21" t="n"/>
      <c r="AF111" s="21" t="n"/>
      <c r="AG111" s="21" t="n"/>
      <c r="AH111" s="21" t="n"/>
      <c r="AI111" s="21" t="n"/>
      <c r="AJ111" s="21" t="n"/>
      <c r="AK111" s="21" t="n"/>
      <c r="AL111" s="21" t="n"/>
      <c r="AM111" s="21" t="n"/>
      <c r="AN111" s="21" t="n"/>
      <c r="AO111" s="21" t="n"/>
      <c r="AP111" s="21" t="n"/>
      <c r="AQ111" s="21" t="n"/>
      <c r="AR111" s="21" t="n"/>
      <c r="AS111" s="21" t="n"/>
      <c r="AT111" s="21" t="n"/>
      <c r="AU111" s="21" t="n"/>
      <c r="AV111" s="21" t="n"/>
      <c r="AW111" s="21" t="n"/>
      <c r="AX111" s="21" t="n"/>
      <c r="AY111" s="21" t="n"/>
      <c r="AZ111" s="21" t="n"/>
      <c r="BA111" s="21" t="n"/>
      <c r="BB111" s="21" t="n"/>
      <c r="BC111" s="21" t="n"/>
      <c r="BD111" s="21" t="n"/>
      <c r="BE111" s="21" t="n"/>
      <c r="BF111" s="21" t="n"/>
      <c r="BG111" s="21" t="n"/>
      <c r="BH111" s="21" t="n"/>
      <c r="BI111" s="21" t="n"/>
      <c r="BJ111" s="21" t="n"/>
      <c r="BK111" s="21" t="n"/>
      <c r="BL111" s="21" t="n"/>
      <c r="BM111" s="21" t="n"/>
      <c r="BN111" s="21" t="n"/>
      <c r="BO111" s="21" t="n"/>
      <c r="BP111" s="21" t="n"/>
      <c r="BQ111" s="21" t="n"/>
      <c r="BR111" s="21" t="n"/>
      <c r="BS111" s="21" t="n"/>
      <c r="BT111" s="21" t="n"/>
      <c r="BU111" s="21" t="n"/>
      <c r="BV111" s="21" t="n"/>
      <c r="BW111" s="21" t="n"/>
      <c r="BX111" s="21" t="n"/>
      <c r="BY111" s="21" t="n"/>
      <c r="BZ111" s="21" t="n"/>
      <c r="CA111" s="21" t="n"/>
      <c r="CB111" s="21" t="n"/>
      <c r="CC111" s="21" t="n"/>
      <c r="CD111" s="21" t="n"/>
      <c r="CE111" s="21" t="n"/>
      <c r="CF111" s="21" t="n"/>
      <c r="CG111" s="21" t="n"/>
      <c r="CH111" s="21" t="n"/>
      <c r="CI111" s="21" t="n"/>
      <c r="CJ111" s="21" t="n"/>
      <c r="CK111" s="21" t="n"/>
      <c r="CL111" s="21" t="n"/>
      <c r="CM111" s="21" t="n"/>
      <c r="CN111" s="21" t="n"/>
      <c r="CO111" s="21" t="n"/>
      <c r="CP111" s="21" t="n"/>
      <c r="CQ111" s="21" t="n"/>
      <c r="CR111" s="21" t="n"/>
      <c r="CS111" s="21" t="n"/>
      <c r="CT111" s="21" t="n"/>
      <c r="CU111" s="21" t="n"/>
      <c r="CV111" s="21" t="n"/>
      <c r="CW111" s="21" t="n"/>
      <c r="CX111" s="21" t="n"/>
      <c r="CY111" s="21" t="n"/>
      <c r="CZ111" s="21" t="n"/>
      <c r="DA111" s="21" t="n"/>
      <c r="DB111" s="21" t="n"/>
      <c r="DC111" s="21" t="n"/>
    </row>
    <row r="112">
      <c r="B112" t="inlineStr">
        <is>
          <t>TPP-611</t>
        </is>
      </c>
      <c r="C112" t="inlineStr">
        <is>
          <t>No. of batches</t>
        </is>
      </c>
      <c r="D112">
        <f>IFERROR(INDEX(PP_Grid[#Data],$DD112,2),0)</f>
        <v/>
      </c>
      <c r="E112">
        <f>IFERROR(INDEX(PP_Grid[#Data],$DD112,3),0)</f>
        <v/>
      </c>
      <c r="F112">
        <f>IFERROR(INDEX(PP_Grid[#Data],$DD112,4),0)</f>
        <v/>
      </c>
      <c r="G112">
        <f>IFERROR(INDEX(PP_Grid[#Data],$DD112,5),0)</f>
        <v/>
      </c>
      <c r="H112">
        <f>IFERROR(INDEX(PP_Grid[#Data],$DD112,6),0)</f>
        <v/>
      </c>
      <c r="I112">
        <f>IFERROR(INDEX(PP_Grid[#Data],$DD112,7),0)</f>
        <v/>
      </c>
      <c r="J112">
        <f>IFERROR(INDEX(PP_Grid[#Data],$DD112,8),0)</f>
        <v/>
      </c>
      <c r="K112">
        <f>IFERROR(INDEX(PP_Grid[#Data],$DD112,9),0)</f>
        <v/>
      </c>
      <c r="L112">
        <f>IFERROR(INDEX(PP_Grid[#Data],$DD112,10),0)</f>
        <v/>
      </c>
      <c r="M112">
        <f>IFERROR(INDEX(PP_Grid[#Data],$DD112,11),0)</f>
        <v/>
      </c>
      <c r="N112">
        <f>IFERROR(INDEX(PP_Grid[#Data],$DD112,12),0)</f>
        <v/>
      </c>
      <c r="O112">
        <f>IFERROR(INDEX(PP_Grid[#Data],$DD112,13),0)</f>
        <v/>
      </c>
      <c r="P112">
        <f>IFERROR(INDEX(PP_Grid[#Data],$DD112,14),0)</f>
        <v/>
      </c>
      <c r="Q112">
        <f>IFERROR(INDEX(PP_Grid[#Data],$DD112,15),0)</f>
        <v/>
      </c>
      <c r="R112">
        <f>IFERROR(INDEX(PP_Grid[#Data],$DD112,16),0)</f>
        <v/>
      </c>
      <c r="S112">
        <f>IFERROR(INDEX(PP_Grid[#Data],$DD112,17),0)</f>
        <v/>
      </c>
      <c r="T112">
        <f>IFERROR(INDEX(PP_Grid[#Data],$DD112,18),0)</f>
        <v/>
      </c>
      <c r="U112">
        <f>IFERROR(INDEX(PP_Grid[#Data],$DD112,19),0)</f>
        <v/>
      </c>
      <c r="V112">
        <f>IFERROR(INDEX(PP_Grid[#Data],$DD112,20),0)</f>
        <v/>
      </c>
      <c r="W112">
        <f>IFERROR(INDEX(PP_Grid[#Data],$DD112,21),0)</f>
        <v/>
      </c>
      <c r="X112">
        <f>IFERROR(INDEX(PP_Grid[#Data],$DD112,22),0)</f>
        <v/>
      </c>
      <c r="Y112">
        <f>IFERROR(INDEX(PP_Grid[#Data],$DD112,23),0)</f>
        <v/>
      </c>
      <c r="Z112">
        <f>IFERROR(INDEX(PP_Grid[#Data],$DD112,24),0)</f>
        <v/>
      </c>
      <c r="AA112">
        <f>IFERROR(INDEX(PP_Grid[#Data],$DD112,25),0)</f>
        <v/>
      </c>
      <c r="AB112">
        <f>IFERROR(INDEX(PP_Grid[#Data],$DD112,26),0)</f>
        <v/>
      </c>
      <c r="AC112">
        <f>IFERROR(INDEX(PP_Grid[#Data],$DD112,27),0)</f>
        <v/>
      </c>
      <c r="AD112">
        <f>IFERROR(INDEX(PP_Grid[#Data],$DD112,28),0)</f>
        <v/>
      </c>
      <c r="AE112">
        <f>IFERROR(INDEX(PP_Grid[#Data],$DD112,29),0)</f>
        <v/>
      </c>
      <c r="AF112">
        <f>IFERROR(INDEX(PP_Grid[#Data],$DD112,30),0)</f>
        <v/>
      </c>
      <c r="AG112">
        <f>IFERROR(INDEX(PP_Grid[#Data],$DD112,31),0)</f>
        <v/>
      </c>
      <c r="AH112">
        <f>IFERROR(INDEX(PP_Grid[#Data],$DD112,32),0)</f>
        <v/>
      </c>
      <c r="AI112">
        <f>IFERROR(INDEX(PP_Grid[#Data],$DD112,33),0)</f>
        <v/>
      </c>
      <c r="AJ112">
        <f>IFERROR(INDEX(PP_Grid[#Data],$DD112,34),0)</f>
        <v/>
      </c>
      <c r="AK112">
        <f>IFERROR(INDEX(PP_Grid[#Data],$DD112,35),0)</f>
        <v/>
      </c>
      <c r="AL112">
        <f>IFERROR(INDEX(PP_Grid[#Data],$DD112,36),0)</f>
        <v/>
      </c>
      <c r="AM112">
        <f>IFERROR(INDEX(PP_Grid[#Data],$DD112,37),0)</f>
        <v/>
      </c>
      <c r="AN112">
        <f>IFERROR(INDEX(PP_Grid[#Data],$DD112,38),0)</f>
        <v/>
      </c>
      <c r="AO112">
        <f>IFERROR(INDEX(PP_Grid[#Data],$DD112,39),0)</f>
        <v/>
      </c>
      <c r="AP112">
        <f>IFERROR(INDEX(PP_Grid[#Data],$DD112,40),0)</f>
        <v/>
      </c>
      <c r="AQ112">
        <f>IFERROR(INDEX(PP_Grid[#Data],$DD112,41),0)</f>
        <v/>
      </c>
      <c r="AR112">
        <f>IFERROR(INDEX(PP_Grid[#Data],$DD112,42),0)</f>
        <v/>
      </c>
      <c r="AS112">
        <f>IFERROR(INDEX(PP_Grid[#Data],$DD112,43),0)</f>
        <v/>
      </c>
      <c r="AT112">
        <f>IFERROR(INDEX(PP_Grid[#Data],$DD112,44),0)</f>
        <v/>
      </c>
      <c r="AU112">
        <f>IFERROR(INDEX(PP_Grid[#Data],$DD112,45),0)</f>
        <v/>
      </c>
      <c r="AV112">
        <f>IFERROR(INDEX(PP_Grid[#Data],$DD112,46),0)</f>
        <v/>
      </c>
      <c r="AW112">
        <f>IFERROR(INDEX(PP_Grid[#Data],$DD112,47),0)</f>
        <v/>
      </c>
      <c r="AX112">
        <f>IFERROR(INDEX(PP_Grid[#Data],$DD112,48),0)</f>
        <v/>
      </c>
      <c r="AY112">
        <f>IFERROR(INDEX(PP_Grid[#Data],$DD112,49),0)</f>
        <v/>
      </c>
      <c r="AZ112">
        <f>IFERROR(INDEX(PP_Grid[#Data],$DD112,50),0)</f>
        <v/>
      </c>
      <c r="BA112">
        <f>IFERROR(INDEX(PP_Grid[#Data],$DD112,51),0)</f>
        <v/>
      </c>
      <c r="BB112">
        <f>IFERROR(INDEX(PP_Grid[#Data],$DD112,52),0)</f>
        <v/>
      </c>
      <c r="BC112">
        <f>IFERROR(INDEX(PP_Grid[#Data],$DD112,53),0)</f>
        <v/>
      </c>
      <c r="BD112">
        <f>IFERROR(INDEX(PP_Grid[#Data],$DD112,54),0)</f>
        <v/>
      </c>
      <c r="BE112">
        <f>IFERROR(INDEX(PP_Grid[#Data],$DD112,55),0)</f>
        <v/>
      </c>
      <c r="BF112">
        <f>IFERROR(INDEX(PP_Grid[#Data],$DD112,56),0)</f>
        <v/>
      </c>
      <c r="BG112">
        <f>IFERROR(INDEX(PP_Grid[#Data],$DD112,57),0)</f>
        <v/>
      </c>
      <c r="BH112">
        <f>IFERROR(INDEX(PP_Grid[#Data],$DD112,58),0)</f>
        <v/>
      </c>
      <c r="BI112">
        <f>IFERROR(INDEX(PP_Grid[#Data],$DD112,59),0)</f>
        <v/>
      </c>
      <c r="BJ112">
        <f>IFERROR(INDEX(PP_Grid[#Data],$DD112,60),0)</f>
        <v/>
      </c>
      <c r="BK112">
        <f>IFERROR(INDEX(PP_Grid[#Data],$DD112,61),0)</f>
        <v/>
      </c>
      <c r="BL112">
        <f>IFERROR(INDEX(PP_Grid[#Data],$DD112,62),0)</f>
        <v/>
      </c>
      <c r="BM112">
        <f>IFERROR(INDEX(PP_Grid[#Data],$DD112,63),0)</f>
        <v/>
      </c>
      <c r="BN112">
        <f>IFERROR(INDEX(PP_Grid[#Data],$DD112,64),0)</f>
        <v/>
      </c>
      <c r="BO112">
        <f>IFERROR(INDEX(PP_Grid[#Data],$DD112,65),0)</f>
        <v/>
      </c>
      <c r="BP112">
        <f>IFERROR(INDEX(PP_Grid[#Data],$DD112,66),0)</f>
        <v/>
      </c>
      <c r="BQ112">
        <f>IFERROR(INDEX(PP_Grid[#Data],$DD112,67),0)</f>
        <v/>
      </c>
      <c r="BR112">
        <f>IFERROR(INDEX(PP_Grid[#Data],$DD112,68),0)</f>
        <v/>
      </c>
      <c r="BS112">
        <f>IFERROR(INDEX(PP_Grid[#Data],$DD112,69),0)</f>
        <v/>
      </c>
      <c r="BT112">
        <f>IFERROR(INDEX(PP_Grid[#Data],$DD112,70),0)</f>
        <v/>
      </c>
      <c r="BU112">
        <f>IFERROR(INDEX(PP_Grid[#Data],$DD112,71),0)</f>
        <v/>
      </c>
      <c r="BV112">
        <f>IFERROR(INDEX(PP_Grid[#Data],$DD112,72),0)</f>
        <v/>
      </c>
      <c r="BW112">
        <f>IFERROR(INDEX(PP_Grid[#Data],$DD112,73),0)</f>
        <v/>
      </c>
      <c r="BX112">
        <f>IFERROR(INDEX(PP_Grid[#Data],$DD112,74),0)</f>
        <v/>
      </c>
      <c r="BY112">
        <f>IFERROR(INDEX(PP_Grid[#Data],$DD112,75),0)</f>
        <v/>
      </c>
      <c r="BZ112">
        <f>IFERROR(INDEX(PP_Grid[#Data],$DD112,76),0)</f>
        <v/>
      </c>
      <c r="CA112">
        <f>IFERROR(INDEX(PP_Grid[#Data],$DD112,77),0)</f>
        <v/>
      </c>
      <c r="CB112">
        <f>IFERROR(INDEX(PP_Grid[#Data],$DD112,78),0)</f>
        <v/>
      </c>
      <c r="CC112">
        <f>IFERROR(INDEX(PP_Grid[#Data],$DD112,79),0)</f>
        <v/>
      </c>
      <c r="CD112">
        <f>IFERROR(INDEX(PP_Grid[#Data],$DD112,80),0)</f>
        <v/>
      </c>
      <c r="CE112">
        <f>IFERROR(INDEX(PP_Grid[#Data],$DD112,81),0)</f>
        <v/>
      </c>
      <c r="CF112">
        <f>IFERROR(INDEX(PP_Grid[#Data],$DD112,82),0)</f>
        <v/>
      </c>
      <c r="CG112">
        <f>IFERROR(INDEX(PP_Grid[#Data],$DD112,83),0)</f>
        <v/>
      </c>
      <c r="CH112">
        <f>IFERROR(INDEX(PP_Grid[#Data],$DD112,84),0)</f>
        <v/>
      </c>
      <c r="CI112">
        <f>IFERROR(INDEX(PP_Grid[#Data],$DD112,85),0)</f>
        <v/>
      </c>
      <c r="CJ112">
        <f>IFERROR(INDEX(PP_Grid[#Data],$DD112,86),0)</f>
        <v/>
      </c>
      <c r="CK112">
        <f>IFERROR(INDEX(PP_Grid[#Data],$DD112,87),0)</f>
        <v/>
      </c>
      <c r="CL112">
        <f>IFERROR(INDEX(PP_Grid[#Data],$DD112,88),0)</f>
        <v/>
      </c>
      <c r="CM112">
        <f>IFERROR(INDEX(PP_Grid[#Data],$DD112,89),0)</f>
        <v/>
      </c>
      <c r="CN112">
        <f>IFERROR(INDEX(PP_Grid[#Data],$DD112,90),0)</f>
        <v/>
      </c>
      <c r="CO112">
        <f>IFERROR(INDEX(PP_Grid[#Data],$DD112,91),0)</f>
        <v/>
      </c>
      <c r="CP112">
        <f>IFERROR(INDEX(PP_Grid[#Data],$DD112,92),0)</f>
        <v/>
      </c>
      <c r="CQ112">
        <f>IFERROR(INDEX(PP_Grid[#Data],$DD112,93),0)</f>
        <v/>
      </c>
      <c r="CR112">
        <f>IFERROR(INDEX(PP_Grid[#Data],$DD112,94),0)</f>
        <v/>
      </c>
      <c r="CS112">
        <f>IFERROR(INDEX(PP_Grid[#Data],$DD112,95),0)</f>
        <v/>
      </c>
      <c r="CT112">
        <f>IFERROR(INDEX(PP_Grid[#Data],$DD112,96),0)</f>
        <v/>
      </c>
      <c r="CU112">
        <f>IFERROR(INDEX(PP_Grid[#Data],$DD112,97),0)</f>
        <v/>
      </c>
      <c r="CV112">
        <f>IFERROR(INDEX(PP_Grid[#Data],$DD112,98),0)</f>
        <v/>
      </c>
      <c r="CW112">
        <f>IFERROR(INDEX(PP_Grid[#Data],$DD112,99),0)</f>
        <v/>
      </c>
      <c r="CX112">
        <f>IFERROR(INDEX(PP_Grid[#Data],$DD112,100),0)</f>
        <v/>
      </c>
      <c r="CY112">
        <f>IFERROR(INDEX(PP_Grid[#Data],$DD112,101),0)</f>
        <v/>
      </c>
      <c r="CZ112">
        <f>IFERROR(INDEX(PP_Grid[#Data],$DD112,102),0)</f>
        <v/>
      </c>
      <c r="DA112">
        <f>IFERROR(INDEX(PP_Grid[#Data],$DD112,103),0)</f>
        <v/>
      </c>
      <c r="DB112">
        <f>IFERROR(INDEX(PP_Grid[#Data],$DD112,104),0)</f>
        <v/>
      </c>
      <c r="DC112">
        <f>IFERROR(INDEX(PP_Grid[#Data],$DD112,105),0)</f>
        <v/>
      </c>
      <c r="DD112" s="12">
        <f>IFERROR(MATCH($B112,PP_Grid[Intermediate],0),99999)</f>
        <v/>
      </c>
    </row>
    <row r="113">
      <c r="B113" t="inlineStr">
        <is>
          <t>使用量(kg)</t>
        </is>
      </c>
      <c r="C113">
        <f>SUMIFS(M_BOM[RM_Qty_Per_Batch],M_BOM[Intermediate],$B112,M_BOM[Part Name],$A111)</f>
        <v/>
      </c>
      <c r="D113">
        <f>$C113*D112</f>
        <v/>
      </c>
      <c r="E113">
        <f>$C113*E112</f>
        <v/>
      </c>
      <c r="F113">
        <f>$C113*F112</f>
        <v/>
      </c>
      <c r="G113">
        <f>$C113*G112</f>
        <v/>
      </c>
      <c r="H113">
        <f>$C113*H112</f>
        <v/>
      </c>
      <c r="I113">
        <f>$C113*I112</f>
        <v/>
      </c>
      <c r="J113">
        <f>$C113*J112</f>
        <v/>
      </c>
      <c r="K113">
        <f>$C113*K112</f>
        <v/>
      </c>
      <c r="L113">
        <f>$C113*L112</f>
        <v/>
      </c>
      <c r="M113">
        <f>$C113*M112</f>
        <v/>
      </c>
      <c r="N113">
        <f>$C113*N112</f>
        <v/>
      </c>
      <c r="O113">
        <f>$C113*O112</f>
        <v/>
      </c>
      <c r="P113">
        <f>$C113*P112</f>
        <v/>
      </c>
      <c r="Q113">
        <f>$C113*Q112</f>
        <v/>
      </c>
      <c r="R113">
        <f>$C113*R112</f>
        <v/>
      </c>
      <c r="S113">
        <f>$C113*S112</f>
        <v/>
      </c>
      <c r="T113">
        <f>$C113*T112</f>
        <v/>
      </c>
      <c r="U113">
        <f>$C113*U112</f>
        <v/>
      </c>
      <c r="V113">
        <f>$C113*V112</f>
        <v/>
      </c>
      <c r="W113">
        <f>$C113*W112</f>
        <v/>
      </c>
      <c r="X113">
        <f>$C113*X112</f>
        <v/>
      </c>
      <c r="Y113">
        <f>$C113*Y112</f>
        <v/>
      </c>
      <c r="Z113">
        <f>$C113*Z112</f>
        <v/>
      </c>
      <c r="AA113">
        <f>$C113*AA112</f>
        <v/>
      </c>
      <c r="AB113">
        <f>$C113*AB112</f>
        <v/>
      </c>
      <c r="AC113">
        <f>$C113*AC112</f>
        <v/>
      </c>
      <c r="AD113">
        <f>$C113*AD112</f>
        <v/>
      </c>
      <c r="AE113">
        <f>$C113*AE112</f>
        <v/>
      </c>
      <c r="AF113">
        <f>$C113*AF112</f>
        <v/>
      </c>
      <c r="AG113">
        <f>$C113*AG112</f>
        <v/>
      </c>
      <c r="AH113">
        <f>$C113*AH112</f>
        <v/>
      </c>
      <c r="AI113">
        <f>$C113*AI112</f>
        <v/>
      </c>
      <c r="AJ113">
        <f>$C113*AJ112</f>
        <v/>
      </c>
      <c r="AK113">
        <f>$C113*AK112</f>
        <v/>
      </c>
      <c r="AL113">
        <f>$C113*AL112</f>
        <v/>
      </c>
      <c r="AM113">
        <f>$C113*AM112</f>
        <v/>
      </c>
      <c r="AN113">
        <f>$C113*AN112</f>
        <v/>
      </c>
      <c r="AO113">
        <f>$C113*AO112</f>
        <v/>
      </c>
      <c r="AP113">
        <f>$C113*AP112</f>
        <v/>
      </c>
      <c r="AQ113">
        <f>$C113*AQ112</f>
        <v/>
      </c>
      <c r="AR113">
        <f>$C113*AR112</f>
        <v/>
      </c>
      <c r="AS113">
        <f>$C113*AS112</f>
        <v/>
      </c>
      <c r="AT113">
        <f>$C113*AT112</f>
        <v/>
      </c>
      <c r="AU113">
        <f>$C113*AU112</f>
        <v/>
      </c>
      <c r="AV113">
        <f>$C113*AV112</f>
        <v/>
      </c>
      <c r="AW113">
        <f>$C113*AW112</f>
        <v/>
      </c>
      <c r="AX113">
        <f>$C113*AX112</f>
        <v/>
      </c>
      <c r="AY113">
        <f>$C113*AY112</f>
        <v/>
      </c>
      <c r="AZ113">
        <f>$C113*AZ112</f>
        <v/>
      </c>
      <c r="BA113">
        <f>$C113*BA112</f>
        <v/>
      </c>
      <c r="BB113">
        <f>$C113*BB112</f>
        <v/>
      </c>
      <c r="BC113">
        <f>$C113*BC112</f>
        <v/>
      </c>
      <c r="BD113">
        <f>$C113*BD112</f>
        <v/>
      </c>
      <c r="BE113">
        <f>$C113*BE112</f>
        <v/>
      </c>
      <c r="BF113">
        <f>$C113*BF112</f>
        <v/>
      </c>
      <c r="BG113">
        <f>$C113*BG112</f>
        <v/>
      </c>
      <c r="BH113">
        <f>$C113*BH112</f>
        <v/>
      </c>
      <c r="BI113">
        <f>$C113*BI112</f>
        <v/>
      </c>
      <c r="BJ113">
        <f>$C113*BJ112</f>
        <v/>
      </c>
      <c r="BK113">
        <f>$C113*BK112</f>
        <v/>
      </c>
      <c r="BL113">
        <f>$C113*BL112</f>
        <v/>
      </c>
      <c r="BM113">
        <f>$C113*BM112</f>
        <v/>
      </c>
      <c r="BN113">
        <f>$C113*BN112</f>
        <v/>
      </c>
      <c r="BO113">
        <f>$C113*BO112</f>
        <v/>
      </c>
      <c r="BP113">
        <f>$C113*BP112</f>
        <v/>
      </c>
      <c r="BQ113">
        <f>$C113*BQ112</f>
        <v/>
      </c>
      <c r="BR113">
        <f>$C113*BR112</f>
        <v/>
      </c>
      <c r="BS113">
        <f>$C113*BS112</f>
        <v/>
      </c>
      <c r="BT113">
        <f>$C113*BT112</f>
        <v/>
      </c>
      <c r="BU113">
        <f>$C113*BU112</f>
        <v/>
      </c>
      <c r="BV113">
        <f>$C113*BV112</f>
        <v/>
      </c>
      <c r="BW113">
        <f>$C113*BW112</f>
        <v/>
      </c>
      <c r="BX113">
        <f>$C113*BX112</f>
        <v/>
      </c>
      <c r="BY113">
        <f>$C113*BY112</f>
        <v/>
      </c>
      <c r="BZ113">
        <f>$C113*BZ112</f>
        <v/>
      </c>
      <c r="CA113">
        <f>$C113*CA112</f>
        <v/>
      </c>
      <c r="CB113">
        <f>$C113*CB112</f>
        <v/>
      </c>
      <c r="CC113">
        <f>$C113*CC112</f>
        <v/>
      </c>
      <c r="CD113">
        <f>$C113*CD112</f>
        <v/>
      </c>
      <c r="CE113">
        <f>$C113*CE112</f>
        <v/>
      </c>
      <c r="CF113">
        <f>$C113*CF112</f>
        <v/>
      </c>
      <c r="CG113">
        <f>$C113*CG112</f>
        <v/>
      </c>
      <c r="CH113">
        <f>$C113*CH112</f>
        <v/>
      </c>
      <c r="CI113">
        <f>$C113*CI112</f>
        <v/>
      </c>
      <c r="CJ113">
        <f>$C113*CJ112</f>
        <v/>
      </c>
      <c r="CK113">
        <f>$C113*CK112</f>
        <v/>
      </c>
      <c r="CL113">
        <f>$C113*CL112</f>
        <v/>
      </c>
      <c r="CM113">
        <f>$C113*CM112</f>
        <v/>
      </c>
      <c r="CN113">
        <f>$C113*CN112</f>
        <v/>
      </c>
      <c r="CO113">
        <f>$C113*CO112</f>
        <v/>
      </c>
      <c r="CP113">
        <f>$C113*CP112</f>
        <v/>
      </c>
      <c r="CQ113">
        <f>$C113*CQ112</f>
        <v/>
      </c>
      <c r="CR113">
        <f>$C113*CR112</f>
        <v/>
      </c>
      <c r="CS113">
        <f>$C113*CS112</f>
        <v/>
      </c>
      <c r="CT113">
        <f>$C113*CT112</f>
        <v/>
      </c>
      <c r="CU113">
        <f>$C113*CU112</f>
        <v/>
      </c>
      <c r="CV113">
        <f>$C113*CV112</f>
        <v/>
      </c>
      <c r="CW113">
        <f>$C113*CW112</f>
        <v/>
      </c>
      <c r="CX113">
        <f>$C113*CX112</f>
        <v/>
      </c>
      <c r="CY113">
        <f>$C113*CY112</f>
        <v/>
      </c>
      <c r="CZ113">
        <f>$C113*CZ112</f>
        <v/>
      </c>
      <c r="DA113">
        <f>$C113*DA112</f>
        <v/>
      </c>
      <c r="DB113">
        <f>$C113*DB112</f>
        <v/>
      </c>
      <c r="DC113">
        <f>$C113*DC112</f>
        <v/>
      </c>
    </row>
    <row r="114">
      <c r="B114" t="inlineStr">
        <is>
          <t>TPP-613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Name],$A111)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TPP-914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Name],$A111)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TPP-915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Name],$A111)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TPP-916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Name],$A111)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TPP-917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Name],$A111)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TPP-919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Name],$A111)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TPP-920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Name],$A111)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TPP-922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Name],$A111)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TPP-923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Name],$A111)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TSP-620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Name],$A111)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TSP-623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Name],$A111)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t="inlineStr">
        <is>
          <t>TSP-927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Name],$A111)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t="inlineStr">
        <is>
          <t>TSP-928</t>
        </is>
      </c>
      <c r="C138" t="inlineStr">
        <is>
          <t>No. of batches</t>
        </is>
      </c>
      <c r="D138">
        <f>IFERROR(INDEX(PP_Grid[#Data],$DD138,2),0)</f>
        <v/>
      </c>
      <c r="E138">
        <f>IFERROR(INDEX(PP_Grid[#Data],$DD138,3),0)</f>
        <v/>
      </c>
      <c r="F138">
        <f>IFERROR(INDEX(PP_Grid[#Data],$DD138,4),0)</f>
        <v/>
      </c>
      <c r="G138">
        <f>IFERROR(INDEX(PP_Grid[#Data],$DD138,5),0)</f>
        <v/>
      </c>
      <c r="H138">
        <f>IFERROR(INDEX(PP_Grid[#Data],$DD138,6),0)</f>
        <v/>
      </c>
      <c r="I138">
        <f>IFERROR(INDEX(PP_Grid[#Data],$DD138,7),0)</f>
        <v/>
      </c>
      <c r="J138">
        <f>IFERROR(INDEX(PP_Grid[#Data],$DD138,8),0)</f>
        <v/>
      </c>
      <c r="K138">
        <f>IFERROR(INDEX(PP_Grid[#Data],$DD138,9),0)</f>
        <v/>
      </c>
      <c r="L138">
        <f>IFERROR(INDEX(PP_Grid[#Data],$DD138,10),0)</f>
        <v/>
      </c>
      <c r="M138">
        <f>IFERROR(INDEX(PP_Grid[#Data],$DD138,11),0)</f>
        <v/>
      </c>
      <c r="N138">
        <f>IFERROR(INDEX(PP_Grid[#Data],$DD138,12),0)</f>
        <v/>
      </c>
      <c r="O138">
        <f>IFERROR(INDEX(PP_Grid[#Data],$DD138,13),0)</f>
        <v/>
      </c>
      <c r="P138">
        <f>IFERROR(INDEX(PP_Grid[#Data],$DD138,14),0)</f>
        <v/>
      </c>
      <c r="Q138">
        <f>IFERROR(INDEX(PP_Grid[#Data],$DD138,15),0)</f>
        <v/>
      </c>
      <c r="R138">
        <f>IFERROR(INDEX(PP_Grid[#Data],$DD138,16),0)</f>
        <v/>
      </c>
      <c r="S138">
        <f>IFERROR(INDEX(PP_Grid[#Data],$DD138,17),0)</f>
        <v/>
      </c>
      <c r="T138">
        <f>IFERROR(INDEX(PP_Grid[#Data],$DD138,18),0)</f>
        <v/>
      </c>
      <c r="U138">
        <f>IFERROR(INDEX(PP_Grid[#Data],$DD138,19),0)</f>
        <v/>
      </c>
      <c r="V138">
        <f>IFERROR(INDEX(PP_Grid[#Data],$DD138,20),0)</f>
        <v/>
      </c>
      <c r="W138">
        <f>IFERROR(INDEX(PP_Grid[#Data],$DD138,21),0)</f>
        <v/>
      </c>
      <c r="X138">
        <f>IFERROR(INDEX(PP_Grid[#Data],$DD138,22),0)</f>
        <v/>
      </c>
      <c r="Y138">
        <f>IFERROR(INDEX(PP_Grid[#Data],$DD138,23),0)</f>
        <v/>
      </c>
      <c r="Z138">
        <f>IFERROR(INDEX(PP_Grid[#Data],$DD138,24),0)</f>
        <v/>
      </c>
      <c r="AA138">
        <f>IFERROR(INDEX(PP_Grid[#Data],$DD138,25),0)</f>
        <v/>
      </c>
      <c r="AB138">
        <f>IFERROR(INDEX(PP_Grid[#Data],$DD138,26),0)</f>
        <v/>
      </c>
      <c r="AC138">
        <f>IFERROR(INDEX(PP_Grid[#Data],$DD138,27),0)</f>
        <v/>
      </c>
      <c r="AD138">
        <f>IFERROR(INDEX(PP_Grid[#Data],$DD138,28),0)</f>
        <v/>
      </c>
      <c r="AE138">
        <f>IFERROR(INDEX(PP_Grid[#Data],$DD138,29),0)</f>
        <v/>
      </c>
      <c r="AF138">
        <f>IFERROR(INDEX(PP_Grid[#Data],$DD138,30),0)</f>
        <v/>
      </c>
      <c r="AG138">
        <f>IFERROR(INDEX(PP_Grid[#Data],$DD138,31),0)</f>
        <v/>
      </c>
      <c r="AH138">
        <f>IFERROR(INDEX(PP_Grid[#Data],$DD138,32),0)</f>
        <v/>
      </c>
      <c r="AI138">
        <f>IFERROR(INDEX(PP_Grid[#Data],$DD138,33),0)</f>
        <v/>
      </c>
      <c r="AJ138">
        <f>IFERROR(INDEX(PP_Grid[#Data],$DD138,34),0)</f>
        <v/>
      </c>
      <c r="AK138">
        <f>IFERROR(INDEX(PP_Grid[#Data],$DD138,35),0)</f>
        <v/>
      </c>
      <c r="AL138">
        <f>IFERROR(INDEX(PP_Grid[#Data],$DD138,36),0)</f>
        <v/>
      </c>
      <c r="AM138">
        <f>IFERROR(INDEX(PP_Grid[#Data],$DD138,37),0)</f>
        <v/>
      </c>
      <c r="AN138">
        <f>IFERROR(INDEX(PP_Grid[#Data],$DD138,38),0)</f>
        <v/>
      </c>
      <c r="AO138">
        <f>IFERROR(INDEX(PP_Grid[#Data],$DD138,39),0)</f>
        <v/>
      </c>
      <c r="AP138">
        <f>IFERROR(INDEX(PP_Grid[#Data],$DD138,40),0)</f>
        <v/>
      </c>
      <c r="AQ138">
        <f>IFERROR(INDEX(PP_Grid[#Data],$DD138,41),0)</f>
        <v/>
      </c>
      <c r="AR138">
        <f>IFERROR(INDEX(PP_Grid[#Data],$DD138,42),0)</f>
        <v/>
      </c>
      <c r="AS138">
        <f>IFERROR(INDEX(PP_Grid[#Data],$DD138,43),0)</f>
        <v/>
      </c>
      <c r="AT138">
        <f>IFERROR(INDEX(PP_Grid[#Data],$DD138,44),0)</f>
        <v/>
      </c>
      <c r="AU138">
        <f>IFERROR(INDEX(PP_Grid[#Data],$DD138,45),0)</f>
        <v/>
      </c>
      <c r="AV138">
        <f>IFERROR(INDEX(PP_Grid[#Data],$DD138,46),0)</f>
        <v/>
      </c>
      <c r="AW138">
        <f>IFERROR(INDEX(PP_Grid[#Data],$DD138,47),0)</f>
        <v/>
      </c>
      <c r="AX138">
        <f>IFERROR(INDEX(PP_Grid[#Data],$DD138,48),0)</f>
        <v/>
      </c>
      <c r="AY138">
        <f>IFERROR(INDEX(PP_Grid[#Data],$DD138,49),0)</f>
        <v/>
      </c>
      <c r="AZ138">
        <f>IFERROR(INDEX(PP_Grid[#Data],$DD138,50),0)</f>
        <v/>
      </c>
      <c r="BA138">
        <f>IFERROR(INDEX(PP_Grid[#Data],$DD138,51),0)</f>
        <v/>
      </c>
      <c r="BB138">
        <f>IFERROR(INDEX(PP_Grid[#Data],$DD138,52),0)</f>
        <v/>
      </c>
      <c r="BC138">
        <f>IFERROR(INDEX(PP_Grid[#Data],$DD138,53),0)</f>
        <v/>
      </c>
      <c r="BD138">
        <f>IFERROR(INDEX(PP_Grid[#Data],$DD138,54),0)</f>
        <v/>
      </c>
      <c r="BE138">
        <f>IFERROR(INDEX(PP_Grid[#Data],$DD138,55),0)</f>
        <v/>
      </c>
      <c r="BF138">
        <f>IFERROR(INDEX(PP_Grid[#Data],$DD138,56),0)</f>
        <v/>
      </c>
      <c r="BG138">
        <f>IFERROR(INDEX(PP_Grid[#Data],$DD138,57),0)</f>
        <v/>
      </c>
      <c r="BH138">
        <f>IFERROR(INDEX(PP_Grid[#Data],$DD138,58),0)</f>
        <v/>
      </c>
      <c r="BI138">
        <f>IFERROR(INDEX(PP_Grid[#Data],$DD138,59),0)</f>
        <v/>
      </c>
      <c r="BJ138">
        <f>IFERROR(INDEX(PP_Grid[#Data],$DD138,60),0)</f>
        <v/>
      </c>
      <c r="BK138">
        <f>IFERROR(INDEX(PP_Grid[#Data],$DD138,61),0)</f>
        <v/>
      </c>
      <c r="BL138">
        <f>IFERROR(INDEX(PP_Grid[#Data],$DD138,62),0)</f>
        <v/>
      </c>
      <c r="BM138">
        <f>IFERROR(INDEX(PP_Grid[#Data],$DD138,63),0)</f>
        <v/>
      </c>
      <c r="BN138">
        <f>IFERROR(INDEX(PP_Grid[#Data],$DD138,64),0)</f>
        <v/>
      </c>
      <c r="BO138">
        <f>IFERROR(INDEX(PP_Grid[#Data],$DD138,65),0)</f>
        <v/>
      </c>
      <c r="BP138">
        <f>IFERROR(INDEX(PP_Grid[#Data],$DD138,66),0)</f>
        <v/>
      </c>
      <c r="BQ138">
        <f>IFERROR(INDEX(PP_Grid[#Data],$DD138,67),0)</f>
        <v/>
      </c>
      <c r="BR138">
        <f>IFERROR(INDEX(PP_Grid[#Data],$DD138,68),0)</f>
        <v/>
      </c>
      <c r="BS138">
        <f>IFERROR(INDEX(PP_Grid[#Data],$DD138,69),0)</f>
        <v/>
      </c>
      <c r="BT138">
        <f>IFERROR(INDEX(PP_Grid[#Data],$DD138,70),0)</f>
        <v/>
      </c>
      <c r="BU138">
        <f>IFERROR(INDEX(PP_Grid[#Data],$DD138,71),0)</f>
        <v/>
      </c>
      <c r="BV138">
        <f>IFERROR(INDEX(PP_Grid[#Data],$DD138,72),0)</f>
        <v/>
      </c>
      <c r="BW138">
        <f>IFERROR(INDEX(PP_Grid[#Data],$DD138,73),0)</f>
        <v/>
      </c>
      <c r="BX138">
        <f>IFERROR(INDEX(PP_Grid[#Data],$DD138,74),0)</f>
        <v/>
      </c>
      <c r="BY138">
        <f>IFERROR(INDEX(PP_Grid[#Data],$DD138,75),0)</f>
        <v/>
      </c>
      <c r="BZ138">
        <f>IFERROR(INDEX(PP_Grid[#Data],$DD138,76),0)</f>
        <v/>
      </c>
      <c r="CA138">
        <f>IFERROR(INDEX(PP_Grid[#Data],$DD138,77),0)</f>
        <v/>
      </c>
      <c r="CB138">
        <f>IFERROR(INDEX(PP_Grid[#Data],$DD138,78),0)</f>
        <v/>
      </c>
      <c r="CC138">
        <f>IFERROR(INDEX(PP_Grid[#Data],$DD138,79),0)</f>
        <v/>
      </c>
      <c r="CD138">
        <f>IFERROR(INDEX(PP_Grid[#Data],$DD138,80),0)</f>
        <v/>
      </c>
      <c r="CE138">
        <f>IFERROR(INDEX(PP_Grid[#Data],$DD138,81),0)</f>
        <v/>
      </c>
      <c r="CF138">
        <f>IFERROR(INDEX(PP_Grid[#Data],$DD138,82),0)</f>
        <v/>
      </c>
      <c r="CG138">
        <f>IFERROR(INDEX(PP_Grid[#Data],$DD138,83),0)</f>
        <v/>
      </c>
      <c r="CH138">
        <f>IFERROR(INDEX(PP_Grid[#Data],$DD138,84),0)</f>
        <v/>
      </c>
      <c r="CI138">
        <f>IFERROR(INDEX(PP_Grid[#Data],$DD138,85),0)</f>
        <v/>
      </c>
      <c r="CJ138">
        <f>IFERROR(INDEX(PP_Grid[#Data],$DD138,86),0)</f>
        <v/>
      </c>
      <c r="CK138">
        <f>IFERROR(INDEX(PP_Grid[#Data],$DD138,87),0)</f>
        <v/>
      </c>
      <c r="CL138">
        <f>IFERROR(INDEX(PP_Grid[#Data],$DD138,88),0)</f>
        <v/>
      </c>
      <c r="CM138">
        <f>IFERROR(INDEX(PP_Grid[#Data],$DD138,89),0)</f>
        <v/>
      </c>
      <c r="CN138">
        <f>IFERROR(INDEX(PP_Grid[#Data],$DD138,90),0)</f>
        <v/>
      </c>
      <c r="CO138">
        <f>IFERROR(INDEX(PP_Grid[#Data],$DD138,91),0)</f>
        <v/>
      </c>
      <c r="CP138">
        <f>IFERROR(INDEX(PP_Grid[#Data],$DD138,92),0)</f>
        <v/>
      </c>
      <c r="CQ138">
        <f>IFERROR(INDEX(PP_Grid[#Data],$DD138,93),0)</f>
        <v/>
      </c>
      <c r="CR138">
        <f>IFERROR(INDEX(PP_Grid[#Data],$DD138,94),0)</f>
        <v/>
      </c>
      <c r="CS138">
        <f>IFERROR(INDEX(PP_Grid[#Data],$DD138,95),0)</f>
        <v/>
      </c>
      <c r="CT138">
        <f>IFERROR(INDEX(PP_Grid[#Data],$DD138,96),0)</f>
        <v/>
      </c>
      <c r="CU138">
        <f>IFERROR(INDEX(PP_Grid[#Data],$DD138,97),0)</f>
        <v/>
      </c>
      <c r="CV138">
        <f>IFERROR(INDEX(PP_Grid[#Data],$DD138,98),0)</f>
        <v/>
      </c>
      <c r="CW138">
        <f>IFERROR(INDEX(PP_Grid[#Data],$DD138,99),0)</f>
        <v/>
      </c>
      <c r="CX138">
        <f>IFERROR(INDEX(PP_Grid[#Data],$DD138,100),0)</f>
        <v/>
      </c>
      <c r="CY138">
        <f>IFERROR(INDEX(PP_Grid[#Data],$DD138,101),0)</f>
        <v/>
      </c>
      <c r="CZ138">
        <f>IFERROR(INDEX(PP_Grid[#Data],$DD138,102),0)</f>
        <v/>
      </c>
      <c r="DA138">
        <f>IFERROR(INDEX(PP_Grid[#Data],$DD138,103),0)</f>
        <v/>
      </c>
      <c r="DB138">
        <f>IFERROR(INDEX(PP_Grid[#Data],$DD138,104),0)</f>
        <v/>
      </c>
      <c r="DC138">
        <f>IFERROR(INDEX(PP_Grid[#Data],$DD138,105),0)</f>
        <v/>
      </c>
      <c r="DD138" s="12">
        <f>IFERROR(MATCH($B138,PP_Grid[Intermediate],0),99999)</f>
        <v/>
      </c>
    </row>
    <row r="139">
      <c r="B139" t="inlineStr">
        <is>
          <t>使用量(kg)</t>
        </is>
      </c>
      <c r="C139">
        <f>SUMIFS(M_BOM[RM_Qty_Per_Batch],M_BOM[Intermediate],$B138,M_BOM[Part Name],$A111)</f>
        <v/>
      </c>
      <c r="D139">
        <f>$C139*D138</f>
        <v/>
      </c>
      <c r="E139">
        <f>$C139*E138</f>
        <v/>
      </c>
      <c r="F139">
        <f>$C139*F138</f>
        <v/>
      </c>
      <c r="G139">
        <f>$C139*G138</f>
        <v/>
      </c>
      <c r="H139">
        <f>$C139*H138</f>
        <v/>
      </c>
      <c r="I139">
        <f>$C139*I138</f>
        <v/>
      </c>
      <c r="J139">
        <f>$C139*J138</f>
        <v/>
      </c>
      <c r="K139">
        <f>$C139*K138</f>
        <v/>
      </c>
      <c r="L139">
        <f>$C139*L138</f>
        <v/>
      </c>
      <c r="M139">
        <f>$C139*M138</f>
        <v/>
      </c>
      <c r="N139">
        <f>$C139*N138</f>
        <v/>
      </c>
      <c r="O139">
        <f>$C139*O138</f>
        <v/>
      </c>
      <c r="P139">
        <f>$C139*P138</f>
        <v/>
      </c>
      <c r="Q139">
        <f>$C139*Q138</f>
        <v/>
      </c>
      <c r="R139">
        <f>$C139*R138</f>
        <v/>
      </c>
      <c r="S139">
        <f>$C139*S138</f>
        <v/>
      </c>
      <c r="T139">
        <f>$C139*T138</f>
        <v/>
      </c>
      <c r="U139">
        <f>$C139*U138</f>
        <v/>
      </c>
      <c r="V139">
        <f>$C139*V138</f>
        <v/>
      </c>
      <c r="W139">
        <f>$C139*W138</f>
        <v/>
      </c>
      <c r="X139">
        <f>$C139*X138</f>
        <v/>
      </c>
      <c r="Y139">
        <f>$C139*Y138</f>
        <v/>
      </c>
      <c r="Z139">
        <f>$C139*Z138</f>
        <v/>
      </c>
      <c r="AA139">
        <f>$C139*AA138</f>
        <v/>
      </c>
      <c r="AB139">
        <f>$C139*AB138</f>
        <v/>
      </c>
      <c r="AC139">
        <f>$C139*AC138</f>
        <v/>
      </c>
      <c r="AD139">
        <f>$C139*AD138</f>
        <v/>
      </c>
      <c r="AE139">
        <f>$C139*AE138</f>
        <v/>
      </c>
      <c r="AF139">
        <f>$C139*AF138</f>
        <v/>
      </c>
      <c r="AG139">
        <f>$C139*AG138</f>
        <v/>
      </c>
      <c r="AH139">
        <f>$C139*AH138</f>
        <v/>
      </c>
      <c r="AI139">
        <f>$C139*AI138</f>
        <v/>
      </c>
      <c r="AJ139">
        <f>$C139*AJ138</f>
        <v/>
      </c>
      <c r="AK139">
        <f>$C139*AK138</f>
        <v/>
      </c>
      <c r="AL139">
        <f>$C139*AL138</f>
        <v/>
      </c>
      <c r="AM139">
        <f>$C139*AM138</f>
        <v/>
      </c>
      <c r="AN139">
        <f>$C139*AN138</f>
        <v/>
      </c>
      <c r="AO139">
        <f>$C139*AO138</f>
        <v/>
      </c>
      <c r="AP139">
        <f>$C139*AP138</f>
        <v/>
      </c>
      <c r="AQ139">
        <f>$C139*AQ138</f>
        <v/>
      </c>
      <c r="AR139">
        <f>$C139*AR138</f>
        <v/>
      </c>
      <c r="AS139">
        <f>$C139*AS138</f>
        <v/>
      </c>
      <c r="AT139">
        <f>$C139*AT138</f>
        <v/>
      </c>
      <c r="AU139">
        <f>$C139*AU138</f>
        <v/>
      </c>
      <c r="AV139">
        <f>$C139*AV138</f>
        <v/>
      </c>
      <c r="AW139">
        <f>$C139*AW138</f>
        <v/>
      </c>
      <c r="AX139">
        <f>$C139*AX138</f>
        <v/>
      </c>
      <c r="AY139">
        <f>$C139*AY138</f>
        <v/>
      </c>
      <c r="AZ139">
        <f>$C139*AZ138</f>
        <v/>
      </c>
      <c r="BA139">
        <f>$C139*BA138</f>
        <v/>
      </c>
      <c r="BB139">
        <f>$C139*BB138</f>
        <v/>
      </c>
      <c r="BC139">
        <f>$C139*BC138</f>
        <v/>
      </c>
      <c r="BD139">
        <f>$C139*BD138</f>
        <v/>
      </c>
      <c r="BE139">
        <f>$C139*BE138</f>
        <v/>
      </c>
      <c r="BF139">
        <f>$C139*BF138</f>
        <v/>
      </c>
      <c r="BG139">
        <f>$C139*BG138</f>
        <v/>
      </c>
      <c r="BH139">
        <f>$C139*BH138</f>
        <v/>
      </c>
      <c r="BI139">
        <f>$C139*BI138</f>
        <v/>
      </c>
      <c r="BJ139">
        <f>$C139*BJ138</f>
        <v/>
      </c>
      <c r="BK139">
        <f>$C139*BK138</f>
        <v/>
      </c>
      <c r="BL139">
        <f>$C139*BL138</f>
        <v/>
      </c>
      <c r="BM139">
        <f>$C139*BM138</f>
        <v/>
      </c>
      <c r="BN139">
        <f>$C139*BN138</f>
        <v/>
      </c>
      <c r="BO139">
        <f>$C139*BO138</f>
        <v/>
      </c>
      <c r="BP139">
        <f>$C139*BP138</f>
        <v/>
      </c>
      <c r="BQ139">
        <f>$C139*BQ138</f>
        <v/>
      </c>
      <c r="BR139">
        <f>$C139*BR138</f>
        <v/>
      </c>
      <c r="BS139">
        <f>$C139*BS138</f>
        <v/>
      </c>
      <c r="BT139">
        <f>$C139*BT138</f>
        <v/>
      </c>
      <c r="BU139">
        <f>$C139*BU138</f>
        <v/>
      </c>
      <c r="BV139">
        <f>$C139*BV138</f>
        <v/>
      </c>
      <c r="BW139">
        <f>$C139*BW138</f>
        <v/>
      </c>
      <c r="BX139">
        <f>$C139*BX138</f>
        <v/>
      </c>
      <c r="BY139">
        <f>$C139*BY138</f>
        <v/>
      </c>
      <c r="BZ139">
        <f>$C139*BZ138</f>
        <v/>
      </c>
      <c r="CA139">
        <f>$C139*CA138</f>
        <v/>
      </c>
      <c r="CB139">
        <f>$C139*CB138</f>
        <v/>
      </c>
      <c r="CC139">
        <f>$C139*CC138</f>
        <v/>
      </c>
      <c r="CD139">
        <f>$C139*CD138</f>
        <v/>
      </c>
      <c r="CE139">
        <f>$C139*CE138</f>
        <v/>
      </c>
      <c r="CF139">
        <f>$C139*CF138</f>
        <v/>
      </c>
      <c r="CG139">
        <f>$C139*CG138</f>
        <v/>
      </c>
      <c r="CH139">
        <f>$C139*CH138</f>
        <v/>
      </c>
      <c r="CI139">
        <f>$C139*CI138</f>
        <v/>
      </c>
      <c r="CJ139">
        <f>$C139*CJ138</f>
        <v/>
      </c>
      <c r="CK139">
        <f>$C139*CK138</f>
        <v/>
      </c>
      <c r="CL139">
        <f>$C139*CL138</f>
        <v/>
      </c>
      <c r="CM139">
        <f>$C139*CM138</f>
        <v/>
      </c>
      <c r="CN139">
        <f>$C139*CN138</f>
        <v/>
      </c>
      <c r="CO139">
        <f>$C139*CO138</f>
        <v/>
      </c>
      <c r="CP139">
        <f>$C139*CP138</f>
        <v/>
      </c>
      <c r="CQ139">
        <f>$C139*CQ138</f>
        <v/>
      </c>
      <c r="CR139">
        <f>$C139*CR138</f>
        <v/>
      </c>
      <c r="CS139">
        <f>$C139*CS138</f>
        <v/>
      </c>
      <c r="CT139">
        <f>$C139*CT138</f>
        <v/>
      </c>
      <c r="CU139">
        <f>$C139*CU138</f>
        <v/>
      </c>
      <c r="CV139">
        <f>$C139*CV138</f>
        <v/>
      </c>
      <c r="CW139">
        <f>$C139*CW138</f>
        <v/>
      </c>
      <c r="CX139">
        <f>$C139*CX138</f>
        <v/>
      </c>
      <c r="CY139">
        <f>$C139*CY138</f>
        <v/>
      </c>
      <c r="CZ139">
        <f>$C139*CZ138</f>
        <v/>
      </c>
      <c r="DA139">
        <f>$C139*DA138</f>
        <v/>
      </c>
      <c r="DB139">
        <f>$C139*DB138</f>
        <v/>
      </c>
      <c r="DC139">
        <f>$C139*DC138</f>
        <v/>
      </c>
    </row>
    <row r="140">
      <c r="B140" t="inlineStr">
        <is>
          <t>TSP-929</t>
        </is>
      </c>
      <c r="C140" t="inlineStr">
        <is>
          <t>No. of batches</t>
        </is>
      </c>
      <c r="D140">
        <f>IFERROR(INDEX(PP_Grid[#Data],$DD140,2),0)</f>
        <v/>
      </c>
      <c r="E140">
        <f>IFERROR(INDEX(PP_Grid[#Data],$DD140,3),0)</f>
        <v/>
      </c>
      <c r="F140">
        <f>IFERROR(INDEX(PP_Grid[#Data],$DD140,4),0)</f>
        <v/>
      </c>
      <c r="G140">
        <f>IFERROR(INDEX(PP_Grid[#Data],$DD140,5),0)</f>
        <v/>
      </c>
      <c r="H140">
        <f>IFERROR(INDEX(PP_Grid[#Data],$DD140,6),0)</f>
        <v/>
      </c>
      <c r="I140">
        <f>IFERROR(INDEX(PP_Grid[#Data],$DD140,7),0)</f>
        <v/>
      </c>
      <c r="J140">
        <f>IFERROR(INDEX(PP_Grid[#Data],$DD140,8),0)</f>
        <v/>
      </c>
      <c r="K140">
        <f>IFERROR(INDEX(PP_Grid[#Data],$DD140,9),0)</f>
        <v/>
      </c>
      <c r="L140">
        <f>IFERROR(INDEX(PP_Grid[#Data],$DD140,10),0)</f>
        <v/>
      </c>
      <c r="M140">
        <f>IFERROR(INDEX(PP_Grid[#Data],$DD140,11),0)</f>
        <v/>
      </c>
      <c r="N140">
        <f>IFERROR(INDEX(PP_Grid[#Data],$DD140,12),0)</f>
        <v/>
      </c>
      <c r="O140">
        <f>IFERROR(INDEX(PP_Grid[#Data],$DD140,13),0)</f>
        <v/>
      </c>
      <c r="P140">
        <f>IFERROR(INDEX(PP_Grid[#Data],$DD140,14),0)</f>
        <v/>
      </c>
      <c r="Q140">
        <f>IFERROR(INDEX(PP_Grid[#Data],$DD140,15),0)</f>
        <v/>
      </c>
      <c r="R140">
        <f>IFERROR(INDEX(PP_Grid[#Data],$DD140,16),0)</f>
        <v/>
      </c>
      <c r="S140">
        <f>IFERROR(INDEX(PP_Grid[#Data],$DD140,17),0)</f>
        <v/>
      </c>
      <c r="T140">
        <f>IFERROR(INDEX(PP_Grid[#Data],$DD140,18),0)</f>
        <v/>
      </c>
      <c r="U140">
        <f>IFERROR(INDEX(PP_Grid[#Data],$DD140,19),0)</f>
        <v/>
      </c>
      <c r="V140">
        <f>IFERROR(INDEX(PP_Grid[#Data],$DD140,20),0)</f>
        <v/>
      </c>
      <c r="W140">
        <f>IFERROR(INDEX(PP_Grid[#Data],$DD140,21),0)</f>
        <v/>
      </c>
      <c r="X140">
        <f>IFERROR(INDEX(PP_Grid[#Data],$DD140,22),0)</f>
        <v/>
      </c>
      <c r="Y140">
        <f>IFERROR(INDEX(PP_Grid[#Data],$DD140,23),0)</f>
        <v/>
      </c>
      <c r="Z140">
        <f>IFERROR(INDEX(PP_Grid[#Data],$DD140,24),0)</f>
        <v/>
      </c>
      <c r="AA140">
        <f>IFERROR(INDEX(PP_Grid[#Data],$DD140,25),0)</f>
        <v/>
      </c>
      <c r="AB140">
        <f>IFERROR(INDEX(PP_Grid[#Data],$DD140,26),0)</f>
        <v/>
      </c>
      <c r="AC140">
        <f>IFERROR(INDEX(PP_Grid[#Data],$DD140,27),0)</f>
        <v/>
      </c>
      <c r="AD140">
        <f>IFERROR(INDEX(PP_Grid[#Data],$DD140,28),0)</f>
        <v/>
      </c>
      <c r="AE140">
        <f>IFERROR(INDEX(PP_Grid[#Data],$DD140,29),0)</f>
        <v/>
      </c>
      <c r="AF140">
        <f>IFERROR(INDEX(PP_Grid[#Data],$DD140,30),0)</f>
        <v/>
      </c>
      <c r="AG140">
        <f>IFERROR(INDEX(PP_Grid[#Data],$DD140,31),0)</f>
        <v/>
      </c>
      <c r="AH140">
        <f>IFERROR(INDEX(PP_Grid[#Data],$DD140,32),0)</f>
        <v/>
      </c>
      <c r="AI140">
        <f>IFERROR(INDEX(PP_Grid[#Data],$DD140,33),0)</f>
        <v/>
      </c>
      <c r="AJ140">
        <f>IFERROR(INDEX(PP_Grid[#Data],$DD140,34),0)</f>
        <v/>
      </c>
      <c r="AK140">
        <f>IFERROR(INDEX(PP_Grid[#Data],$DD140,35),0)</f>
        <v/>
      </c>
      <c r="AL140">
        <f>IFERROR(INDEX(PP_Grid[#Data],$DD140,36),0)</f>
        <v/>
      </c>
      <c r="AM140">
        <f>IFERROR(INDEX(PP_Grid[#Data],$DD140,37),0)</f>
        <v/>
      </c>
      <c r="AN140">
        <f>IFERROR(INDEX(PP_Grid[#Data],$DD140,38),0)</f>
        <v/>
      </c>
      <c r="AO140">
        <f>IFERROR(INDEX(PP_Grid[#Data],$DD140,39),0)</f>
        <v/>
      </c>
      <c r="AP140">
        <f>IFERROR(INDEX(PP_Grid[#Data],$DD140,40),0)</f>
        <v/>
      </c>
      <c r="AQ140">
        <f>IFERROR(INDEX(PP_Grid[#Data],$DD140,41),0)</f>
        <v/>
      </c>
      <c r="AR140">
        <f>IFERROR(INDEX(PP_Grid[#Data],$DD140,42),0)</f>
        <v/>
      </c>
      <c r="AS140">
        <f>IFERROR(INDEX(PP_Grid[#Data],$DD140,43),0)</f>
        <v/>
      </c>
      <c r="AT140">
        <f>IFERROR(INDEX(PP_Grid[#Data],$DD140,44),0)</f>
        <v/>
      </c>
      <c r="AU140">
        <f>IFERROR(INDEX(PP_Grid[#Data],$DD140,45),0)</f>
        <v/>
      </c>
      <c r="AV140">
        <f>IFERROR(INDEX(PP_Grid[#Data],$DD140,46),0)</f>
        <v/>
      </c>
      <c r="AW140">
        <f>IFERROR(INDEX(PP_Grid[#Data],$DD140,47),0)</f>
        <v/>
      </c>
      <c r="AX140">
        <f>IFERROR(INDEX(PP_Grid[#Data],$DD140,48),0)</f>
        <v/>
      </c>
      <c r="AY140">
        <f>IFERROR(INDEX(PP_Grid[#Data],$DD140,49),0)</f>
        <v/>
      </c>
      <c r="AZ140">
        <f>IFERROR(INDEX(PP_Grid[#Data],$DD140,50),0)</f>
        <v/>
      </c>
      <c r="BA140">
        <f>IFERROR(INDEX(PP_Grid[#Data],$DD140,51),0)</f>
        <v/>
      </c>
      <c r="BB140">
        <f>IFERROR(INDEX(PP_Grid[#Data],$DD140,52),0)</f>
        <v/>
      </c>
      <c r="BC140">
        <f>IFERROR(INDEX(PP_Grid[#Data],$DD140,53),0)</f>
        <v/>
      </c>
      <c r="BD140">
        <f>IFERROR(INDEX(PP_Grid[#Data],$DD140,54),0)</f>
        <v/>
      </c>
      <c r="BE140">
        <f>IFERROR(INDEX(PP_Grid[#Data],$DD140,55),0)</f>
        <v/>
      </c>
      <c r="BF140">
        <f>IFERROR(INDEX(PP_Grid[#Data],$DD140,56),0)</f>
        <v/>
      </c>
      <c r="BG140">
        <f>IFERROR(INDEX(PP_Grid[#Data],$DD140,57),0)</f>
        <v/>
      </c>
      <c r="BH140">
        <f>IFERROR(INDEX(PP_Grid[#Data],$DD140,58),0)</f>
        <v/>
      </c>
      <c r="BI140">
        <f>IFERROR(INDEX(PP_Grid[#Data],$DD140,59),0)</f>
        <v/>
      </c>
      <c r="BJ140">
        <f>IFERROR(INDEX(PP_Grid[#Data],$DD140,60),0)</f>
        <v/>
      </c>
      <c r="BK140">
        <f>IFERROR(INDEX(PP_Grid[#Data],$DD140,61),0)</f>
        <v/>
      </c>
      <c r="BL140">
        <f>IFERROR(INDEX(PP_Grid[#Data],$DD140,62),0)</f>
        <v/>
      </c>
      <c r="BM140">
        <f>IFERROR(INDEX(PP_Grid[#Data],$DD140,63),0)</f>
        <v/>
      </c>
      <c r="BN140">
        <f>IFERROR(INDEX(PP_Grid[#Data],$DD140,64),0)</f>
        <v/>
      </c>
      <c r="BO140">
        <f>IFERROR(INDEX(PP_Grid[#Data],$DD140,65),0)</f>
        <v/>
      </c>
      <c r="BP140">
        <f>IFERROR(INDEX(PP_Grid[#Data],$DD140,66),0)</f>
        <v/>
      </c>
      <c r="BQ140">
        <f>IFERROR(INDEX(PP_Grid[#Data],$DD140,67),0)</f>
        <v/>
      </c>
      <c r="BR140">
        <f>IFERROR(INDEX(PP_Grid[#Data],$DD140,68),0)</f>
        <v/>
      </c>
      <c r="BS140">
        <f>IFERROR(INDEX(PP_Grid[#Data],$DD140,69),0)</f>
        <v/>
      </c>
      <c r="BT140">
        <f>IFERROR(INDEX(PP_Grid[#Data],$DD140,70),0)</f>
        <v/>
      </c>
      <c r="BU140">
        <f>IFERROR(INDEX(PP_Grid[#Data],$DD140,71),0)</f>
        <v/>
      </c>
      <c r="BV140">
        <f>IFERROR(INDEX(PP_Grid[#Data],$DD140,72),0)</f>
        <v/>
      </c>
      <c r="BW140">
        <f>IFERROR(INDEX(PP_Grid[#Data],$DD140,73),0)</f>
        <v/>
      </c>
      <c r="BX140">
        <f>IFERROR(INDEX(PP_Grid[#Data],$DD140,74),0)</f>
        <v/>
      </c>
      <c r="BY140">
        <f>IFERROR(INDEX(PP_Grid[#Data],$DD140,75),0)</f>
        <v/>
      </c>
      <c r="BZ140">
        <f>IFERROR(INDEX(PP_Grid[#Data],$DD140,76),0)</f>
        <v/>
      </c>
      <c r="CA140">
        <f>IFERROR(INDEX(PP_Grid[#Data],$DD140,77),0)</f>
        <v/>
      </c>
      <c r="CB140">
        <f>IFERROR(INDEX(PP_Grid[#Data],$DD140,78),0)</f>
        <v/>
      </c>
      <c r="CC140">
        <f>IFERROR(INDEX(PP_Grid[#Data],$DD140,79),0)</f>
        <v/>
      </c>
      <c r="CD140">
        <f>IFERROR(INDEX(PP_Grid[#Data],$DD140,80),0)</f>
        <v/>
      </c>
      <c r="CE140">
        <f>IFERROR(INDEX(PP_Grid[#Data],$DD140,81),0)</f>
        <v/>
      </c>
      <c r="CF140">
        <f>IFERROR(INDEX(PP_Grid[#Data],$DD140,82),0)</f>
        <v/>
      </c>
      <c r="CG140">
        <f>IFERROR(INDEX(PP_Grid[#Data],$DD140,83),0)</f>
        <v/>
      </c>
      <c r="CH140">
        <f>IFERROR(INDEX(PP_Grid[#Data],$DD140,84),0)</f>
        <v/>
      </c>
      <c r="CI140">
        <f>IFERROR(INDEX(PP_Grid[#Data],$DD140,85),0)</f>
        <v/>
      </c>
      <c r="CJ140">
        <f>IFERROR(INDEX(PP_Grid[#Data],$DD140,86),0)</f>
        <v/>
      </c>
      <c r="CK140">
        <f>IFERROR(INDEX(PP_Grid[#Data],$DD140,87),0)</f>
        <v/>
      </c>
      <c r="CL140">
        <f>IFERROR(INDEX(PP_Grid[#Data],$DD140,88),0)</f>
        <v/>
      </c>
      <c r="CM140">
        <f>IFERROR(INDEX(PP_Grid[#Data],$DD140,89),0)</f>
        <v/>
      </c>
      <c r="CN140">
        <f>IFERROR(INDEX(PP_Grid[#Data],$DD140,90),0)</f>
        <v/>
      </c>
      <c r="CO140">
        <f>IFERROR(INDEX(PP_Grid[#Data],$DD140,91),0)</f>
        <v/>
      </c>
      <c r="CP140">
        <f>IFERROR(INDEX(PP_Grid[#Data],$DD140,92),0)</f>
        <v/>
      </c>
      <c r="CQ140">
        <f>IFERROR(INDEX(PP_Grid[#Data],$DD140,93),0)</f>
        <v/>
      </c>
      <c r="CR140">
        <f>IFERROR(INDEX(PP_Grid[#Data],$DD140,94),0)</f>
        <v/>
      </c>
      <c r="CS140">
        <f>IFERROR(INDEX(PP_Grid[#Data],$DD140,95),0)</f>
        <v/>
      </c>
      <c r="CT140">
        <f>IFERROR(INDEX(PP_Grid[#Data],$DD140,96),0)</f>
        <v/>
      </c>
      <c r="CU140">
        <f>IFERROR(INDEX(PP_Grid[#Data],$DD140,97),0)</f>
        <v/>
      </c>
      <c r="CV140">
        <f>IFERROR(INDEX(PP_Grid[#Data],$DD140,98),0)</f>
        <v/>
      </c>
      <c r="CW140">
        <f>IFERROR(INDEX(PP_Grid[#Data],$DD140,99),0)</f>
        <v/>
      </c>
      <c r="CX140">
        <f>IFERROR(INDEX(PP_Grid[#Data],$DD140,100),0)</f>
        <v/>
      </c>
      <c r="CY140">
        <f>IFERROR(INDEX(PP_Grid[#Data],$DD140,101),0)</f>
        <v/>
      </c>
      <c r="CZ140">
        <f>IFERROR(INDEX(PP_Grid[#Data],$DD140,102),0)</f>
        <v/>
      </c>
      <c r="DA140">
        <f>IFERROR(INDEX(PP_Grid[#Data],$DD140,103),0)</f>
        <v/>
      </c>
      <c r="DB140">
        <f>IFERROR(INDEX(PP_Grid[#Data],$DD140,104),0)</f>
        <v/>
      </c>
      <c r="DC140">
        <f>IFERROR(INDEX(PP_Grid[#Data],$DD140,105),0)</f>
        <v/>
      </c>
      <c r="DD140" s="12">
        <f>IFERROR(MATCH($B140,PP_Grid[Intermediate],0),99999)</f>
        <v/>
      </c>
    </row>
    <row r="141">
      <c r="B141" t="inlineStr">
        <is>
          <t>使用量(kg)</t>
        </is>
      </c>
      <c r="C141">
        <f>SUMIFS(M_BOM[RM_Qty_Per_Batch],M_BOM[Intermediate],$B140,M_BOM[Part Name],$A111)</f>
        <v/>
      </c>
      <c r="D141">
        <f>$C141*D140</f>
        <v/>
      </c>
      <c r="E141">
        <f>$C141*E140</f>
        <v/>
      </c>
      <c r="F141">
        <f>$C141*F140</f>
        <v/>
      </c>
      <c r="G141">
        <f>$C141*G140</f>
        <v/>
      </c>
      <c r="H141">
        <f>$C141*H140</f>
        <v/>
      </c>
      <c r="I141">
        <f>$C141*I140</f>
        <v/>
      </c>
      <c r="J141">
        <f>$C141*J140</f>
        <v/>
      </c>
      <c r="K141">
        <f>$C141*K140</f>
        <v/>
      </c>
      <c r="L141">
        <f>$C141*L140</f>
        <v/>
      </c>
      <c r="M141">
        <f>$C141*M140</f>
        <v/>
      </c>
      <c r="N141">
        <f>$C141*N140</f>
        <v/>
      </c>
      <c r="O141">
        <f>$C141*O140</f>
        <v/>
      </c>
      <c r="P141">
        <f>$C141*P140</f>
        <v/>
      </c>
      <c r="Q141">
        <f>$C141*Q140</f>
        <v/>
      </c>
      <c r="R141">
        <f>$C141*R140</f>
        <v/>
      </c>
      <c r="S141">
        <f>$C141*S140</f>
        <v/>
      </c>
      <c r="T141">
        <f>$C141*T140</f>
        <v/>
      </c>
      <c r="U141">
        <f>$C141*U140</f>
        <v/>
      </c>
      <c r="V141">
        <f>$C141*V140</f>
        <v/>
      </c>
      <c r="W141">
        <f>$C141*W140</f>
        <v/>
      </c>
      <c r="X141">
        <f>$C141*X140</f>
        <v/>
      </c>
      <c r="Y141">
        <f>$C141*Y140</f>
        <v/>
      </c>
      <c r="Z141">
        <f>$C141*Z140</f>
        <v/>
      </c>
      <c r="AA141">
        <f>$C141*AA140</f>
        <v/>
      </c>
      <c r="AB141">
        <f>$C141*AB140</f>
        <v/>
      </c>
      <c r="AC141">
        <f>$C141*AC140</f>
        <v/>
      </c>
      <c r="AD141">
        <f>$C141*AD140</f>
        <v/>
      </c>
      <c r="AE141">
        <f>$C141*AE140</f>
        <v/>
      </c>
      <c r="AF141">
        <f>$C141*AF140</f>
        <v/>
      </c>
      <c r="AG141">
        <f>$C141*AG140</f>
        <v/>
      </c>
      <c r="AH141">
        <f>$C141*AH140</f>
        <v/>
      </c>
      <c r="AI141">
        <f>$C141*AI140</f>
        <v/>
      </c>
      <c r="AJ141">
        <f>$C141*AJ140</f>
        <v/>
      </c>
      <c r="AK141">
        <f>$C141*AK140</f>
        <v/>
      </c>
      <c r="AL141">
        <f>$C141*AL140</f>
        <v/>
      </c>
      <c r="AM141">
        <f>$C141*AM140</f>
        <v/>
      </c>
      <c r="AN141">
        <f>$C141*AN140</f>
        <v/>
      </c>
      <c r="AO141">
        <f>$C141*AO140</f>
        <v/>
      </c>
      <c r="AP141">
        <f>$C141*AP140</f>
        <v/>
      </c>
      <c r="AQ141">
        <f>$C141*AQ140</f>
        <v/>
      </c>
      <c r="AR141">
        <f>$C141*AR140</f>
        <v/>
      </c>
      <c r="AS141">
        <f>$C141*AS140</f>
        <v/>
      </c>
      <c r="AT141">
        <f>$C141*AT140</f>
        <v/>
      </c>
      <c r="AU141">
        <f>$C141*AU140</f>
        <v/>
      </c>
      <c r="AV141">
        <f>$C141*AV140</f>
        <v/>
      </c>
      <c r="AW141">
        <f>$C141*AW140</f>
        <v/>
      </c>
      <c r="AX141">
        <f>$C141*AX140</f>
        <v/>
      </c>
      <c r="AY141">
        <f>$C141*AY140</f>
        <v/>
      </c>
      <c r="AZ141">
        <f>$C141*AZ140</f>
        <v/>
      </c>
      <c r="BA141">
        <f>$C141*BA140</f>
        <v/>
      </c>
      <c r="BB141">
        <f>$C141*BB140</f>
        <v/>
      </c>
      <c r="BC141">
        <f>$C141*BC140</f>
        <v/>
      </c>
      <c r="BD141">
        <f>$C141*BD140</f>
        <v/>
      </c>
      <c r="BE141">
        <f>$C141*BE140</f>
        <v/>
      </c>
      <c r="BF141">
        <f>$C141*BF140</f>
        <v/>
      </c>
      <c r="BG141">
        <f>$C141*BG140</f>
        <v/>
      </c>
      <c r="BH141">
        <f>$C141*BH140</f>
        <v/>
      </c>
      <c r="BI141">
        <f>$C141*BI140</f>
        <v/>
      </c>
      <c r="BJ141">
        <f>$C141*BJ140</f>
        <v/>
      </c>
      <c r="BK141">
        <f>$C141*BK140</f>
        <v/>
      </c>
      <c r="BL141">
        <f>$C141*BL140</f>
        <v/>
      </c>
      <c r="BM141">
        <f>$C141*BM140</f>
        <v/>
      </c>
      <c r="BN141">
        <f>$C141*BN140</f>
        <v/>
      </c>
      <c r="BO141">
        <f>$C141*BO140</f>
        <v/>
      </c>
      <c r="BP141">
        <f>$C141*BP140</f>
        <v/>
      </c>
      <c r="BQ141">
        <f>$C141*BQ140</f>
        <v/>
      </c>
      <c r="BR141">
        <f>$C141*BR140</f>
        <v/>
      </c>
      <c r="BS141">
        <f>$C141*BS140</f>
        <v/>
      </c>
      <c r="BT141">
        <f>$C141*BT140</f>
        <v/>
      </c>
      <c r="BU141">
        <f>$C141*BU140</f>
        <v/>
      </c>
      <c r="BV141">
        <f>$C141*BV140</f>
        <v/>
      </c>
      <c r="BW141">
        <f>$C141*BW140</f>
        <v/>
      </c>
      <c r="BX141">
        <f>$C141*BX140</f>
        <v/>
      </c>
      <c r="BY141">
        <f>$C141*BY140</f>
        <v/>
      </c>
      <c r="BZ141">
        <f>$C141*BZ140</f>
        <v/>
      </c>
      <c r="CA141">
        <f>$C141*CA140</f>
        <v/>
      </c>
      <c r="CB141">
        <f>$C141*CB140</f>
        <v/>
      </c>
      <c r="CC141">
        <f>$C141*CC140</f>
        <v/>
      </c>
      <c r="CD141">
        <f>$C141*CD140</f>
        <v/>
      </c>
      <c r="CE141">
        <f>$C141*CE140</f>
        <v/>
      </c>
      <c r="CF141">
        <f>$C141*CF140</f>
        <v/>
      </c>
      <c r="CG141">
        <f>$C141*CG140</f>
        <v/>
      </c>
      <c r="CH141">
        <f>$C141*CH140</f>
        <v/>
      </c>
      <c r="CI141">
        <f>$C141*CI140</f>
        <v/>
      </c>
      <c r="CJ141">
        <f>$C141*CJ140</f>
        <v/>
      </c>
      <c r="CK141">
        <f>$C141*CK140</f>
        <v/>
      </c>
      <c r="CL141">
        <f>$C141*CL140</f>
        <v/>
      </c>
      <c r="CM141">
        <f>$C141*CM140</f>
        <v/>
      </c>
      <c r="CN141">
        <f>$C141*CN140</f>
        <v/>
      </c>
      <c r="CO141">
        <f>$C141*CO140</f>
        <v/>
      </c>
      <c r="CP141">
        <f>$C141*CP140</f>
        <v/>
      </c>
      <c r="CQ141">
        <f>$C141*CQ140</f>
        <v/>
      </c>
      <c r="CR141">
        <f>$C141*CR140</f>
        <v/>
      </c>
      <c r="CS141">
        <f>$C141*CS140</f>
        <v/>
      </c>
      <c r="CT141">
        <f>$C141*CT140</f>
        <v/>
      </c>
      <c r="CU141">
        <f>$C141*CU140</f>
        <v/>
      </c>
      <c r="CV141">
        <f>$C141*CV140</f>
        <v/>
      </c>
      <c r="CW141">
        <f>$C141*CW140</f>
        <v/>
      </c>
      <c r="CX141">
        <f>$C141*CX140</f>
        <v/>
      </c>
      <c r="CY141">
        <f>$C141*CY140</f>
        <v/>
      </c>
      <c r="CZ141">
        <f>$C141*CZ140</f>
        <v/>
      </c>
      <c r="DA141">
        <f>$C141*DA140</f>
        <v/>
      </c>
      <c r="DB141">
        <f>$C141*DB140</f>
        <v/>
      </c>
      <c r="DC141">
        <f>$C141*DC140</f>
        <v/>
      </c>
    </row>
    <row r="142">
      <c r="B142" t="inlineStr">
        <is>
          <t>TSP-930</t>
        </is>
      </c>
      <c r="C142" t="inlineStr">
        <is>
          <t>No. of batches</t>
        </is>
      </c>
      <c r="D142">
        <f>IFERROR(INDEX(PP_Grid[#Data],$DD142,2),0)</f>
        <v/>
      </c>
      <c r="E142">
        <f>IFERROR(INDEX(PP_Grid[#Data],$DD142,3),0)</f>
        <v/>
      </c>
      <c r="F142">
        <f>IFERROR(INDEX(PP_Grid[#Data],$DD142,4),0)</f>
        <v/>
      </c>
      <c r="G142">
        <f>IFERROR(INDEX(PP_Grid[#Data],$DD142,5),0)</f>
        <v/>
      </c>
      <c r="H142">
        <f>IFERROR(INDEX(PP_Grid[#Data],$DD142,6),0)</f>
        <v/>
      </c>
      <c r="I142">
        <f>IFERROR(INDEX(PP_Grid[#Data],$DD142,7),0)</f>
        <v/>
      </c>
      <c r="J142">
        <f>IFERROR(INDEX(PP_Grid[#Data],$DD142,8),0)</f>
        <v/>
      </c>
      <c r="K142">
        <f>IFERROR(INDEX(PP_Grid[#Data],$DD142,9),0)</f>
        <v/>
      </c>
      <c r="L142">
        <f>IFERROR(INDEX(PP_Grid[#Data],$DD142,10),0)</f>
        <v/>
      </c>
      <c r="M142">
        <f>IFERROR(INDEX(PP_Grid[#Data],$DD142,11),0)</f>
        <v/>
      </c>
      <c r="N142">
        <f>IFERROR(INDEX(PP_Grid[#Data],$DD142,12),0)</f>
        <v/>
      </c>
      <c r="O142">
        <f>IFERROR(INDEX(PP_Grid[#Data],$DD142,13),0)</f>
        <v/>
      </c>
      <c r="P142">
        <f>IFERROR(INDEX(PP_Grid[#Data],$DD142,14),0)</f>
        <v/>
      </c>
      <c r="Q142">
        <f>IFERROR(INDEX(PP_Grid[#Data],$DD142,15),0)</f>
        <v/>
      </c>
      <c r="R142">
        <f>IFERROR(INDEX(PP_Grid[#Data],$DD142,16),0)</f>
        <v/>
      </c>
      <c r="S142">
        <f>IFERROR(INDEX(PP_Grid[#Data],$DD142,17),0)</f>
        <v/>
      </c>
      <c r="T142">
        <f>IFERROR(INDEX(PP_Grid[#Data],$DD142,18),0)</f>
        <v/>
      </c>
      <c r="U142">
        <f>IFERROR(INDEX(PP_Grid[#Data],$DD142,19),0)</f>
        <v/>
      </c>
      <c r="V142">
        <f>IFERROR(INDEX(PP_Grid[#Data],$DD142,20),0)</f>
        <v/>
      </c>
      <c r="W142">
        <f>IFERROR(INDEX(PP_Grid[#Data],$DD142,21),0)</f>
        <v/>
      </c>
      <c r="X142">
        <f>IFERROR(INDEX(PP_Grid[#Data],$DD142,22),0)</f>
        <v/>
      </c>
      <c r="Y142">
        <f>IFERROR(INDEX(PP_Grid[#Data],$DD142,23),0)</f>
        <v/>
      </c>
      <c r="Z142">
        <f>IFERROR(INDEX(PP_Grid[#Data],$DD142,24),0)</f>
        <v/>
      </c>
      <c r="AA142">
        <f>IFERROR(INDEX(PP_Grid[#Data],$DD142,25),0)</f>
        <v/>
      </c>
      <c r="AB142">
        <f>IFERROR(INDEX(PP_Grid[#Data],$DD142,26),0)</f>
        <v/>
      </c>
      <c r="AC142">
        <f>IFERROR(INDEX(PP_Grid[#Data],$DD142,27),0)</f>
        <v/>
      </c>
      <c r="AD142">
        <f>IFERROR(INDEX(PP_Grid[#Data],$DD142,28),0)</f>
        <v/>
      </c>
      <c r="AE142">
        <f>IFERROR(INDEX(PP_Grid[#Data],$DD142,29),0)</f>
        <v/>
      </c>
      <c r="AF142">
        <f>IFERROR(INDEX(PP_Grid[#Data],$DD142,30),0)</f>
        <v/>
      </c>
      <c r="AG142">
        <f>IFERROR(INDEX(PP_Grid[#Data],$DD142,31),0)</f>
        <v/>
      </c>
      <c r="AH142">
        <f>IFERROR(INDEX(PP_Grid[#Data],$DD142,32),0)</f>
        <v/>
      </c>
      <c r="AI142">
        <f>IFERROR(INDEX(PP_Grid[#Data],$DD142,33),0)</f>
        <v/>
      </c>
      <c r="AJ142">
        <f>IFERROR(INDEX(PP_Grid[#Data],$DD142,34),0)</f>
        <v/>
      </c>
      <c r="AK142">
        <f>IFERROR(INDEX(PP_Grid[#Data],$DD142,35),0)</f>
        <v/>
      </c>
      <c r="AL142">
        <f>IFERROR(INDEX(PP_Grid[#Data],$DD142,36),0)</f>
        <v/>
      </c>
      <c r="AM142">
        <f>IFERROR(INDEX(PP_Grid[#Data],$DD142,37),0)</f>
        <v/>
      </c>
      <c r="AN142">
        <f>IFERROR(INDEX(PP_Grid[#Data],$DD142,38),0)</f>
        <v/>
      </c>
      <c r="AO142">
        <f>IFERROR(INDEX(PP_Grid[#Data],$DD142,39),0)</f>
        <v/>
      </c>
      <c r="AP142">
        <f>IFERROR(INDEX(PP_Grid[#Data],$DD142,40),0)</f>
        <v/>
      </c>
      <c r="AQ142">
        <f>IFERROR(INDEX(PP_Grid[#Data],$DD142,41),0)</f>
        <v/>
      </c>
      <c r="AR142">
        <f>IFERROR(INDEX(PP_Grid[#Data],$DD142,42),0)</f>
        <v/>
      </c>
      <c r="AS142">
        <f>IFERROR(INDEX(PP_Grid[#Data],$DD142,43),0)</f>
        <v/>
      </c>
      <c r="AT142">
        <f>IFERROR(INDEX(PP_Grid[#Data],$DD142,44),0)</f>
        <v/>
      </c>
      <c r="AU142">
        <f>IFERROR(INDEX(PP_Grid[#Data],$DD142,45),0)</f>
        <v/>
      </c>
      <c r="AV142">
        <f>IFERROR(INDEX(PP_Grid[#Data],$DD142,46),0)</f>
        <v/>
      </c>
      <c r="AW142">
        <f>IFERROR(INDEX(PP_Grid[#Data],$DD142,47),0)</f>
        <v/>
      </c>
      <c r="AX142">
        <f>IFERROR(INDEX(PP_Grid[#Data],$DD142,48),0)</f>
        <v/>
      </c>
      <c r="AY142">
        <f>IFERROR(INDEX(PP_Grid[#Data],$DD142,49),0)</f>
        <v/>
      </c>
      <c r="AZ142">
        <f>IFERROR(INDEX(PP_Grid[#Data],$DD142,50),0)</f>
        <v/>
      </c>
      <c r="BA142">
        <f>IFERROR(INDEX(PP_Grid[#Data],$DD142,51),0)</f>
        <v/>
      </c>
      <c r="BB142">
        <f>IFERROR(INDEX(PP_Grid[#Data],$DD142,52),0)</f>
        <v/>
      </c>
      <c r="BC142">
        <f>IFERROR(INDEX(PP_Grid[#Data],$DD142,53),0)</f>
        <v/>
      </c>
      <c r="BD142">
        <f>IFERROR(INDEX(PP_Grid[#Data],$DD142,54),0)</f>
        <v/>
      </c>
      <c r="BE142">
        <f>IFERROR(INDEX(PP_Grid[#Data],$DD142,55),0)</f>
        <v/>
      </c>
      <c r="BF142">
        <f>IFERROR(INDEX(PP_Grid[#Data],$DD142,56),0)</f>
        <v/>
      </c>
      <c r="BG142">
        <f>IFERROR(INDEX(PP_Grid[#Data],$DD142,57),0)</f>
        <v/>
      </c>
      <c r="BH142">
        <f>IFERROR(INDEX(PP_Grid[#Data],$DD142,58),0)</f>
        <v/>
      </c>
      <c r="BI142">
        <f>IFERROR(INDEX(PP_Grid[#Data],$DD142,59),0)</f>
        <v/>
      </c>
      <c r="BJ142">
        <f>IFERROR(INDEX(PP_Grid[#Data],$DD142,60),0)</f>
        <v/>
      </c>
      <c r="BK142">
        <f>IFERROR(INDEX(PP_Grid[#Data],$DD142,61),0)</f>
        <v/>
      </c>
      <c r="BL142">
        <f>IFERROR(INDEX(PP_Grid[#Data],$DD142,62),0)</f>
        <v/>
      </c>
      <c r="BM142">
        <f>IFERROR(INDEX(PP_Grid[#Data],$DD142,63),0)</f>
        <v/>
      </c>
      <c r="BN142">
        <f>IFERROR(INDEX(PP_Grid[#Data],$DD142,64),0)</f>
        <v/>
      </c>
      <c r="BO142">
        <f>IFERROR(INDEX(PP_Grid[#Data],$DD142,65),0)</f>
        <v/>
      </c>
      <c r="BP142">
        <f>IFERROR(INDEX(PP_Grid[#Data],$DD142,66),0)</f>
        <v/>
      </c>
      <c r="BQ142">
        <f>IFERROR(INDEX(PP_Grid[#Data],$DD142,67),0)</f>
        <v/>
      </c>
      <c r="BR142">
        <f>IFERROR(INDEX(PP_Grid[#Data],$DD142,68),0)</f>
        <v/>
      </c>
      <c r="BS142">
        <f>IFERROR(INDEX(PP_Grid[#Data],$DD142,69),0)</f>
        <v/>
      </c>
      <c r="BT142">
        <f>IFERROR(INDEX(PP_Grid[#Data],$DD142,70),0)</f>
        <v/>
      </c>
      <c r="BU142">
        <f>IFERROR(INDEX(PP_Grid[#Data],$DD142,71),0)</f>
        <v/>
      </c>
      <c r="BV142">
        <f>IFERROR(INDEX(PP_Grid[#Data],$DD142,72),0)</f>
        <v/>
      </c>
      <c r="BW142">
        <f>IFERROR(INDEX(PP_Grid[#Data],$DD142,73),0)</f>
        <v/>
      </c>
      <c r="BX142">
        <f>IFERROR(INDEX(PP_Grid[#Data],$DD142,74),0)</f>
        <v/>
      </c>
      <c r="BY142">
        <f>IFERROR(INDEX(PP_Grid[#Data],$DD142,75),0)</f>
        <v/>
      </c>
      <c r="BZ142">
        <f>IFERROR(INDEX(PP_Grid[#Data],$DD142,76),0)</f>
        <v/>
      </c>
      <c r="CA142">
        <f>IFERROR(INDEX(PP_Grid[#Data],$DD142,77),0)</f>
        <v/>
      </c>
      <c r="CB142">
        <f>IFERROR(INDEX(PP_Grid[#Data],$DD142,78),0)</f>
        <v/>
      </c>
      <c r="CC142">
        <f>IFERROR(INDEX(PP_Grid[#Data],$DD142,79),0)</f>
        <v/>
      </c>
      <c r="CD142">
        <f>IFERROR(INDEX(PP_Grid[#Data],$DD142,80),0)</f>
        <v/>
      </c>
      <c r="CE142">
        <f>IFERROR(INDEX(PP_Grid[#Data],$DD142,81),0)</f>
        <v/>
      </c>
      <c r="CF142">
        <f>IFERROR(INDEX(PP_Grid[#Data],$DD142,82),0)</f>
        <v/>
      </c>
      <c r="CG142">
        <f>IFERROR(INDEX(PP_Grid[#Data],$DD142,83),0)</f>
        <v/>
      </c>
      <c r="CH142">
        <f>IFERROR(INDEX(PP_Grid[#Data],$DD142,84),0)</f>
        <v/>
      </c>
      <c r="CI142">
        <f>IFERROR(INDEX(PP_Grid[#Data],$DD142,85),0)</f>
        <v/>
      </c>
      <c r="CJ142">
        <f>IFERROR(INDEX(PP_Grid[#Data],$DD142,86),0)</f>
        <v/>
      </c>
      <c r="CK142">
        <f>IFERROR(INDEX(PP_Grid[#Data],$DD142,87),0)</f>
        <v/>
      </c>
      <c r="CL142">
        <f>IFERROR(INDEX(PP_Grid[#Data],$DD142,88),0)</f>
        <v/>
      </c>
      <c r="CM142">
        <f>IFERROR(INDEX(PP_Grid[#Data],$DD142,89),0)</f>
        <v/>
      </c>
      <c r="CN142">
        <f>IFERROR(INDEX(PP_Grid[#Data],$DD142,90),0)</f>
        <v/>
      </c>
      <c r="CO142">
        <f>IFERROR(INDEX(PP_Grid[#Data],$DD142,91),0)</f>
        <v/>
      </c>
      <c r="CP142">
        <f>IFERROR(INDEX(PP_Grid[#Data],$DD142,92),0)</f>
        <v/>
      </c>
      <c r="CQ142">
        <f>IFERROR(INDEX(PP_Grid[#Data],$DD142,93),0)</f>
        <v/>
      </c>
      <c r="CR142">
        <f>IFERROR(INDEX(PP_Grid[#Data],$DD142,94),0)</f>
        <v/>
      </c>
      <c r="CS142">
        <f>IFERROR(INDEX(PP_Grid[#Data],$DD142,95),0)</f>
        <v/>
      </c>
      <c r="CT142">
        <f>IFERROR(INDEX(PP_Grid[#Data],$DD142,96),0)</f>
        <v/>
      </c>
      <c r="CU142">
        <f>IFERROR(INDEX(PP_Grid[#Data],$DD142,97),0)</f>
        <v/>
      </c>
      <c r="CV142">
        <f>IFERROR(INDEX(PP_Grid[#Data],$DD142,98),0)</f>
        <v/>
      </c>
      <c r="CW142">
        <f>IFERROR(INDEX(PP_Grid[#Data],$DD142,99),0)</f>
        <v/>
      </c>
      <c r="CX142">
        <f>IFERROR(INDEX(PP_Grid[#Data],$DD142,100),0)</f>
        <v/>
      </c>
      <c r="CY142">
        <f>IFERROR(INDEX(PP_Grid[#Data],$DD142,101),0)</f>
        <v/>
      </c>
      <c r="CZ142">
        <f>IFERROR(INDEX(PP_Grid[#Data],$DD142,102),0)</f>
        <v/>
      </c>
      <c r="DA142">
        <f>IFERROR(INDEX(PP_Grid[#Data],$DD142,103),0)</f>
        <v/>
      </c>
      <c r="DB142">
        <f>IFERROR(INDEX(PP_Grid[#Data],$DD142,104),0)</f>
        <v/>
      </c>
      <c r="DC142">
        <f>IFERROR(INDEX(PP_Grid[#Data],$DD142,105),0)</f>
        <v/>
      </c>
      <c r="DD142" s="12">
        <f>IFERROR(MATCH($B142,PP_Grid[Intermediate],0),99999)</f>
        <v/>
      </c>
    </row>
    <row r="143">
      <c r="B143" t="inlineStr">
        <is>
          <t>使用量(kg)</t>
        </is>
      </c>
      <c r="C143">
        <f>SUMIFS(M_BOM[RM_Qty_Per_Batch],M_BOM[Intermediate],$B142,M_BOM[Part Name],$A111)</f>
        <v/>
      </c>
      <c r="D143">
        <f>$C143*D142</f>
        <v/>
      </c>
      <c r="E143">
        <f>$C143*E142</f>
        <v/>
      </c>
      <c r="F143">
        <f>$C143*F142</f>
        <v/>
      </c>
      <c r="G143">
        <f>$C143*G142</f>
        <v/>
      </c>
      <c r="H143">
        <f>$C143*H142</f>
        <v/>
      </c>
      <c r="I143">
        <f>$C143*I142</f>
        <v/>
      </c>
      <c r="J143">
        <f>$C143*J142</f>
        <v/>
      </c>
      <c r="K143">
        <f>$C143*K142</f>
        <v/>
      </c>
      <c r="L143">
        <f>$C143*L142</f>
        <v/>
      </c>
      <c r="M143">
        <f>$C143*M142</f>
        <v/>
      </c>
      <c r="N143">
        <f>$C143*N142</f>
        <v/>
      </c>
      <c r="O143">
        <f>$C143*O142</f>
        <v/>
      </c>
      <c r="P143">
        <f>$C143*P142</f>
        <v/>
      </c>
      <c r="Q143">
        <f>$C143*Q142</f>
        <v/>
      </c>
      <c r="R143">
        <f>$C143*R142</f>
        <v/>
      </c>
      <c r="S143">
        <f>$C143*S142</f>
        <v/>
      </c>
      <c r="T143">
        <f>$C143*T142</f>
        <v/>
      </c>
      <c r="U143">
        <f>$C143*U142</f>
        <v/>
      </c>
      <c r="V143">
        <f>$C143*V142</f>
        <v/>
      </c>
      <c r="W143">
        <f>$C143*W142</f>
        <v/>
      </c>
      <c r="X143">
        <f>$C143*X142</f>
        <v/>
      </c>
      <c r="Y143">
        <f>$C143*Y142</f>
        <v/>
      </c>
      <c r="Z143">
        <f>$C143*Z142</f>
        <v/>
      </c>
      <c r="AA143">
        <f>$C143*AA142</f>
        <v/>
      </c>
      <c r="AB143">
        <f>$C143*AB142</f>
        <v/>
      </c>
      <c r="AC143">
        <f>$C143*AC142</f>
        <v/>
      </c>
      <c r="AD143">
        <f>$C143*AD142</f>
        <v/>
      </c>
      <c r="AE143">
        <f>$C143*AE142</f>
        <v/>
      </c>
      <c r="AF143">
        <f>$C143*AF142</f>
        <v/>
      </c>
      <c r="AG143">
        <f>$C143*AG142</f>
        <v/>
      </c>
      <c r="AH143">
        <f>$C143*AH142</f>
        <v/>
      </c>
      <c r="AI143">
        <f>$C143*AI142</f>
        <v/>
      </c>
      <c r="AJ143">
        <f>$C143*AJ142</f>
        <v/>
      </c>
      <c r="AK143">
        <f>$C143*AK142</f>
        <v/>
      </c>
      <c r="AL143">
        <f>$C143*AL142</f>
        <v/>
      </c>
      <c r="AM143">
        <f>$C143*AM142</f>
        <v/>
      </c>
      <c r="AN143">
        <f>$C143*AN142</f>
        <v/>
      </c>
      <c r="AO143">
        <f>$C143*AO142</f>
        <v/>
      </c>
      <c r="AP143">
        <f>$C143*AP142</f>
        <v/>
      </c>
      <c r="AQ143">
        <f>$C143*AQ142</f>
        <v/>
      </c>
      <c r="AR143">
        <f>$C143*AR142</f>
        <v/>
      </c>
      <c r="AS143">
        <f>$C143*AS142</f>
        <v/>
      </c>
      <c r="AT143">
        <f>$C143*AT142</f>
        <v/>
      </c>
      <c r="AU143">
        <f>$C143*AU142</f>
        <v/>
      </c>
      <c r="AV143">
        <f>$C143*AV142</f>
        <v/>
      </c>
      <c r="AW143">
        <f>$C143*AW142</f>
        <v/>
      </c>
      <c r="AX143">
        <f>$C143*AX142</f>
        <v/>
      </c>
      <c r="AY143">
        <f>$C143*AY142</f>
        <v/>
      </c>
      <c r="AZ143">
        <f>$C143*AZ142</f>
        <v/>
      </c>
      <c r="BA143">
        <f>$C143*BA142</f>
        <v/>
      </c>
      <c r="BB143">
        <f>$C143*BB142</f>
        <v/>
      </c>
      <c r="BC143">
        <f>$C143*BC142</f>
        <v/>
      </c>
      <c r="BD143">
        <f>$C143*BD142</f>
        <v/>
      </c>
      <c r="BE143">
        <f>$C143*BE142</f>
        <v/>
      </c>
      <c r="BF143">
        <f>$C143*BF142</f>
        <v/>
      </c>
      <c r="BG143">
        <f>$C143*BG142</f>
        <v/>
      </c>
      <c r="BH143">
        <f>$C143*BH142</f>
        <v/>
      </c>
      <c r="BI143">
        <f>$C143*BI142</f>
        <v/>
      </c>
      <c r="BJ143">
        <f>$C143*BJ142</f>
        <v/>
      </c>
      <c r="BK143">
        <f>$C143*BK142</f>
        <v/>
      </c>
      <c r="BL143">
        <f>$C143*BL142</f>
        <v/>
      </c>
      <c r="BM143">
        <f>$C143*BM142</f>
        <v/>
      </c>
      <c r="BN143">
        <f>$C143*BN142</f>
        <v/>
      </c>
      <c r="BO143">
        <f>$C143*BO142</f>
        <v/>
      </c>
      <c r="BP143">
        <f>$C143*BP142</f>
        <v/>
      </c>
      <c r="BQ143">
        <f>$C143*BQ142</f>
        <v/>
      </c>
      <c r="BR143">
        <f>$C143*BR142</f>
        <v/>
      </c>
      <c r="BS143">
        <f>$C143*BS142</f>
        <v/>
      </c>
      <c r="BT143">
        <f>$C143*BT142</f>
        <v/>
      </c>
      <c r="BU143">
        <f>$C143*BU142</f>
        <v/>
      </c>
      <c r="BV143">
        <f>$C143*BV142</f>
        <v/>
      </c>
      <c r="BW143">
        <f>$C143*BW142</f>
        <v/>
      </c>
      <c r="BX143">
        <f>$C143*BX142</f>
        <v/>
      </c>
      <c r="BY143">
        <f>$C143*BY142</f>
        <v/>
      </c>
      <c r="BZ143">
        <f>$C143*BZ142</f>
        <v/>
      </c>
      <c r="CA143">
        <f>$C143*CA142</f>
        <v/>
      </c>
      <c r="CB143">
        <f>$C143*CB142</f>
        <v/>
      </c>
      <c r="CC143">
        <f>$C143*CC142</f>
        <v/>
      </c>
      <c r="CD143">
        <f>$C143*CD142</f>
        <v/>
      </c>
      <c r="CE143">
        <f>$C143*CE142</f>
        <v/>
      </c>
      <c r="CF143">
        <f>$C143*CF142</f>
        <v/>
      </c>
      <c r="CG143">
        <f>$C143*CG142</f>
        <v/>
      </c>
      <c r="CH143">
        <f>$C143*CH142</f>
        <v/>
      </c>
      <c r="CI143">
        <f>$C143*CI142</f>
        <v/>
      </c>
      <c r="CJ143">
        <f>$C143*CJ142</f>
        <v/>
      </c>
      <c r="CK143">
        <f>$C143*CK142</f>
        <v/>
      </c>
      <c r="CL143">
        <f>$C143*CL142</f>
        <v/>
      </c>
      <c r="CM143">
        <f>$C143*CM142</f>
        <v/>
      </c>
      <c r="CN143">
        <f>$C143*CN142</f>
        <v/>
      </c>
      <c r="CO143">
        <f>$C143*CO142</f>
        <v/>
      </c>
      <c r="CP143">
        <f>$C143*CP142</f>
        <v/>
      </c>
      <c r="CQ143">
        <f>$C143*CQ142</f>
        <v/>
      </c>
      <c r="CR143">
        <f>$C143*CR142</f>
        <v/>
      </c>
      <c r="CS143">
        <f>$C143*CS142</f>
        <v/>
      </c>
      <c r="CT143">
        <f>$C143*CT142</f>
        <v/>
      </c>
      <c r="CU143">
        <f>$C143*CU142</f>
        <v/>
      </c>
      <c r="CV143">
        <f>$C143*CV142</f>
        <v/>
      </c>
      <c r="CW143">
        <f>$C143*CW142</f>
        <v/>
      </c>
      <c r="CX143">
        <f>$C143*CX142</f>
        <v/>
      </c>
      <c r="CY143">
        <f>$C143*CY142</f>
        <v/>
      </c>
      <c r="CZ143">
        <f>$C143*CZ142</f>
        <v/>
      </c>
      <c r="DA143">
        <f>$C143*DA142</f>
        <v/>
      </c>
      <c r="DB143">
        <f>$C143*DB142</f>
        <v/>
      </c>
      <c r="DC143">
        <f>$C143*DC142</f>
        <v/>
      </c>
    </row>
    <row r="144">
      <c r="B144" t="inlineStr">
        <is>
          <t>TSP-934</t>
        </is>
      </c>
      <c r="C144" t="inlineStr">
        <is>
          <t>No. of batches</t>
        </is>
      </c>
      <c r="D144">
        <f>IFERROR(INDEX(PP_Grid[#Data],$DD144,2),0)</f>
        <v/>
      </c>
      <c r="E144">
        <f>IFERROR(INDEX(PP_Grid[#Data],$DD144,3),0)</f>
        <v/>
      </c>
      <c r="F144">
        <f>IFERROR(INDEX(PP_Grid[#Data],$DD144,4),0)</f>
        <v/>
      </c>
      <c r="G144">
        <f>IFERROR(INDEX(PP_Grid[#Data],$DD144,5),0)</f>
        <v/>
      </c>
      <c r="H144">
        <f>IFERROR(INDEX(PP_Grid[#Data],$DD144,6),0)</f>
        <v/>
      </c>
      <c r="I144">
        <f>IFERROR(INDEX(PP_Grid[#Data],$DD144,7),0)</f>
        <v/>
      </c>
      <c r="J144">
        <f>IFERROR(INDEX(PP_Grid[#Data],$DD144,8),0)</f>
        <v/>
      </c>
      <c r="K144">
        <f>IFERROR(INDEX(PP_Grid[#Data],$DD144,9),0)</f>
        <v/>
      </c>
      <c r="L144">
        <f>IFERROR(INDEX(PP_Grid[#Data],$DD144,10),0)</f>
        <v/>
      </c>
      <c r="M144">
        <f>IFERROR(INDEX(PP_Grid[#Data],$DD144,11),0)</f>
        <v/>
      </c>
      <c r="N144">
        <f>IFERROR(INDEX(PP_Grid[#Data],$DD144,12),0)</f>
        <v/>
      </c>
      <c r="O144">
        <f>IFERROR(INDEX(PP_Grid[#Data],$DD144,13),0)</f>
        <v/>
      </c>
      <c r="P144">
        <f>IFERROR(INDEX(PP_Grid[#Data],$DD144,14),0)</f>
        <v/>
      </c>
      <c r="Q144">
        <f>IFERROR(INDEX(PP_Grid[#Data],$DD144,15),0)</f>
        <v/>
      </c>
      <c r="R144">
        <f>IFERROR(INDEX(PP_Grid[#Data],$DD144,16),0)</f>
        <v/>
      </c>
      <c r="S144">
        <f>IFERROR(INDEX(PP_Grid[#Data],$DD144,17),0)</f>
        <v/>
      </c>
      <c r="T144">
        <f>IFERROR(INDEX(PP_Grid[#Data],$DD144,18),0)</f>
        <v/>
      </c>
      <c r="U144">
        <f>IFERROR(INDEX(PP_Grid[#Data],$DD144,19),0)</f>
        <v/>
      </c>
      <c r="V144">
        <f>IFERROR(INDEX(PP_Grid[#Data],$DD144,20),0)</f>
        <v/>
      </c>
      <c r="W144">
        <f>IFERROR(INDEX(PP_Grid[#Data],$DD144,21),0)</f>
        <v/>
      </c>
      <c r="X144">
        <f>IFERROR(INDEX(PP_Grid[#Data],$DD144,22),0)</f>
        <v/>
      </c>
      <c r="Y144">
        <f>IFERROR(INDEX(PP_Grid[#Data],$DD144,23),0)</f>
        <v/>
      </c>
      <c r="Z144">
        <f>IFERROR(INDEX(PP_Grid[#Data],$DD144,24),0)</f>
        <v/>
      </c>
      <c r="AA144">
        <f>IFERROR(INDEX(PP_Grid[#Data],$DD144,25),0)</f>
        <v/>
      </c>
      <c r="AB144">
        <f>IFERROR(INDEX(PP_Grid[#Data],$DD144,26),0)</f>
        <v/>
      </c>
      <c r="AC144">
        <f>IFERROR(INDEX(PP_Grid[#Data],$DD144,27),0)</f>
        <v/>
      </c>
      <c r="AD144">
        <f>IFERROR(INDEX(PP_Grid[#Data],$DD144,28),0)</f>
        <v/>
      </c>
      <c r="AE144">
        <f>IFERROR(INDEX(PP_Grid[#Data],$DD144,29),0)</f>
        <v/>
      </c>
      <c r="AF144">
        <f>IFERROR(INDEX(PP_Grid[#Data],$DD144,30),0)</f>
        <v/>
      </c>
      <c r="AG144">
        <f>IFERROR(INDEX(PP_Grid[#Data],$DD144,31),0)</f>
        <v/>
      </c>
      <c r="AH144">
        <f>IFERROR(INDEX(PP_Grid[#Data],$DD144,32),0)</f>
        <v/>
      </c>
      <c r="AI144">
        <f>IFERROR(INDEX(PP_Grid[#Data],$DD144,33),0)</f>
        <v/>
      </c>
      <c r="AJ144">
        <f>IFERROR(INDEX(PP_Grid[#Data],$DD144,34),0)</f>
        <v/>
      </c>
      <c r="AK144">
        <f>IFERROR(INDEX(PP_Grid[#Data],$DD144,35),0)</f>
        <v/>
      </c>
      <c r="AL144">
        <f>IFERROR(INDEX(PP_Grid[#Data],$DD144,36),0)</f>
        <v/>
      </c>
      <c r="AM144">
        <f>IFERROR(INDEX(PP_Grid[#Data],$DD144,37),0)</f>
        <v/>
      </c>
      <c r="AN144">
        <f>IFERROR(INDEX(PP_Grid[#Data],$DD144,38),0)</f>
        <v/>
      </c>
      <c r="AO144">
        <f>IFERROR(INDEX(PP_Grid[#Data],$DD144,39),0)</f>
        <v/>
      </c>
      <c r="AP144">
        <f>IFERROR(INDEX(PP_Grid[#Data],$DD144,40),0)</f>
        <v/>
      </c>
      <c r="AQ144">
        <f>IFERROR(INDEX(PP_Grid[#Data],$DD144,41),0)</f>
        <v/>
      </c>
      <c r="AR144">
        <f>IFERROR(INDEX(PP_Grid[#Data],$DD144,42),0)</f>
        <v/>
      </c>
      <c r="AS144">
        <f>IFERROR(INDEX(PP_Grid[#Data],$DD144,43),0)</f>
        <v/>
      </c>
      <c r="AT144">
        <f>IFERROR(INDEX(PP_Grid[#Data],$DD144,44),0)</f>
        <v/>
      </c>
      <c r="AU144">
        <f>IFERROR(INDEX(PP_Grid[#Data],$DD144,45),0)</f>
        <v/>
      </c>
      <c r="AV144">
        <f>IFERROR(INDEX(PP_Grid[#Data],$DD144,46),0)</f>
        <v/>
      </c>
      <c r="AW144">
        <f>IFERROR(INDEX(PP_Grid[#Data],$DD144,47),0)</f>
        <v/>
      </c>
      <c r="AX144">
        <f>IFERROR(INDEX(PP_Grid[#Data],$DD144,48),0)</f>
        <v/>
      </c>
      <c r="AY144">
        <f>IFERROR(INDEX(PP_Grid[#Data],$DD144,49),0)</f>
        <v/>
      </c>
      <c r="AZ144">
        <f>IFERROR(INDEX(PP_Grid[#Data],$DD144,50),0)</f>
        <v/>
      </c>
      <c r="BA144">
        <f>IFERROR(INDEX(PP_Grid[#Data],$DD144,51),0)</f>
        <v/>
      </c>
      <c r="BB144">
        <f>IFERROR(INDEX(PP_Grid[#Data],$DD144,52),0)</f>
        <v/>
      </c>
      <c r="BC144">
        <f>IFERROR(INDEX(PP_Grid[#Data],$DD144,53),0)</f>
        <v/>
      </c>
      <c r="BD144">
        <f>IFERROR(INDEX(PP_Grid[#Data],$DD144,54),0)</f>
        <v/>
      </c>
      <c r="BE144">
        <f>IFERROR(INDEX(PP_Grid[#Data],$DD144,55),0)</f>
        <v/>
      </c>
      <c r="BF144">
        <f>IFERROR(INDEX(PP_Grid[#Data],$DD144,56),0)</f>
        <v/>
      </c>
      <c r="BG144">
        <f>IFERROR(INDEX(PP_Grid[#Data],$DD144,57),0)</f>
        <v/>
      </c>
      <c r="BH144">
        <f>IFERROR(INDEX(PP_Grid[#Data],$DD144,58),0)</f>
        <v/>
      </c>
      <c r="BI144">
        <f>IFERROR(INDEX(PP_Grid[#Data],$DD144,59),0)</f>
        <v/>
      </c>
      <c r="BJ144">
        <f>IFERROR(INDEX(PP_Grid[#Data],$DD144,60),0)</f>
        <v/>
      </c>
      <c r="BK144">
        <f>IFERROR(INDEX(PP_Grid[#Data],$DD144,61),0)</f>
        <v/>
      </c>
      <c r="BL144">
        <f>IFERROR(INDEX(PP_Grid[#Data],$DD144,62),0)</f>
        <v/>
      </c>
      <c r="BM144">
        <f>IFERROR(INDEX(PP_Grid[#Data],$DD144,63),0)</f>
        <v/>
      </c>
      <c r="BN144">
        <f>IFERROR(INDEX(PP_Grid[#Data],$DD144,64),0)</f>
        <v/>
      </c>
      <c r="BO144">
        <f>IFERROR(INDEX(PP_Grid[#Data],$DD144,65),0)</f>
        <v/>
      </c>
      <c r="BP144">
        <f>IFERROR(INDEX(PP_Grid[#Data],$DD144,66),0)</f>
        <v/>
      </c>
      <c r="BQ144">
        <f>IFERROR(INDEX(PP_Grid[#Data],$DD144,67),0)</f>
        <v/>
      </c>
      <c r="BR144">
        <f>IFERROR(INDEX(PP_Grid[#Data],$DD144,68),0)</f>
        <v/>
      </c>
      <c r="BS144">
        <f>IFERROR(INDEX(PP_Grid[#Data],$DD144,69),0)</f>
        <v/>
      </c>
      <c r="BT144">
        <f>IFERROR(INDEX(PP_Grid[#Data],$DD144,70),0)</f>
        <v/>
      </c>
      <c r="BU144">
        <f>IFERROR(INDEX(PP_Grid[#Data],$DD144,71),0)</f>
        <v/>
      </c>
      <c r="BV144">
        <f>IFERROR(INDEX(PP_Grid[#Data],$DD144,72),0)</f>
        <v/>
      </c>
      <c r="BW144">
        <f>IFERROR(INDEX(PP_Grid[#Data],$DD144,73),0)</f>
        <v/>
      </c>
      <c r="BX144">
        <f>IFERROR(INDEX(PP_Grid[#Data],$DD144,74),0)</f>
        <v/>
      </c>
      <c r="BY144">
        <f>IFERROR(INDEX(PP_Grid[#Data],$DD144,75),0)</f>
        <v/>
      </c>
      <c r="BZ144">
        <f>IFERROR(INDEX(PP_Grid[#Data],$DD144,76),0)</f>
        <v/>
      </c>
      <c r="CA144">
        <f>IFERROR(INDEX(PP_Grid[#Data],$DD144,77),0)</f>
        <v/>
      </c>
      <c r="CB144">
        <f>IFERROR(INDEX(PP_Grid[#Data],$DD144,78),0)</f>
        <v/>
      </c>
      <c r="CC144">
        <f>IFERROR(INDEX(PP_Grid[#Data],$DD144,79),0)</f>
        <v/>
      </c>
      <c r="CD144">
        <f>IFERROR(INDEX(PP_Grid[#Data],$DD144,80),0)</f>
        <v/>
      </c>
      <c r="CE144">
        <f>IFERROR(INDEX(PP_Grid[#Data],$DD144,81),0)</f>
        <v/>
      </c>
      <c r="CF144">
        <f>IFERROR(INDEX(PP_Grid[#Data],$DD144,82),0)</f>
        <v/>
      </c>
      <c r="CG144">
        <f>IFERROR(INDEX(PP_Grid[#Data],$DD144,83),0)</f>
        <v/>
      </c>
      <c r="CH144">
        <f>IFERROR(INDEX(PP_Grid[#Data],$DD144,84),0)</f>
        <v/>
      </c>
      <c r="CI144">
        <f>IFERROR(INDEX(PP_Grid[#Data],$DD144,85),0)</f>
        <v/>
      </c>
      <c r="CJ144">
        <f>IFERROR(INDEX(PP_Grid[#Data],$DD144,86),0)</f>
        <v/>
      </c>
      <c r="CK144">
        <f>IFERROR(INDEX(PP_Grid[#Data],$DD144,87),0)</f>
        <v/>
      </c>
      <c r="CL144">
        <f>IFERROR(INDEX(PP_Grid[#Data],$DD144,88),0)</f>
        <v/>
      </c>
      <c r="CM144">
        <f>IFERROR(INDEX(PP_Grid[#Data],$DD144,89),0)</f>
        <v/>
      </c>
      <c r="CN144">
        <f>IFERROR(INDEX(PP_Grid[#Data],$DD144,90),0)</f>
        <v/>
      </c>
      <c r="CO144">
        <f>IFERROR(INDEX(PP_Grid[#Data],$DD144,91),0)</f>
        <v/>
      </c>
      <c r="CP144">
        <f>IFERROR(INDEX(PP_Grid[#Data],$DD144,92),0)</f>
        <v/>
      </c>
      <c r="CQ144">
        <f>IFERROR(INDEX(PP_Grid[#Data],$DD144,93),0)</f>
        <v/>
      </c>
      <c r="CR144">
        <f>IFERROR(INDEX(PP_Grid[#Data],$DD144,94),0)</f>
        <v/>
      </c>
      <c r="CS144">
        <f>IFERROR(INDEX(PP_Grid[#Data],$DD144,95),0)</f>
        <v/>
      </c>
      <c r="CT144">
        <f>IFERROR(INDEX(PP_Grid[#Data],$DD144,96),0)</f>
        <v/>
      </c>
      <c r="CU144">
        <f>IFERROR(INDEX(PP_Grid[#Data],$DD144,97),0)</f>
        <v/>
      </c>
      <c r="CV144">
        <f>IFERROR(INDEX(PP_Grid[#Data],$DD144,98),0)</f>
        <v/>
      </c>
      <c r="CW144">
        <f>IFERROR(INDEX(PP_Grid[#Data],$DD144,99),0)</f>
        <v/>
      </c>
      <c r="CX144">
        <f>IFERROR(INDEX(PP_Grid[#Data],$DD144,100),0)</f>
        <v/>
      </c>
      <c r="CY144">
        <f>IFERROR(INDEX(PP_Grid[#Data],$DD144,101),0)</f>
        <v/>
      </c>
      <c r="CZ144">
        <f>IFERROR(INDEX(PP_Grid[#Data],$DD144,102),0)</f>
        <v/>
      </c>
      <c r="DA144">
        <f>IFERROR(INDEX(PP_Grid[#Data],$DD144,103),0)</f>
        <v/>
      </c>
      <c r="DB144">
        <f>IFERROR(INDEX(PP_Grid[#Data],$DD144,104),0)</f>
        <v/>
      </c>
      <c r="DC144">
        <f>IFERROR(INDEX(PP_Grid[#Data],$DD144,105),0)</f>
        <v/>
      </c>
      <c r="DD144" s="12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SUMIFS(M_BOM[RM_Qty_Per_Batch],M_BOM[Intermediate],$B144,M_BOM[Part Name],$A111)</f>
        <v/>
      </c>
      <c r="D145">
        <f>$C145*D144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</row>
    <row r="146">
      <c r="B146" t="inlineStr">
        <is>
          <t>TSP-935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Name],$A111)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TSP-936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Name],$A111)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TSP-937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Name],$A111)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'Grid_Requirement'!B20</f>
        <v/>
      </c>
      <c r="E152">
        <f>'Grid_Requirement'!C20</f>
        <v/>
      </c>
      <c r="F152">
        <f>'Grid_Requirement'!D20</f>
        <v/>
      </c>
      <c r="G152">
        <f>'Grid_Requirement'!E20</f>
        <v/>
      </c>
      <c r="H152">
        <f>'Grid_Requirement'!F20</f>
        <v/>
      </c>
      <c r="I152">
        <f>'Grid_Requirement'!G20</f>
        <v/>
      </c>
      <c r="J152">
        <f>'Grid_Requirement'!H20</f>
        <v/>
      </c>
      <c r="K152">
        <f>'Grid_Requirement'!I20</f>
        <v/>
      </c>
      <c r="L152">
        <f>'Grid_Requirement'!J20</f>
        <v/>
      </c>
      <c r="M152">
        <f>'Grid_Requirement'!K20</f>
        <v/>
      </c>
      <c r="N152">
        <f>'Grid_Requirement'!L20</f>
        <v/>
      </c>
      <c r="O152">
        <f>'Grid_Requirement'!M20</f>
        <v/>
      </c>
      <c r="P152">
        <f>'Grid_Requirement'!N20</f>
        <v/>
      </c>
      <c r="Q152">
        <f>'Grid_Requirement'!O20</f>
        <v/>
      </c>
      <c r="R152">
        <f>'Grid_Requirement'!P20</f>
        <v/>
      </c>
      <c r="S152">
        <f>'Grid_Requirement'!Q20</f>
        <v/>
      </c>
      <c r="T152">
        <f>'Grid_Requirement'!R20</f>
        <v/>
      </c>
      <c r="U152">
        <f>'Grid_Requirement'!S20</f>
        <v/>
      </c>
      <c r="V152">
        <f>'Grid_Requirement'!T20</f>
        <v/>
      </c>
      <c r="W152">
        <f>'Grid_Requirement'!U20</f>
        <v/>
      </c>
      <c r="X152">
        <f>'Grid_Requirement'!V20</f>
        <v/>
      </c>
      <c r="Y152">
        <f>'Grid_Requirement'!W20</f>
        <v/>
      </c>
      <c r="Z152">
        <f>'Grid_Requirement'!X20</f>
        <v/>
      </c>
      <c r="AA152">
        <f>'Grid_Requirement'!Y20</f>
        <v/>
      </c>
      <c r="AB152">
        <f>'Grid_Requirement'!Z20</f>
        <v/>
      </c>
      <c r="AC152">
        <f>'Grid_Requirement'!AA20</f>
        <v/>
      </c>
      <c r="AD152">
        <f>'Grid_Requirement'!AB20</f>
        <v/>
      </c>
      <c r="AE152">
        <f>'Grid_Requirement'!AC20</f>
        <v/>
      </c>
      <c r="AF152">
        <f>'Grid_Requirement'!AD20</f>
        <v/>
      </c>
      <c r="AG152">
        <f>'Grid_Requirement'!AE20</f>
        <v/>
      </c>
      <c r="AH152">
        <f>'Grid_Requirement'!AF20</f>
        <v/>
      </c>
      <c r="AI152">
        <f>'Grid_Requirement'!AG20</f>
        <v/>
      </c>
      <c r="AJ152">
        <f>'Grid_Requirement'!AH20</f>
        <v/>
      </c>
      <c r="AK152">
        <f>'Grid_Requirement'!AI20</f>
        <v/>
      </c>
      <c r="AL152">
        <f>'Grid_Requirement'!AJ20</f>
        <v/>
      </c>
      <c r="AM152">
        <f>'Grid_Requirement'!AK20</f>
        <v/>
      </c>
      <c r="AN152">
        <f>'Grid_Requirement'!AL20</f>
        <v/>
      </c>
      <c r="AO152">
        <f>'Grid_Requirement'!AM20</f>
        <v/>
      </c>
      <c r="AP152">
        <f>'Grid_Requirement'!AN20</f>
        <v/>
      </c>
      <c r="AQ152">
        <f>'Grid_Requirement'!AO20</f>
        <v/>
      </c>
      <c r="AR152">
        <f>'Grid_Requirement'!AP20</f>
        <v/>
      </c>
      <c r="AS152">
        <f>'Grid_Requirement'!AQ20</f>
        <v/>
      </c>
      <c r="AT152">
        <f>'Grid_Requirement'!AR20</f>
        <v/>
      </c>
      <c r="AU152">
        <f>'Grid_Requirement'!AS20</f>
        <v/>
      </c>
      <c r="AV152">
        <f>'Grid_Requirement'!AT20</f>
        <v/>
      </c>
      <c r="AW152">
        <f>'Grid_Requirement'!AU20</f>
        <v/>
      </c>
      <c r="AX152">
        <f>'Grid_Requirement'!AV20</f>
        <v/>
      </c>
      <c r="AY152">
        <f>'Grid_Requirement'!AW20</f>
        <v/>
      </c>
      <c r="AZ152">
        <f>'Grid_Requirement'!AX20</f>
        <v/>
      </c>
      <c r="BA152">
        <f>'Grid_Requirement'!AY20</f>
        <v/>
      </c>
      <c r="BB152">
        <f>'Grid_Requirement'!AZ20</f>
        <v/>
      </c>
      <c r="BC152">
        <f>'Grid_Requirement'!BA20</f>
        <v/>
      </c>
      <c r="BD152">
        <f>'Grid_Requirement'!BB20</f>
        <v/>
      </c>
      <c r="BE152">
        <f>'Grid_Requirement'!BC20</f>
        <v/>
      </c>
      <c r="BF152">
        <f>'Grid_Requirement'!BD20</f>
        <v/>
      </c>
      <c r="BG152">
        <f>'Grid_Requirement'!BE20</f>
        <v/>
      </c>
      <c r="BH152">
        <f>'Grid_Requirement'!BF20</f>
        <v/>
      </c>
      <c r="BI152">
        <f>'Grid_Requirement'!BG20</f>
        <v/>
      </c>
      <c r="BJ152">
        <f>'Grid_Requirement'!BH20</f>
        <v/>
      </c>
      <c r="BK152">
        <f>'Grid_Requirement'!BI20</f>
        <v/>
      </c>
      <c r="BL152">
        <f>'Grid_Requirement'!BJ20</f>
        <v/>
      </c>
      <c r="BM152">
        <f>'Grid_Requirement'!BK20</f>
        <v/>
      </c>
      <c r="BN152">
        <f>'Grid_Requirement'!BL20</f>
        <v/>
      </c>
      <c r="BO152">
        <f>'Grid_Requirement'!BM20</f>
        <v/>
      </c>
      <c r="BP152">
        <f>'Grid_Requirement'!BN20</f>
        <v/>
      </c>
      <c r="BQ152">
        <f>'Grid_Requirement'!BO20</f>
        <v/>
      </c>
      <c r="BR152">
        <f>'Grid_Requirement'!BP20</f>
        <v/>
      </c>
      <c r="BS152">
        <f>'Grid_Requirement'!BQ20</f>
        <v/>
      </c>
      <c r="BT152">
        <f>'Grid_Requirement'!BR20</f>
        <v/>
      </c>
      <c r="BU152">
        <f>'Grid_Requirement'!BS20</f>
        <v/>
      </c>
      <c r="BV152">
        <f>'Grid_Requirement'!BT20</f>
        <v/>
      </c>
      <c r="BW152">
        <f>'Grid_Requirement'!BU20</f>
        <v/>
      </c>
      <c r="BX152">
        <f>'Grid_Requirement'!BV20</f>
        <v/>
      </c>
      <c r="BY152">
        <f>'Grid_Requirement'!BW20</f>
        <v/>
      </c>
      <c r="BZ152">
        <f>'Grid_Requirement'!BX20</f>
        <v/>
      </c>
      <c r="CA152">
        <f>'Grid_Requirement'!BY20</f>
        <v/>
      </c>
      <c r="CB152">
        <f>'Grid_Requirement'!BZ20</f>
        <v/>
      </c>
      <c r="CC152">
        <f>'Grid_Requirement'!CA20</f>
        <v/>
      </c>
      <c r="CD152">
        <f>'Grid_Requirement'!CB20</f>
        <v/>
      </c>
      <c r="CE152">
        <f>'Grid_Requirement'!CC20</f>
        <v/>
      </c>
      <c r="CF152">
        <f>'Grid_Requirement'!CD20</f>
        <v/>
      </c>
      <c r="CG152">
        <f>'Grid_Requirement'!CE20</f>
        <v/>
      </c>
      <c r="CH152">
        <f>'Grid_Requirement'!CF20</f>
        <v/>
      </c>
      <c r="CI152">
        <f>'Grid_Requirement'!CG20</f>
        <v/>
      </c>
      <c r="CJ152">
        <f>'Grid_Requirement'!CH20</f>
        <v/>
      </c>
      <c r="CK152">
        <f>'Grid_Requirement'!CI20</f>
        <v/>
      </c>
      <c r="CL152">
        <f>'Grid_Requirement'!CJ20</f>
        <v/>
      </c>
      <c r="CM152">
        <f>'Grid_Requirement'!CK20</f>
        <v/>
      </c>
      <c r="CN152">
        <f>'Grid_Requirement'!CL20</f>
        <v/>
      </c>
      <c r="CO152">
        <f>'Grid_Requirement'!CM20</f>
        <v/>
      </c>
      <c r="CP152">
        <f>'Grid_Requirement'!CN20</f>
        <v/>
      </c>
      <c r="CQ152">
        <f>'Grid_Requirement'!CO20</f>
        <v/>
      </c>
      <c r="CR152">
        <f>'Grid_Requirement'!CP20</f>
        <v/>
      </c>
      <c r="CS152">
        <f>'Grid_Requirement'!CQ20</f>
        <v/>
      </c>
      <c r="CT152">
        <f>'Grid_Requirement'!CR20</f>
        <v/>
      </c>
      <c r="CU152">
        <f>'Grid_Requirement'!CS20</f>
        <v/>
      </c>
      <c r="CV152">
        <f>'Grid_Requirement'!CT20</f>
        <v/>
      </c>
      <c r="CW152">
        <f>'Grid_Requirement'!CU20</f>
        <v/>
      </c>
      <c r="CX152">
        <f>'Grid_Requirement'!CV20</f>
        <v/>
      </c>
      <c r="CY152">
        <f>'Grid_Requirement'!CW20</f>
        <v/>
      </c>
      <c r="CZ152">
        <f>'Grid_Requirement'!CX20</f>
        <v/>
      </c>
      <c r="DA152">
        <f>'Grid_Requirement'!CY20</f>
        <v/>
      </c>
      <c r="DB152">
        <f>'Grid_Requirement'!CZ20</f>
        <v/>
      </c>
      <c r="DC152">
        <f>'Grid_Requirement'!DA20</f>
        <v/>
      </c>
    </row>
    <row r="153">
      <c r="B153" t="inlineStr">
        <is>
          <t>TTAF在庫(実績,kg)</t>
        </is>
      </c>
      <c r="D153">
        <f>'T_TTAFStock'!B24</f>
        <v/>
      </c>
      <c r="E153">
        <f>'T_TTAFStock'!C24</f>
        <v/>
      </c>
      <c r="F153">
        <f>'T_TTAFStock'!D24</f>
        <v/>
      </c>
      <c r="G153">
        <f>'T_TTAFStock'!E24</f>
        <v/>
      </c>
      <c r="H153">
        <f>'T_TTAFStock'!F24</f>
        <v/>
      </c>
      <c r="I153">
        <f>'T_TTAFStock'!G24</f>
        <v/>
      </c>
      <c r="J153">
        <f>'T_TTAFStock'!H24</f>
        <v/>
      </c>
      <c r="K153">
        <f>'T_TTAFStock'!I24</f>
        <v/>
      </c>
      <c r="L153">
        <f>'T_TTAFStock'!J24</f>
        <v/>
      </c>
      <c r="M153">
        <f>'T_TTAFStock'!K24</f>
        <v/>
      </c>
      <c r="N153">
        <f>'T_TTAFStock'!L24</f>
        <v/>
      </c>
      <c r="O153">
        <f>'T_TTAFStock'!M24</f>
        <v/>
      </c>
      <c r="P153">
        <f>'T_TTAFStock'!N24</f>
        <v/>
      </c>
      <c r="Q153">
        <f>'T_TTAFStock'!O24</f>
        <v/>
      </c>
      <c r="R153">
        <f>'T_TTAFStock'!P24</f>
        <v/>
      </c>
      <c r="S153">
        <f>'T_TTAFStock'!Q24</f>
        <v/>
      </c>
      <c r="T153">
        <f>'T_TTAFStock'!R24</f>
        <v/>
      </c>
      <c r="U153">
        <f>'T_TTAFStock'!S24</f>
        <v/>
      </c>
      <c r="V153">
        <f>'T_TTAFStock'!T24</f>
        <v/>
      </c>
      <c r="W153">
        <f>'T_TTAFStock'!U24</f>
        <v/>
      </c>
      <c r="X153">
        <f>'T_TTAFStock'!V24</f>
        <v/>
      </c>
      <c r="Y153">
        <f>'T_TTAFStock'!W24</f>
        <v/>
      </c>
      <c r="Z153">
        <f>'T_TTAFStock'!X24</f>
        <v/>
      </c>
      <c r="AA153">
        <f>'T_TTAFStock'!Y24</f>
        <v/>
      </c>
      <c r="AB153">
        <f>'T_TTAFStock'!Z24</f>
        <v/>
      </c>
      <c r="AC153">
        <f>'T_TTAFStock'!AA24</f>
        <v/>
      </c>
      <c r="AD153">
        <f>'T_TTAFStock'!AB24</f>
        <v/>
      </c>
      <c r="AE153">
        <f>'T_TTAFStock'!AC24</f>
        <v/>
      </c>
      <c r="AF153">
        <f>'T_TTAFStock'!AD24</f>
        <v/>
      </c>
      <c r="AG153">
        <f>'T_TTAFStock'!AE24</f>
        <v/>
      </c>
      <c r="AH153">
        <f>'T_TTAFStock'!AF24</f>
        <v/>
      </c>
      <c r="AI153">
        <f>'T_TTAFStock'!AG24</f>
        <v/>
      </c>
      <c r="AJ153">
        <f>'T_TTAFStock'!AH24</f>
        <v/>
      </c>
      <c r="AK153">
        <f>'T_TTAFStock'!AI24</f>
        <v/>
      </c>
      <c r="AL153">
        <f>'T_TTAFStock'!AJ24</f>
        <v/>
      </c>
      <c r="AM153">
        <f>'T_TTAFStock'!AK24</f>
        <v/>
      </c>
      <c r="AN153">
        <f>'T_TTAFStock'!AL24</f>
        <v/>
      </c>
      <c r="AO153">
        <f>'T_TTAFStock'!AM24</f>
        <v/>
      </c>
      <c r="AP153">
        <f>'T_TTAFStock'!AN24</f>
        <v/>
      </c>
      <c r="AQ153">
        <f>'T_TTAFStock'!AO24</f>
        <v/>
      </c>
      <c r="AR153">
        <f>'T_TTAFStock'!AP24</f>
        <v/>
      </c>
      <c r="AS153">
        <f>'T_TTAFStock'!AQ24</f>
        <v/>
      </c>
      <c r="AT153">
        <f>'T_TTAFStock'!AR24</f>
        <v/>
      </c>
      <c r="AU153">
        <f>'T_TTAFStock'!AS24</f>
        <v/>
      </c>
      <c r="AV153">
        <f>'T_TTAFStock'!AT24</f>
        <v/>
      </c>
      <c r="AW153">
        <f>'T_TTAFStock'!AU24</f>
        <v/>
      </c>
      <c r="AX153">
        <f>'T_TTAFStock'!AV24</f>
        <v/>
      </c>
      <c r="AY153">
        <f>'T_TTAFStock'!AW24</f>
        <v/>
      </c>
      <c r="AZ153">
        <f>'T_TTAFStock'!AX24</f>
        <v/>
      </c>
      <c r="BA153">
        <f>'T_TTAFStock'!AY24</f>
        <v/>
      </c>
      <c r="BB153">
        <f>'T_TTAFStock'!AZ24</f>
        <v/>
      </c>
      <c r="BC153">
        <f>'T_TTAFStock'!BA24</f>
        <v/>
      </c>
      <c r="BD153">
        <f>'T_TTAFStock'!BB24</f>
        <v/>
      </c>
      <c r="BE153">
        <f>'T_TTAFStock'!BC24</f>
        <v/>
      </c>
      <c r="BF153">
        <f>'T_TTAFStock'!BD24</f>
        <v/>
      </c>
      <c r="BG153">
        <f>'T_TTAFStock'!BE24</f>
        <v/>
      </c>
      <c r="BH153">
        <f>'T_TTAFStock'!BF24</f>
        <v/>
      </c>
      <c r="BI153">
        <f>'T_TTAFStock'!BG24</f>
        <v/>
      </c>
      <c r="BJ153">
        <f>'T_TTAFStock'!BH24</f>
        <v/>
      </c>
      <c r="BK153">
        <f>'T_TTAFStock'!BI24</f>
        <v/>
      </c>
      <c r="BL153">
        <f>'T_TTAFStock'!BJ24</f>
        <v/>
      </c>
      <c r="BM153">
        <f>'T_TTAFStock'!BK24</f>
        <v/>
      </c>
      <c r="BN153">
        <f>'T_TTAFStock'!BL24</f>
        <v/>
      </c>
      <c r="BO153">
        <f>'T_TTAFStock'!BM24</f>
        <v/>
      </c>
      <c r="BP153">
        <f>'T_TTAFStock'!BN24</f>
        <v/>
      </c>
      <c r="BQ153">
        <f>'T_TTAFStock'!BO24</f>
        <v/>
      </c>
      <c r="BR153">
        <f>'T_TTAFStock'!BP24</f>
        <v/>
      </c>
      <c r="BS153">
        <f>'T_TTAFStock'!BQ24</f>
        <v/>
      </c>
      <c r="BT153">
        <f>'T_TTAFStock'!BR24</f>
        <v/>
      </c>
      <c r="BU153">
        <f>'T_TTAFStock'!BS24</f>
        <v/>
      </c>
      <c r="BV153">
        <f>'T_TTAFStock'!BT24</f>
        <v/>
      </c>
      <c r="BW153">
        <f>'T_TTAFStock'!BU24</f>
        <v/>
      </c>
      <c r="BX153">
        <f>'T_TTAFStock'!BV24</f>
        <v/>
      </c>
      <c r="BY153">
        <f>'T_TTAFStock'!BW24</f>
        <v/>
      </c>
      <c r="BZ153">
        <f>'T_TTAFStock'!BX24</f>
        <v/>
      </c>
      <c r="CA153">
        <f>'T_TTAFStock'!BY24</f>
        <v/>
      </c>
      <c r="CB153">
        <f>'T_TTAFStock'!BZ24</f>
        <v/>
      </c>
      <c r="CC153">
        <f>'T_TTAFStock'!CA24</f>
        <v/>
      </c>
      <c r="CD153">
        <f>'T_TTAFStock'!CB24</f>
        <v/>
      </c>
      <c r="CE153">
        <f>'T_TTAFStock'!CC24</f>
        <v/>
      </c>
      <c r="CF153">
        <f>'T_TTAFStock'!CD24</f>
        <v/>
      </c>
      <c r="CG153">
        <f>'T_TTAFStock'!CE24</f>
        <v/>
      </c>
      <c r="CH153">
        <f>'T_TTAFStock'!CF24</f>
        <v/>
      </c>
      <c r="CI153">
        <f>'T_TTAFStock'!CG24</f>
        <v/>
      </c>
      <c r="CJ153">
        <f>'T_TTAFStock'!CH24</f>
        <v/>
      </c>
      <c r="CK153">
        <f>'T_TTAFStock'!CI24</f>
        <v/>
      </c>
      <c r="CL153">
        <f>'T_TTAFStock'!CJ24</f>
        <v/>
      </c>
      <c r="CM153">
        <f>'T_TTAFStock'!CK24</f>
        <v/>
      </c>
      <c r="CN153">
        <f>'T_TTAFStock'!CL24</f>
        <v/>
      </c>
      <c r="CO153">
        <f>'T_TTAFStock'!CM24</f>
        <v/>
      </c>
      <c r="CP153">
        <f>'T_TTAFStock'!CN24</f>
        <v/>
      </c>
      <c r="CQ153">
        <f>'T_TTAFStock'!CO24</f>
        <v/>
      </c>
      <c r="CR153">
        <f>'T_TTAFStock'!CP24</f>
        <v/>
      </c>
      <c r="CS153">
        <f>'T_TTAFStock'!CQ24</f>
        <v/>
      </c>
      <c r="CT153">
        <f>'T_TTAFStock'!CR24</f>
        <v/>
      </c>
      <c r="CU153">
        <f>'T_TTAFStock'!CS24</f>
        <v/>
      </c>
      <c r="CV153">
        <f>'T_TTAFStock'!CT24</f>
        <v/>
      </c>
      <c r="CW153">
        <f>'T_TTAFStock'!CU24</f>
        <v/>
      </c>
      <c r="CX153">
        <f>'T_TTAFStock'!CV24</f>
        <v/>
      </c>
      <c r="CY153">
        <f>'T_TTAFStock'!CW24</f>
        <v/>
      </c>
      <c r="CZ153">
        <f>'T_TTAFStock'!CX24</f>
        <v/>
      </c>
      <c r="DA153">
        <f>'T_TTAFStock'!CY24</f>
        <v/>
      </c>
      <c r="DB153">
        <f>'T_TTAFStock'!CZ24</f>
        <v/>
      </c>
      <c r="DC153">
        <f>'T_TTAFStock'!DA24</f>
        <v/>
      </c>
    </row>
    <row r="154">
      <c r="B154" t="inlineStr">
        <is>
          <t>自社在庫(実績,kg)</t>
        </is>
      </c>
      <c r="D154">
        <f>'T_SelfStock'!B24</f>
        <v/>
      </c>
      <c r="E154">
        <f>'T_SelfStock'!C24</f>
        <v/>
      </c>
      <c r="F154">
        <f>'T_SelfStock'!D24</f>
        <v/>
      </c>
      <c r="G154">
        <f>'T_SelfStock'!E24</f>
        <v/>
      </c>
      <c r="H154">
        <f>'T_SelfStock'!F24</f>
        <v/>
      </c>
      <c r="I154">
        <f>'T_SelfStock'!G24</f>
        <v/>
      </c>
      <c r="J154">
        <f>'T_SelfStock'!H24</f>
        <v/>
      </c>
      <c r="K154">
        <f>'T_SelfStock'!I24</f>
        <v/>
      </c>
      <c r="L154">
        <f>'T_SelfStock'!J24</f>
        <v/>
      </c>
      <c r="M154">
        <f>'T_SelfStock'!K24</f>
        <v/>
      </c>
      <c r="N154">
        <f>'T_SelfStock'!L24</f>
        <v/>
      </c>
      <c r="O154">
        <f>'T_SelfStock'!M24</f>
        <v/>
      </c>
      <c r="P154">
        <f>'T_SelfStock'!N24</f>
        <v/>
      </c>
      <c r="Q154">
        <f>'T_SelfStock'!O24</f>
        <v/>
      </c>
      <c r="R154">
        <f>'T_SelfStock'!P24</f>
        <v/>
      </c>
      <c r="S154">
        <f>'T_SelfStock'!Q24</f>
        <v/>
      </c>
      <c r="T154">
        <f>'T_SelfStock'!R24</f>
        <v/>
      </c>
      <c r="U154">
        <f>'T_SelfStock'!S24</f>
        <v/>
      </c>
      <c r="V154">
        <f>'T_SelfStock'!T24</f>
        <v/>
      </c>
      <c r="W154">
        <f>'T_SelfStock'!U24</f>
        <v/>
      </c>
      <c r="X154">
        <f>'T_SelfStock'!V24</f>
        <v/>
      </c>
      <c r="Y154">
        <f>'T_SelfStock'!W24</f>
        <v/>
      </c>
      <c r="Z154">
        <f>'T_SelfStock'!X24</f>
        <v/>
      </c>
      <c r="AA154">
        <f>'T_SelfStock'!Y24</f>
        <v/>
      </c>
      <c r="AB154">
        <f>'T_SelfStock'!Z24</f>
        <v/>
      </c>
      <c r="AC154">
        <f>'T_SelfStock'!AA24</f>
        <v/>
      </c>
      <c r="AD154">
        <f>'T_SelfStock'!AB24</f>
        <v/>
      </c>
      <c r="AE154">
        <f>'T_SelfStock'!AC24</f>
        <v/>
      </c>
      <c r="AF154">
        <f>'T_SelfStock'!AD24</f>
        <v/>
      </c>
      <c r="AG154">
        <f>'T_SelfStock'!AE24</f>
        <v/>
      </c>
      <c r="AH154">
        <f>'T_SelfStock'!AF24</f>
        <v/>
      </c>
      <c r="AI154">
        <f>'T_SelfStock'!AG24</f>
        <v/>
      </c>
      <c r="AJ154">
        <f>'T_SelfStock'!AH24</f>
        <v/>
      </c>
      <c r="AK154">
        <f>'T_SelfStock'!AI24</f>
        <v/>
      </c>
      <c r="AL154">
        <f>'T_SelfStock'!AJ24</f>
        <v/>
      </c>
      <c r="AM154">
        <f>'T_SelfStock'!AK24</f>
        <v/>
      </c>
      <c r="AN154">
        <f>'T_SelfStock'!AL24</f>
        <v/>
      </c>
      <c r="AO154">
        <f>'T_SelfStock'!AM24</f>
        <v/>
      </c>
      <c r="AP154">
        <f>'T_SelfStock'!AN24</f>
        <v/>
      </c>
      <c r="AQ154">
        <f>'T_SelfStock'!AO24</f>
        <v/>
      </c>
      <c r="AR154">
        <f>'T_SelfStock'!AP24</f>
        <v/>
      </c>
      <c r="AS154">
        <f>'T_SelfStock'!AQ24</f>
        <v/>
      </c>
      <c r="AT154">
        <f>'T_SelfStock'!AR24</f>
        <v/>
      </c>
      <c r="AU154">
        <f>'T_SelfStock'!AS24</f>
        <v/>
      </c>
      <c r="AV154">
        <f>'T_SelfStock'!AT24</f>
        <v/>
      </c>
      <c r="AW154">
        <f>'T_SelfStock'!AU24</f>
        <v/>
      </c>
      <c r="AX154">
        <f>'T_SelfStock'!AV24</f>
        <v/>
      </c>
      <c r="AY154">
        <f>'T_SelfStock'!AW24</f>
        <v/>
      </c>
      <c r="AZ154">
        <f>'T_SelfStock'!AX24</f>
        <v/>
      </c>
      <c r="BA154">
        <f>'T_SelfStock'!AY24</f>
        <v/>
      </c>
      <c r="BB154">
        <f>'T_SelfStock'!AZ24</f>
        <v/>
      </c>
      <c r="BC154">
        <f>'T_SelfStock'!BA24</f>
        <v/>
      </c>
      <c r="BD154">
        <f>'T_SelfStock'!BB24</f>
        <v/>
      </c>
      <c r="BE154">
        <f>'T_SelfStock'!BC24</f>
        <v/>
      </c>
      <c r="BF154">
        <f>'T_SelfStock'!BD24</f>
        <v/>
      </c>
      <c r="BG154">
        <f>'T_SelfStock'!BE24</f>
        <v/>
      </c>
      <c r="BH154">
        <f>'T_SelfStock'!BF24</f>
        <v/>
      </c>
      <c r="BI154">
        <f>'T_SelfStock'!BG24</f>
        <v/>
      </c>
      <c r="BJ154">
        <f>'T_SelfStock'!BH24</f>
        <v/>
      </c>
      <c r="BK154">
        <f>'T_SelfStock'!BI24</f>
        <v/>
      </c>
      <c r="BL154">
        <f>'T_SelfStock'!BJ24</f>
        <v/>
      </c>
      <c r="BM154">
        <f>'T_SelfStock'!BK24</f>
        <v/>
      </c>
      <c r="BN154">
        <f>'T_SelfStock'!BL24</f>
        <v/>
      </c>
      <c r="BO154">
        <f>'T_SelfStock'!BM24</f>
        <v/>
      </c>
      <c r="BP154">
        <f>'T_SelfStock'!BN24</f>
        <v/>
      </c>
      <c r="BQ154">
        <f>'T_SelfStock'!BO24</f>
        <v/>
      </c>
      <c r="BR154">
        <f>'T_SelfStock'!BP24</f>
        <v/>
      </c>
      <c r="BS154">
        <f>'T_SelfStock'!BQ24</f>
        <v/>
      </c>
      <c r="BT154">
        <f>'T_SelfStock'!BR24</f>
        <v/>
      </c>
      <c r="BU154">
        <f>'T_SelfStock'!BS24</f>
        <v/>
      </c>
      <c r="BV154">
        <f>'T_SelfStock'!BT24</f>
        <v/>
      </c>
      <c r="BW154">
        <f>'T_SelfStock'!BU24</f>
        <v/>
      </c>
      <c r="BX154">
        <f>'T_SelfStock'!BV24</f>
        <v/>
      </c>
      <c r="BY154">
        <f>'T_SelfStock'!BW24</f>
        <v/>
      </c>
      <c r="BZ154">
        <f>'T_SelfStock'!BX24</f>
        <v/>
      </c>
      <c r="CA154">
        <f>'T_SelfStock'!BY24</f>
        <v/>
      </c>
      <c r="CB154">
        <f>'T_SelfStock'!BZ24</f>
        <v/>
      </c>
      <c r="CC154">
        <f>'T_SelfStock'!CA24</f>
        <v/>
      </c>
      <c r="CD154">
        <f>'T_SelfStock'!CB24</f>
        <v/>
      </c>
      <c r="CE154">
        <f>'T_SelfStock'!CC24</f>
        <v/>
      </c>
      <c r="CF154">
        <f>'T_SelfStock'!CD24</f>
        <v/>
      </c>
      <c r="CG154">
        <f>'T_SelfStock'!CE24</f>
        <v/>
      </c>
      <c r="CH154">
        <f>'T_SelfStock'!CF24</f>
        <v/>
      </c>
      <c r="CI154">
        <f>'T_SelfStock'!CG24</f>
        <v/>
      </c>
      <c r="CJ154">
        <f>'T_SelfStock'!CH24</f>
        <v/>
      </c>
      <c r="CK154">
        <f>'T_SelfStock'!CI24</f>
        <v/>
      </c>
      <c r="CL154">
        <f>'T_SelfStock'!CJ24</f>
        <v/>
      </c>
      <c r="CM154">
        <f>'T_SelfStock'!CK24</f>
        <v/>
      </c>
      <c r="CN154">
        <f>'T_SelfStock'!CL24</f>
        <v/>
      </c>
      <c r="CO154">
        <f>'T_SelfStock'!CM24</f>
        <v/>
      </c>
      <c r="CP154">
        <f>'T_SelfStock'!CN24</f>
        <v/>
      </c>
      <c r="CQ154">
        <f>'T_SelfStock'!CO24</f>
        <v/>
      </c>
      <c r="CR154">
        <f>'T_SelfStock'!CP24</f>
        <v/>
      </c>
      <c r="CS154">
        <f>'T_SelfStock'!CQ24</f>
        <v/>
      </c>
      <c r="CT154">
        <f>'T_SelfStock'!CR24</f>
        <v/>
      </c>
      <c r="CU154">
        <f>'T_SelfStock'!CS24</f>
        <v/>
      </c>
      <c r="CV154">
        <f>'T_SelfStock'!CT24</f>
        <v/>
      </c>
      <c r="CW154">
        <f>'T_SelfStock'!CU24</f>
        <v/>
      </c>
      <c r="CX154">
        <f>'T_SelfStock'!CV24</f>
        <v/>
      </c>
      <c r="CY154">
        <f>'T_SelfStock'!CW24</f>
        <v/>
      </c>
      <c r="CZ154">
        <f>'T_SelfStock'!CX24</f>
        <v/>
      </c>
      <c r="DA154">
        <f>'T_SelfStock'!CY24</f>
        <v/>
      </c>
      <c r="DB154">
        <f>'T_SelfStock'!CZ24</f>
        <v/>
      </c>
      <c r="DC154">
        <f>'T_SelfStock'!DA24</f>
        <v/>
      </c>
    </row>
    <row r="155">
      <c r="B155" t="inlineStr">
        <is>
          <t>Order(発注予定,kg)</t>
        </is>
      </c>
      <c r="D155">
        <f>IF(SUMIFS(T_PlannedOrders[EffectiveQty],T_PlannedOrders[Part Name],$A111,T_PlannedOrders[WeekIndex],1)=0,"",SUMIFS(T_PlannedOrders[EffectiveQty],T_PlannedOrders[Part Name],$A111,T_PlannedOrders[WeekIndex],1)&amp;" ("&amp;TEXT(SUMPRODUCT(MAX((T_PlannedOrders[Part Name]=$A111)*(T_PlannedOrders[WeekIndex]=1)*(T_PlannedOrders[EffectiveQty]&gt;0)*T_PlannedOrders[Order_Month])),"m月")&amp;"発注)")</f>
        <v/>
      </c>
      <c r="E155">
        <f>IF(SUMIFS(T_PlannedOrders[EffectiveQty],T_PlannedOrders[Part Name],$A111,T_PlannedOrders[WeekIndex],2)=0,"",SUMIFS(T_PlannedOrders[EffectiveQty],T_PlannedOrders[Part Name],$A111,T_PlannedOrders[WeekIndex],2)&amp;" ("&amp;TEXT(SUMPRODUCT(MAX((T_PlannedOrders[Part Name]=$A111)*(T_PlannedOrders[WeekIndex]=2)*(T_PlannedOrders[EffectiveQty]&gt;0)*T_PlannedOrders[Order_Month])),"m月")&amp;"発注)")</f>
        <v/>
      </c>
      <c r="F155">
        <f>IF(SUMIFS(T_PlannedOrders[EffectiveQty],T_PlannedOrders[Part Name],$A111,T_PlannedOrders[WeekIndex],3)=0,"",SUMIFS(T_PlannedOrders[EffectiveQty],T_PlannedOrders[Part Name],$A111,T_PlannedOrders[WeekIndex],3)&amp;" ("&amp;TEXT(SUMPRODUCT(MAX((T_PlannedOrders[Part Name]=$A111)*(T_PlannedOrders[WeekIndex]=3)*(T_PlannedOrders[EffectiveQty]&gt;0)*T_PlannedOrders[Order_Month])),"m月")&amp;"発注)")</f>
        <v/>
      </c>
      <c r="G155">
        <f>IF(SUMIFS(T_PlannedOrders[EffectiveQty],T_PlannedOrders[Part Name],$A111,T_PlannedOrders[WeekIndex],4)=0,"",SUMIFS(T_PlannedOrders[EffectiveQty],T_PlannedOrders[Part Name],$A111,T_PlannedOrders[WeekIndex],4)&amp;" ("&amp;TEXT(SUMPRODUCT(MAX((T_PlannedOrders[Part Name]=$A111)*(T_PlannedOrders[WeekIndex]=4)*(T_PlannedOrders[EffectiveQty]&gt;0)*T_PlannedOrders[Order_Month])),"m月")&amp;"発注)")</f>
        <v/>
      </c>
      <c r="H155">
        <f>IF(SUMIFS(T_PlannedOrders[EffectiveQty],T_PlannedOrders[Part Name],$A111,T_PlannedOrders[WeekIndex],5)=0,"",SUMIFS(T_PlannedOrders[EffectiveQty],T_PlannedOrders[Part Name],$A111,T_PlannedOrders[WeekIndex],5)&amp;" ("&amp;TEXT(SUMPRODUCT(MAX((T_PlannedOrders[Part Name]=$A111)*(T_PlannedOrders[WeekIndex]=5)*(T_PlannedOrders[EffectiveQty]&gt;0)*T_PlannedOrders[Order_Month])),"m月")&amp;"発注)")</f>
        <v/>
      </c>
      <c r="I155">
        <f>IF(SUMIFS(T_PlannedOrders[EffectiveQty],T_PlannedOrders[Part Name],$A111,T_PlannedOrders[WeekIndex],6)=0,"",SUMIFS(T_PlannedOrders[EffectiveQty],T_PlannedOrders[Part Name],$A111,T_PlannedOrders[WeekIndex],6)&amp;" ("&amp;TEXT(SUMPRODUCT(MAX((T_PlannedOrders[Part Name]=$A111)*(T_PlannedOrders[WeekIndex]=6)*(T_PlannedOrders[EffectiveQty]&gt;0)*T_PlannedOrders[Order_Month])),"m月")&amp;"発注)")</f>
        <v/>
      </c>
      <c r="J155">
        <f>IF(SUMIFS(T_PlannedOrders[EffectiveQty],T_PlannedOrders[Part Name],$A111,T_PlannedOrders[WeekIndex],7)=0,"",SUMIFS(T_PlannedOrders[EffectiveQty],T_PlannedOrders[Part Name],$A111,T_PlannedOrders[WeekIndex],7)&amp;" ("&amp;TEXT(SUMPRODUCT(MAX((T_PlannedOrders[Part Name]=$A111)*(T_PlannedOrders[WeekIndex]=7)*(T_PlannedOrders[EffectiveQty]&gt;0)*T_PlannedOrders[Order_Month])),"m月")&amp;"発注)")</f>
        <v/>
      </c>
      <c r="K155">
        <f>IF(SUMIFS(T_PlannedOrders[EffectiveQty],T_PlannedOrders[Part Name],$A111,T_PlannedOrders[WeekIndex],8)=0,"",SUMIFS(T_PlannedOrders[EffectiveQty],T_PlannedOrders[Part Name],$A111,T_PlannedOrders[WeekIndex],8)&amp;" ("&amp;TEXT(SUMPRODUCT(MAX((T_PlannedOrders[Part Name]=$A111)*(T_PlannedOrders[WeekIndex]=8)*(T_PlannedOrders[EffectiveQty]&gt;0)*T_PlannedOrders[Order_Month])),"m月")&amp;"発注)")</f>
        <v/>
      </c>
      <c r="L155">
        <f>IF(SUMIFS(T_PlannedOrders[EffectiveQty],T_PlannedOrders[Part Name],$A111,T_PlannedOrders[WeekIndex],9)=0,"",SUMIFS(T_PlannedOrders[EffectiveQty],T_PlannedOrders[Part Name],$A111,T_PlannedOrders[WeekIndex],9)&amp;" ("&amp;TEXT(SUMPRODUCT(MAX((T_PlannedOrders[Part Name]=$A111)*(T_PlannedOrders[WeekIndex]=9)*(T_PlannedOrders[EffectiveQty]&gt;0)*T_PlannedOrders[Order_Month])),"m月")&amp;"発注)")</f>
        <v/>
      </c>
      <c r="M155">
        <f>IF(SUMIFS(T_PlannedOrders[EffectiveQty],T_PlannedOrders[Part Name],$A111,T_PlannedOrders[WeekIndex],10)=0,"",SUMIFS(T_PlannedOrders[EffectiveQty],T_PlannedOrders[Part Name],$A111,T_PlannedOrders[WeekIndex],10)&amp;" ("&amp;TEXT(SUMPRODUCT(MAX((T_PlannedOrders[Part Name]=$A111)*(T_PlannedOrders[WeekIndex]=10)*(T_PlannedOrders[EffectiveQty]&gt;0)*T_PlannedOrders[Order_Month])),"m月")&amp;"発注)")</f>
        <v/>
      </c>
      <c r="N155">
        <f>IF(SUMIFS(T_PlannedOrders[EffectiveQty],T_PlannedOrders[Part Name],$A111,T_PlannedOrders[WeekIndex],11)=0,"",SUMIFS(T_PlannedOrders[EffectiveQty],T_PlannedOrders[Part Name],$A111,T_PlannedOrders[WeekIndex],11)&amp;" ("&amp;TEXT(SUMPRODUCT(MAX((T_PlannedOrders[Part Name]=$A111)*(T_PlannedOrders[WeekIndex]=11)*(T_PlannedOrders[EffectiveQty]&gt;0)*T_PlannedOrders[Order_Month])),"m月")&amp;"発注)")</f>
        <v/>
      </c>
      <c r="O155">
        <f>IF(SUMIFS(T_PlannedOrders[EffectiveQty],T_PlannedOrders[Part Name],$A111,T_PlannedOrders[WeekIndex],12)=0,"",SUMIFS(T_PlannedOrders[EffectiveQty],T_PlannedOrders[Part Name],$A111,T_PlannedOrders[WeekIndex],12)&amp;" ("&amp;TEXT(SUMPRODUCT(MAX((T_PlannedOrders[Part Name]=$A111)*(T_PlannedOrders[WeekIndex]=12)*(T_PlannedOrders[EffectiveQty]&gt;0)*T_PlannedOrders[Order_Month])),"m月")&amp;"発注)")</f>
        <v/>
      </c>
      <c r="P155">
        <f>IF(SUMIFS(T_PlannedOrders[EffectiveQty],T_PlannedOrders[Part Name],$A111,T_PlannedOrders[WeekIndex],13)=0,"",SUMIFS(T_PlannedOrders[EffectiveQty],T_PlannedOrders[Part Name],$A111,T_PlannedOrders[WeekIndex],13)&amp;" ("&amp;TEXT(SUMPRODUCT(MAX((T_PlannedOrders[Part Name]=$A111)*(T_PlannedOrders[WeekIndex]=13)*(T_PlannedOrders[EffectiveQty]&gt;0)*T_PlannedOrders[Order_Month])),"m月")&amp;"発注)")</f>
        <v/>
      </c>
      <c r="Q155">
        <f>IF(SUMIFS(T_PlannedOrders[EffectiveQty],T_PlannedOrders[Part Name],$A111,T_PlannedOrders[WeekIndex],14)=0,"",SUMIFS(T_PlannedOrders[EffectiveQty],T_PlannedOrders[Part Name],$A111,T_PlannedOrders[WeekIndex],14)&amp;" ("&amp;TEXT(SUMPRODUCT(MAX((T_PlannedOrders[Part Name]=$A111)*(T_PlannedOrders[WeekIndex]=14)*(T_PlannedOrders[EffectiveQty]&gt;0)*T_PlannedOrders[Order_Month])),"m月")&amp;"発注)")</f>
        <v/>
      </c>
      <c r="R155">
        <f>IF(SUMIFS(T_PlannedOrders[EffectiveQty],T_PlannedOrders[Part Name],$A111,T_PlannedOrders[WeekIndex],15)=0,"",SUMIFS(T_PlannedOrders[EffectiveQty],T_PlannedOrders[Part Name],$A111,T_PlannedOrders[WeekIndex],15)&amp;" ("&amp;TEXT(SUMPRODUCT(MAX((T_PlannedOrders[Part Name]=$A111)*(T_PlannedOrders[WeekIndex]=15)*(T_PlannedOrders[EffectiveQty]&gt;0)*T_PlannedOrders[Order_Month])),"m月")&amp;"発注)")</f>
        <v/>
      </c>
      <c r="S155">
        <f>IF(SUMIFS(T_PlannedOrders[EffectiveQty],T_PlannedOrders[Part Name],$A111,T_PlannedOrders[WeekIndex],16)=0,"",SUMIFS(T_PlannedOrders[EffectiveQty],T_PlannedOrders[Part Name],$A111,T_PlannedOrders[WeekIndex],16)&amp;" ("&amp;TEXT(SUMPRODUCT(MAX((T_PlannedOrders[Part Name]=$A111)*(T_PlannedOrders[WeekIndex]=16)*(T_PlannedOrders[EffectiveQty]&gt;0)*T_PlannedOrders[Order_Month])),"m月")&amp;"発注)")</f>
        <v/>
      </c>
      <c r="T155">
        <f>IF(SUMIFS(T_PlannedOrders[EffectiveQty],T_PlannedOrders[Part Name],$A111,T_PlannedOrders[WeekIndex],17)=0,"",SUMIFS(T_PlannedOrders[EffectiveQty],T_PlannedOrders[Part Name],$A111,T_PlannedOrders[WeekIndex],17)&amp;" ("&amp;TEXT(SUMPRODUCT(MAX((T_PlannedOrders[Part Name]=$A111)*(T_PlannedOrders[WeekIndex]=17)*(T_PlannedOrders[EffectiveQty]&gt;0)*T_PlannedOrders[Order_Month])),"m月")&amp;"発注)")</f>
        <v/>
      </c>
      <c r="U155">
        <f>IF(SUMIFS(T_PlannedOrders[EffectiveQty],T_PlannedOrders[Part Name],$A111,T_PlannedOrders[WeekIndex],18)=0,"",SUMIFS(T_PlannedOrders[EffectiveQty],T_PlannedOrders[Part Name],$A111,T_PlannedOrders[WeekIndex],18)&amp;" ("&amp;TEXT(SUMPRODUCT(MAX((T_PlannedOrders[Part Name]=$A111)*(T_PlannedOrders[WeekIndex]=18)*(T_PlannedOrders[EffectiveQty]&gt;0)*T_PlannedOrders[Order_Month])),"m月")&amp;"発注)")</f>
        <v/>
      </c>
      <c r="V155">
        <f>IF(SUMIFS(T_PlannedOrders[EffectiveQty],T_PlannedOrders[Part Name],$A111,T_PlannedOrders[WeekIndex],19)=0,"",SUMIFS(T_PlannedOrders[EffectiveQty],T_PlannedOrders[Part Name],$A111,T_PlannedOrders[WeekIndex],19)&amp;" ("&amp;TEXT(SUMPRODUCT(MAX((T_PlannedOrders[Part Name]=$A111)*(T_PlannedOrders[WeekIndex]=19)*(T_PlannedOrders[EffectiveQty]&gt;0)*T_PlannedOrders[Order_Month])),"m月")&amp;"発注)")</f>
        <v/>
      </c>
      <c r="W155">
        <f>IF(SUMIFS(T_PlannedOrders[EffectiveQty],T_PlannedOrders[Part Name],$A111,T_PlannedOrders[WeekIndex],20)=0,"",SUMIFS(T_PlannedOrders[EffectiveQty],T_PlannedOrders[Part Name],$A111,T_PlannedOrders[WeekIndex],20)&amp;" ("&amp;TEXT(SUMPRODUCT(MAX((T_PlannedOrders[Part Name]=$A111)*(T_PlannedOrders[WeekIndex]=20)*(T_PlannedOrders[EffectiveQty]&gt;0)*T_PlannedOrders[Order_Month])),"m月")&amp;"発注)")</f>
        <v/>
      </c>
      <c r="X155">
        <f>IF(SUMIFS(T_PlannedOrders[EffectiveQty],T_PlannedOrders[Part Name],$A111,T_PlannedOrders[WeekIndex],21)=0,"",SUMIFS(T_PlannedOrders[EffectiveQty],T_PlannedOrders[Part Name],$A111,T_PlannedOrders[WeekIndex],21)&amp;" ("&amp;TEXT(SUMPRODUCT(MAX((T_PlannedOrders[Part Name]=$A111)*(T_PlannedOrders[WeekIndex]=21)*(T_PlannedOrders[EffectiveQty]&gt;0)*T_PlannedOrders[Order_Month])),"m月")&amp;"発注)")</f>
        <v/>
      </c>
      <c r="Y155">
        <f>IF(SUMIFS(T_PlannedOrders[EffectiveQty],T_PlannedOrders[Part Name],$A111,T_PlannedOrders[WeekIndex],22)=0,"",SUMIFS(T_PlannedOrders[EffectiveQty],T_PlannedOrders[Part Name],$A111,T_PlannedOrders[WeekIndex],22)&amp;" ("&amp;TEXT(SUMPRODUCT(MAX((T_PlannedOrders[Part Name]=$A111)*(T_PlannedOrders[WeekIndex]=22)*(T_PlannedOrders[EffectiveQty]&gt;0)*T_PlannedOrders[Order_Month])),"m月")&amp;"発注)")</f>
        <v/>
      </c>
      <c r="Z155">
        <f>IF(SUMIFS(T_PlannedOrders[EffectiveQty],T_PlannedOrders[Part Name],$A111,T_PlannedOrders[WeekIndex],23)=0,"",SUMIFS(T_PlannedOrders[EffectiveQty],T_PlannedOrders[Part Name],$A111,T_PlannedOrders[WeekIndex],23)&amp;" ("&amp;TEXT(SUMPRODUCT(MAX((T_PlannedOrders[Part Name]=$A111)*(T_PlannedOrders[WeekIndex]=23)*(T_PlannedOrders[EffectiveQty]&gt;0)*T_PlannedOrders[Order_Month])),"m月")&amp;"発注)")</f>
        <v/>
      </c>
      <c r="AA155">
        <f>IF(SUMIFS(T_PlannedOrders[EffectiveQty],T_PlannedOrders[Part Name],$A111,T_PlannedOrders[WeekIndex],24)=0,"",SUMIFS(T_PlannedOrders[EffectiveQty],T_PlannedOrders[Part Name],$A111,T_PlannedOrders[WeekIndex],24)&amp;" ("&amp;TEXT(SUMPRODUCT(MAX((T_PlannedOrders[Part Name]=$A111)*(T_PlannedOrders[WeekIndex]=24)*(T_PlannedOrders[EffectiveQty]&gt;0)*T_PlannedOrders[Order_Month])),"m月")&amp;"発注)")</f>
        <v/>
      </c>
      <c r="AB155">
        <f>IF(SUMIFS(T_PlannedOrders[EffectiveQty],T_PlannedOrders[Part Name],$A111,T_PlannedOrders[WeekIndex],25)=0,"",SUMIFS(T_PlannedOrders[EffectiveQty],T_PlannedOrders[Part Name],$A111,T_PlannedOrders[WeekIndex],25)&amp;" ("&amp;TEXT(SUMPRODUCT(MAX((T_PlannedOrders[Part Name]=$A111)*(T_PlannedOrders[WeekIndex]=25)*(T_PlannedOrders[EffectiveQty]&gt;0)*T_PlannedOrders[Order_Month])),"m月")&amp;"発注)")</f>
        <v/>
      </c>
      <c r="AC155">
        <f>IF(SUMIFS(T_PlannedOrders[EffectiveQty],T_PlannedOrders[Part Name],$A111,T_PlannedOrders[WeekIndex],26)=0,"",SUMIFS(T_PlannedOrders[EffectiveQty],T_PlannedOrders[Part Name],$A111,T_PlannedOrders[WeekIndex],26)&amp;" ("&amp;TEXT(SUMPRODUCT(MAX((T_PlannedOrders[Part Name]=$A111)*(T_PlannedOrders[WeekIndex]=26)*(T_PlannedOrders[EffectiveQty]&gt;0)*T_PlannedOrders[Order_Month])),"m月")&amp;"発注)")</f>
        <v/>
      </c>
      <c r="AD155">
        <f>IF(SUMIFS(T_PlannedOrders[EffectiveQty],T_PlannedOrders[Part Name],$A111,T_PlannedOrders[WeekIndex],27)=0,"",SUMIFS(T_PlannedOrders[EffectiveQty],T_PlannedOrders[Part Name],$A111,T_PlannedOrders[WeekIndex],27)&amp;" ("&amp;TEXT(SUMPRODUCT(MAX((T_PlannedOrders[Part Name]=$A111)*(T_PlannedOrders[WeekIndex]=27)*(T_PlannedOrders[EffectiveQty]&gt;0)*T_PlannedOrders[Order_Month])),"m月")&amp;"発注)")</f>
        <v/>
      </c>
      <c r="AE155">
        <f>IF(SUMIFS(T_PlannedOrders[EffectiveQty],T_PlannedOrders[Part Name],$A111,T_PlannedOrders[WeekIndex],28)=0,"",SUMIFS(T_PlannedOrders[EffectiveQty],T_PlannedOrders[Part Name],$A111,T_PlannedOrders[WeekIndex],28)&amp;" ("&amp;TEXT(SUMPRODUCT(MAX((T_PlannedOrders[Part Name]=$A111)*(T_PlannedOrders[WeekIndex]=28)*(T_PlannedOrders[EffectiveQty]&gt;0)*T_PlannedOrders[Order_Month])),"m月")&amp;"発注)")</f>
        <v/>
      </c>
      <c r="AF155">
        <f>IF(SUMIFS(T_PlannedOrders[EffectiveQty],T_PlannedOrders[Part Name],$A111,T_PlannedOrders[WeekIndex],29)=0,"",SUMIFS(T_PlannedOrders[EffectiveQty],T_PlannedOrders[Part Name],$A111,T_PlannedOrders[WeekIndex],29)&amp;" ("&amp;TEXT(SUMPRODUCT(MAX((T_PlannedOrders[Part Name]=$A111)*(T_PlannedOrders[WeekIndex]=29)*(T_PlannedOrders[EffectiveQty]&gt;0)*T_PlannedOrders[Order_Month])),"m月")&amp;"発注)")</f>
        <v/>
      </c>
      <c r="AG155">
        <f>IF(SUMIFS(T_PlannedOrders[EffectiveQty],T_PlannedOrders[Part Name],$A111,T_PlannedOrders[WeekIndex],30)=0,"",SUMIFS(T_PlannedOrders[EffectiveQty],T_PlannedOrders[Part Name],$A111,T_PlannedOrders[WeekIndex],30)&amp;" ("&amp;TEXT(SUMPRODUCT(MAX((T_PlannedOrders[Part Name]=$A111)*(T_PlannedOrders[WeekIndex]=30)*(T_PlannedOrders[EffectiveQty]&gt;0)*T_PlannedOrders[Order_Month])),"m月")&amp;"発注)")</f>
        <v/>
      </c>
      <c r="AH155">
        <f>IF(SUMIFS(T_PlannedOrders[EffectiveQty],T_PlannedOrders[Part Name],$A111,T_PlannedOrders[WeekIndex],31)=0,"",SUMIFS(T_PlannedOrders[EffectiveQty],T_PlannedOrders[Part Name],$A111,T_PlannedOrders[WeekIndex],31)&amp;" ("&amp;TEXT(SUMPRODUCT(MAX((T_PlannedOrders[Part Name]=$A111)*(T_PlannedOrders[WeekIndex]=31)*(T_PlannedOrders[EffectiveQty]&gt;0)*T_PlannedOrders[Order_Month])),"m月")&amp;"発注)")</f>
        <v/>
      </c>
      <c r="AI155">
        <f>IF(SUMIFS(T_PlannedOrders[EffectiveQty],T_PlannedOrders[Part Name],$A111,T_PlannedOrders[WeekIndex],32)=0,"",SUMIFS(T_PlannedOrders[EffectiveQty],T_PlannedOrders[Part Name],$A111,T_PlannedOrders[WeekIndex],32)&amp;" ("&amp;TEXT(SUMPRODUCT(MAX((T_PlannedOrders[Part Name]=$A111)*(T_PlannedOrders[WeekIndex]=32)*(T_PlannedOrders[EffectiveQty]&gt;0)*T_PlannedOrders[Order_Month])),"m月")&amp;"発注)")</f>
        <v/>
      </c>
      <c r="AJ155">
        <f>IF(SUMIFS(T_PlannedOrders[EffectiveQty],T_PlannedOrders[Part Name],$A111,T_PlannedOrders[WeekIndex],33)=0,"",SUMIFS(T_PlannedOrders[EffectiveQty],T_PlannedOrders[Part Name],$A111,T_PlannedOrders[WeekIndex],33)&amp;" ("&amp;TEXT(SUMPRODUCT(MAX((T_PlannedOrders[Part Name]=$A111)*(T_PlannedOrders[WeekIndex]=33)*(T_PlannedOrders[EffectiveQty]&gt;0)*T_PlannedOrders[Order_Month])),"m月")&amp;"発注)")</f>
        <v/>
      </c>
      <c r="AK155">
        <f>IF(SUMIFS(T_PlannedOrders[EffectiveQty],T_PlannedOrders[Part Name],$A111,T_PlannedOrders[WeekIndex],34)=0,"",SUMIFS(T_PlannedOrders[EffectiveQty],T_PlannedOrders[Part Name],$A111,T_PlannedOrders[WeekIndex],34)&amp;" ("&amp;TEXT(SUMPRODUCT(MAX((T_PlannedOrders[Part Name]=$A111)*(T_PlannedOrders[WeekIndex]=34)*(T_PlannedOrders[EffectiveQty]&gt;0)*T_PlannedOrders[Order_Month])),"m月")&amp;"発注)")</f>
        <v/>
      </c>
      <c r="AL155">
        <f>IF(SUMIFS(T_PlannedOrders[EffectiveQty],T_PlannedOrders[Part Name],$A111,T_PlannedOrders[WeekIndex],35)=0,"",SUMIFS(T_PlannedOrders[EffectiveQty],T_PlannedOrders[Part Name],$A111,T_PlannedOrders[WeekIndex],35)&amp;" ("&amp;TEXT(SUMPRODUCT(MAX((T_PlannedOrders[Part Name]=$A111)*(T_PlannedOrders[WeekIndex]=35)*(T_PlannedOrders[EffectiveQty]&gt;0)*T_PlannedOrders[Order_Month])),"m月")&amp;"発注)")</f>
        <v/>
      </c>
      <c r="AM155">
        <f>IF(SUMIFS(T_PlannedOrders[EffectiveQty],T_PlannedOrders[Part Name],$A111,T_PlannedOrders[WeekIndex],36)=0,"",SUMIFS(T_PlannedOrders[EffectiveQty],T_PlannedOrders[Part Name],$A111,T_PlannedOrders[WeekIndex],36)&amp;" ("&amp;TEXT(SUMPRODUCT(MAX((T_PlannedOrders[Part Name]=$A111)*(T_PlannedOrders[WeekIndex]=36)*(T_PlannedOrders[EffectiveQty]&gt;0)*T_PlannedOrders[Order_Month])),"m月")&amp;"発注)")</f>
        <v/>
      </c>
      <c r="AN155">
        <f>IF(SUMIFS(T_PlannedOrders[EffectiveQty],T_PlannedOrders[Part Name],$A111,T_PlannedOrders[WeekIndex],37)=0,"",SUMIFS(T_PlannedOrders[EffectiveQty],T_PlannedOrders[Part Name],$A111,T_PlannedOrders[WeekIndex],37)&amp;" ("&amp;TEXT(SUMPRODUCT(MAX((T_PlannedOrders[Part Name]=$A111)*(T_PlannedOrders[WeekIndex]=37)*(T_PlannedOrders[EffectiveQty]&gt;0)*T_PlannedOrders[Order_Month])),"m月")&amp;"発注)")</f>
        <v/>
      </c>
      <c r="AO155">
        <f>IF(SUMIFS(T_PlannedOrders[EffectiveQty],T_PlannedOrders[Part Name],$A111,T_PlannedOrders[WeekIndex],38)=0,"",SUMIFS(T_PlannedOrders[EffectiveQty],T_PlannedOrders[Part Name],$A111,T_PlannedOrders[WeekIndex],38)&amp;" ("&amp;TEXT(SUMPRODUCT(MAX((T_PlannedOrders[Part Name]=$A111)*(T_PlannedOrders[WeekIndex]=38)*(T_PlannedOrders[EffectiveQty]&gt;0)*T_PlannedOrders[Order_Month])),"m月")&amp;"発注)")</f>
        <v/>
      </c>
      <c r="AP155">
        <f>IF(SUMIFS(T_PlannedOrders[EffectiveQty],T_PlannedOrders[Part Name],$A111,T_PlannedOrders[WeekIndex],39)=0,"",SUMIFS(T_PlannedOrders[EffectiveQty],T_PlannedOrders[Part Name],$A111,T_PlannedOrders[WeekIndex],39)&amp;" ("&amp;TEXT(SUMPRODUCT(MAX((T_PlannedOrders[Part Name]=$A111)*(T_PlannedOrders[WeekIndex]=39)*(T_PlannedOrders[EffectiveQty]&gt;0)*T_PlannedOrders[Order_Month])),"m月")&amp;"発注)")</f>
        <v/>
      </c>
      <c r="AQ155">
        <f>IF(SUMIFS(T_PlannedOrders[EffectiveQty],T_PlannedOrders[Part Name],$A111,T_PlannedOrders[WeekIndex],40)=0,"",SUMIFS(T_PlannedOrders[EffectiveQty],T_PlannedOrders[Part Name],$A111,T_PlannedOrders[WeekIndex],40)&amp;" ("&amp;TEXT(SUMPRODUCT(MAX((T_PlannedOrders[Part Name]=$A111)*(T_PlannedOrders[WeekIndex]=40)*(T_PlannedOrders[EffectiveQty]&gt;0)*T_PlannedOrders[Order_Month])),"m月")&amp;"発注)")</f>
        <v/>
      </c>
      <c r="AR155">
        <f>IF(SUMIFS(T_PlannedOrders[EffectiveQty],T_PlannedOrders[Part Name],$A111,T_PlannedOrders[WeekIndex],41)=0,"",SUMIFS(T_PlannedOrders[EffectiveQty],T_PlannedOrders[Part Name],$A111,T_PlannedOrders[WeekIndex],41)&amp;" ("&amp;TEXT(SUMPRODUCT(MAX((T_PlannedOrders[Part Name]=$A111)*(T_PlannedOrders[WeekIndex]=41)*(T_PlannedOrders[EffectiveQty]&gt;0)*T_PlannedOrders[Order_Month])),"m月")&amp;"発注)")</f>
        <v/>
      </c>
      <c r="AS155">
        <f>IF(SUMIFS(T_PlannedOrders[EffectiveQty],T_PlannedOrders[Part Name],$A111,T_PlannedOrders[WeekIndex],42)=0,"",SUMIFS(T_PlannedOrders[EffectiveQty],T_PlannedOrders[Part Name],$A111,T_PlannedOrders[WeekIndex],42)&amp;" ("&amp;TEXT(SUMPRODUCT(MAX((T_PlannedOrders[Part Name]=$A111)*(T_PlannedOrders[WeekIndex]=42)*(T_PlannedOrders[EffectiveQty]&gt;0)*T_PlannedOrders[Order_Month])),"m月")&amp;"発注)")</f>
        <v/>
      </c>
      <c r="AT155">
        <f>IF(SUMIFS(T_PlannedOrders[EffectiveQty],T_PlannedOrders[Part Name],$A111,T_PlannedOrders[WeekIndex],43)=0,"",SUMIFS(T_PlannedOrders[EffectiveQty],T_PlannedOrders[Part Name],$A111,T_PlannedOrders[WeekIndex],43)&amp;" ("&amp;TEXT(SUMPRODUCT(MAX((T_PlannedOrders[Part Name]=$A111)*(T_PlannedOrders[WeekIndex]=43)*(T_PlannedOrders[EffectiveQty]&gt;0)*T_PlannedOrders[Order_Month])),"m月")&amp;"発注)")</f>
        <v/>
      </c>
      <c r="AU155">
        <f>IF(SUMIFS(T_PlannedOrders[EffectiveQty],T_PlannedOrders[Part Name],$A111,T_PlannedOrders[WeekIndex],44)=0,"",SUMIFS(T_PlannedOrders[EffectiveQty],T_PlannedOrders[Part Name],$A111,T_PlannedOrders[WeekIndex],44)&amp;" ("&amp;TEXT(SUMPRODUCT(MAX((T_PlannedOrders[Part Name]=$A111)*(T_PlannedOrders[WeekIndex]=44)*(T_PlannedOrders[EffectiveQty]&gt;0)*T_PlannedOrders[Order_Month])),"m月")&amp;"発注)")</f>
        <v/>
      </c>
      <c r="AV155">
        <f>IF(SUMIFS(T_PlannedOrders[EffectiveQty],T_PlannedOrders[Part Name],$A111,T_PlannedOrders[WeekIndex],45)=0,"",SUMIFS(T_PlannedOrders[EffectiveQty],T_PlannedOrders[Part Name],$A111,T_PlannedOrders[WeekIndex],45)&amp;" ("&amp;TEXT(SUMPRODUCT(MAX((T_PlannedOrders[Part Name]=$A111)*(T_PlannedOrders[WeekIndex]=45)*(T_PlannedOrders[EffectiveQty]&gt;0)*T_PlannedOrders[Order_Month])),"m月")&amp;"発注)")</f>
        <v/>
      </c>
      <c r="AW155">
        <f>IF(SUMIFS(T_PlannedOrders[EffectiveQty],T_PlannedOrders[Part Name],$A111,T_PlannedOrders[WeekIndex],46)=0,"",SUMIFS(T_PlannedOrders[EffectiveQty],T_PlannedOrders[Part Name],$A111,T_PlannedOrders[WeekIndex],46)&amp;" ("&amp;TEXT(SUMPRODUCT(MAX((T_PlannedOrders[Part Name]=$A111)*(T_PlannedOrders[WeekIndex]=46)*(T_PlannedOrders[EffectiveQty]&gt;0)*T_PlannedOrders[Order_Month])),"m月")&amp;"発注)")</f>
        <v/>
      </c>
      <c r="AX155">
        <f>IF(SUMIFS(T_PlannedOrders[EffectiveQty],T_PlannedOrders[Part Name],$A111,T_PlannedOrders[WeekIndex],47)=0,"",SUMIFS(T_PlannedOrders[EffectiveQty],T_PlannedOrders[Part Name],$A111,T_PlannedOrders[WeekIndex],47)&amp;" ("&amp;TEXT(SUMPRODUCT(MAX((T_PlannedOrders[Part Name]=$A111)*(T_PlannedOrders[WeekIndex]=47)*(T_PlannedOrders[EffectiveQty]&gt;0)*T_PlannedOrders[Order_Month])),"m月")&amp;"発注)")</f>
        <v/>
      </c>
      <c r="AY155">
        <f>IF(SUMIFS(T_PlannedOrders[EffectiveQty],T_PlannedOrders[Part Name],$A111,T_PlannedOrders[WeekIndex],48)=0,"",SUMIFS(T_PlannedOrders[EffectiveQty],T_PlannedOrders[Part Name],$A111,T_PlannedOrders[WeekIndex],48)&amp;" ("&amp;TEXT(SUMPRODUCT(MAX((T_PlannedOrders[Part Name]=$A111)*(T_PlannedOrders[WeekIndex]=48)*(T_PlannedOrders[EffectiveQty]&gt;0)*T_PlannedOrders[Order_Month])),"m月")&amp;"発注)")</f>
        <v/>
      </c>
      <c r="AZ155">
        <f>IF(SUMIFS(T_PlannedOrders[EffectiveQty],T_PlannedOrders[Part Name],$A111,T_PlannedOrders[WeekIndex],49)=0,"",SUMIFS(T_PlannedOrders[EffectiveQty],T_PlannedOrders[Part Name],$A111,T_PlannedOrders[WeekIndex],49)&amp;" ("&amp;TEXT(SUMPRODUCT(MAX((T_PlannedOrders[Part Name]=$A111)*(T_PlannedOrders[WeekIndex]=49)*(T_PlannedOrders[EffectiveQty]&gt;0)*T_PlannedOrders[Order_Month])),"m月")&amp;"発注)")</f>
        <v/>
      </c>
      <c r="BA155">
        <f>IF(SUMIFS(T_PlannedOrders[EffectiveQty],T_PlannedOrders[Part Name],$A111,T_PlannedOrders[WeekIndex],50)=0,"",SUMIFS(T_PlannedOrders[EffectiveQty],T_PlannedOrders[Part Name],$A111,T_PlannedOrders[WeekIndex],50)&amp;" ("&amp;TEXT(SUMPRODUCT(MAX((T_PlannedOrders[Part Name]=$A111)*(T_PlannedOrders[WeekIndex]=50)*(T_PlannedOrders[EffectiveQty]&gt;0)*T_PlannedOrders[Order_Month])),"m月")&amp;"発注)")</f>
        <v/>
      </c>
      <c r="BB155">
        <f>IF(SUMIFS(T_PlannedOrders[EffectiveQty],T_PlannedOrders[Part Name],$A111,T_PlannedOrders[WeekIndex],51)=0,"",SUMIFS(T_PlannedOrders[EffectiveQty],T_PlannedOrders[Part Name],$A111,T_PlannedOrders[WeekIndex],51)&amp;" ("&amp;TEXT(SUMPRODUCT(MAX((T_PlannedOrders[Part Name]=$A111)*(T_PlannedOrders[WeekIndex]=51)*(T_PlannedOrders[EffectiveQty]&gt;0)*T_PlannedOrders[Order_Month])),"m月")&amp;"発注)")</f>
        <v/>
      </c>
      <c r="BC155">
        <f>IF(SUMIFS(T_PlannedOrders[EffectiveQty],T_PlannedOrders[Part Name],$A111,T_PlannedOrders[WeekIndex],52)=0,"",SUMIFS(T_PlannedOrders[EffectiveQty],T_PlannedOrders[Part Name],$A111,T_PlannedOrders[WeekIndex],52)&amp;" ("&amp;TEXT(SUMPRODUCT(MAX((T_PlannedOrders[Part Name]=$A111)*(T_PlannedOrders[WeekIndex]=52)*(T_PlannedOrders[EffectiveQty]&gt;0)*T_PlannedOrders[Order_Month])),"m月")&amp;"発注)")</f>
        <v/>
      </c>
      <c r="BD155">
        <f>IF(SUMIFS(T_PlannedOrders[EffectiveQty],T_PlannedOrders[Part Name],$A111,T_PlannedOrders[WeekIndex],53)=0,"",SUMIFS(T_PlannedOrders[EffectiveQty],T_PlannedOrders[Part Name],$A111,T_PlannedOrders[WeekIndex],53)&amp;" ("&amp;TEXT(SUMPRODUCT(MAX((T_PlannedOrders[Part Name]=$A111)*(T_PlannedOrders[WeekIndex]=53)*(T_PlannedOrders[EffectiveQty]&gt;0)*T_PlannedOrders[Order_Month])),"m月")&amp;"発注)")</f>
        <v/>
      </c>
      <c r="BE155">
        <f>IF(SUMIFS(T_PlannedOrders[EffectiveQty],T_PlannedOrders[Part Name],$A111,T_PlannedOrders[WeekIndex],54)=0,"",SUMIFS(T_PlannedOrders[EffectiveQty],T_PlannedOrders[Part Name],$A111,T_PlannedOrders[WeekIndex],54)&amp;" ("&amp;TEXT(SUMPRODUCT(MAX((T_PlannedOrders[Part Name]=$A111)*(T_PlannedOrders[WeekIndex]=54)*(T_PlannedOrders[EffectiveQty]&gt;0)*T_PlannedOrders[Order_Month])),"m月")&amp;"発注)")</f>
        <v/>
      </c>
      <c r="BF155">
        <f>IF(SUMIFS(T_PlannedOrders[EffectiveQty],T_PlannedOrders[Part Name],$A111,T_PlannedOrders[WeekIndex],55)=0,"",SUMIFS(T_PlannedOrders[EffectiveQty],T_PlannedOrders[Part Name],$A111,T_PlannedOrders[WeekIndex],55)&amp;" ("&amp;TEXT(SUMPRODUCT(MAX((T_PlannedOrders[Part Name]=$A111)*(T_PlannedOrders[WeekIndex]=55)*(T_PlannedOrders[EffectiveQty]&gt;0)*T_PlannedOrders[Order_Month])),"m月")&amp;"発注)")</f>
        <v/>
      </c>
      <c r="BG155">
        <f>IF(SUMIFS(T_PlannedOrders[EffectiveQty],T_PlannedOrders[Part Name],$A111,T_PlannedOrders[WeekIndex],56)=0,"",SUMIFS(T_PlannedOrders[EffectiveQty],T_PlannedOrders[Part Name],$A111,T_PlannedOrders[WeekIndex],56)&amp;" ("&amp;TEXT(SUMPRODUCT(MAX((T_PlannedOrders[Part Name]=$A111)*(T_PlannedOrders[WeekIndex]=56)*(T_PlannedOrders[EffectiveQty]&gt;0)*T_PlannedOrders[Order_Month])),"m月")&amp;"発注)")</f>
        <v/>
      </c>
      <c r="BH155">
        <f>IF(SUMIFS(T_PlannedOrders[EffectiveQty],T_PlannedOrders[Part Name],$A111,T_PlannedOrders[WeekIndex],57)=0,"",SUMIFS(T_PlannedOrders[EffectiveQty],T_PlannedOrders[Part Name],$A111,T_PlannedOrders[WeekIndex],57)&amp;" ("&amp;TEXT(SUMPRODUCT(MAX((T_PlannedOrders[Part Name]=$A111)*(T_PlannedOrders[WeekIndex]=57)*(T_PlannedOrders[EffectiveQty]&gt;0)*T_PlannedOrders[Order_Month])),"m月")&amp;"発注)")</f>
        <v/>
      </c>
      <c r="BI155">
        <f>IF(SUMIFS(T_PlannedOrders[EffectiveQty],T_PlannedOrders[Part Name],$A111,T_PlannedOrders[WeekIndex],58)=0,"",SUMIFS(T_PlannedOrders[EffectiveQty],T_PlannedOrders[Part Name],$A111,T_PlannedOrders[WeekIndex],58)&amp;" ("&amp;TEXT(SUMPRODUCT(MAX((T_PlannedOrders[Part Name]=$A111)*(T_PlannedOrders[WeekIndex]=58)*(T_PlannedOrders[EffectiveQty]&gt;0)*T_PlannedOrders[Order_Month])),"m月")&amp;"発注)")</f>
        <v/>
      </c>
      <c r="BJ155">
        <f>IF(SUMIFS(T_PlannedOrders[EffectiveQty],T_PlannedOrders[Part Name],$A111,T_PlannedOrders[WeekIndex],59)=0,"",SUMIFS(T_PlannedOrders[EffectiveQty],T_PlannedOrders[Part Name],$A111,T_PlannedOrders[WeekIndex],59)&amp;" ("&amp;TEXT(SUMPRODUCT(MAX((T_PlannedOrders[Part Name]=$A111)*(T_PlannedOrders[WeekIndex]=59)*(T_PlannedOrders[EffectiveQty]&gt;0)*T_PlannedOrders[Order_Month])),"m月")&amp;"発注)")</f>
        <v/>
      </c>
      <c r="BK155">
        <f>IF(SUMIFS(T_PlannedOrders[EffectiveQty],T_PlannedOrders[Part Name],$A111,T_PlannedOrders[WeekIndex],60)=0,"",SUMIFS(T_PlannedOrders[EffectiveQty],T_PlannedOrders[Part Name],$A111,T_PlannedOrders[WeekIndex],60)&amp;" ("&amp;TEXT(SUMPRODUCT(MAX((T_PlannedOrders[Part Name]=$A111)*(T_PlannedOrders[WeekIndex]=60)*(T_PlannedOrders[EffectiveQty]&gt;0)*T_PlannedOrders[Order_Month])),"m月")&amp;"発注)")</f>
        <v/>
      </c>
      <c r="BL155">
        <f>IF(SUMIFS(T_PlannedOrders[EffectiveQty],T_PlannedOrders[Part Name],$A111,T_PlannedOrders[WeekIndex],61)=0,"",SUMIFS(T_PlannedOrders[EffectiveQty],T_PlannedOrders[Part Name],$A111,T_PlannedOrders[WeekIndex],61)&amp;" ("&amp;TEXT(SUMPRODUCT(MAX((T_PlannedOrders[Part Name]=$A111)*(T_PlannedOrders[WeekIndex]=61)*(T_PlannedOrders[EffectiveQty]&gt;0)*T_PlannedOrders[Order_Month])),"m月")&amp;"発注)")</f>
        <v/>
      </c>
      <c r="BM155">
        <f>IF(SUMIFS(T_PlannedOrders[EffectiveQty],T_PlannedOrders[Part Name],$A111,T_PlannedOrders[WeekIndex],62)=0,"",SUMIFS(T_PlannedOrders[EffectiveQty],T_PlannedOrders[Part Name],$A111,T_PlannedOrders[WeekIndex],62)&amp;" ("&amp;TEXT(SUMPRODUCT(MAX((T_PlannedOrders[Part Name]=$A111)*(T_PlannedOrders[WeekIndex]=62)*(T_PlannedOrders[EffectiveQty]&gt;0)*T_PlannedOrders[Order_Month])),"m月")&amp;"発注)")</f>
        <v/>
      </c>
      <c r="BN155">
        <f>IF(SUMIFS(T_PlannedOrders[EffectiveQty],T_PlannedOrders[Part Name],$A111,T_PlannedOrders[WeekIndex],63)=0,"",SUMIFS(T_PlannedOrders[EffectiveQty],T_PlannedOrders[Part Name],$A111,T_PlannedOrders[WeekIndex],63)&amp;" ("&amp;TEXT(SUMPRODUCT(MAX((T_PlannedOrders[Part Name]=$A111)*(T_PlannedOrders[WeekIndex]=63)*(T_PlannedOrders[EffectiveQty]&gt;0)*T_PlannedOrders[Order_Month])),"m月")&amp;"発注)")</f>
        <v/>
      </c>
      <c r="BO155">
        <f>IF(SUMIFS(T_PlannedOrders[EffectiveQty],T_PlannedOrders[Part Name],$A111,T_PlannedOrders[WeekIndex],64)=0,"",SUMIFS(T_PlannedOrders[EffectiveQty],T_PlannedOrders[Part Name],$A111,T_PlannedOrders[WeekIndex],64)&amp;" ("&amp;TEXT(SUMPRODUCT(MAX((T_PlannedOrders[Part Name]=$A111)*(T_PlannedOrders[WeekIndex]=64)*(T_PlannedOrders[EffectiveQty]&gt;0)*T_PlannedOrders[Order_Month])),"m月")&amp;"発注)")</f>
        <v/>
      </c>
      <c r="BP155">
        <f>IF(SUMIFS(T_PlannedOrders[EffectiveQty],T_PlannedOrders[Part Name],$A111,T_PlannedOrders[WeekIndex],65)=0,"",SUMIFS(T_PlannedOrders[EffectiveQty],T_PlannedOrders[Part Name],$A111,T_PlannedOrders[WeekIndex],65)&amp;" ("&amp;TEXT(SUMPRODUCT(MAX((T_PlannedOrders[Part Name]=$A111)*(T_PlannedOrders[WeekIndex]=65)*(T_PlannedOrders[EffectiveQty]&gt;0)*T_PlannedOrders[Order_Month])),"m月")&amp;"発注)")</f>
        <v/>
      </c>
      <c r="BQ155">
        <f>IF(SUMIFS(T_PlannedOrders[EffectiveQty],T_PlannedOrders[Part Name],$A111,T_PlannedOrders[WeekIndex],66)=0,"",SUMIFS(T_PlannedOrders[EffectiveQty],T_PlannedOrders[Part Name],$A111,T_PlannedOrders[WeekIndex],66)&amp;" ("&amp;TEXT(SUMPRODUCT(MAX((T_PlannedOrders[Part Name]=$A111)*(T_PlannedOrders[WeekIndex]=66)*(T_PlannedOrders[EffectiveQty]&gt;0)*T_PlannedOrders[Order_Month])),"m月")&amp;"発注)")</f>
        <v/>
      </c>
      <c r="BR155">
        <f>IF(SUMIFS(T_PlannedOrders[EffectiveQty],T_PlannedOrders[Part Name],$A111,T_PlannedOrders[WeekIndex],67)=0,"",SUMIFS(T_PlannedOrders[EffectiveQty],T_PlannedOrders[Part Name],$A111,T_PlannedOrders[WeekIndex],67)&amp;" ("&amp;TEXT(SUMPRODUCT(MAX((T_PlannedOrders[Part Name]=$A111)*(T_PlannedOrders[WeekIndex]=67)*(T_PlannedOrders[EffectiveQty]&gt;0)*T_PlannedOrders[Order_Month])),"m月")&amp;"発注)")</f>
        <v/>
      </c>
      <c r="BS155">
        <f>IF(SUMIFS(T_PlannedOrders[EffectiveQty],T_PlannedOrders[Part Name],$A111,T_PlannedOrders[WeekIndex],68)=0,"",SUMIFS(T_PlannedOrders[EffectiveQty],T_PlannedOrders[Part Name],$A111,T_PlannedOrders[WeekIndex],68)&amp;" ("&amp;TEXT(SUMPRODUCT(MAX((T_PlannedOrders[Part Name]=$A111)*(T_PlannedOrders[WeekIndex]=68)*(T_PlannedOrders[EffectiveQty]&gt;0)*T_PlannedOrders[Order_Month])),"m月")&amp;"発注)")</f>
        <v/>
      </c>
      <c r="BT155">
        <f>IF(SUMIFS(T_PlannedOrders[EffectiveQty],T_PlannedOrders[Part Name],$A111,T_PlannedOrders[WeekIndex],69)=0,"",SUMIFS(T_PlannedOrders[EffectiveQty],T_PlannedOrders[Part Name],$A111,T_PlannedOrders[WeekIndex],69)&amp;" ("&amp;TEXT(SUMPRODUCT(MAX((T_PlannedOrders[Part Name]=$A111)*(T_PlannedOrders[WeekIndex]=69)*(T_PlannedOrders[EffectiveQty]&gt;0)*T_PlannedOrders[Order_Month])),"m月")&amp;"発注)")</f>
        <v/>
      </c>
      <c r="BU155">
        <f>IF(SUMIFS(T_PlannedOrders[EffectiveQty],T_PlannedOrders[Part Name],$A111,T_PlannedOrders[WeekIndex],70)=0,"",SUMIFS(T_PlannedOrders[EffectiveQty],T_PlannedOrders[Part Name],$A111,T_PlannedOrders[WeekIndex],70)&amp;" ("&amp;TEXT(SUMPRODUCT(MAX((T_PlannedOrders[Part Name]=$A111)*(T_PlannedOrders[WeekIndex]=70)*(T_PlannedOrders[EffectiveQty]&gt;0)*T_PlannedOrders[Order_Month])),"m月")&amp;"発注)")</f>
        <v/>
      </c>
      <c r="BV155">
        <f>IF(SUMIFS(T_PlannedOrders[EffectiveQty],T_PlannedOrders[Part Name],$A111,T_PlannedOrders[WeekIndex],71)=0,"",SUMIFS(T_PlannedOrders[EffectiveQty],T_PlannedOrders[Part Name],$A111,T_PlannedOrders[WeekIndex],71)&amp;" ("&amp;TEXT(SUMPRODUCT(MAX((T_PlannedOrders[Part Name]=$A111)*(T_PlannedOrders[WeekIndex]=71)*(T_PlannedOrders[EffectiveQty]&gt;0)*T_PlannedOrders[Order_Month])),"m月")&amp;"発注)")</f>
        <v/>
      </c>
      <c r="BW155">
        <f>IF(SUMIFS(T_PlannedOrders[EffectiveQty],T_PlannedOrders[Part Name],$A111,T_PlannedOrders[WeekIndex],72)=0,"",SUMIFS(T_PlannedOrders[EffectiveQty],T_PlannedOrders[Part Name],$A111,T_PlannedOrders[WeekIndex],72)&amp;" ("&amp;TEXT(SUMPRODUCT(MAX((T_PlannedOrders[Part Name]=$A111)*(T_PlannedOrders[WeekIndex]=72)*(T_PlannedOrders[EffectiveQty]&gt;0)*T_PlannedOrders[Order_Month])),"m月")&amp;"発注)")</f>
        <v/>
      </c>
      <c r="BX155">
        <f>IF(SUMIFS(T_PlannedOrders[EffectiveQty],T_PlannedOrders[Part Name],$A111,T_PlannedOrders[WeekIndex],73)=0,"",SUMIFS(T_PlannedOrders[EffectiveQty],T_PlannedOrders[Part Name],$A111,T_PlannedOrders[WeekIndex],73)&amp;" ("&amp;TEXT(SUMPRODUCT(MAX((T_PlannedOrders[Part Name]=$A111)*(T_PlannedOrders[WeekIndex]=73)*(T_PlannedOrders[EffectiveQty]&gt;0)*T_PlannedOrders[Order_Month])),"m月")&amp;"発注)")</f>
        <v/>
      </c>
      <c r="BY155">
        <f>IF(SUMIFS(T_PlannedOrders[EffectiveQty],T_PlannedOrders[Part Name],$A111,T_PlannedOrders[WeekIndex],74)=0,"",SUMIFS(T_PlannedOrders[EffectiveQty],T_PlannedOrders[Part Name],$A111,T_PlannedOrders[WeekIndex],74)&amp;" ("&amp;TEXT(SUMPRODUCT(MAX((T_PlannedOrders[Part Name]=$A111)*(T_PlannedOrders[WeekIndex]=74)*(T_PlannedOrders[EffectiveQty]&gt;0)*T_PlannedOrders[Order_Month])),"m月")&amp;"発注)")</f>
        <v/>
      </c>
      <c r="BZ155">
        <f>IF(SUMIFS(T_PlannedOrders[EffectiveQty],T_PlannedOrders[Part Name],$A111,T_PlannedOrders[WeekIndex],75)=0,"",SUMIFS(T_PlannedOrders[EffectiveQty],T_PlannedOrders[Part Name],$A111,T_PlannedOrders[WeekIndex],75)&amp;" ("&amp;TEXT(SUMPRODUCT(MAX((T_PlannedOrders[Part Name]=$A111)*(T_PlannedOrders[WeekIndex]=75)*(T_PlannedOrders[EffectiveQty]&gt;0)*T_PlannedOrders[Order_Month])),"m月")&amp;"発注)")</f>
        <v/>
      </c>
      <c r="CA155">
        <f>IF(SUMIFS(T_PlannedOrders[EffectiveQty],T_PlannedOrders[Part Name],$A111,T_PlannedOrders[WeekIndex],76)=0,"",SUMIFS(T_PlannedOrders[EffectiveQty],T_PlannedOrders[Part Name],$A111,T_PlannedOrders[WeekIndex],76)&amp;" ("&amp;TEXT(SUMPRODUCT(MAX((T_PlannedOrders[Part Name]=$A111)*(T_PlannedOrders[WeekIndex]=76)*(T_PlannedOrders[EffectiveQty]&gt;0)*T_PlannedOrders[Order_Month])),"m月")&amp;"発注)")</f>
        <v/>
      </c>
      <c r="CB155">
        <f>IF(SUMIFS(T_PlannedOrders[EffectiveQty],T_PlannedOrders[Part Name],$A111,T_PlannedOrders[WeekIndex],77)=0,"",SUMIFS(T_PlannedOrders[EffectiveQty],T_PlannedOrders[Part Name],$A111,T_PlannedOrders[WeekIndex],77)&amp;" ("&amp;TEXT(SUMPRODUCT(MAX((T_PlannedOrders[Part Name]=$A111)*(T_PlannedOrders[WeekIndex]=77)*(T_PlannedOrders[EffectiveQty]&gt;0)*T_PlannedOrders[Order_Month])),"m月")&amp;"発注)")</f>
        <v/>
      </c>
      <c r="CC155">
        <f>IF(SUMIFS(T_PlannedOrders[EffectiveQty],T_PlannedOrders[Part Name],$A111,T_PlannedOrders[WeekIndex],78)=0,"",SUMIFS(T_PlannedOrders[EffectiveQty],T_PlannedOrders[Part Name],$A111,T_PlannedOrders[WeekIndex],78)&amp;" ("&amp;TEXT(SUMPRODUCT(MAX((T_PlannedOrders[Part Name]=$A111)*(T_PlannedOrders[WeekIndex]=78)*(T_PlannedOrders[EffectiveQty]&gt;0)*T_PlannedOrders[Order_Month])),"m月")&amp;"発注)")</f>
        <v/>
      </c>
      <c r="CD155">
        <f>IF(SUMIFS(T_PlannedOrders[EffectiveQty],T_PlannedOrders[Part Name],$A111,T_PlannedOrders[WeekIndex],79)=0,"",SUMIFS(T_PlannedOrders[EffectiveQty],T_PlannedOrders[Part Name],$A111,T_PlannedOrders[WeekIndex],79)&amp;" ("&amp;TEXT(SUMPRODUCT(MAX((T_PlannedOrders[Part Name]=$A111)*(T_PlannedOrders[WeekIndex]=79)*(T_PlannedOrders[EffectiveQty]&gt;0)*T_PlannedOrders[Order_Month])),"m月")&amp;"発注)")</f>
        <v/>
      </c>
      <c r="CE155">
        <f>IF(SUMIFS(T_PlannedOrders[EffectiveQty],T_PlannedOrders[Part Name],$A111,T_PlannedOrders[WeekIndex],80)=0,"",SUMIFS(T_PlannedOrders[EffectiveQty],T_PlannedOrders[Part Name],$A111,T_PlannedOrders[WeekIndex],80)&amp;" ("&amp;TEXT(SUMPRODUCT(MAX((T_PlannedOrders[Part Name]=$A111)*(T_PlannedOrders[WeekIndex]=80)*(T_PlannedOrders[EffectiveQty]&gt;0)*T_PlannedOrders[Order_Month])),"m月")&amp;"発注)")</f>
        <v/>
      </c>
      <c r="CF155">
        <f>IF(SUMIFS(T_PlannedOrders[EffectiveQty],T_PlannedOrders[Part Name],$A111,T_PlannedOrders[WeekIndex],81)=0,"",SUMIFS(T_PlannedOrders[EffectiveQty],T_PlannedOrders[Part Name],$A111,T_PlannedOrders[WeekIndex],81)&amp;" ("&amp;TEXT(SUMPRODUCT(MAX((T_PlannedOrders[Part Name]=$A111)*(T_PlannedOrders[WeekIndex]=81)*(T_PlannedOrders[EffectiveQty]&gt;0)*T_PlannedOrders[Order_Month])),"m月")&amp;"発注)")</f>
        <v/>
      </c>
      <c r="CG155">
        <f>IF(SUMIFS(T_PlannedOrders[EffectiveQty],T_PlannedOrders[Part Name],$A111,T_PlannedOrders[WeekIndex],82)=0,"",SUMIFS(T_PlannedOrders[EffectiveQty],T_PlannedOrders[Part Name],$A111,T_PlannedOrders[WeekIndex],82)&amp;" ("&amp;TEXT(SUMPRODUCT(MAX((T_PlannedOrders[Part Name]=$A111)*(T_PlannedOrders[WeekIndex]=82)*(T_PlannedOrders[EffectiveQty]&gt;0)*T_PlannedOrders[Order_Month])),"m月")&amp;"発注)")</f>
        <v/>
      </c>
      <c r="CH155">
        <f>IF(SUMIFS(T_PlannedOrders[EffectiveQty],T_PlannedOrders[Part Name],$A111,T_PlannedOrders[WeekIndex],83)=0,"",SUMIFS(T_PlannedOrders[EffectiveQty],T_PlannedOrders[Part Name],$A111,T_PlannedOrders[WeekIndex],83)&amp;" ("&amp;TEXT(SUMPRODUCT(MAX((T_PlannedOrders[Part Name]=$A111)*(T_PlannedOrders[WeekIndex]=83)*(T_PlannedOrders[EffectiveQty]&gt;0)*T_PlannedOrders[Order_Month])),"m月")&amp;"発注)")</f>
        <v/>
      </c>
      <c r="CI155">
        <f>IF(SUMIFS(T_PlannedOrders[EffectiveQty],T_PlannedOrders[Part Name],$A111,T_PlannedOrders[WeekIndex],84)=0,"",SUMIFS(T_PlannedOrders[EffectiveQty],T_PlannedOrders[Part Name],$A111,T_PlannedOrders[WeekIndex],84)&amp;" ("&amp;TEXT(SUMPRODUCT(MAX((T_PlannedOrders[Part Name]=$A111)*(T_PlannedOrders[WeekIndex]=84)*(T_PlannedOrders[EffectiveQty]&gt;0)*T_PlannedOrders[Order_Month])),"m月")&amp;"発注)")</f>
        <v/>
      </c>
      <c r="CJ155">
        <f>IF(SUMIFS(T_PlannedOrders[EffectiveQty],T_PlannedOrders[Part Name],$A111,T_PlannedOrders[WeekIndex],85)=0,"",SUMIFS(T_PlannedOrders[EffectiveQty],T_PlannedOrders[Part Name],$A111,T_PlannedOrders[WeekIndex],85)&amp;" ("&amp;TEXT(SUMPRODUCT(MAX((T_PlannedOrders[Part Name]=$A111)*(T_PlannedOrders[WeekIndex]=85)*(T_PlannedOrders[EffectiveQty]&gt;0)*T_PlannedOrders[Order_Month])),"m月")&amp;"発注)")</f>
        <v/>
      </c>
      <c r="CK155">
        <f>IF(SUMIFS(T_PlannedOrders[EffectiveQty],T_PlannedOrders[Part Name],$A111,T_PlannedOrders[WeekIndex],86)=0,"",SUMIFS(T_PlannedOrders[EffectiveQty],T_PlannedOrders[Part Name],$A111,T_PlannedOrders[WeekIndex],86)&amp;" ("&amp;TEXT(SUMPRODUCT(MAX((T_PlannedOrders[Part Name]=$A111)*(T_PlannedOrders[WeekIndex]=86)*(T_PlannedOrders[EffectiveQty]&gt;0)*T_PlannedOrders[Order_Month])),"m月")&amp;"発注)")</f>
        <v/>
      </c>
      <c r="CL155">
        <f>IF(SUMIFS(T_PlannedOrders[EffectiveQty],T_PlannedOrders[Part Name],$A111,T_PlannedOrders[WeekIndex],87)=0,"",SUMIFS(T_PlannedOrders[EffectiveQty],T_PlannedOrders[Part Name],$A111,T_PlannedOrders[WeekIndex],87)&amp;" ("&amp;TEXT(SUMPRODUCT(MAX((T_PlannedOrders[Part Name]=$A111)*(T_PlannedOrders[WeekIndex]=87)*(T_PlannedOrders[EffectiveQty]&gt;0)*T_PlannedOrders[Order_Month])),"m月")&amp;"発注)")</f>
        <v/>
      </c>
      <c r="CM155">
        <f>IF(SUMIFS(T_PlannedOrders[EffectiveQty],T_PlannedOrders[Part Name],$A111,T_PlannedOrders[WeekIndex],88)=0,"",SUMIFS(T_PlannedOrders[EffectiveQty],T_PlannedOrders[Part Name],$A111,T_PlannedOrders[WeekIndex],88)&amp;" ("&amp;TEXT(SUMPRODUCT(MAX((T_PlannedOrders[Part Name]=$A111)*(T_PlannedOrders[WeekIndex]=88)*(T_PlannedOrders[EffectiveQty]&gt;0)*T_PlannedOrders[Order_Month])),"m月")&amp;"発注)")</f>
        <v/>
      </c>
      <c r="CN155">
        <f>IF(SUMIFS(T_PlannedOrders[EffectiveQty],T_PlannedOrders[Part Name],$A111,T_PlannedOrders[WeekIndex],89)=0,"",SUMIFS(T_PlannedOrders[EffectiveQty],T_PlannedOrders[Part Name],$A111,T_PlannedOrders[WeekIndex],89)&amp;" ("&amp;TEXT(SUMPRODUCT(MAX((T_PlannedOrders[Part Name]=$A111)*(T_PlannedOrders[WeekIndex]=89)*(T_PlannedOrders[EffectiveQty]&gt;0)*T_PlannedOrders[Order_Month])),"m月")&amp;"発注)")</f>
        <v/>
      </c>
      <c r="CO155">
        <f>IF(SUMIFS(T_PlannedOrders[EffectiveQty],T_PlannedOrders[Part Name],$A111,T_PlannedOrders[WeekIndex],90)=0,"",SUMIFS(T_PlannedOrders[EffectiveQty],T_PlannedOrders[Part Name],$A111,T_PlannedOrders[WeekIndex],90)&amp;" ("&amp;TEXT(SUMPRODUCT(MAX((T_PlannedOrders[Part Name]=$A111)*(T_PlannedOrders[WeekIndex]=90)*(T_PlannedOrders[EffectiveQty]&gt;0)*T_PlannedOrders[Order_Month])),"m月")&amp;"発注)")</f>
        <v/>
      </c>
      <c r="CP155">
        <f>IF(SUMIFS(T_PlannedOrders[EffectiveQty],T_PlannedOrders[Part Name],$A111,T_PlannedOrders[WeekIndex],91)=0,"",SUMIFS(T_PlannedOrders[EffectiveQty],T_PlannedOrders[Part Name],$A111,T_PlannedOrders[WeekIndex],91)&amp;" ("&amp;TEXT(SUMPRODUCT(MAX((T_PlannedOrders[Part Name]=$A111)*(T_PlannedOrders[WeekIndex]=91)*(T_PlannedOrders[EffectiveQty]&gt;0)*T_PlannedOrders[Order_Month])),"m月")&amp;"発注)")</f>
        <v/>
      </c>
      <c r="CQ155">
        <f>IF(SUMIFS(T_PlannedOrders[EffectiveQty],T_PlannedOrders[Part Name],$A111,T_PlannedOrders[WeekIndex],92)=0,"",SUMIFS(T_PlannedOrders[EffectiveQty],T_PlannedOrders[Part Name],$A111,T_PlannedOrders[WeekIndex],92)&amp;" ("&amp;TEXT(SUMPRODUCT(MAX((T_PlannedOrders[Part Name]=$A111)*(T_PlannedOrders[WeekIndex]=92)*(T_PlannedOrders[EffectiveQty]&gt;0)*T_PlannedOrders[Order_Month])),"m月")&amp;"発注)")</f>
        <v/>
      </c>
      <c r="CR155">
        <f>IF(SUMIFS(T_PlannedOrders[EffectiveQty],T_PlannedOrders[Part Name],$A111,T_PlannedOrders[WeekIndex],93)=0,"",SUMIFS(T_PlannedOrders[EffectiveQty],T_PlannedOrders[Part Name],$A111,T_PlannedOrders[WeekIndex],93)&amp;" ("&amp;TEXT(SUMPRODUCT(MAX((T_PlannedOrders[Part Name]=$A111)*(T_PlannedOrders[WeekIndex]=93)*(T_PlannedOrders[EffectiveQty]&gt;0)*T_PlannedOrders[Order_Month])),"m月")&amp;"発注)")</f>
        <v/>
      </c>
      <c r="CS155">
        <f>IF(SUMIFS(T_PlannedOrders[EffectiveQty],T_PlannedOrders[Part Name],$A111,T_PlannedOrders[WeekIndex],94)=0,"",SUMIFS(T_PlannedOrders[EffectiveQty],T_PlannedOrders[Part Name],$A111,T_PlannedOrders[WeekIndex],94)&amp;" ("&amp;TEXT(SUMPRODUCT(MAX((T_PlannedOrders[Part Name]=$A111)*(T_PlannedOrders[WeekIndex]=94)*(T_PlannedOrders[EffectiveQty]&gt;0)*T_PlannedOrders[Order_Month])),"m月")&amp;"発注)")</f>
        <v/>
      </c>
      <c r="CT155">
        <f>IF(SUMIFS(T_PlannedOrders[EffectiveQty],T_PlannedOrders[Part Name],$A111,T_PlannedOrders[WeekIndex],95)=0,"",SUMIFS(T_PlannedOrders[EffectiveQty],T_PlannedOrders[Part Name],$A111,T_PlannedOrders[WeekIndex],95)&amp;" ("&amp;TEXT(SUMPRODUCT(MAX((T_PlannedOrders[Part Name]=$A111)*(T_PlannedOrders[WeekIndex]=95)*(T_PlannedOrders[EffectiveQty]&gt;0)*T_PlannedOrders[Order_Month])),"m月")&amp;"発注)")</f>
        <v/>
      </c>
      <c r="CU155">
        <f>IF(SUMIFS(T_PlannedOrders[EffectiveQty],T_PlannedOrders[Part Name],$A111,T_PlannedOrders[WeekIndex],96)=0,"",SUMIFS(T_PlannedOrders[EffectiveQty],T_PlannedOrders[Part Name],$A111,T_PlannedOrders[WeekIndex],96)&amp;" ("&amp;TEXT(SUMPRODUCT(MAX((T_PlannedOrders[Part Name]=$A111)*(T_PlannedOrders[WeekIndex]=96)*(T_PlannedOrders[EffectiveQty]&gt;0)*T_PlannedOrders[Order_Month])),"m月")&amp;"発注)")</f>
        <v/>
      </c>
      <c r="CV155">
        <f>IF(SUMIFS(T_PlannedOrders[EffectiveQty],T_PlannedOrders[Part Name],$A111,T_PlannedOrders[WeekIndex],97)=0,"",SUMIFS(T_PlannedOrders[EffectiveQty],T_PlannedOrders[Part Name],$A111,T_PlannedOrders[WeekIndex],97)&amp;" ("&amp;TEXT(SUMPRODUCT(MAX((T_PlannedOrders[Part Name]=$A111)*(T_PlannedOrders[WeekIndex]=97)*(T_PlannedOrders[EffectiveQty]&gt;0)*T_PlannedOrders[Order_Month])),"m月")&amp;"発注)")</f>
        <v/>
      </c>
      <c r="CW155">
        <f>IF(SUMIFS(T_PlannedOrders[EffectiveQty],T_PlannedOrders[Part Name],$A111,T_PlannedOrders[WeekIndex],98)=0,"",SUMIFS(T_PlannedOrders[EffectiveQty],T_PlannedOrders[Part Name],$A111,T_PlannedOrders[WeekIndex],98)&amp;" ("&amp;TEXT(SUMPRODUCT(MAX((T_PlannedOrders[Part Name]=$A111)*(T_PlannedOrders[WeekIndex]=98)*(T_PlannedOrders[EffectiveQty]&gt;0)*T_PlannedOrders[Order_Month])),"m月")&amp;"発注)")</f>
        <v/>
      </c>
      <c r="CX155">
        <f>IF(SUMIFS(T_PlannedOrders[EffectiveQty],T_PlannedOrders[Part Name],$A111,T_PlannedOrders[WeekIndex],99)=0,"",SUMIFS(T_PlannedOrders[EffectiveQty],T_PlannedOrders[Part Name],$A111,T_PlannedOrders[WeekIndex],99)&amp;" ("&amp;TEXT(SUMPRODUCT(MAX((T_PlannedOrders[Part Name]=$A111)*(T_PlannedOrders[WeekIndex]=99)*(T_PlannedOrders[EffectiveQty]&gt;0)*T_PlannedOrders[Order_Month])),"m月")&amp;"発注)")</f>
        <v/>
      </c>
      <c r="CY155">
        <f>IF(SUMIFS(T_PlannedOrders[EffectiveQty],T_PlannedOrders[Part Name],$A111,T_PlannedOrders[WeekIndex],100)=0,"",SUMIFS(T_PlannedOrders[EffectiveQty],T_PlannedOrders[Part Name],$A111,T_PlannedOrders[WeekIndex],100)&amp;" ("&amp;TEXT(SUMPRODUCT(MAX((T_PlannedOrders[Part Name]=$A111)*(T_PlannedOrders[WeekIndex]=100)*(T_PlannedOrders[EffectiveQty]&gt;0)*T_PlannedOrders[Order_Month])),"m月")&amp;"発注)")</f>
        <v/>
      </c>
      <c r="CZ155">
        <f>IF(SUMIFS(T_PlannedOrders[EffectiveQty],T_PlannedOrders[Part Name],$A111,T_PlannedOrders[WeekIndex],101)=0,"",SUMIFS(T_PlannedOrders[EffectiveQty],T_PlannedOrders[Part Name],$A111,T_PlannedOrders[WeekIndex],101)&amp;" ("&amp;TEXT(SUMPRODUCT(MAX((T_PlannedOrders[Part Name]=$A111)*(T_PlannedOrders[WeekIndex]=101)*(T_PlannedOrders[EffectiveQty]&gt;0)*T_PlannedOrders[Order_Month])),"m月")&amp;"発注)")</f>
        <v/>
      </c>
      <c r="DA155">
        <f>IF(SUMIFS(T_PlannedOrders[EffectiveQty],T_PlannedOrders[Part Name],$A111,T_PlannedOrders[WeekIndex],102)=0,"",SUMIFS(T_PlannedOrders[EffectiveQty],T_PlannedOrders[Part Name],$A111,T_PlannedOrders[WeekIndex],102)&amp;" ("&amp;TEXT(SUMPRODUCT(MAX((T_PlannedOrders[Part Name]=$A111)*(T_PlannedOrders[WeekIndex]=102)*(T_PlannedOrders[EffectiveQty]&gt;0)*T_PlannedOrders[Order_Month])),"m月")&amp;"発注)")</f>
        <v/>
      </c>
      <c r="DB155">
        <f>IF(SUMIFS(T_PlannedOrders[EffectiveQty],T_PlannedOrders[Part Name],$A111,T_PlannedOrders[WeekIndex],103)=0,"",SUMIFS(T_PlannedOrders[EffectiveQty],T_PlannedOrders[Part Name],$A111,T_PlannedOrders[WeekIndex],103)&amp;" ("&amp;TEXT(SUMPRODUCT(MAX((T_PlannedOrders[Part Name]=$A111)*(T_PlannedOrders[WeekIndex]=103)*(T_PlannedOrders[EffectiveQty]&gt;0)*T_PlannedOrders[Order_Month])),"m月")&amp;"発注)")</f>
        <v/>
      </c>
      <c r="DC155">
        <f>IF(SUMIFS(T_PlannedOrders[EffectiveQty],T_PlannedOrders[Part Name],$A111,T_PlannedOrders[WeekIndex],104)=0,"",SUMIFS(T_PlannedOrders[EffectiveQty],T_PlannedOrders[Part Name],$A111,T_PlannedOrders[WeekIndex],104)&amp;" ("&amp;TEXT(SUMPRODUCT(MAX((T_PlannedOrders[Part Name]=$A111)*(T_PlannedOrders[WeekIndex]=104)*(T_PlannedOrders[EffectiveQty]&gt;0)*T_PlannedOrders[Order_Month])),"m月")&amp;"発注)")</f>
        <v/>
      </c>
    </row>
    <row r="156">
      <c r="B156" s="5" t="inlineStr">
        <is>
          <t>合計在庫(週末時点,kg)</t>
        </is>
      </c>
      <c r="D156">
        <f>'Grid_Stock'!B20</f>
        <v/>
      </c>
      <c r="E156">
        <f>'Grid_Stock'!C20</f>
        <v/>
      </c>
      <c r="F156">
        <f>'Grid_Stock'!D20</f>
        <v/>
      </c>
      <c r="G156">
        <f>'Grid_Stock'!E20</f>
        <v/>
      </c>
      <c r="H156">
        <f>'Grid_Stock'!F20</f>
        <v/>
      </c>
      <c r="I156">
        <f>'Grid_Stock'!G20</f>
        <v/>
      </c>
      <c r="J156">
        <f>'Grid_Stock'!H20</f>
        <v/>
      </c>
      <c r="K156">
        <f>'Grid_Stock'!I20</f>
        <v/>
      </c>
      <c r="L156">
        <f>'Grid_Stock'!J20</f>
        <v/>
      </c>
      <c r="M156">
        <f>'Grid_Stock'!K20</f>
        <v/>
      </c>
      <c r="N156">
        <f>'Grid_Stock'!L20</f>
        <v/>
      </c>
      <c r="O156">
        <f>'Grid_Stock'!M20</f>
        <v/>
      </c>
      <c r="P156">
        <f>'Grid_Stock'!N20</f>
        <v/>
      </c>
      <c r="Q156">
        <f>'Grid_Stock'!O20</f>
        <v/>
      </c>
      <c r="R156">
        <f>'Grid_Stock'!P20</f>
        <v/>
      </c>
      <c r="S156">
        <f>'Grid_Stock'!Q20</f>
        <v/>
      </c>
      <c r="T156">
        <f>'Grid_Stock'!R20</f>
        <v/>
      </c>
      <c r="U156">
        <f>'Grid_Stock'!S20</f>
        <v/>
      </c>
      <c r="V156">
        <f>'Grid_Stock'!T20</f>
        <v/>
      </c>
      <c r="W156">
        <f>'Grid_Stock'!U20</f>
        <v/>
      </c>
      <c r="X156">
        <f>'Grid_Stock'!V20</f>
        <v/>
      </c>
      <c r="Y156">
        <f>'Grid_Stock'!W20</f>
        <v/>
      </c>
      <c r="Z156">
        <f>'Grid_Stock'!X20</f>
        <v/>
      </c>
      <c r="AA156">
        <f>'Grid_Stock'!Y20</f>
        <v/>
      </c>
      <c r="AB156">
        <f>'Grid_Stock'!Z20</f>
        <v/>
      </c>
      <c r="AC156">
        <f>'Grid_Stock'!AA20</f>
        <v/>
      </c>
      <c r="AD156">
        <f>'Grid_Stock'!AB20</f>
        <v/>
      </c>
      <c r="AE156">
        <f>'Grid_Stock'!AC20</f>
        <v/>
      </c>
      <c r="AF156">
        <f>'Grid_Stock'!AD20</f>
        <v/>
      </c>
      <c r="AG156">
        <f>'Grid_Stock'!AE20</f>
        <v/>
      </c>
      <c r="AH156">
        <f>'Grid_Stock'!AF20</f>
        <v/>
      </c>
      <c r="AI156">
        <f>'Grid_Stock'!AG20</f>
        <v/>
      </c>
      <c r="AJ156">
        <f>'Grid_Stock'!AH20</f>
        <v/>
      </c>
      <c r="AK156">
        <f>'Grid_Stock'!AI20</f>
        <v/>
      </c>
      <c r="AL156">
        <f>'Grid_Stock'!AJ20</f>
        <v/>
      </c>
      <c r="AM156">
        <f>'Grid_Stock'!AK20</f>
        <v/>
      </c>
      <c r="AN156">
        <f>'Grid_Stock'!AL20</f>
        <v/>
      </c>
      <c r="AO156">
        <f>'Grid_Stock'!AM20</f>
        <v/>
      </c>
      <c r="AP156">
        <f>'Grid_Stock'!AN20</f>
        <v/>
      </c>
      <c r="AQ156">
        <f>'Grid_Stock'!AO20</f>
        <v/>
      </c>
      <c r="AR156">
        <f>'Grid_Stock'!AP20</f>
        <v/>
      </c>
      <c r="AS156">
        <f>'Grid_Stock'!AQ20</f>
        <v/>
      </c>
      <c r="AT156">
        <f>'Grid_Stock'!AR20</f>
        <v/>
      </c>
      <c r="AU156">
        <f>'Grid_Stock'!AS20</f>
        <v/>
      </c>
      <c r="AV156">
        <f>'Grid_Stock'!AT20</f>
        <v/>
      </c>
      <c r="AW156">
        <f>'Grid_Stock'!AU20</f>
        <v/>
      </c>
      <c r="AX156">
        <f>'Grid_Stock'!AV20</f>
        <v/>
      </c>
      <c r="AY156">
        <f>'Grid_Stock'!AW20</f>
        <v/>
      </c>
      <c r="AZ156">
        <f>'Grid_Stock'!AX20</f>
        <v/>
      </c>
      <c r="BA156">
        <f>'Grid_Stock'!AY20</f>
        <v/>
      </c>
      <c r="BB156">
        <f>'Grid_Stock'!AZ20</f>
        <v/>
      </c>
      <c r="BC156">
        <f>'Grid_Stock'!BA20</f>
        <v/>
      </c>
      <c r="BD156">
        <f>'Grid_Stock'!BB20</f>
        <v/>
      </c>
      <c r="BE156">
        <f>'Grid_Stock'!BC20</f>
        <v/>
      </c>
      <c r="BF156">
        <f>'Grid_Stock'!BD20</f>
        <v/>
      </c>
      <c r="BG156">
        <f>'Grid_Stock'!BE20</f>
        <v/>
      </c>
      <c r="BH156">
        <f>'Grid_Stock'!BF20</f>
        <v/>
      </c>
      <c r="BI156">
        <f>'Grid_Stock'!BG20</f>
        <v/>
      </c>
      <c r="BJ156">
        <f>'Grid_Stock'!BH20</f>
        <v/>
      </c>
      <c r="BK156">
        <f>'Grid_Stock'!BI20</f>
        <v/>
      </c>
      <c r="BL156">
        <f>'Grid_Stock'!BJ20</f>
        <v/>
      </c>
      <c r="BM156">
        <f>'Grid_Stock'!BK20</f>
        <v/>
      </c>
      <c r="BN156">
        <f>'Grid_Stock'!BL20</f>
        <v/>
      </c>
      <c r="BO156">
        <f>'Grid_Stock'!BM20</f>
        <v/>
      </c>
      <c r="BP156">
        <f>'Grid_Stock'!BN20</f>
        <v/>
      </c>
      <c r="BQ156">
        <f>'Grid_Stock'!BO20</f>
        <v/>
      </c>
      <c r="BR156">
        <f>'Grid_Stock'!BP20</f>
        <v/>
      </c>
      <c r="BS156">
        <f>'Grid_Stock'!BQ20</f>
        <v/>
      </c>
      <c r="BT156">
        <f>'Grid_Stock'!BR20</f>
        <v/>
      </c>
      <c r="BU156">
        <f>'Grid_Stock'!BS20</f>
        <v/>
      </c>
      <c r="BV156">
        <f>'Grid_Stock'!BT20</f>
        <v/>
      </c>
      <c r="BW156">
        <f>'Grid_Stock'!BU20</f>
        <v/>
      </c>
      <c r="BX156">
        <f>'Grid_Stock'!BV20</f>
        <v/>
      </c>
      <c r="BY156">
        <f>'Grid_Stock'!BW20</f>
        <v/>
      </c>
      <c r="BZ156">
        <f>'Grid_Stock'!BX20</f>
        <v/>
      </c>
      <c r="CA156">
        <f>'Grid_Stock'!BY20</f>
        <v/>
      </c>
      <c r="CB156">
        <f>'Grid_Stock'!BZ20</f>
        <v/>
      </c>
      <c r="CC156">
        <f>'Grid_Stock'!CA20</f>
        <v/>
      </c>
      <c r="CD156">
        <f>'Grid_Stock'!CB20</f>
        <v/>
      </c>
      <c r="CE156">
        <f>'Grid_Stock'!CC20</f>
        <v/>
      </c>
      <c r="CF156">
        <f>'Grid_Stock'!CD20</f>
        <v/>
      </c>
      <c r="CG156">
        <f>'Grid_Stock'!CE20</f>
        <v/>
      </c>
      <c r="CH156">
        <f>'Grid_Stock'!CF20</f>
        <v/>
      </c>
      <c r="CI156">
        <f>'Grid_Stock'!CG20</f>
        <v/>
      </c>
      <c r="CJ156">
        <f>'Grid_Stock'!CH20</f>
        <v/>
      </c>
      <c r="CK156">
        <f>'Grid_Stock'!CI20</f>
        <v/>
      </c>
      <c r="CL156">
        <f>'Grid_Stock'!CJ20</f>
        <v/>
      </c>
      <c r="CM156">
        <f>'Grid_Stock'!CK20</f>
        <v/>
      </c>
      <c r="CN156">
        <f>'Grid_Stock'!CL20</f>
        <v/>
      </c>
      <c r="CO156">
        <f>'Grid_Stock'!CM20</f>
        <v/>
      </c>
      <c r="CP156">
        <f>'Grid_Stock'!CN20</f>
        <v/>
      </c>
      <c r="CQ156">
        <f>'Grid_Stock'!CO20</f>
        <v/>
      </c>
      <c r="CR156">
        <f>'Grid_Stock'!CP20</f>
        <v/>
      </c>
      <c r="CS156">
        <f>'Grid_Stock'!CQ20</f>
        <v/>
      </c>
      <c r="CT156">
        <f>'Grid_Stock'!CR20</f>
        <v/>
      </c>
      <c r="CU156">
        <f>'Grid_Stock'!CS20</f>
        <v/>
      </c>
      <c r="CV156">
        <f>'Grid_Stock'!CT20</f>
        <v/>
      </c>
      <c r="CW156">
        <f>'Grid_Stock'!CU20</f>
        <v/>
      </c>
      <c r="CX156">
        <f>'Grid_Stock'!CV20</f>
        <v/>
      </c>
      <c r="CY156">
        <f>'Grid_Stock'!CW20</f>
        <v/>
      </c>
      <c r="CZ156">
        <f>'Grid_Stock'!CX20</f>
        <v/>
      </c>
      <c r="DA156">
        <f>'Grid_Stock'!CY20</f>
        <v/>
      </c>
      <c r="DB156">
        <f>'Grid_Stock'!CZ20</f>
        <v/>
      </c>
      <c r="DC156">
        <f>'Grid_Stock'!DA20</f>
        <v/>
      </c>
    </row>
    <row r="157">
      <c r="B157" s="23" t="inlineStr">
        <is>
          <t>（発注の目安はDashboardの基準在庫[下限/上限]と色分けを参照）</t>
        </is>
      </c>
    </row>
    <row r="159">
      <c r="A159" s="21" t="inlineStr">
        <is>
          <t>CHEM-1770</t>
        </is>
      </c>
      <c r="B159" s="21" t="inlineStr">
        <is>
          <t>RCT39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TPP-635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t="inlineStr">
        <is>
          <t>TSP-903</t>
        </is>
      </c>
      <c r="C162" t="inlineStr">
        <is>
          <t>No. of batches</t>
        </is>
      </c>
      <c r="D162">
        <f>IFERROR(INDEX(PP_Grid[#Data],$DD162,2),0)</f>
        <v/>
      </c>
      <c r="E162">
        <f>IFERROR(INDEX(PP_Grid[#Data],$DD162,3),0)</f>
        <v/>
      </c>
      <c r="F162">
        <f>IFERROR(INDEX(PP_Grid[#Data],$DD162,4),0)</f>
        <v/>
      </c>
      <c r="G162">
        <f>IFERROR(INDEX(PP_Grid[#Data],$DD162,5),0)</f>
        <v/>
      </c>
      <c r="H162">
        <f>IFERROR(INDEX(PP_Grid[#Data],$DD162,6),0)</f>
        <v/>
      </c>
      <c r="I162">
        <f>IFERROR(INDEX(PP_Grid[#Data],$DD162,7),0)</f>
        <v/>
      </c>
      <c r="J162">
        <f>IFERROR(INDEX(PP_Grid[#Data],$DD162,8),0)</f>
        <v/>
      </c>
      <c r="K162">
        <f>IFERROR(INDEX(PP_Grid[#Data],$DD162,9),0)</f>
        <v/>
      </c>
      <c r="L162">
        <f>IFERROR(INDEX(PP_Grid[#Data],$DD162,10),0)</f>
        <v/>
      </c>
      <c r="M162">
        <f>IFERROR(INDEX(PP_Grid[#Data],$DD162,11),0)</f>
        <v/>
      </c>
      <c r="N162">
        <f>IFERROR(INDEX(PP_Grid[#Data],$DD162,12),0)</f>
        <v/>
      </c>
      <c r="O162">
        <f>IFERROR(INDEX(PP_Grid[#Data],$DD162,13),0)</f>
        <v/>
      </c>
      <c r="P162">
        <f>IFERROR(INDEX(PP_Grid[#Data],$DD162,14),0)</f>
        <v/>
      </c>
      <c r="Q162">
        <f>IFERROR(INDEX(PP_Grid[#Data],$DD162,15),0)</f>
        <v/>
      </c>
      <c r="R162">
        <f>IFERROR(INDEX(PP_Grid[#Data],$DD162,16),0)</f>
        <v/>
      </c>
      <c r="S162">
        <f>IFERROR(INDEX(PP_Grid[#Data],$DD162,17),0)</f>
        <v/>
      </c>
      <c r="T162">
        <f>IFERROR(INDEX(PP_Grid[#Data],$DD162,18),0)</f>
        <v/>
      </c>
      <c r="U162">
        <f>IFERROR(INDEX(PP_Grid[#Data],$DD162,19),0)</f>
        <v/>
      </c>
      <c r="V162">
        <f>IFERROR(INDEX(PP_Grid[#Data],$DD162,20),0)</f>
        <v/>
      </c>
      <c r="W162">
        <f>IFERROR(INDEX(PP_Grid[#Data],$DD162,21),0)</f>
        <v/>
      </c>
      <c r="X162">
        <f>IFERROR(INDEX(PP_Grid[#Data],$DD162,22),0)</f>
        <v/>
      </c>
      <c r="Y162">
        <f>IFERROR(INDEX(PP_Grid[#Data],$DD162,23),0)</f>
        <v/>
      </c>
      <c r="Z162">
        <f>IFERROR(INDEX(PP_Grid[#Data],$DD162,24),0)</f>
        <v/>
      </c>
      <c r="AA162">
        <f>IFERROR(INDEX(PP_Grid[#Data],$DD162,25),0)</f>
        <v/>
      </c>
      <c r="AB162">
        <f>IFERROR(INDEX(PP_Grid[#Data],$DD162,26),0)</f>
        <v/>
      </c>
      <c r="AC162">
        <f>IFERROR(INDEX(PP_Grid[#Data],$DD162,27),0)</f>
        <v/>
      </c>
      <c r="AD162">
        <f>IFERROR(INDEX(PP_Grid[#Data],$DD162,28),0)</f>
        <v/>
      </c>
      <c r="AE162">
        <f>IFERROR(INDEX(PP_Grid[#Data],$DD162,29),0)</f>
        <v/>
      </c>
      <c r="AF162">
        <f>IFERROR(INDEX(PP_Grid[#Data],$DD162,30),0)</f>
        <v/>
      </c>
      <c r="AG162">
        <f>IFERROR(INDEX(PP_Grid[#Data],$DD162,31),0)</f>
        <v/>
      </c>
      <c r="AH162">
        <f>IFERROR(INDEX(PP_Grid[#Data],$DD162,32),0)</f>
        <v/>
      </c>
      <c r="AI162">
        <f>IFERROR(INDEX(PP_Grid[#Data],$DD162,33),0)</f>
        <v/>
      </c>
      <c r="AJ162">
        <f>IFERROR(INDEX(PP_Grid[#Data],$DD162,34),0)</f>
        <v/>
      </c>
      <c r="AK162">
        <f>IFERROR(INDEX(PP_Grid[#Data],$DD162,35),0)</f>
        <v/>
      </c>
      <c r="AL162">
        <f>IFERROR(INDEX(PP_Grid[#Data],$DD162,36),0)</f>
        <v/>
      </c>
      <c r="AM162">
        <f>IFERROR(INDEX(PP_Grid[#Data],$DD162,37),0)</f>
        <v/>
      </c>
      <c r="AN162">
        <f>IFERROR(INDEX(PP_Grid[#Data],$DD162,38),0)</f>
        <v/>
      </c>
      <c r="AO162">
        <f>IFERROR(INDEX(PP_Grid[#Data],$DD162,39),0)</f>
        <v/>
      </c>
      <c r="AP162">
        <f>IFERROR(INDEX(PP_Grid[#Data],$DD162,40),0)</f>
        <v/>
      </c>
      <c r="AQ162">
        <f>IFERROR(INDEX(PP_Grid[#Data],$DD162,41),0)</f>
        <v/>
      </c>
      <c r="AR162">
        <f>IFERROR(INDEX(PP_Grid[#Data],$DD162,42),0)</f>
        <v/>
      </c>
      <c r="AS162">
        <f>IFERROR(INDEX(PP_Grid[#Data],$DD162,43),0)</f>
        <v/>
      </c>
      <c r="AT162">
        <f>IFERROR(INDEX(PP_Grid[#Data],$DD162,44),0)</f>
        <v/>
      </c>
      <c r="AU162">
        <f>IFERROR(INDEX(PP_Grid[#Data],$DD162,45),0)</f>
        <v/>
      </c>
      <c r="AV162">
        <f>IFERROR(INDEX(PP_Grid[#Data],$DD162,46),0)</f>
        <v/>
      </c>
      <c r="AW162">
        <f>IFERROR(INDEX(PP_Grid[#Data],$DD162,47),0)</f>
        <v/>
      </c>
      <c r="AX162">
        <f>IFERROR(INDEX(PP_Grid[#Data],$DD162,48),0)</f>
        <v/>
      </c>
      <c r="AY162">
        <f>IFERROR(INDEX(PP_Grid[#Data],$DD162,49),0)</f>
        <v/>
      </c>
      <c r="AZ162">
        <f>IFERROR(INDEX(PP_Grid[#Data],$DD162,50),0)</f>
        <v/>
      </c>
      <c r="BA162">
        <f>IFERROR(INDEX(PP_Grid[#Data],$DD162,51),0)</f>
        <v/>
      </c>
      <c r="BB162">
        <f>IFERROR(INDEX(PP_Grid[#Data],$DD162,52),0)</f>
        <v/>
      </c>
      <c r="BC162">
        <f>IFERROR(INDEX(PP_Grid[#Data],$DD162,53),0)</f>
        <v/>
      </c>
      <c r="BD162">
        <f>IFERROR(INDEX(PP_Grid[#Data],$DD162,54),0)</f>
        <v/>
      </c>
      <c r="BE162">
        <f>IFERROR(INDEX(PP_Grid[#Data],$DD162,55),0)</f>
        <v/>
      </c>
      <c r="BF162">
        <f>IFERROR(INDEX(PP_Grid[#Data],$DD162,56),0)</f>
        <v/>
      </c>
      <c r="BG162">
        <f>IFERROR(INDEX(PP_Grid[#Data],$DD162,57),0)</f>
        <v/>
      </c>
      <c r="BH162">
        <f>IFERROR(INDEX(PP_Grid[#Data],$DD162,58),0)</f>
        <v/>
      </c>
      <c r="BI162">
        <f>IFERROR(INDEX(PP_Grid[#Data],$DD162,59),0)</f>
        <v/>
      </c>
      <c r="BJ162">
        <f>IFERROR(INDEX(PP_Grid[#Data],$DD162,60),0)</f>
        <v/>
      </c>
      <c r="BK162">
        <f>IFERROR(INDEX(PP_Grid[#Data],$DD162,61),0)</f>
        <v/>
      </c>
      <c r="BL162">
        <f>IFERROR(INDEX(PP_Grid[#Data],$DD162,62),0)</f>
        <v/>
      </c>
      <c r="BM162">
        <f>IFERROR(INDEX(PP_Grid[#Data],$DD162,63),0)</f>
        <v/>
      </c>
      <c r="BN162">
        <f>IFERROR(INDEX(PP_Grid[#Data],$DD162,64),0)</f>
        <v/>
      </c>
      <c r="BO162">
        <f>IFERROR(INDEX(PP_Grid[#Data],$DD162,65),0)</f>
        <v/>
      </c>
      <c r="BP162">
        <f>IFERROR(INDEX(PP_Grid[#Data],$DD162,66),0)</f>
        <v/>
      </c>
      <c r="BQ162">
        <f>IFERROR(INDEX(PP_Grid[#Data],$DD162,67),0)</f>
        <v/>
      </c>
      <c r="BR162">
        <f>IFERROR(INDEX(PP_Grid[#Data],$DD162,68),0)</f>
        <v/>
      </c>
      <c r="BS162">
        <f>IFERROR(INDEX(PP_Grid[#Data],$DD162,69),0)</f>
        <v/>
      </c>
      <c r="BT162">
        <f>IFERROR(INDEX(PP_Grid[#Data],$DD162,70),0)</f>
        <v/>
      </c>
      <c r="BU162">
        <f>IFERROR(INDEX(PP_Grid[#Data],$DD162,71),0)</f>
        <v/>
      </c>
      <c r="BV162">
        <f>IFERROR(INDEX(PP_Grid[#Data],$DD162,72),0)</f>
        <v/>
      </c>
      <c r="BW162">
        <f>IFERROR(INDEX(PP_Grid[#Data],$DD162,73),0)</f>
        <v/>
      </c>
      <c r="BX162">
        <f>IFERROR(INDEX(PP_Grid[#Data],$DD162,74),0)</f>
        <v/>
      </c>
      <c r="BY162">
        <f>IFERROR(INDEX(PP_Grid[#Data],$DD162,75),0)</f>
        <v/>
      </c>
      <c r="BZ162">
        <f>IFERROR(INDEX(PP_Grid[#Data],$DD162,76),0)</f>
        <v/>
      </c>
      <c r="CA162">
        <f>IFERROR(INDEX(PP_Grid[#Data],$DD162,77),0)</f>
        <v/>
      </c>
      <c r="CB162">
        <f>IFERROR(INDEX(PP_Grid[#Data],$DD162,78),0)</f>
        <v/>
      </c>
      <c r="CC162">
        <f>IFERROR(INDEX(PP_Grid[#Data],$DD162,79),0)</f>
        <v/>
      </c>
      <c r="CD162">
        <f>IFERROR(INDEX(PP_Grid[#Data],$DD162,80),0)</f>
        <v/>
      </c>
      <c r="CE162">
        <f>IFERROR(INDEX(PP_Grid[#Data],$DD162,81),0)</f>
        <v/>
      </c>
      <c r="CF162">
        <f>IFERROR(INDEX(PP_Grid[#Data],$DD162,82),0)</f>
        <v/>
      </c>
      <c r="CG162">
        <f>IFERROR(INDEX(PP_Grid[#Data],$DD162,83),0)</f>
        <v/>
      </c>
      <c r="CH162">
        <f>IFERROR(INDEX(PP_Grid[#Data],$DD162,84),0)</f>
        <v/>
      </c>
      <c r="CI162">
        <f>IFERROR(INDEX(PP_Grid[#Data],$DD162,85),0)</f>
        <v/>
      </c>
      <c r="CJ162">
        <f>IFERROR(INDEX(PP_Grid[#Data],$DD162,86),0)</f>
        <v/>
      </c>
      <c r="CK162">
        <f>IFERROR(INDEX(PP_Grid[#Data],$DD162,87),0)</f>
        <v/>
      </c>
      <c r="CL162">
        <f>IFERROR(INDEX(PP_Grid[#Data],$DD162,88),0)</f>
        <v/>
      </c>
      <c r="CM162">
        <f>IFERROR(INDEX(PP_Grid[#Data],$DD162,89),0)</f>
        <v/>
      </c>
      <c r="CN162">
        <f>IFERROR(INDEX(PP_Grid[#Data],$DD162,90),0)</f>
        <v/>
      </c>
      <c r="CO162">
        <f>IFERROR(INDEX(PP_Grid[#Data],$DD162,91),0)</f>
        <v/>
      </c>
      <c r="CP162">
        <f>IFERROR(INDEX(PP_Grid[#Data],$DD162,92),0)</f>
        <v/>
      </c>
      <c r="CQ162">
        <f>IFERROR(INDEX(PP_Grid[#Data],$DD162,93),0)</f>
        <v/>
      </c>
      <c r="CR162">
        <f>IFERROR(INDEX(PP_Grid[#Data],$DD162,94),0)</f>
        <v/>
      </c>
      <c r="CS162">
        <f>IFERROR(INDEX(PP_Grid[#Data],$DD162,95),0)</f>
        <v/>
      </c>
      <c r="CT162">
        <f>IFERROR(INDEX(PP_Grid[#Data],$DD162,96),0)</f>
        <v/>
      </c>
      <c r="CU162">
        <f>IFERROR(INDEX(PP_Grid[#Data],$DD162,97),0)</f>
        <v/>
      </c>
      <c r="CV162">
        <f>IFERROR(INDEX(PP_Grid[#Data],$DD162,98),0)</f>
        <v/>
      </c>
      <c r="CW162">
        <f>IFERROR(INDEX(PP_Grid[#Data],$DD162,99),0)</f>
        <v/>
      </c>
      <c r="CX162">
        <f>IFERROR(INDEX(PP_Grid[#Data],$DD162,100),0)</f>
        <v/>
      </c>
      <c r="CY162">
        <f>IFERROR(INDEX(PP_Grid[#Data],$DD162,101),0)</f>
        <v/>
      </c>
      <c r="CZ162">
        <f>IFERROR(INDEX(PP_Grid[#Data],$DD162,102),0)</f>
        <v/>
      </c>
      <c r="DA162">
        <f>IFERROR(INDEX(PP_Grid[#Data],$DD162,103),0)</f>
        <v/>
      </c>
      <c r="DB162">
        <f>IFERROR(INDEX(PP_Grid[#Data],$DD162,104),0)</f>
        <v/>
      </c>
      <c r="DC162">
        <f>IFERROR(INDEX(PP_Grid[#Data],$DD162,105),0)</f>
        <v/>
      </c>
      <c r="DD162" s="12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SUMIFS(M_BOM[RM_Qty_Per_Batch],M_BOM[Intermediate],$B162,M_BOM[Part Name],$A159)</f>
        <v/>
      </c>
      <c r="D163">
        <f>$C163*D162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</row>
    <row r="164">
      <c r="B164" s="5" t="inlineStr">
        <is>
          <t>合計使用量(kg)/週</t>
        </is>
      </c>
      <c r="D164">
        <f>'Grid_Requirement'!B25</f>
        <v/>
      </c>
      <c r="E164">
        <f>'Grid_Requirement'!C25</f>
        <v/>
      </c>
      <c r="F164">
        <f>'Grid_Requirement'!D25</f>
        <v/>
      </c>
      <c r="G164">
        <f>'Grid_Requirement'!E25</f>
        <v/>
      </c>
      <c r="H164">
        <f>'Grid_Requirement'!F25</f>
        <v/>
      </c>
      <c r="I164">
        <f>'Grid_Requirement'!G25</f>
        <v/>
      </c>
      <c r="J164">
        <f>'Grid_Requirement'!H25</f>
        <v/>
      </c>
      <c r="K164">
        <f>'Grid_Requirement'!I25</f>
        <v/>
      </c>
      <c r="L164">
        <f>'Grid_Requirement'!J25</f>
        <v/>
      </c>
      <c r="M164">
        <f>'Grid_Requirement'!K25</f>
        <v/>
      </c>
      <c r="N164">
        <f>'Grid_Requirement'!L25</f>
        <v/>
      </c>
      <c r="O164">
        <f>'Grid_Requirement'!M25</f>
        <v/>
      </c>
      <c r="P164">
        <f>'Grid_Requirement'!N25</f>
        <v/>
      </c>
      <c r="Q164">
        <f>'Grid_Requirement'!O25</f>
        <v/>
      </c>
      <c r="R164">
        <f>'Grid_Requirement'!P25</f>
        <v/>
      </c>
      <c r="S164">
        <f>'Grid_Requirement'!Q25</f>
        <v/>
      </c>
      <c r="T164">
        <f>'Grid_Requirement'!R25</f>
        <v/>
      </c>
      <c r="U164">
        <f>'Grid_Requirement'!S25</f>
        <v/>
      </c>
      <c r="V164">
        <f>'Grid_Requirement'!T25</f>
        <v/>
      </c>
      <c r="W164">
        <f>'Grid_Requirement'!U25</f>
        <v/>
      </c>
      <c r="X164">
        <f>'Grid_Requirement'!V25</f>
        <v/>
      </c>
      <c r="Y164">
        <f>'Grid_Requirement'!W25</f>
        <v/>
      </c>
      <c r="Z164">
        <f>'Grid_Requirement'!X25</f>
        <v/>
      </c>
      <c r="AA164">
        <f>'Grid_Requirement'!Y25</f>
        <v/>
      </c>
      <c r="AB164">
        <f>'Grid_Requirement'!Z25</f>
        <v/>
      </c>
      <c r="AC164">
        <f>'Grid_Requirement'!AA25</f>
        <v/>
      </c>
      <c r="AD164">
        <f>'Grid_Requirement'!AB25</f>
        <v/>
      </c>
      <c r="AE164">
        <f>'Grid_Requirement'!AC25</f>
        <v/>
      </c>
      <c r="AF164">
        <f>'Grid_Requirement'!AD25</f>
        <v/>
      </c>
      <c r="AG164">
        <f>'Grid_Requirement'!AE25</f>
        <v/>
      </c>
      <c r="AH164">
        <f>'Grid_Requirement'!AF25</f>
        <v/>
      </c>
      <c r="AI164">
        <f>'Grid_Requirement'!AG25</f>
        <v/>
      </c>
      <c r="AJ164">
        <f>'Grid_Requirement'!AH25</f>
        <v/>
      </c>
      <c r="AK164">
        <f>'Grid_Requirement'!AI25</f>
        <v/>
      </c>
      <c r="AL164">
        <f>'Grid_Requirement'!AJ25</f>
        <v/>
      </c>
      <c r="AM164">
        <f>'Grid_Requirement'!AK25</f>
        <v/>
      </c>
      <c r="AN164">
        <f>'Grid_Requirement'!AL25</f>
        <v/>
      </c>
      <c r="AO164">
        <f>'Grid_Requirement'!AM25</f>
        <v/>
      </c>
      <c r="AP164">
        <f>'Grid_Requirement'!AN25</f>
        <v/>
      </c>
      <c r="AQ164">
        <f>'Grid_Requirement'!AO25</f>
        <v/>
      </c>
      <c r="AR164">
        <f>'Grid_Requirement'!AP25</f>
        <v/>
      </c>
      <c r="AS164">
        <f>'Grid_Requirement'!AQ25</f>
        <v/>
      </c>
      <c r="AT164">
        <f>'Grid_Requirement'!AR25</f>
        <v/>
      </c>
      <c r="AU164">
        <f>'Grid_Requirement'!AS25</f>
        <v/>
      </c>
      <c r="AV164">
        <f>'Grid_Requirement'!AT25</f>
        <v/>
      </c>
      <c r="AW164">
        <f>'Grid_Requirement'!AU25</f>
        <v/>
      </c>
      <c r="AX164">
        <f>'Grid_Requirement'!AV25</f>
        <v/>
      </c>
      <c r="AY164">
        <f>'Grid_Requirement'!AW25</f>
        <v/>
      </c>
      <c r="AZ164">
        <f>'Grid_Requirement'!AX25</f>
        <v/>
      </c>
      <c r="BA164">
        <f>'Grid_Requirement'!AY25</f>
        <v/>
      </c>
      <c r="BB164">
        <f>'Grid_Requirement'!AZ25</f>
        <v/>
      </c>
      <c r="BC164">
        <f>'Grid_Requirement'!BA25</f>
        <v/>
      </c>
      <c r="BD164">
        <f>'Grid_Requirement'!BB25</f>
        <v/>
      </c>
      <c r="BE164">
        <f>'Grid_Requirement'!BC25</f>
        <v/>
      </c>
      <c r="BF164">
        <f>'Grid_Requirement'!BD25</f>
        <v/>
      </c>
      <c r="BG164">
        <f>'Grid_Requirement'!BE25</f>
        <v/>
      </c>
      <c r="BH164">
        <f>'Grid_Requirement'!BF25</f>
        <v/>
      </c>
      <c r="BI164">
        <f>'Grid_Requirement'!BG25</f>
        <v/>
      </c>
      <c r="BJ164">
        <f>'Grid_Requirement'!BH25</f>
        <v/>
      </c>
      <c r="BK164">
        <f>'Grid_Requirement'!BI25</f>
        <v/>
      </c>
      <c r="BL164">
        <f>'Grid_Requirement'!BJ25</f>
        <v/>
      </c>
      <c r="BM164">
        <f>'Grid_Requirement'!BK25</f>
        <v/>
      </c>
      <c r="BN164">
        <f>'Grid_Requirement'!BL25</f>
        <v/>
      </c>
      <c r="BO164">
        <f>'Grid_Requirement'!BM25</f>
        <v/>
      </c>
      <c r="BP164">
        <f>'Grid_Requirement'!BN25</f>
        <v/>
      </c>
      <c r="BQ164">
        <f>'Grid_Requirement'!BO25</f>
        <v/>
      </c>
      <c r="BR164">
        <f>'Grid_Requirement'!BP25</f>
        <v/>
      </c>
      <c r="BS164">
        <f>'Grid_Requirement'!BQ25</f>
        <v/>
      </c>
      <c r="BT164">
        <f>'Grid_Requirement'!BR25</f>
        <v/>
      </c>
      <c r="BU164">
        <f>'Grid_Requirement'!BS25</f>
        <v/>
      </c>
      <c r="BV164">
        <f>'Grid_Requirement'!BT25</f>
        <v/>
      </c>
      <c r="BW164">
        <f>'Grid_Requirement'!BU25</f>
        <v/>
      </c>
      <c r="BX164">
        <f>'Grid_Requirement'!BV25</f>
        <v/>
      </c>
      <c r="BY164">
        <f>'Grid_Requirement'!BW25</f>
        <v/>
      </c>
      <c r="BZ164">
        <f>'Grid_Requirement'!BX25</f>
        <v/>
      </c>
      <c r="CA164">
        <f>'Grid_Requirement'!BY25</f>
        <v/>
      </c>
      <c r="CB164">
        <f>'Grid_Requirement'!BZ25</f>
        <v/>
      </c>
      <c r="CC164">
        <f>'Grid_Requirement'!CA25</f>
        <v/>
      </c>
      <c r="CD164">
        <f>'Grid_Requirement'!CB25</f>
        <v/>
      </c>
      <c r="CE164">
        <f>'Grid_Requirement'!CC25</f>
        <v/>
      </c>
      <c r="CF164">
        <f>'Grid_Requirement'!CD25</f>
        <v/>
      </c>
      <c r="CG164">
        <f>'Grid_Requirement'!CE25</f>
        <v/>
      </c>
      <c r="CH164">
        <f>'Grid_Requirement'!CF25</f>
        <v/>
      </c>
      <c r="CI164">
        <f>'Grid_Requirement'!CG25</f>
        <v/>
      </c>
      <c r="CJ164">
        <f>'Grid_Requirement'!CH25</f>
        <v/>
      </c>
      <c r="CK164">
        <f>'Grid_Requirement'!CI25</f>
        <v/>
      </c>
      <c r="CL164">
        <f>'Grid_Requirement'!CJ25</f>
        <v/>
      </c>
      <c r="CM164">
        <f>'Grid_Requirement'!CK25</f>
        <v/>
      </c>
      <c r="CN164">
        <f>'Grid_Requirement'!CL25</f>
        <v/>
      </c>
      <c r="CO164">
        <f>'Grid_Requirement'!CM25</f>
        <v/>
      </c>
      <c r="CP164">
        <f>'Grid_Requirement'!CN25</f>
        <v/>
      </c>
      <c r="CQ164">
        <f>'Grid_Requirement'!CO25</f>
        <v/>
      </c>
      <c r="CR164">
        <f>'Grid_Requirement'!CP25</f>
        <v/>
      </c>
      <c r="CS164">
        <f>'Grid_Requirement'!CQ25</f>
        <v/>
      </c>
      <c r="CT164">
        <f>'Grid_Requirement'!CR25</f>
        <v/>
      </c>
      <c r="CU164">
        <f>'Grid_Requirement'!CS25</f>
        <v/>
      </c>
      <c r="CV164">
        <f>'Grid_Requirement'!CT25</f>
        <v/>
      </c>
      <c r="CW164">
        <f>'Grid_Requirement'!CU25</f>
        <v/>
      </c>
      <c r="CX164">
        <f>'Grid_Requirement'!CV25</f>
        <v/>
      </c>
      <c r="CY164">
        <f>'Grid_Requirement'!CW25</f>
        <v/>
      </c>
      <c r="CZ164">
        <f>'Grid_Requirement'!CX25</f>
        <v/>
      </c>
      <c r="DA164">
        <f>'Grid_Requirement'!CY25</f>
        <v/>
      </c>
      <c r="DB164">
        <f>'Grid_Requirement'!CZ25</f>
        <v/>
      </c>
      <c r="DC164">
        <f>'Grid_Requirement'!DA25</f>
        <v/>
      </c>
    </row>
    <row r="165">
      <c r="B165" t="inlineStr">
        <is>
          <t>TTAF在庫(実績,kg)</t>
        </is>
      </c>
      <c r="D165">
        <f>'T_TTAFStock'!B29</f>
        <v/>
      </c>
      <c r="E165">
        <f>'T_TTAFStock'!C29</f>
        <v/>
      </c>
      <c r="F165">
        <f>'T_TTAFStock'!D29</f>
        <v/>
      </c>
      <c r="G165">
        <f>'T_TTAFStock'!E29</f>
        <v/>
      </c>
      <c r="H165">
        <f>'T_TTAFStock'!F29</f>
        <v/>
      </c>
      <c r="I165">
        <f>'T_TTAFStock'!G29</f>
        <v/>
      </c>
      <c r="J165">
        <f>'T_TTAFStock'!H29</f>
        <v/>
      </c>
      <c r="K165">
        <f>'T_TTAFStock'!I29</f>
        <v/>
      </c>
      <c r="L165">
        <f>'T_TTAFStock'!J29</f>
        <v/>
      </c>
      <c r="M165">
        <f>'T_TTAFStock'!K29</f>
        <v/>
      </c>
      <c r="N165">
        <f>'T_TTAFStock'!L29</f>
        <v/>
      </c>
      <c r="O165">
        <f>'T_TTAFStock'!M29</f>
        <v/>
      </c>
      <c r="P165">
        <f>'T_TTAFStock'!N29</f>
        <v/>
      </c>
      <c r="Q165">
        <f>'T_TTAFStock'!O29</f>
        <v/>
      </c>
      <c r="R165">
        <f>'T_TTAFStock'!P29</f>
        <v/>
      </c>
      <c r="S165">
        <f>'T_TTAFStock'!Q29</f>
        <v/>
      </c>
      <c r="T165">
        <f>'T_TTAFStock'!R29</f>
        <v/>
      </c>
      <c r="U165">
        <f>'T_TTAFStock'!S29</f>
        <v/>
      </c>
      <c r="V165">
        <f>'T_TTAFStock'!T29</f>
        <v/>
      </c>
      <c r="W165">
        <f>'T_TTAFStock'!U29</f>
        <v/>
      </c>
      <c r="X165">
        <f>'T_TTAFStock'!V29</f>
        <v/>
      </c>
      <c r="Y165">
        <f>'T_TTAFStock'!W29</f>
        <v/>
      </c>
      <c r="Z165">
        <f>'T_TTAFStock'!X29</f>
        <v/>
      </c>
      <c r="AA165">
        <f>'T_TTAFStock'!Y29</f>
        <v/>
      </c>
      <c r="AB165">
        <f>'T_TTAFStock'!Z29</f>
        <v/>
      </c>
      <c r="AC165">
        <f>'T_TTAFStock'!AA29</f>
        <v/>
      </c>
      <c r="AD165">
        <f>'T_TTAFStock'!AB29</f>
        <v/>
      </c>
      <c r="AE165">
        <f>'T_TTAFStock'!AC29</f>
        <v/>
      </c>
      <c r="AF165">
        <f>'T_TTAFStock'!AD29</f>
        <v/>
      </c>
      <c r="AG165">
        <f>'T_TTAFStock'!AE29</f>
        <v/>
      </c>
      <c r="AH165">
        <f>'T_TTAFStock'!AF29</f>
        <v/>
      </c>
      <c r="AI165">
        <f>'T_TTAFStock'!AG29</f>
        <v/>
      </c>
      <c r="AJ165">
        <f>'T_TTAFStock'!AH29</f>
        <v/>
      </c>
      <c r="AK165">
        <f>'T_TTAFStock'!AI29</f>
        <v/>
      </c>
      <c r="AL165">
        <f>'T_TTAFStock'!AJ29</f>
        <v/>
      </c>
      <c r="AM165">
        <f>'T_TTAFStock'!AK29</f>
        <v/>
      </c>
      <c r="AN165">
        <f>'T_TTAFStock'!AL29</f>
        <v/>
      </c>
      <c r="AO165">
        <f>'T_TTAFStock'!AM29</f>
        <v/>
      </c>
      <c r="AP165">
        <f>'T_TTAFStock'!AN29</f>
        <v/>
      </c>
      <c r="AQ165">
        <f>'T_TTAFStock'!AO29</f>
        <v/>
      </c>
      <c r="AR165">
        <f>'T_TTAFStock'!AP29</f>
        <v/>
      </c>
      <c r="AS165">
        <f>'T_TTAFStock'!AQ29</f>
        <v/>
      </c>
      <c r="AT165">
        <f>'T_TTAFStock'!AR29</f>
        <v/>
      </c>
      <c r="AU165">
        <f>'T_TTAFStock'!AS29</f>
        <v/>
      </c>
      <c r="AV165">
        <f>'T_TTAFStock'!AT29</f>
        <v/>
      </c>
      <c r="AW165">
        <f>'T_TTAFStock'!AU29</f>
        <v/>
      </c>
      <c r="AX165">
        <f>'T_TTAFStock'!AV29</f>
        <v/>
      </c>
      <c r="AY165">
        <f>'T_TTAFStock'!AW29</f>
        <v/>
      </c>
      <c r="AZ165">
        <f>'T_TTAFStock'!AX29</f>
        <v/>
      </c>
      <c r="BA165">
        <f>'T_TTAFStock'!AY29</f>
        <v/>
      </c>
      <c r="BB165">
        <f>'T_TTAFStock'!AZ29</f>
        <v/>
      </c>
      <c r="BC165">
        <f>'T_TTAFStock'!BA29</f>
        <v/>
      </c>
      <c r="BD165">
        <f>'T_TTAFStock'!BB29</f>
        <v/>
      </c>
      <c r="BE165">
        <f>'T_TTAFStock'!BC29</f>
        <v/>
      </c>
      <c r="BF165">
        <f>'T_TTAFStock'!BD29</f>
        <v/>
      </c>
      <c r="BG165">
        <f>'T_TTAFStock'!BE29</f>
        <v/>
      </c>
      <c r="BH165">
        <f>'T_TTAFStock'!BF29</f>
        <v/>
      </c>
      <c r="BI165">
        <f>'T_TTAFStock'!BG29</f>
        <v/>
      </c>
      <c r="BJ165">
        <f>'T_TTAFStock'!BH29</f>
        <v/>
      </c>
      <c r="BK165">
        <f>'T_TTAFStock'!BI29</f>
        <v/>
      </c>
      <c r="BL165">
        <f>'T_TTAFStock'!BJ29</f>
        <v/>
      </c>
      <c r="BM165">
        <f>'T_TTAFStock'!BK29</f>
        <v/>
      </c>
      <c r="BN165">
        <f>'T_TTAFStock'!BL29</f>
        <v/>
      </c>
      <c r="BO165">
        <f>'T_TTAFStock'!BM29</f>
        <v/>
      </c>
      <c r="BP165">
        <f>'T_TTAFStock'!BN29</f>
        <v/>
      </c>
      <c r="BQ165">
        <f>'T_TTAFStock'!BO29</f>
        <v/>
      </c>
      <c r="BR165">
        <f>'T_TTAFStock'!BP29</f>
        <v/>
      </c>
      <c r="BS165">
        <f>'T_TTAFStock'!BQ29</f>
        <v/>
      </c>
      <c r="BT165">
        <f>'T_TTAFStock'!BR29</f>
        <v/>
      </c>
      <c r="BU165">
        <f>'T_TTAFStock'!BS29</f>
        <v/>
      </c>
      <c r="BV165">
        <f>'T_TTAFStock'!BT29</f>
        <v/>
      </c>
      <c r="BW165">
        <f>'T_TTAFStock'!BU29</f>
        <v/>
      </c>
      <c r="BX165">
        <f>'T_TTAFStock'!BV29</f>
        <v/>
      </c>
      <c r="BY165">
        <f>'T_TTAFStock'!BW29</f>
        <v/>
      </c>
      <c r="BZ165">
        <f>'T_TTAFStock'!BX29</f>
        <v/>
      </c>
      <c r="CA165">
        <f>'T_TTAFStock'!BY29</f>
        <v/>
      </c>
      <c r="CB165">
        <f>'T_TTAFStock'!BZ29</f>
        <v/>
      </c>
      <c r="CC165">
        <f>'T_TTAFStock'!CA29</f>
        <v/>
      </c>
      <c r="CD165">
        <f>'T_TTAFStock'!CB29</f>
        <v/>
      </c>
      <c r="CE165">
        <f>'T_TTAFStock'!CC29</f>
        <v/>
      </c>
      <c r="CF165">
        <f>'T_TTAFStock'!CD29</f>
        <v/>
      </c>
      <c r="CG165">
        <f>'T_TTAFStock'!CE29</f>
        <v/>
      </c>
      <c r="CH165">
        <f>'T_TTAFStock'!CF29</f>
        <v/>
      </c>
      <c r="CI165">
        <f>'T_TTAFStock'!CG29</f>
        <v/>
      </c>
      <c r="CJ165">
        <f>'T_TTAFStock'!CH29</f>
        <v/>
      </c>
      <c r="CK165">
        <f>'T_TTAFStock'!CI29</f>
        <v/>
      </c>
      <c r="CL165">
        <f>'T_TTAFStock'!CJ29</f>
        <v/>
      </c>
      <c r="CM165">
        <f>'T_TTAFStock'!CK29</f>
        <v/>
      </c>
      <c r="CN165">
        <f>'T_TTAFStock'!CL29</f>
        <v/>
      </c>
      <c r="CO165">
        <f>'T_TTAFStock'!CM29</f>
        <v/>
      </c>
      <c r="CP165">
        <f>'T_TTAFStock'!CN29</f>
        <v/>
      </c>
      <c r="CQ165">
        <f>'T_TTAFStock'!CO29</f>
        <v/>
      </c>
      <c r="CR165">
        <f>'T_TTAFStock'!CP29</f>
        <v/>
      </c>
      <c r="CS165">
        <f>'T_TTAFStock'!CQ29</f>
        <v/>
      </c>
      <c r="CT165">
        <f>'T_TTAFStock'!CR29</f>
        <v/>
      </c>
      <c r="CU165">
        <f>'T_TTAFStock'!CS29</f>
        <v/>
      </c>
      <c r="CV165">
        <f>'T_TTAFStock'!CT29</f>
        <v/>
      </c>
      <c r="CW165">
        <f>'T_TTAFStock'!CU29</f>
        <v/>
      </c>
      <c r="CX165">
        <f>'T_TTAFStock'!CV29</f>
        <v/>
      </c>
      <c r="CY165">
        <f>'T_TTAFStock'!CW29</f>
        <v/>
      </c>
      <c r="CZ165">
        <f>'T_TTAFStock'!CX29</f>
        <v/>
      </c>
      <c r="DA165">
        <f>'T_TTAFStock'!CY29</f>
        <v/>
      </c>
      <c r="DB165">
        <f>'T_TTAFStock'!CZ29</f>
        <v/>
      </c>
      <c r="DC165">
        <f>'T_TTAFStock'!DA29</f>
        <v/>
      </c>
    </row>
    <row r="166">
      <c r="B166" t="inlineStr">
        <is>
          <t>自社在庫(実績,kg)</t>
        </is>
      </c>
      <c r="D166">
        <f>'T_SelfStock'!B29</f>
        <v/>
      </c>
      <c r="E166">
        <f>'T_SelfStock'!C29</f>
        <v/>
      </c>
      <c r="F166">
        <f>'T_SelfStock'!D29</f>
        <v/>
      </c>
      <c r="G166">
        <f>'T_SelfStock'!E29</f>
        <v/>
      </c>
      <c r="H166">
        <f>'T_SelfStock'!F29</f>
        <v/>
      </c>
      <c r="I166">
        <f>'T_SelfStock'!G29</f>
        <v/>
      </c>
      <c r="J166">
        <f>'T_SelfStock'!H29</f>
        <v/>
      </c>
      <c r="K166">
        <f>'T_SelfStock'!I29</f>
        <v/>
      </c>
      <c r="L166">
        <f>'T_SelfStock'!J29</f>
        <v/>
      </c>
      <c r="M166">
        <f>'T_SelfStock'!K29</f>
        <v/>
      </c>
      <c r="N166">
        <f>'T_SelfStock'!L29</f>
        <v/>
      </c>
      <c r="O166">
        <f>'T_SelfStock'!M29</f>
        <v/>
      </c>
      <c r="P166">
        <f>'T_SelfStock'!N29</f>
        <v/>
      </c>
      <c r="Q166">
        <f>'T_SelfStock'!O29</f>
        <v/>
      </c>
      <c r="R166">
        <f>'T_SelfStock'!P29</f>
        <v/>
      </c>
      <c r="S166">
        <f>'T_SelfStock'!Q29</f>
        <v/>
      </c>
      <c r="T166">
        <f>'T_SelfStock'!R29</f>
        <v/>
      </c>
      <c r="U166">
        <f>'T_SelfStock'!S29</f>
        <v/>
      </c>
      <c r="V166">
        <f>'T_SelfStock'!T29</f>
        <v/>
      </c>
      <c r="W166">
        <f>'T_SelfStock'!U29</f>
        <v/>
      </c>
      <c r="X166">
        <f>'T_SelfStock'!V29</f>
        <v/>
      </c>
      <c r="Y166">
        <f>'T_SelfStock'!W29</f>
        <v/>
      </c>
      <c r="Z166">
        <f>'T_SelfStock'!X29</f>
        <v/>
      </c>
      <c r="AA166">
        <f>'T_SelfStock'!Y29</f>
        <v/>
      </c>
      <c r="AB166">
        <f>'T_SelfStock'!Z29</f>
        <v/>
      </c>
      <c r="AC166">
        <f>'T_SelfStock'!AA29</f>
        <v/>
      </c>
      <c r="AD166">
        <f>'T_SelfStock'!AB29</f>
        <v/>
      </c>
      <c r="AE166">
        <f>'T_SelfStock'!AC29</f>
        <v/>
      </c>
      <c r="AF166">
        <f>'T_SelfStock'!AD29</f>
        <v/>
      </c>
      <c r="AG166">
        <f>'T_SelfStock'!AE29</f>
        <v/>
      </c>
      <c r="AH166">
        <f>'T_SelfStock'!AF29</f>
        <v/>
      </c>
      <c r="AI166">
        <f>'T_SelfStock'!AG29</f>
        <v/>
      </c>
      <c r="AJ166">
        <f>'T_SelfStock'!AH29</f>
        <v/>
      </c>
      <c r="AK166">
        <f>'T_SelfStock'!AI29</f>
        <v/>
      </c>
      <c r="AL166">
        <f>'T_SelfStock'!AJ29</f>
        <v/>
      </c>
      <c r="AM166">
        <f>'T_SelfStock'!AK29</f>
        <v/>
      </c>
      <c r="AN166">
        <f>'T_SelfStock'!AL29</f>
        <v/>
      </c>
      <c r="AO166">
        <f>'T_SelfStock'!AM29</f>
        <v/>
      </c>
      <c r="AP166">
        <f>'T_SelfStock'!AN29</f>
        <v/>
      </c>
      <c r="AQ166">
        <f>'T_SelfStock'!AO29</f>
        <v/>
      </c>
      <c r="AR166">
        <f>'T_SelfStock'!AP29</f>
        <v/>
      </c>
      <c r="AS166">
        <f>'T_SelfStock'!AQ29</f>
        <v/>
      </c>
      <c r="AT166">
        <f>'T_SelfStock'!AR29</f>
        <v/>
      </c>
      <c r="AU166">
        <f>'T_SelfStock'!AS29</f>
        <v/>
      </c>
      <c r="AV166">
        <f>'T_SelfStock'!AT29</f>
        <v/>
      </c>
      <c r="AW166">
        <f>'T_SelfStock'!AU29</f>
        <v/>
      </c>
      <c r="AX166">
        <f>'T_SelfStock'!AV29</f>
        <v/>
      </c>
      <c r="AY166">
        <f>'T_SelfStock'!AW29</f>
        <v/>
      </c>
      <c r="AZ166">
        <f>'T_SelfStock'!AX29</f>
        <v/>
      </c>
      <c r="BA166">
        <f>'T_SelfStock'!AY29</f>
        <v/>
      </c>
      <c r="BB166">
        <f>'T_SelfStock'!AZ29</f>
        <v/>
      </c>
      <c r="BC166">
        <f>'T_SelfStock'!BA29</f>
        <v/>
      </c>
      <c r="BD166">
        <f>'T_SelfStock'!BB29</f>
        <v/>
      </c>
      <c r="BE166">
        <f>'T_SelfStock'!BC29</f>
        <v/>
      </c>
      <c r="BF166">
        <f>'T_SelfStock'!BD29</f>
        <v/>
      </c>
      <c r="BG166">
        <f>'T_SelfStock'!BE29</f>
        <v/>
      </c>
      <c r="BH166">
        <f>'T_SelfStock'!BF29</f>
        <v/>
      </c>
      <c r="BI166">
        <f>'T_SelfStock'!BG29</f>
        <v/>
      </c>
      <c r="BJ166">
        <f>'T_SelfStock'!BH29</f>
        <v/>
      </c>
      <c r="BK166">
        <f>'T_SelfStock'!BI29</f>
        <v/>
      </c>
      <c r="BL166">
        <f>'T_SelfStock'!BJ29</f>
        <v/>
      </c>
      <c r="BM166">
        <f>'T_SelfStock'!BK29</f>
        <v/>
      </c>
      <c r="BN166">
        <f>'T_SelfStock'!BL29</f>
        <v/>
      </c>
      <c r="BO166">
        <f>'T_SelfStock'!BM29</f>
        <v/>
      </c>
      <c r="BP166">
        <f>'T_SelfStock'!BN29</f>
        <v/>
      </c>
      <c r="BQ166">
        <f>'T_SelfStock'!BO29</f>
        <v/>
      </c>
      <c r="BR166">
        <f>'T_SelfStock'!BP29</f>
        <v/>
      </c>
      <c r="BS166">
        <f>'T_SelfStock'!BQ29</f>
        <v/>
      </c>
      <c r="BT166">
        <f>'T_SelfStock'!BR29</f>
        <v/>
      </c>
      <c r="BU166">
        <f>'T_SelfStock'!BS29</f>
        <v/>
      </c>
      <c r="BV166">
        <f>'T_SelfStock'!BT29</f>
        <v/>
      </c>
      <c r="BW166">
        <f>'T_SelfStock'!BU29</f>
        <v/>
      </c>
      <c r="BX166">
        <f>'T_SelfStock'!BV29</f>
        <v/>
      </c>
      <c r="BY166">
        <f>'T_SelfStock'!BW29</f>
        <v/>
      </c>
      <c r="BZ166">
        <f>'T_SelfStock'!BX29</f>
        <v/>
      </c>
      <c r="CA166">
        <f>'T_SelfStock'!BY29</f>
        <v/>
      </c>
      <c r="CB166">
        <f>'T_SelfStock'!BZ29</f>
        <v/>
      </c>
      <c r="CC166">
        <f>'T_SelfStock'!CA29</f>
        <v/>
      </c>
      <c r="CD166">
        <f>'T_SelfStock'!CB29</f>
        <v/>
      </c>
      <c r="CE166">
        <f>'T_SelfStock'!CC29</f>
        <v/>
      </c>
      <c r="CF166">
        <f>'T_SelfStock'!CD29</f>
        <v/>
      </c>
      <c r="CG166">
        <f>'T_SelfStock'!CE29</f>
        <v/>
      </c>
      <c r="CH166">
        <f>'T_SelfStock'!CF29</f>
        <v/>
      </c>
      <c r="CI166">
        <f>'T_SelfStock'!CG29</f>
        <v/>
      </c>
      <c r="CJ166">
        <f>'T_SelfStock'!CH29</f>
        <v/>
      </c>
      <c r="CK166">
        <f>'T_SelfStock'!CI29</f>
        <v/>
      </c>
      <c r="CL166">
        <f>'T_SelfStock'!CJ29</f>
        <v/>
      </c>
      <c r="CM166">
        <f>'T_SelfStock'!CK29</f>
        <v/>
      </c>
      <c r="CN166">
        <f>'T_SelfStock'!CL29</f>
        <v/>
      </c>
      <c r="CO166">
        <f>'T_SelfStock'!CM29</f>
        <v/>
      </c>
      <c r="CP166">
        <f>'T_SelfStock'!CN29</f>
        <v/>
      </c>
      <c r="CQ166">
        <f>'T_SelfStock'!CO29</f>
        <v/>
      </c>
      <c r="CR166">
        <f>'T_SelfStock'!CP29</f>
        <v/>
      </c>
      <c r="CS166">
        <f>'T_SelfStock'!CQ29</f>
        <v/>
      </c>
      <c r="CT166">
        <f>'T_SelfStock'!CR29</f>
        <v/>
      </c>
      <c r="CU166">
        <f>'T_SelfStock'!CS29</f>
        <v/>
      </c>
      <c r="CV166">
        <f>'T_SelfStock'!CT29</f>
        <v/>
      </c>
      <c r="CW166">
        <f>'T_SelfStock'!CU29</f>
        <v/>
      </c>
      <c r="CX166">
        <f>'T_SelfStock'!CV29</f>
        <v/>
      </c>
      <c r="CY166">
        <f>'T_SelfStock'!CW29</f>
        <v/>
      </c>
      <c r="CZ166">
        <f>'T_SelfStock'!CX29</f>
        <v/>
      </c>
      <c r="DA166">
        <f>'T_SelfStock'!CY29</f>
        <v/>
      </c>
      <c r="DB166">
        <f>'T_SelfStock'!CZ29</f>
        <v/>
      </c>
      <c r="DC166">
        <f>'T_SelfStock'!DA29</f>
        <v/>
      </c>
    </row>
    <row r="167">
      <c r="B167" t="inlineStr">
        <is>
          <t>Order(発注予定,kg)</t>
        </is>
      </c>
      <c r="D167">
        <f>IF(SUMIFS(T_PlannedOrders[EffectiveQty],T_PlannedOrders[Part Name],$A159,T_PlannedOrders[WeekIndex],1)=0,"",SUMIFS(T_PlannedOrders[EffectiveQty],T_PlannedOrders[Part Name],$A159,T_PlannedOrders[WeekIndex],1)&amp;" ("&amp;TEXT(SUMPRODUCT(MAX((T_PlannedOrders[Part Name]=$A159)*(T_PlannedOrders[WeekIndex]=1)*(T_PlannedOrders[EffectiveQty]&gt;0)*T_PlannedOrders[Order_Month])),"m月")&amp;"発注)")</f>
        <v/>
      </c>
      <c r="E167">
        <f>IF(SUMIFS(T_PlannedOrders[EffectiveQty],T_PlannedOrders[Part Name],$A159,T_PlannedOrders[WeekIndex],2)=0,"",SUMIFS(T_PlannedOrders[EffectiveQty],T_PlannedOrders[Part Name],$A159,T_PlannedOrders[WeekIndex],2)&amp;" ("&amp;TEXT(SUMPRODUCT(MAX((T_PlannedOrders[Part Name]=$A159)*(T_PlannedOrders[WeekIndex]=2)*(T_PlannedOrders[EffectiveQty]&gt;0)*T_PlannedOrders[Order_Month])),"m月")&amp;"発注)")</f>
        <v/>
      </c>
      <c r="F167">
        <f>IF(SUMIFS(T_PlannedOrders[EffectiveQty],T_PlannedOrders[Part Name],$A159,T_PlannedOrders[WeekIndex],3)=0,"",SUMIFS(T_PlannedOrders[EffectiveQty],T_PlannedOrders[Part Name],$A159,T_PlannedOrders[WeekIndex],3)&amp;" ("&amp;TEXT(SUMPRODUCT(MAX((T_PlannedOrders[Part Name]=$A159)*(T_PlannedOrders[WeekIndex]=3)*(T_PlannedOrders[EffectiveQty]&gt;0)*T_PlannedOrders[Order_Month])),"m月")&amp;"発注)")</f>
        <v/>
      </c>
      <c r="G167">
        <f>IF(SUMIFS(T_PlannedOrders[EffectiveQty],T_PlannedOrders[Part Name],$A159,T_PlannedOrders[WeekIndex],4)=0,"",SUMIFS(T_PlannedOrders[EffectiveQty],T_PlannedOrders[Part Name],$A159,T_PlannedOrders[WeekIndex],4)&amp;" ("&amp;TEXT(SUMPRODUCT(MAX((T_PlannedOrders[Part Name]=$A159)*(T_PlannedOrders[WeekIndex]=4)*(T_PlannedOrders[EffectiveQty]&gt;0)*T_PlannedOrders[Order_Month])),"m月")&amp;"発注)")</f>
        <v/>
      </c>
      <c r="H167">
        <f>IF(SUMIFS(T_PlannedOrders[EffectiveQty],T_PlannedOrders[Part Name],$A159,T_PlannedOrders[WeekIndex],5)=0,"",SUMIFS(T_PlannedOrders[EffectiveQty],T_PlannedOrders[Part Name],$A159,T_PlannedOrders[WeekIndex],5)&amp;" ("&amp;TEXT(SUMPRODUCT(MAX((T_PlannedOrders[Part Name]=$A159)*(T_PlannedOrders[WeekIndex]=5)*(T_PlannedOrders[EffectiveQty]&gt;0)*T_PlannedOrders[Order_Month])),"m月")&amp;"発注)")</f>
        <v/>
      </c>
      <c r="I167">
        <f>IF(SUMIFS(T_PlannedOrders[EffectiveQty],T_PlannedOrders[Part Name],$A159,T_PlannedOrders[WeekIndex],6)=0,"",SUMIFS(T_PlannedOrders[EffectiveQty],T_PlannedOrders[Part Name],$A159,T_PlannedOrders[WeekIndex],6)&amp;" ("&amp;TEXT(SUMPRODUCT(MAX((T_PlannedOrders[Part Name]=$A159)*(T_PlannedOrders[WeekIndex]=6)*(T_PlannedOrders[EffectiveQty]&gt;0)*T_PlannedOrders[Order_Month])),"m月")&amp;"発注)")</f>
        <v/>
      </c>
      <c r="J167">
        <f>IF(SUMIFS(T_PlannedOrders[EffectiveQty],T_PlannedOrders[Part Name],$A159,T_PlannedOrders[WeekIndex],7)=0,"",SUMIFS(T_PlannedOrders[EffectiveQty],T_PlannedOrders[Part Name],$A159,T_PlannedOrders[WeekIndex],7)&amp;" ("&amp;TEXT(SUMPRODUCT(MAX((T_PlannedOrders[Part Name]=$A159)*(T_PlannedOrders[WeekIndex]=7)*(T_PlannedOrders[EffectiveQty]&gt;0)*T_PlannedOrders[Order_Month])),"m月")&amp;"発注)")</f>
        <v/>
      </c>
      <c r="K167">
        <f>IF(SUMIFS(T_PlannedOrders[EffectiveQty],T_PlannedOrders[Part Name],$A159,T_PlannedOrders[WeekIndex],8)=0,"",SUMIFS(T_PlannedOrders[EffectiveQty],T_PlannedOrders[Part Name],$A159,T_PlannedOrders[WeekIndex],8)&amp;" ("&amp;TEXT(SUMPRODUCT(MAX((T_PlannedOrders[Part Name]=$A159)*(T_PlannedOrders[WeekIndex]=8)*(T_PlannedOrders[EffectiveQty]&gt;0)*T_PlannedOrders[Order_Month])),"m月")&amp;"発注)")</f>
        <v/>
      </c>
      <c r="L167">
        <f>IF(SUMIFS(T_PlannedOrders[EffectiveQty],T_PlannedOrders[Part Name],$A159,T_PlannedOrders[WeekIndex],9)=0,"",SUMIFS(T_PlannedOrders[EffectiveQty],T_PlannedOrders[Part Name],$A159,T_PlannedOrders[WeekIndex],9)&amp;" ("&amp;TEXT(SUMPRODUCT(MAX((T_PlannedOrders[Part Name]=$A159)*(T_PlannedOrders[WeekIndex]=9)*(T_PlannedOrders[EffectiveQty]&gt;0)*T_PlannedOrders[Order_Month])),"m月")&amp;"発注)")</f>
        <v/>
      </c>
      <c r="M167">
        <f>IF(SUMIFS(T_PlannedOrders[EffectiveQty],T_PlannedOrders[Part Name],$A159,T_PlannedOrders[WeekIndex],10)=0,"",SUMIFS(T_PlannedOrders[EffectiveQty],T_PlannedOrders[Part Name],$A159,T_PlannedOrders[WeekIndex],10)&amp;" ("&amp;TEXT(SUMPRODUCT(MAX((T_PlannedOrders[Part Name]=$A159)*(T_PlannedOrders[WeekIndex]=10)*(T_PlannedOrders[EffectiveQty]&gt;0)*T_PlannedOrders[Order_Month])),"m月")&amp;"発注)")</f>
        <v/>
      </c>
      <c r="N167">
        <f>IF(SUMIFS(T_PlannedOrders[EffectiveQty],T_PlannedOrders[Part Name],$A159,T_PlannedOrders[WeekIndex],11)=0,"",SUMIFS(T_PlannedOrders[EffectiveQty],T_PlannedOrders[Part Name],$A159,T_PlannedOrders[WeekIndex],11)&amp;" ("&amp;TEXT(SUMPRODUCT(MAX((T_PlannedOrders[Part Name]=$A159)*(T_PlannedOrders[WeekIndex]=11)*(T_PlannedOrders[EffectiveQty]&gt;0)*T_PlannedOrders[Order_Month])),"m月")&amp;"発注)")</f>
        <v/>
      </c>
      <c r="O167">
        <f>IF(SUMIFS(T_PlannedOrders[EffectiveQty],T_PlannedOrders[Part Name],$A159,T_PlannedOrders[WeekIndex],12)=0,"",SUMIFS(T_PlannedOrders[EffectiveQty],T_PlannedOrders[Part Name],$A159,T_PlannedOrders[WeekIndex],12)&amp;" ("&amp;TEXT(SUMPRODUCT(MAX((T_PlannedOrders[Part Name]=$A159)*(T_PlannedOrders[WeekIndex]=12)*(T_PlannedOrders[EffectiveQty]&gt;0)*T_PlannedOrders[Order_Month])),"m月")&amp;"発注)")</f>
        <v/>
      </c>
      <c r="P167">
        <f>IF(SUMIFS(T_PlannedOrders[EffectiveQty],T_PlannedOrders[Part Name],$A159,T_PlannedOrders[WeekIndex],13)=0,"",SUMIFS(T_PlannedOrders[EffectiveQty],T_PlannedOrders[Part Name],$A159,T_PlannedOrders[WeekIndex],13)&amp;" ("&amp;TEXT(SUMPRODUCT(MAX((T_PlannedOrders[Part Name]=$A159)*(T_PlannedOrders[WeekIndex]=13)*(T_PlannedOrders[EffectiveQty]&gt;0)*T_PlannedOrders[Order_Month])),"m月")&amp;"発注)")</f>
        <v/>
      </c>
      <c r="Q167">
        <f>IF(SUMIFS(T_PlannedOrders[EffectiveQty],T_PlannedOrders[Part Name],$A159,T_PlannedOrders[WeekIndex],14)=0,"",SUMIFS(T_PlannedOrders[EffectiveQty],T_PlannedOrders[Part Name],$A159,T_PlannedOrders[WeekIndex],14)&amp;" ("&amp;TEXT(SUMPRODUCT(MAX((T_PlannedOrders[Part Name]=$A159)*(T_PlannedOrders[WeekIndex]=14)*(T_PlannedOrders[EffectiveQty]&gt;0)*T_PlannedOrders[Order_Month])),"m月")&amp;"発注)")</f>
        <v/>
      </c>
      <c r="R167">
        <f>IF(SUMIFS(T_PlannedOrders[EffectiveQty],T_PlannedOrders[Part Name],$A159,T_PlannedOrders[WeekIndex],15)=0,"",SUMIFS(T_PlannedOrders[EffectiveQty],T_PlannedOrders[Part Name],$A159,T_PlannedOrders[WeekIndex],15)&amp;" ("&amp;TEXT(SUMPRODUCT(MAX((T_PlannedOrders[Part Name]=$A159)*(T_PlannedOrders[WeekIndex]=15)*(T_PlannedOrders[EffectiveQty]&gt;0)*T_PlannedOrders[Order_Month])),"m月")&amp;"発注)")</f>
        <v/>
      </c>
      <c r="S167">
        <f>IF(SUMIFS(T_PlannedOrders[EffectiveQty],T_PlannedOrders[Part Name],$A159,T_PlannedOrders[WeekIndex],16)=0,"",SUMIFS(T_PlannedOrders[EffectiveQty],T_PlannedOrders[Part Name],$A159,T_PlannedOrders[WeekIndex],16)&amp;" ("&amp;TEXT(SUMPRODUCT(MAX((T_PlannedOrders[Part Name]=$A159)*(T_PlannedOrders[WeekIndex]=16)*(T_PlannedOrders[EffectiveQty]&gt;0)*T_PlannedOrders[Order_Month])),"m月")&amp;"発注)")</f>
        <v/>
      </c>
      <c r="T167">
        <f>IF(SUMIFS(T_PlannedOrders[EffectiveQty],T_PlannedOrders[Part Name],$A159,T_PlannedOrders[WeekIndex],17)=0,"",SUMIFS(T_PlannedOrders[EffectiveQty],T_PlannedOrders[Part Name],$A159,T_PlannedOrders[WeekIndex],17)&amp;" ("&amp;TEXT(SUMPRODUCT(MAX((T_PlannedOrders[Part Name]=$A159)*(T_PlannedOrders[WeekIndex]=17)*(T_PlannedOrders[EffectiveQty]&gt;0)*T_PlannedOrders[Order_Month])),"m月")&amp;"発注)")</f>
        <v/>
      </c>
      <c r="U167">
        <f>IF(SUMIFS(T_PlannedOrders[EffectiveQty],T_PlannedOrders[Part Name],$A159,T_PlannedOrders[WeekIndex],18)=0,"",SUMIFS(T_PlannedOrders[EffectiveQty],T_PlannedOrders[Part Name],$A159,T_PlannedOrders[WeekIndex],18)&amp;" ("&amp;TEXT(SUMPRODUCT(MAX((T_PlannedOrders[Part Name]=$A159)*(T_PlannedOrders[WeekIndex]=18)*(T_PlannedOrders[EffectiveQty]&gt;0)*T_PlannedOrders[Order_Month])),"m月")&amp;"発注)")</f>
        <v/>
      </c>
      <c r="V167">
        <f>IF(SUMIFS(T_PlannedOrders[EffectiveQty],T_PlannedOrders[Part Name],$A159,T_PlannedOrders[WeekIndex],19)=0,"",SUMIFS(T_PlannedOrders[EffectiveQty],T_PlannedOrders[Part Name],$A159,T_PlannedOrders[WeekIndex],19)&amp;" ("&amp;TEXT(SUMPRODUCT(MAX((T_PlannedOrders[Part Name]=$A159)*(T_PlannedOrders[WeekIndex]=19)*(T_PlannedOrders[EffectiveQty]&gt;0)*T_PlannedOrders[Order_Month])),"m月")&amp;"発注)")</f>
        <v/>
      </c>
      <c r="W167">
        <f>IF(SUMIFS(T_PlannedOrders[EffectiveQty],T_PlannedOrders[Part Name],$A159,T_PlannedOrders[WeekIndex],20)=0,"",SUMIFS(T_PlannedOrders[EffectiveQty],T_PlannedOrders[Part Name],$A159,T_PlannedOrders[WeekIndex],20)&amp;" ("&amp;TEXT(SUMPRODUCT(MAX((T_PlannedOrders[Part Name]=$A159)*(T_PlannedOrders[WeekIndex]=20)*(T_PlannedOrders[EffectiveQty]&gt;0)*T_PlannedOrders[Order_Month])),"m月")&amp;"発注)")</f>
        <v/>
      </c>
      <c r="X167">
        <f>IF(SUMIFS(T_PlannedOrders[EffectiveQty],T_PlannedOrders[Part Name],$A159,T_PlannedOrders[WeekIndex],21)=0,"",SUMIFS(T_PlannedOrders[EffectiveQty],T_PlannedOrders[Part Name],$A159,T_PlannedOrders[WeekIndex],21)&amp;" ("&amp;TEXT(SUMPRODUCT(MAX((T_PlannedOrders[Part Name]=$A159)*(T_PlannedOrders[WeekIndex]=21)*(T_PlannedOrders[EffectiveQty]&gt;0)*T_PlannedOrders[Order_Month])),"m月")&amp;"発注)")</f>
        <v/>
      </c>
      <c r="Y167">
        <f>IF(SUMIFS(T_PlannedOrders[EffectiveQty],T_PlannedOrders[Part Name],$A159,T_PlannedOrders[WeekIndex],22)=0,"",SUMIFS(T_PlannedOrders[EffectiveQty],T_PlannedOrders[Part Name],$A159,T_PlannedOrders[WeekIndex],22)&amp;" ("&amp;TEXT(SUMPRODUCT(MAX((T_PlannedOrders[Part Name]=$A159)*(T_PlannedOrders[WeekIndex]=22)*(T_PlannedOrders[EffectiveQty]&gt;0)*T_PlannedOrders[Order_Month])),"m月")&amp;"発注)")</f>
        <v/>
      </c>
      <c r="Z167">
        <f>IF(SUMIFS(T_PlannedOrders[EffectiveQty],T_PlannedOrders[Part Name],$A159,T_PlannedOrders[WeekIndex],23)=0,"",SUMIFS(T_PlannedOrders[EffectiveQty],T_PlannedOrders[Part Name],$A159,T_PlannedOrders[WeekIndex],23)&amp;" ("&amp;TEXT(SUMPRODUCT(MAX((T_PlannedOrders[Part Name]=$A159)*(T_PlannedOrders[WeekIndex]=23)*(T_PlannedOrders[EffectiveQty]&gt;0)*T_PlannedOrders[Order_Month])),"m月")&amp;"発注)")</f>
        <v/>
      </c>
      <c r="AA167">
        <f>IF(SUMIFS(T_PlannedOrders[EffectiveQty],T_PlannedOrders[Part Name],$A159,T_PlannedOrders[WeekIndex],24)=0,"",SUMIFS(T_PlannedOrders[EffectiveQty],T_PlannedOrders[Part Name],$A159,T_PlannedOrders[WeekIndex],24)&amp;" ("&amp;TEXT(SUMPRODUCT(MAX((T_PlannedOrders[Part Name]=$A159)*(T_PlannedOrders[WeekIndex]=24)*(T_PlannedOrders[EffectiveQty]&gt;0)*T_PlannedOrders[Order_Month])),"m月")&amp;"発注)")</f>
        <v/>
      </c>
      <c r="AB167">
        <f>IF(SUMIFS(T_PlannedOrders[EffectiveQty],T_PlannedOrders[Part Name],$A159,T_PlannedOrders[WeekIndex],25)=0,"",SUMIFS(T_PlannedOrders[EffectiveQty],T_PlannedOrders[Part Name],$A159,T_PlannedOrders[WeekIndex],25)&amp;" ("&amp;TEXT(SUMPRODUCT(MAX((T_PlannedOrders[Part Name]=$A159)*(T_PlannedOrders[WeekIndex]=25)*(T_PlannedOrders[EffectiveQty]&gt;0)*T_PlannedOrders[Order_Month])),"m月")&amp;"発注)")</f>
        <v/>
      </c>
      <c r="AC167">
        <f>IF(SUMIFS(T_PlannedOrders[EffectiveQty],T_PlannedOrders[Part Name],$A159,T_PlannedOrders[WeekIndex],26)=0,"",SUMIFS(T_PlannedOrders[EffectiveQty],T_PlannedOrders[Part Name],$A159,T_PlannedOrders[WeekIndex],26)&amp;" ("&amp;TEXT(SUMPRODUCT(MAX((T_PlannedOrders[Part Name]=$A159)*(T_PlannedOrders[WeekIndex]=26)*(T_PlannedOrders[EffectiveQty]&gt;0)*T_PlannedOrders[Order_Month])),"m月")&amp;"発注)")</f>
        <v/>
      </c>
      <c r="AD167">
        <f>IF(SUMIFS(T_PlannedOrders[EffectiveQty],T_PlannedOrders[Part Name],$A159,T_PlannedOrders[WeekIndex],27)=0,"",SUMIFS(T_PlannedOrders[EffectiveQty],T_PlannedOrders[Part Name],$A159,T_PlannedOrders[WeekIndex],27)&amp;" ("&amp;TEXT(SUMPRODUCT(MAX((T_PlannedOrders[Part Name]=$A159)*(T_PlannedOrders[WeekIndex]=27)*(T_PlannedOrders[EffectiveQty]&gt;0)*T_PlannedOrders[Order_Month])),"m月")&amp;"発注)")</f>
        <v/>
      </c>
      <c r="AE167">
        <f>IF(SUMIFS(T_PlannedOrders[EffectiveQty],T_PlannedOrders[Part Name],$A159,T_PlannedOrders[WeekIndex],28)=0,"",SUMIFS(T_PlannedOrders[EffectiveQty],T_PlannedOrders[Part Name],$A159,T_PlannedOrders[WeekIndex],28)&amp;" ("&amp;TEXT(SUMPRODUCT(MAX((T_PlannedOrders[Part Name]=$A159)*(T_PlannedOrders[WeekIndex]=28)*(T_PlannedOrders[EffectiveQty]&gt;0)*T_PlannedOrders[Order_Month])),"m月")&amp;"発注)")</f>
        <v/>
      </c>
      <c r="AF167">
        <f>IF(SUMIFS(T_PlannedOrders[EffectiveQty],T_PlannedOrders[Part Name],$A159,T_PlannedOrders[WeekIndex],29)=0,"",SUMIFS(T_PlannedOrders[EffectiveQty],T_PlannedOrders[Part Name],$A159,T_PlannedOrders[WeekIndex],29)&amp;" ("&amp;TEXT(SUMPRODUCT(MAX((T_PlannedOrders[Part Name]=$A159)*(T_PlannedOrders[WeekIndex]=29)*(T_PlannedOrders[EffectiveQty]&gt;0)*T_PlannedOrders[Order_Month])),"m月")&amp;"発注)")</f>
        <v/>
      </c>
      <c r="AG167">
        <f>IF(SUMIFS(T_PlannedOrders[EffectiveQty],T_PlannedOrders[Part Name],$A159,T_PlannedOrders[WeekIndex],30)=0,"",SUMIFS(T_PlannedOrders[EffectiveQty],T_PlannedOrders[Part Name],$A159,T_PlannedOrders[WeekIndex],30)&amp;" ("&amp;TEXT(SUMPRODUCT(MAX((T_PlannedOrders[Part Name]=$A159)*(T_PlannedOrders[WeekIndex]=30)*(T_PlannedOrders[EffectiveQty]&gt;0)*T_PlannedOrders[Order_Month])),"m月")&amp;"発注)")</f>
        <v/>
      </c>
      <c r="AH167">
        <f>IF(SUMIFS(T_PlannedOrders[EffectiveQty],T_PlannedOrders[Part Name],$A159,T_PlannedOrders[WeekIndex],31)=0,"",SUMIFS(T_PlannedOrders[EffectiveQty],T_PlannedOrders[Part Name],$A159,T_PlannedOrders[WeekIndex],31)&amp;" ("&amp;TEXT(SUMPRODUCT(MAX((T_PlannedOrders[Part Name]=$A159)*(T_PlannedOrders[WeekIndex]=31)*(T_PlannedOrders[EffectiveQty]&gt;0)*T_PlannedOrders[Order_Month])),"m月")&amp;"発注)")</f>
        <v/>
      </c>
      <c r="AI167">
        <f>IF(SUMIFS(T_PlannedOrders[EffectiveQty],T_PlannedOrders[Part Name],$A159,T_PlannedOrders[WeekIndex],32)=0,"",SUMIFS(T_PlannedOrders[EffectiveQty],T_PlannedOrders[Part Name],$A159,T_PlannedOrders[WeekIndex],32)&amp;" ("&amp;TEXT(SUMPRODUCT(MAX((T_PlannedOrders[Part Name]=$A159)*(T_PlannedOrders[WeekIndex]=32)*(T_PlannedOrders[EffectiveQty]&gt;0)*T_PlannedOrders[Order_Month])),"m月")&amp;"発注)")</f>
        <v/>
      </c>
      <c r="AJ167">
        <f>IF(SUMIFS(T_PlannedOrders[EffectiveQty],T_PlannedOrders[Part Name],$A159,T_PlannedOrders[WeekIndex],33)=0,"",SUMIFS(T_PlannedOrders[EffectiveQty],T_PlannedOrders[Part Name],$A159,T_PlannedOrders[WeekIndex],33)&amp;" ("&amp;TEXT(SUMPRODUCT(MAX((T_PlannedOrders[Part Name]=$A159)*(T_PlannedOrders[WeekIndex]=33)*(T_PlannedOrders[EffectiveQty]&gt;0)*T_PlannedOrders[Order_Month])),"m月")&amp;"発注)")</f>
        <v/>
      </c>
      <c r="AK167">
        <f>IF(SUMIFS(T_PlannedOrders[EffectiveQty],T_PlannedOrders[Part Name],$A159,T_PlannedOrders[WeekIndex],34)=0,"",SUMIFS(T_PlannedOrders[EffectiveQty],T_PlannedOrders[Part Name],$A159,T_PlannedOrders[WeekIndex],34)&amp;" ("&amp;TEXT(SUMPRODUCT(MAX((T_PlannedOrders[Part Name]=$A159)*(T_PlannedOrders[WeekIndex]=34)*(T_PlannedOrders[EffectiveQty]&gt;0)*T_PlannedOrders[Order_Month])),"m月")&amp;"発注)")</f>
        <v/>
      </c>
      <c r="AL167">
        <f>IF(SUMIFS(T_PlannedOrders[EffectiveQty],T_PlannedOrders[Part Name],$A159,T_PlannedOrders[WeekIndex],35)=0,"",SUMIFS(T_PlannedOrders[EffectiveQty],T_PlannedOrders[Part Name],$A159,T_PlannedOrders[WeekIndex],35)&amp;" ("&amp;TEXT(SUMPRODUCT(MAX((T_PlannedOrders[Part Name]=$A159)*(T_PlannedOrders[WeekIndex]=35)*(T_PlannedOrders[EffectiveQty]&gt;0)*T_PlannedOrders[Order_Month])),"m月")&amp;"発注)")</f>
        <v/>
      </c>
      <c r="AM167">
        <f>IF(SUMIFS(T_PlannedOrders[EffectiveQty],T_PlannedOrders[Part Name],$A159,T_PlannedOrders[WeekIndex],36)=0,"",SUMIFS(T_PlannedOrders[EffectiveQty],T_PlannedOrders[Part Name],$A159,T_PlannedOrders[WeekIndex],36)&amp;" ("&amp;TEXT(SUMPRODUCT(MAX((T_PlannedOrders[Part Name]=$A159)*(T_PlannedOrders[WeekIndex]=36)*(T_PlannedOrders[EffectiveQty]&gt;0)*T_PlannedOrders[Order_Month])),"m月")&amp;"発注)")</f>
        <v/>
      </c>
      <c r="AN167">
        <f>IF(SUMIFS(T_PlannedOrders[EffectiveQty],T_PlannedOrders[Part Name],$A159,T_PlannedOrders[WeekIndex],37)=0,"",SUMIFS(T_PlannedOrders[EffectiveQty],T_PlannedOrders[Part Name],$A159,T_PlannedOrders[WeekIndex],37)&amp;" ("&amp;TEXT(SUMPRODUCT(MAX((T_PlannedOrders[Part Name]=$A159)*(T_PlannedOrders[WeekIndex]=37)*(T_PlannedOrders[EffectiveQty]&gt;0)*T_PlannedOrders[Order_Month])),"m月")&amp;"発注)")</f>
        <v/>
      </c>
      <c r="AO167">
        <f>IF(SUMIFS(T_PlannedOrders[EffectiveQty],T_PlannedOrders[Part Name],$A159,T_PlannedOrders[WeekIndex],38)=0,"",SUMIFS(T_PlannedOrders[EffectiveQty],T_PlannedOrders[Part Name],$A159,T_PlannedOrders[WeekIndex],38)&amp;" ("&amp;TEXT(SUMPRODUCT(MAX((T_PlannedOrders[Part Name]=$A159)*(T_PlannedOrders[WeekIndex]=38)*(T_PlannedOrders[EffectiveQty]&gt;0)*T_PlannedOrders[Order_Month])),"m月")&amp;"発注)")</f>
        <v/>
      </c>
      <c r="AP167">
        <f>IF(SUMIFS(T_PlannedOrders[EffectiveQty],T_PlannedOrders[Part Name],$A159,T_PlannedOrders[WeekIndex],39)=0,"",SUMIFS(T_PlannedOrders[EffectiveQty],T_PlannedOrders[Part Name],$A159,T_PlannedOrders[WeekIndex],39)&amp;" ("&amp;TEXT(SUMPRODUCT(MAX((T_PlannedOrders[Part Name]=$A159)*(T_PlannedOrders[WeekIndex]=39)*(T_PlannedOrders[EffectiveQty]&gt;0)*T_PlannedOrders[Order_Month])),"m月")&amp;"発注)")</f>
        <v/>
      </c>
      <c r="AQ167">
        <f>IF(SUMIFS(T_PlannedOrders[EffectiveQty],T_PlannedOrders[Part Name],$A159,T_PlannedOrders[WeekIndex],40)=0,"",SUMIFS(T_PlannedOrders[EffectiveQty],T_PlannedOrders[Part Name],$A159,T_PlannedOrders[WeekIndex],40)&amp;" ("&amp;TEXT(SUMPRODUCT(MAX((T_PlannedOrders[Part Name]=$A159)*(T_PlannedOrders[WeekIndex]=40)*(T_PlannedOrders[EffectiveQty]&gt;0)*T_PlannedOrders[Order_Month])),"m月")&amp;"発注)")</f>
        <v/>
      </c>
      <c r="AR167">
        <f>IF(SUMIFS(T_PlannedOrders[EffectiveQty],T_PlannedOrders[Part Name],$A159,T_PlannedOrders[WeekIndex],41)=0,"",SUMIFS(T_PlannedOrders[EffectiveQty],T_PlannedOrders[Part Name],$A159,T_PlannedOrders[WeekIndex],41)&amp;" ("&amp;TEXT(SUMPRODUCT(MAX((T_PlannedOrders[Part Name]=$A159)*(T_PlannedOrders[WeekIndex]=41)*(T_PlannedOrders[EffectiveQty]&gt;0)*T_PlannedOrders[Order_Month])),"m月")&amp;"発注)")</f>
        <v/>
      </c>
      <c r="AS167">
        <f>IF(SUMIFS(T_PlannedOrders[EffectiveQty],T_PlannedOrders[Part Name],$A159,T_PlannedOrders[WeekIndex],42)=0,"",SUMIFS(T_PlannedOrders[EffectiveQty],T_PlannedOrders[Part Name],$A159,T_PlannedOrders[WeekIndex],42)&amp;" ("&amp;TEXT(SUMPRODUCT(MAX((T_PlannedOrders[Part Name]=$A159)*(T_PlannedOrders[WeekIndex]=42)*(T_PlannedOrders[EffectiveQty]&gt;0)*T_PlannedOrders[Order_Month])),"m月")&amp;"発注)")</f>
        <v/>
      </c>
      <c r="AT167">
        <f>IF(SUMIFS(T_PlannedOrders[EffectiveQty],T_PlannedOrders[Part Name],$A159,T_PlannedOrders[WeekIndex],43)=0,"",SUMIFS(T_PlannedOrders[EffectiveQty],T_PlannedOrders[Part Name],$A159,T_PlannedOrders[WeekIndex],43)&amp;" ("&amp;TEXT(SUMPRODUCT(MAX((T_PlannedOrders[Part Name]=$A159)*(T_PlannedOrders[WeekIndex]=43)*(T_PlannedOrders[EffectiveQty]&gt;0)*T_PlannedOrders[Order_Month])),"m月")&amp;"発注)")</f>
        <v/>
      </c>
      <c r="AU167">
        <f>IF(SUMIFS(T_PlannedOrders[EffectiveQty],T_PlannedOrders[Part Name],$A159,T_PlannedOrders[WeekIndex],44)=0,"",SUMIFS(T_PlannedOrders[EffectiveQty],T_PlannedOrders[Part Name],$A159,T_PlannedOrders[WeekIndex],44)&amp;" ("&amp;TEXT(SUMPRODUCT(MAX((T_PlannedOrders[Part Name]=$A159)*(T_PlannedOrders[WeekIndex]=44)*(T_PlannedOrders[EffectiveQty]&gt;0)*T_PlannedOrders[Order_Month])),"m月")&amp;"発注)")</f>
        <v/>
      </c>
      <c r="AV167">
        <f>IF(SUMIFS(T_PlannedOrders[EffectiveQty],T_PlannedOrders[Part Name],$A159,T_PlannedOrders[WeekIndex],45)=0,"",SUMIFS(T_PlannedOrders[EffectiveQty],T_PlannedOrders[Part Name],$A159,T_PlannedOrders[WeekIndex],45)&amp;" ("&amp;TEXT(SUMPRODUCT(MAX((T_PlannedOrders[Part Name]=$A159)*(T_PlannedOrders[WeekIndex]=45)*(T_PlannedOrders[EffectiveQty]&gt;0)*T_PlannedOrders[Order_Month])),"m月")&amp;"発注)")</f>
        <v/>
      </c>
      <c r="AW167">
        <f>IF(SUMIFS(T_PlannedOrders[EffectiveQty],T_PlannedOrders[Part Name],$A159,T_PlannedOrders[WeekIndex],46)=0,"",SUMIFS(T_PlannedOrders[EffectiveQty],T_PlannedOrders[Part Name],$A159,T_PlannedOrders[WeekIndex],46)&amp;" ("&amp;TEXT(SUMPRODUCT(MAX((T_PlannedOrders[Part Name]=$A159)*(T_PlannedOrders[WeekIndex]=46)*(T_PlannedOrders[EffectiveQty]&gt;0)*T_PlannedOrders[Order_Month])),"m月")&amp;"発注)")</f>
        <v/>
      </c>
      <c r="AX167">
        <f>IF(SUMIFS(T_PlannedOrders[EffectiveQty],T_PlannedOrders[Part Name],$A159,T_PlannedOrders[WeekIndex],47)=0,"",SUMIFS(T_PlannedOrders[EffectiveQty],T_PlannedOrders[Part Name],$A159,T_PlannedOrders[WeekIndex],47)&amp;" ("&amp;TEXT(SUMPRODUCT(MAX((T_PlannedOrders[Part Name]=$A159)*(T_PlannedOrders[WeekIndex]=47)*(T_PlannedOrders[EffectiveQty]&gt;0)*T_PlannedOrders[Order_Month])),"m月")&amp;"発注)")</f>
        <v/>
      </c>
      <c r="AY167">
        <f>IF(SUMIFS(T_PlannedOrders[EffectiveQty],T_PlannedOrders[Part Name],$A159,T_PlannedOrders[WeekIndex],48)=0,"",SUMIFS(T_PlannedOrders[EffectiveQty],T_PlannedOrders[Part Name],$A159,T_PlannedOrders[WeekIndex],48)&amp;" ("&amp;TEXT(SUMPRODUCT(MAX((T_PlannedOrders[Part Name]=$A159)*(T_PlannedOrders[WeekIndex]=48)*(T_PlannedOrders[EffectiveQty]&gt;0)*T_PlannedOrders[Order_Month])),"m月")&amp;"発注)")</f>
        <v/>
      </c>
      <c r="AZ167">
        <f>IF(SUMIFS(T_PlannedOrders[EffectiveQty],T_PlannedOrders[Part Name],$A159,T_PlannedOrders[WeekIndex],49)=0,"",SUMIFS(T_PlannedOrders[EffectiveQty],T_PlannedOrders[Part Name],$A159,T_PlannedOrders[WeekIndex],49)&amp;" ("&amp;TEXT(SUMPRODUCT(MAX((T_PlannedOrders[Part Name]=$A159)*(T_PlannedOrders[WeekIndex]=49)*(T_PlannedOrders[EffectiveQty]&gt;0)*T_PlannedOrders[Order_Month])),"m月")&amp;"発注)")</f>
        <v/>
      </c>
      <c r="BA167">
        <f>IF(SUMIFS(T_PlannedOrders[EffectiveQty],T_PlannedOrders[Part Name],$A159,T_PlannedOrders[WeekIndex],50)=0,"",SUMIFS(T_PlannedOrders[EffectiveQty],T_PlannedOrders[Part Name],$A159,T_PlannedOrders[WeekIndex],50)&amp;" ("&amp;TEXT(SUMPRODUCT(MAX((T_PlannedOrders[Part Name]=$A159)*(T_PlannedOrders[WeekIndex]=50)*(T_PlannedOrders[EffectiveQty]&gt;0)*T_PlannedOrders[Order_Month])),"m月")&amp;"発注)")</f>
        <v/>
      </c>
      <c r="BB167">
        <f>IF(SUMIFS(T_PlannedOrders[EffectiveQty],T_PlannedOrders[Part Name],$A159,T_PlannedOrders[WeekIndex],51)=0,"",SUMIFS(T_PlannedOrders[EffectiveQty],T_PlannedOrders[Part Name],$A159,T_PlannedOrders[WeekIndex],51)&amp;" ("&amp;TEXT(SUMPRODUCT(MAX((T_PlannedOrders[Part Name]=$A159)*(T_PlannedOrders[WeekIndex]=51)*(T_PlannedOrders[EffectiveQty]&gt;0)*T_PlannedOrders[Order_Month])),"m月")&amp;"発注)")</f>
        <v/>
      </c>
      <c r="BC167">
        <f>IF(SUMIFS(T_PlannedOrders[EffectiveQty],T_PlannedOrders[Part Name],$A159,T_PlannedOrders[WeekIndex],52)=0,"",SUMIFS(T_PlannedOrders[EffectiveQty],T_PlannedOrders[Part Name],$A159,T_PlannedOrders[WeekIndex],52)&amp;" ("&amp;TEXT(SUMPRODUCT(MAX((T_PlannedOrders[Part Name]=$A159)*(T_PlannedOrders[WeekIndex]=52)*(T_PlannedOrders[EffectiveQty]&gt;0)*T_PlannedOrders[Order_Month])),"m月")&amp;"発注)")</f>
        <v/>
      </c>
      <c r="BD167">
        <f>IF(SUMIFS(T_PlannedOrders[EffectiveQty],T_PlannedOrders[Part Name],$A159,T_PlannedOrders[WeekIndex],53)=0,"",SUMIFS(T_PlannedOrders[EffectiveQty],T_PlannedOrders[Part Name],$A159,T_PlannedOrders[WeekIndex],53)&amp;" ("&amp;TEXT(SUMPRODUCT(MAX((T_PlannedOrders[Part Name]=$A159)*(T_PlannedOrders[WeekIndex]=53)*(T_PlannedOrders[EffectiveQty]&gt;0)*T_PlannedOrders[Order_Month])),"m月")&amp;"発注)")</f>
        <v/>
      </c>
      <c r="BE167">
        <f>IF(SUMIFS(T_PlannedOrders[EffectiveQty],T_PlannedOrders[Part Name],$A159,T_PlannedOrders[WeekIndex],54)=0,"",SUMIFS(T_PlannedOrders[EffectiveQty],T_PlannedOrders[Part Name],$A159,T_PlannedOrders[WeekIndex],54)&amp;" ("&amp;TEXT(SUMPRODUCT(MAX((T_PlannedOrders[Part Name]=$A159)*(T_PlannedOrders[WeekIndex]=54)*(T_PlannedOrders[EffectiveQty]&gt;0)*T_PlannedOrders[Order_Month])),"m月")&amp;"発注)")</f>
        <v/>
      </c>
      <c r="BF167">
        <f>IF(SUMIFS(T_PlannedOrders[EffectiveQty],T_PlannedOrders[Part Name],$A159,T_PlannedOrders[WeekIndex],55)=0,"",SUMIFS(T_PlannedOrders[EffectiveQty],T_PlannedOrders[Part Name],$A159,T_PlannedOrders[WeekIndex],55)&amp;" ("&amp;TEXT(SUMPRODUCT(MAX((T_PlannedOrders[Part Name]=$A159)*(T_PlannedOrders[WeekIndex]=55)*(T_PlannedOrders[EffectiveQty]&gt;0)*T_PlannedOrders[Order_Month])),"m月")&amp;"発注)")</f>
        <v/>
      </c>
      <c r="BG167">
        <f>IF(SUMIFS(T_PlannedOrders[EffectiveQty],T_PlannedOrders[Part Name],$A159,T_PlannedOrders[WeekIndex],56)=0,"",SUMIFS(T_PlannedOrders[EffectiveQty],T_PlannedOrders[Part Name],$A159,T_PlannedOrders[WeekIndex],56)&amp;" ("&amp;TEXT(SUMPRODUCT(MAX((T_PlannedOrders[Part Name]=$A159)*(T_PlannedOrders[WeekIndex]=56)*(T_PlannedOrders[EffectiveQty]&gt;0)*T_PlannedOrders[Order_Month])),"m月")&amp;"発注)")</f>
        <v/>
      </c>
      <c r="BH167">
        <f>IF(SUMIFS(T_PlannedOrders[EffectiveQty],T_PlannedOrders[Part Name],$A159,T_PlannedOrders[WeekIndex],57)=0,"",SUMIFS(T_PlannedOrders[EffectiveQty],T_PlannedOrders[Part Name],$A159,T_PlannedOrders[WeekIndex],57)&amp;" ("&amp;TEXT(SUMPRODUCT(MAX((T_PlannedOrders[Part Name]=$A159)*(T_PlannedOrders[WeekIndex]=57)*(T_PlannedOrders[EffectiveQty]&gt;0)*T_PlannedOrders[Order_Month])),"m月")&amp;"発注)")</f>
        <v/>
      </c>
      <c r="BI167">
        <f>IF(SUMIFS(T_PlannedOrders[EffectiveQty],T_PlannedOrders[Part Name],$A159,T_PlannedOrders[WeekIndex],58)=0,"",SUMIFS(T_PlannedOrders[EffectiveQty],T_PlannedOrders[Part Name],$A159,T_PlannedOrders[WeekIndex],58)&amp;" ("&amp;TEXT(SUMPRODUCT(MAX((T_PlannedOrders[Part Name]=$A159)*(T_PlannedOrders[WeekIndex]=58)*(T_PlannedOrders[EffectiveQty]&gt;0)*T_PlannedOrders[Order_Month])),"m月")&amp;"発注)")</f>
        <v/>
      </c>
      <c r="BJ167">
        <f>IF(SUMIFS(T_PlannedOrders[EffectiveQty],T_PlannedOrders[Part Name],$A159,T_PlannedOrders[WeekIndex],59)=0,"",SUMIFS(T_PlannedOrders[EffectiveQty],T_PlannedOrders[Part Name],$A159,T_PlannedOrders[WeekIndex],59)&amp;" ("&amp;TEXT(SUMPRODUCT(MAX((T_PlannedOrders[Part Name]=$A159)*(T_PlannedOrders[WeekIndex]=59)*(T_PlannedOrders[EffectiveQty]&gt;0)*T_PlannedOrders[Order_Month])),"m月")&amp;"発注)")</f>
        <v/>
      </c>
      <c r="BK167">
        <f>IF(SUMIFS(T_PlannedOrders[EffectiveQty],T_PlannedOrders[Part Name],$A159,T_PlannedOrders[WeekIndex],60)=0,"",SUMIFS(T_PlannedOrders[EffectiveQty],T_PlannedOrders[Part Name],$A159,T_PlannedOrders[WeekIndex],60)&amp;" ("&amp;TEXT(SUMPRODUCT(MAX((T_PlannedOrders[Part Name]=$A159)*(T_PlannedOrders[WeekIndex]=60)*(T_PlannedOrders[EffectiveQty]&gt;0)*T_PlannedOrders[Order_Month])),"m月")&amp;"発注)")</f>
        <v/>
      </c>
      <c r="BL167">
        <f>IF(SUMIFS(T_PlannedOrders[EffectiveQty],T_PlannedOrders[Part Name],$A159,T_PlannedOrders[WeekIndex],61)=0,"",SUMIFS(T_PlannedOrders[EffectiveQty],T_PlannedOrders[Part Name],$A159,T_PlannedOrders[WeekIndex],61)&amp;" ("&amp;TEXT(SUMPRODUCT(MAX((T_PlannedOrders[Part Name]=$A159)*(T_PlannedOrders[WeekIndex]=61)*(T_PlannedOrders[EffectiveQty]&gt;0)*T_PlannedOrders[Order_Month])),"m月")&amp;"発注)")</f>
        <v/>
      </c>
      <c r="BM167">
        <f>IF(SUMIFS(T_PlannedOrders[EffectiveQty],T_PlannedOrders[Part Name],$A159,T_PlannedOrders[WeekIndex],62)=0,"",SUMIFS(T_PlannedOrders[EffectiveQty],T_PlannedOrders[Part Name],$A159,T_PlannedOrders[WeekIndex],62)&amp;" ("&amp;TEXT(SUMPRODUCT(MAX((T_PlannedOrders[Part Name]=$A159)*(T_PlannedOrders[WeekIndex]=62)*(T_PlannedOrders[EffectiveQty]&gt;0)*T_PlannedOrders[Order_Month])),"m月")&amp;"発注)")</f>
        <v/>
      </c>
      <c r="BN167">
        <f>IF(SUMIFS(T_PlannedOrders[EffectiveQty],T_PlannedOrders[Part Name],$A159,T_PlannedOrders[WeekIndex],63)=0,"",SUMIFS(T_PlannedOrders[EffectiveQty],T_PlannedOrders[Part Name],$A159,T_PlannedOrders[WeekIndex],63)&amp;" ("&amp;TEXT(SUMPRODUCT(MAX((T_PlannedOrders[Part Name]=$A159)*(T_PlannedOrders[WeekIndex]=63)*(T_PlannedOrders[EffectiveQty]&gt;0)*T_PlannedOrders[Order_Month])),"m月")&amp;"発注)")</f>
        <v/>
      </c>
      <c r="BO167">
        <f>IF(SUMIFS(T_PlannedOrders[EffectiveQty],T_PlannedOrders[Part Name],$A159,T_PlannedOrders[WeekIndex],64)=0,"",SUMIFS(T_PlannedOrders[EffectiveQty],T_PlannedOrders[Part Name],$A159,T_PlannedOrders[WeekIndex],64)&amp;" ("&amp;TEXT(SUMPRODUCT(MAX((T_PlannedOrders[Part Name]=$A159)*(T_PlannedOrders[WeekIndex]=64)*(T_PlannedOrders[EffectiveQty]&gt;0)*T_PlannedOrders[Order_Month])),"m月")&amp;"発注)")</f>
        <v/>
      </c>
      <c r="BP167">
        <f>IF(SUMIFS(T_PlannedOrders[EffectiveQty],T_PlannedOrders[Part Name],$A159,T_PlannedOrders[WeekIndex],65)=0,"",SUMIFS(T_PlannedOrders[EffectiveQty],T_PlannedOrders[Part Name],$A159,T_PlannedOrders[WeekIndex],65)&amp;" ("&amp;TEXT(SUMPRODUCT(MAX((T_PlannedOrders[Part Name]=$A159)*(T_PlannedOrders[WeekIndex]=65)*(T_PlannedOrders[EffectiveQty]&gt;0)*T_PlannedOrders[Order_Month])),"m月")&amp;"発注)")</f>
        <v/>
      </c>
      <c r="BQ167">
        <f>IF(SUMIFS(T_PlannedOrders[EffectiveQty],T_PlannedOrders[Part Name],$A159,T_PlannedOrders[WeekIndex],66)=0,"",SUMIFS(T_PlannedOrders[EffectiveQty],T_PlannedOrders[Part Name],$A159,T_PlannedOrders[WeekIndex],66)&amp;" ("&amp;TEXT(SUMPRODUCT(MAX((T_PlannedOrders[Part Name]=$A159)*(T_PlannedOrders[WeekIndex]=66)*(T_PlannedOrders[EffectiveQty]&gt;0)*T_PlannedOrders[Order_Month])),"m月")&amp;"発注)")</f>
        <v/>
      </c>
      <c r="BR167">
        <f>IF(SUMIFS(T_PlannedOrders[EffectiveQty],T_PlannedOrders[Part Name],$A159,T_PlannedOrders[WeekIndex],67)=0,"",SUMIFS(T_PlannedOrders[EffectiveQty],T_PlannedOrders[Part Name],$A159,T_PlannedOrders[WeekIndex],67)&amp;" ("&amp;TEXT(SUMPRODUCT(MAX((T_PlannedOrders[Part Name]=$A159)*(T_PlannedOrders[WeekIndex]=67)*(T_PlannedOrders[EffectiveQty]&gt;0)*T_PlannedOrders[Order_Month])),"m月")&amp;"発注)")</f>
        <v/>
      </c>
      <c r="BS167">
        <f>IF(SUMIFS(T_PlannedOrders[EffectiveQty],T_PlannedOrders[Part Name],$A159,T_PlannedOrders[WeekIndex],68)=0,"",SUMIFS(T_PlannedOrders[EffectiveQty],T_PlannedOrders[Part Name],$A159,T_PlannedOrders[WeekIndex],68)&amp;" ("&amp;TEXT(SUMPRODUCT(MAX((T_PlannedOrders[Part Name]=$A159)*(T_PlannedOrders[WeekIndex]=68)*(T_PlannedOrders[EffectiveQty]&gt;0)*T_PlannedOrders[Order_Month])),"m月")&amp;"発注)")</f>
        <v/>
      </c>
      <c r="BT167">
        <f>IF(SUMIFS(T_PlannedOrders[EffectiveQty],T_PlannedOrders[Part Name],$A159,T_PlannedOrders[WeekIndex],69)=0,"",SUMIFS(T_PlannedOrders[EffectiveQty],T_PlannedOrders[Part Name],$A159,T_PlannedOrders[WeekIndex],69)&amp;" ("&amp;TEXT(SUMPRODUCT(MAX((T_PlannedOrders[Part Name]=$A159)*(T_PlannedOrders[WeekIndex]=69)*(T_PlannedOrders[EffectiveQty]&gt;0)*T_PlannedOrders[Order_Month])),"m月")&amp;"発注)")</f>
        <v/>
      </c>
      <c r="BU167">
        <f>IF(SUMIFS(T_PlannedOrders[EffectiveQty],T_PlannedOrders[Part Name],$A159,T_PlannedOrders[WeekIndex],70)=0,"",SUMIFS(T_PlannedOrders[EffectiveQty],T_PlannedOrders[Part Name],$A159,T_PlannedOrders[WeekIndex],70)&amp;" ("&amp;TEXT(SUMPRODUCT(MAX((T_PlannedOrders[Part Name]=$A159)*(T_PlannedOrders[WeekIndex]=70)*(T_PlannedOrders[EffectiveQty]&gt;0)*T_PlannedOrders[Order_Month])),"m月")&amp;"発注)")</f>
        <v/>
      </c>
      <c r="BV167">
        <f>IF(SUMIFS(T_PlannedOrders[EffectiveQty],T_PlannedOrders[Part Name],$A159,T_PlannedOrders[WeekIndex],71)=0,"",SUMIFS(T_PlannedOrders[EffectiveQty],T_PlannedOrders[Part Name],$A159,T_PlannedOrders[WeekIndex],71)&amp;" ("&amp;TEXT(SUMPRODUCT(MAX((T_PlannedOrders[Part Name]=$A159)*(T_PlannedOrders[WeekIndex]=71)*(T_PlannedOrders[EffectiveQty]&gt;0)*T_PlannedOrders[Order_Month])),"m月")&amp;"発注)")</f>
        <v/>
      </c>
      <c r="BW167">
        <f>IF(SUMIFS(T_PlannedOrders[EffectiveQty],T_PlannedOrders[Part Name],$A159,T_PlannedOrders[WeekIndex],72)=0,"",SUMIFS(T_PlannedOrders[EffectiveQty],T_PlannedOrders[Part Name],$A159,T_PlannedOrders[WeekIndex],72)&amp;" ("&amp;TEXT(SUMPRODUCT(MAX((T_PlannedOrders[Part Name]=$A159)*(T_PlannedOrders[WeekIndex]=72)*(T_PlannedOrders[EffectiveQty]&gt;0)*T_PlannedOrders[Order_Month])),"m月")&amp;"発注)")</f>
        <v/>
      </c>
      <c r="BX167">
        <f>IF(SUMIFS(T_PlannedOrders[EffectiveQty],T_PlannedOrders[Part Name],$A159,T_PlannedOrders[WeekIndex],73)=0,"",SUMIFS(T_PlannedOrders[EffectiveQty],T_PlannedOrders[Part Name],$A159,T_PlannedOrders[WeekIndex],73)&amp;" ("&amp;TEXT(SUMPRODUCT(MAX((T_PlannedOrders[Part Name]=$A159)*(T_PlannedOrders[WeekIndex]=73)*(T_PlannedOrders[EffectiveQty]&gt;0)*T_PlannedOrders[Order_Month])),"m月")&amp;"発注)")</f>
        <v/>
      </c>
      <c r="BY167">
        <f>IF(SUMIFS(T_PlannedOrders[EffectiveQty],T_PlannedOrders[Part Name],$A159,T_PlannedOrders[WeekIndex],74)=0,"",SUMIFS(T_PlannedOrders[EffectiveQty],T_PlannedOrders[Part Name],$A159,T_PlannedOrders[WeekIndex],74)&amp;" ("&amp;TEXT(SUMPRODUCT(MAX((T_PlannedOrders[Part Name]=$A159)*(T_PlannedOrders[WeekIndex]=74)*(T_PlannedOrders[EffectiveQty]&gt;0)*T_PlannedOrders[Order_Month])),"m月")&amp;"発注)")</f>
        <v/>
      </c>
      <c r="BZ167">
        <f>IF(SUMIFS(T_PlannedOrders[EffectiveQty],T_PlannedOrders[Part Name],$A159,T_PlannedOrders[WeekIndex],75)=0,"",SUMIFS(T_PlannedOrders[EffectiveQty],T_PlannedOrders[Part Name],$A159,T_PlannedOrders[WeekIndex],75)&amp;" ("&amp;TEXT(SUMPRODUCT(MAX((T_PlannedOrders[Part Name]=$A159)*(T_PlannedOrders[WeekIndex]=75)*(T_PlannedOrders[EffectiveQty]&gt;0)*T_PlannedOrders[Order_Month])),"m月")&amp;"発注)")</f>
        <v/>
      </c>
      <c r="CA167">
        <f>IF(SUMIFS(T_PlannedOrders[EffectiveQty],T_PlannedOrders[Part Name],$A159,T_PlannedOrders[WeekIndex],76)=0,"",SUMIFS(T_PlannedOrders[EffectiveQty],T_PlannedOrders[Part Name],$A159,T_PlannedOrders[WeekIndex],76)&amp;" ("&amp;TEXT(SUMPRODUCT(MAX((T_PlannedOrders[Part Name]=$A159)*(T_PlannedOrders[WeekIndex]=76)*(T_PlannedOrders[EffectiveQty]&gt;0)*T_PlannedOrders[Order_Month])),"m月")&amp;"発注)")</f>
        <v/>
      </c>
      <c r="CB167">
        <f>IF(SUMIFS(T_PlannedOrders[EffectiveQty],T_PlannedOrders[Part Name],$A159,T_PlannedOrders[WeekIndex],77)=0,"",SUMIFS(T_PlannedOrders[EffectiveQty],T_PlannedOrders[Part Name],$A159,T_PlannedOrders[WeekIndex],77)&amp;" ("&amp;TEXT(SUMPRODUCT(MAX((T_PlannedOrders[Part Name]=$A159)*(T_PlannedOrders[WeekIndex]=77)*(T_PlannedOrders[EffectiveQty]&gt;0)*T_PlannedOrders[Order_Month])),"m月")&amp;"発注)")</f>
        <v/>
      </c>
      <c r="CC167">
        <f>IF(SUMIFS(T_PlannedOrders[EffectiveQty],T_PlannedOrders[Part Name],$A159,T_PlannedOrders[WeekIndex],78)=0,"",SUMIFS(T_PlannedOrders[EffectiveQty],T_PlannedOrders[Part Name],$A159,T_PlannedOrders[WeekIndex],78)&amp;" ("&amp;TEXT(SUMPRODUCT(MAX((T_PlannedOrders[Part Name]=$A159)*(T_PlannedOrders[WeekIndex]=78)*(T_PlannedOrders[EffectiveQty]&gt;0)*T_PlannedOrders[Order_Month])),"m月")&amp;"発注)")</f>
        <v/>
      </c>
      <c r="CD167">
        <f>IF(SUMIFS(T_PlannedOrders[EffectiveQty],T_PlannedOrders[Part Name],$A159,T_PlannedOrders[WeekIndex],79)=0,"",SUMIFS(T_PlannedOrders[EffectiveQty],T_PlannedOrders[Part Name],$A159,T_PlannedOrders[WeekIndex],79)&amp;" ("&amp;TEXT(SUMPRODUCT(MAX((T_PlannedOrders[Part Name]=$A159)*(T_PlannedOrders[WeekIndex]=79)*(T_PlannedOrders[EffectiveQty]&gt;0)*T_PlannedOrders[Order_Month])),"m月")&amp;"発注)")</f>
        <v/>
      </c>
      <c r="CE167">
        <f>IF(SUMIFS(T_PlannedOrders[EffectiveQty],T_PlannedOrders[Part Name],$A159,T_PlannedOrders[WeekIndex],80)=0,"",SUMIFS(T_PlannedOrders[EffectiveQty],T_PlannedOrders[Part Name],$A159,T_PlannedOrders[WeekIndex],80)&amp;" ("&amp;TEXT(SUMPRODUCT(MAX((T_PlannedOrders[Part Name]=$A159)*(T_PlannedOrders[WeekIndex]=80)*(T_PlannedOrders[EffectiveQty]&gt;0)*T_PlannedOrders[Order_Month])),"m月")&amp;"発注)")</f>
        <v/>
      </c>
      <c r="CF167">
        <f>IF(SUMIFS(T_PlannedOrders[EffectiveQty],T_PlannedOrders[Part Name],$A159,T_PlannedOrders[WeekIndex],81)=0,"",SUMIFS(T_PlannedOrders[EffectiveQty],T_PlannedOrders[Part Name],$A159,T_PlannedOrders[WeekIndex],81)&amp;" ("&amp;TEXT(SUMPRODUCT(MAX((T_PlannedOrders[Part Name]=$A159)*(T_PlannedOrders[WeekIndex]=81)*(T_PlannedOrders[EffectiveQty]&gt;0)*T_PlannedOrders[Order_Month])),"m月")&amp;"発注)")</f>
        <v/>
      </c>
      <c r="CG167">
        <f>IF(SUMIFS(T_PlannedOrders[EffectiveQty],T_PlannedOrders[Part Name],$A159,T_PlannedOrders[WeekIndex],82)=0,"",SUMIFS(T_PlannedOrders[EffectiveQty],T_PlannedOrders[Part Name],$A159,T_PlannedOrders[WeekIndex],82)&amp;" ("&amp;TEXT(SUMPRODUCT(MAX((T_PlannedOrders[Part Name]=$A159)*(T_PlannedOrders[WeekIndex]=82)*(T_PlannedOrders[EffectiveQty]&gt;0)*T_PlannedOrders[Order_Month])),"m月")&amp;"発注)")</f>
        <v/>
      </c>
      <c r="CH167">
        <f>IF(SUMIFS(T_PlannedOrders[EffectiveQty],T_PlannedOrders[Part Name],$A159,T_PlannedOrders[WeekIndex],83)=0,"",SUMIFS(T_PlannedOrders[EffectiveQty],T_PlannedOrders[Part Name],$A159,T_PlannedOrders[WeekIndex],83)&amp;" ("&amp;TEXT(SUMPRODUCT(MAX((T_PlannedOrders[Part Name]=$A159)*(T_PlannedOrders[WeekIndex]=83)*(T_PlannedOrders[EffectiveQty]&gt;0)*T_PlannedOrders[Order_Month])),"m月")&amp;"発注)")</f>
        <v/>
      </c>
      <c r="CI167">
        <f>IF(SUMIFS(T_PlannedOrders[EffectiveQty],T_PlannedOrders[Part Name],$A159,T_PlannedOrders[WeekIndex],84)=0,"",SUMIFS(T_PlannedOrders[EffectiveQty],T_PlannedOrders[Part Name],$A159,T_PlannedOrders[WeekIndex],84)&amp;" ("&amp;TEXT(SUMPRODUCT(MAX((T_PlannedOrders[Part Name]=$A159)*(T_PlannedOrders[WeekIndex]=84)*(T_PlannedOrders[EffectiveQty]&gt;0)*T_PlannedOrders[Order_Month])),"m月")&amp;"発注)")</f>
        <v/>
      </c>
      <c r="CJ167">
        <f>IF(SUMIFS(T_PlannedOrders[EffectiveQty],T_PlannedOrders[Part Name],$A159,T_PlannedOrders[WeekIndex],85)=0,"",SUMIFS(T_PlannedOrders[EffectiveQty],T_PlannedOrders[Part Name],$A159,T_PlannedOrders[WeekIndex],85)&amp;" ("&amp;TEXT(SUMPRODUCT(MAX((T_PlannedOrders[Part Name]=$A159)*(T_PlannedOrders[WeekIndex]=85)*(T_PlannedOrders[EffectiveQty]&gt;0)*T_PlannedOrders[Order_Month])),"m月")&amp;"発注)")</f>
        <v/>
      </c>
      <c r="CK167">
        <f>IF(SUMIFS(T_PlannedOrders[EffectiveQty],T_PlannedOrders[Part Name],$A159,T_PlannedOrders[WeekIndex],86)=0,"",SUMIFS(T_PlannedOrders[EffectiveQty],T_PlannedOrders[Part Name],$A159,T_PlannedOrders[WeekIndex],86)&amp;" ("&amp;TEXT(SUMPRODUCT(MAX((T_PlannedOrders[Part Name]=$A159)*(T_PlannedOrders[WeekIndex]=86)*(T_PlannedOrders[EffectiveQty]&gt;0)*T_PlannedOrders[Order_Month])),"m月")&amp;"発注)")</f>
        <v/>
      </c>
      <c r="CL167">
        <f>IF(SUMIFS(T_PlannedOrders[EffectiveQty],T_PlannedOrders[Part Name],$A159,T_PlannedOrders[WeekIndex],87)=0,"",SUMIFS(T_PlannedOrders[EffectiveQty],T_PlannedOrders[Part Name],$A159,T_PlannedOrders[WeekIndex],87)&amp;" ("&amp;TEXT(SUMPRODUCT(MAX((T_PlannedOrders[Part Name]=$A159)*(T_PlannedOrders[WeekIndex]=87)*(T_PlannedOrders[EffectiveQty]&gt;0)*T_PlannedOrders[Order_Month])),"m月")&amp;"発注)")</f>
        <v/>
      </c>
      <c r="CM167">
        <f>IF(SUMIFS(T_PlannedOrders[EffectiveQty],T_PlannedOrders[Part Name],$A159,T_PlannedOrders[WeekIndex],88)=0,"",SUMIFS(T_PlannedOrders[EffectiveQty],T_PlannedOrders[Part Name],$A159,T_PlannedOrders[WeekIndex],88)&amp;" ("&amp;TEXT(SUMPRODUCT(MAX((T_PlannedOrders[Part Name]=$A159)*(T_PlannedOrders[WeekIndex]=88)*(T_PlannedOrders[EffectiveQty]&gt;0)*T_PlannedOrders[Order_Month])),"m月")&amp;"発注)")</f>
        <v/>
      </c>
      <c r="CN167">
        <f>IF(SUMIFS(T_PlannedOrders[EffectiveQty],T_PlannedOrders[Part Name],$A159,T_PlannedOrders[WeekIndex],89)=0,"",SUMIFS(T_PlannedOrders[EffectiveQty],T_PlannedOrders[Part Name],$A159,T_PlannedOrders[WeekIndex],89)&amp;" ("&amp;TEXT(SUMPRODUCT(MAX((T_PlannedOrders[Part Name]=$A159)*(T_PlannedOrders[WeekIndex]=89)*(T_PlannedOrders[EffectiveQty]&gt;0)*T_PlannedOrders[Order_Month])),"m月")&amp;"発注)")</f>
        <v/>
      </c>
      <c r="CO167">
        <f>IF(SUMIFS(T_PlannedOrders[EffectiveQty],T_PlannedOrders[Part Name],$A159,T_PlannedOrders[WeekIndex],90)=0,"",SUMIFS(T_PlannedOrders[EffectiveQty],T_PlannedOrders[Part Name],$A159,T_PlannedOrders[WeekIndex],90)&amp;" ("&amp;TEXT(SUMPRODUCT(MAX((T_PlannedOrders[Part Name]=$A159)*(T_PlannedOrders[WeekIndex]=90)*(T_PlannedOrders[EffectiveQty]&gt;0)*T_PlannedOrders[Order_Month])),"m月")&amp;"発注)")</f>
        <v/>
      </c>
      <c r="CP167">
        <f>IF(SUMIFS(T_PlannedOrders[EffectiveQty],T_PlannedOrders[Part Name],$A159,T_PlannedOrders[WeekIndex],91)=0,"",SUMIFS(T_PlannedOrders[EffectiveQty],T_PlannedOrders[Part Name],$A159,T_PlannedOrders[WeekIndex],91)&amp;" ("&amp;TEXT(SUMPRODUCT(MAX((T_PlannedOrders[Part Name]=$A159)*(T_PlannedOrders[WeekIndex]=91)*(T_PlannedOrders[EffectiveQty]&gt;0)*T_PlannedOrders[Order_Month])),"m月")&amp;"発注)")</f>
        <v/>
      </c>
      <c r="CQ167">
        <f>IF(SUMIFS(T_PlannedOrders[EffectiveQty],T_PlannedOrders[Part Name],$A159,T_PlannedOrders[WeekIndex],92)=0,"",SUMIFS(T_PlannedOrders[EffectiveQty],T_PlannedOrders[Part Name],$A159,T_PlannedOrders[WeekIndex],92)&amp;" ("&amp;TEXT(SUMPRODUCT(MAX((T_PlannedOrders[Part Name]=$A159)*(T_PlannedOrders[WeekIndex]=92)*(T_PlannedOrders[EffectiveQty]&gt;0)*T_PlannedOrders[Order_Month])),"m月")&amp;"発注)")</f>
        <v/>
      </c>
      <c r="CR167">
        <f>IF(SUMIFS(T_PlannedOrders[EffectiveQty],T_PlannedOrders[Part Name],$A159,T_PlannedOrders[WeekIndex],93)=0,"",SUMIFS(T_PlannedOrders[EffectiveQty],T_PlannedOrders[Part Name],$A159,T_PlannedOrders[WeekIndex],93)&amp;" ("&amp;TEXT(SUMPRODUCT(MAX((T_PlannedOrders[Part Name]=$A159)*(T_PlannedOrders[WeekIndex]=93)*(T_PlannedOrders[EffectiveQty]&gt;0)*T_PlannedOrders[Order_Month])),"m月")&amp;"発注)")</f>
        <v/>
      </c>
      <c r="CS167">
        <f>IF(SUMIFS(T_PlannedOrders[EffectiveQty],T_PlannedOrders[Part Name],$A159,T_PlannedOrders[WeekIndex],94)=0,"",SUMIFS(T_PlannedOrders[EffectiveQty],T_PlannedOrders[Part Name],$A159,T_PlannedOrders[WeekIndex],94)&amp;" ("&amp;TEXT(SUMPRODUCT(MAX((T_PlannedOrders[Part Name]=$A159)*(T_PlannedOrders[WeekIndex]=94)*(T_PlannedOrders[EffectiveQty]&gt;0)*T_PlannedOrders[Order_Month])),"m月")&amp;"発注)")</f>
        <v/>
      </c>
      <c r="CT167">
        <f>IF(SUMIFS(T_PlannedOrders[EffectiveQty],T_PlannedOrders[Part Name],$A159,T_PlannedOrders[WeekIndex],95)=0,"",SUMIFS(T_PlannedOrders[EffectiveQty],T_PlannedOrders[Part Name],$A159,T_PlannedOrders[WeekIndex],95)&amp;" ("&amp;TEXT(SUMPRODUCT(MAX((T_PlannedOrders[Part Name]=$A159)*(T_PlannedOrders[WeekIndex]=95)*(T_PlannedOrders[EffectiveQty]&gt;0)*T_PlannedOrders[Order_Month])),"m月")&amp;"発注)")</f>
        <v/>
      </c>
      <c r="CU167">
        <f>IF(SUMIFS(T_PlannedOrders[EffectiveQty],T_PlannedOrders[Part Name],$A159,T_PlannedOrders[WeekIndex],96)=0,"",SUMIFS(T_PlannedOrders[EffectiveQty],T_PlannedOrders[Part Name],$A159,T_PlannedOrders[WeekIndex],96)&amp;" ("&amp;TEXT(SUMPRODUCT(MAX((T_PlannedOrders[Part Name]=$A159)*(T_PlannedOrders[WeekIndex]=96)*(T_PlannedOrders[EffectiveQty]&gt;0)*T_PlannedOrders[Order_Month])),"m月")&amp;"発注)")</f>
        <v/>
      </c>
      <c r="CV167">
        <f>IF(SUMIFS(T_PlannedOrders[EffectiveQty],T_PlannedOrders[Part Name],$A159,T_PlannedOrders[WeekIndex],97)=0,"",SUMIFS(T_PlannedOrders[EffectiveQty],T_PlannedOrders[Part Name],$A159,T_PlannedOrders[WeekIndex],97)&amp;" ("&amp;TEXT(SUMPRODUCT(MAX((T_PlannedOrders[Part Name]=$A159)*(T_PlannedOrders[WeekIndex]=97)*(T_PlannedOrders[EffectiveQty]&gt;0)*T_PlannedOrders[Order_Month])),"m月")&amp;"発注)")</f>
        <v/>
      </c>
      <c r="CW167">
        <f>IF(SUMIFS(T_PlannedOrders[EffectiveQty],T_PlannedOrders[Part Name],$A159,T_PlannedOrders[WeekIndex],98)=0,"",SUMIFS(T_PlannedOrders[EffectiveQty],T_PlannedOrders[Part Name],$A159,T_PlannedOrders[WeekIndex],98)&amp;" ("&amp;TEXT(SUMPRODUCT(MAX((T_PlannedOrders[Part Name]=$A159)*(T_PlannedOrders[WeekIndex]=98)*(T_PlannedOrders[EffectiveQty]&gt;0)*T_PlannedOrders[Order_Month])),"m月")&amp;"発注)")</f>
        <v/>
      </c>
      <c r="CX167">
        <f>IF(SUMIFS(T_PlannedOrders[EffectiveQty],T_PlannedOrders[Part Name],$A159,T_PlannedOrders[WeekIndex],99)=0,"",SUMIFS(T_PlannedOrders[EffectiveQty],T_PlannedOrders[Part Name],$A159,T_PlannedOrders[WeekIndex],99)&amp;" ("&amp;TEXT(SUMPRODUCT(MAX((T_PlannedOrders[Part Name]=$A159)*(T_PlannedOrders[WeekIndex]=99)*(T_PlannedOrders[EffectiveQty]&gt;0)*T_PlannedOrders[Order_Month])),"m月")&amp;"発注)")</f>
        <v/>
      </c>
      <c r="CY167">
        <f>IF(SUMIFS(T_PlannedOrders[EffectiveQty],T_PlannedOrders[Part Name],$A159,T_PlannedOrders[WeekIndex],100)=0,"",SUMIFS(T_PlannedOrders[EffectiveQty],T_PlannedOrders[Part Name],$A159,T_PlannedOrders[WeekIndex],100)&amp;" ("&amp;TEXT(SUMPRODUCT(MAX((T_PlannedOrders[Part Name]=$A159)*(T_PlannedOrders[WeekIndex]=100)*(T_PlannedOrders[EffectiveQty]&gt;0)*T_PlannedOrders[Order_Month])),"m月")&amp;"発注)")</f>
        <v/>
      </c>
      <c r="CZ167">
        <f>IF(SUMIFS(T_PlannedOrders[EffectiveQty],T_PlannedOrders[Part Name],$A159,T_PlannedOrders[WeekIndex],101)=0,"",SUMIFS(T_PlannedOrders[EffectiveQty],T_PlannedOrders[Part Name],$A159,T_PlannedOrders[WeekIndex],101)&amp;" ("&amp;TEXT(SUMPRODUCT(MAX((T_PlannedOrders[Part Name]=$A159)*(T_PlannedOrders[WeekIndex]=101)*(T_PlannedOrders[EffectiveQty]&gt;0)*T_PlannedOrders[Order_Month])),"m月")&amp;"発注)")</f>
        <v/>
      </c>
      <c r="DA167">
        <f>IF(SUMIFS(T_PlannedOrders[EffectiveQty],T_PlannedOrders[Part Name],$A159,T_PlannedOrders[WeekIndex],102)=0,"",SUMIFS(T_PlannedOrders[EffectiveQty],T_PlannedOrders[Part Name],$A159,T_PlannedOrders[WeekIndex],102)&amp;" ("&amp;TEXT(SUMPRODUCT(MAX((T_PlannedOrders[Part Name]=$A159)*(T_PlannedOrders[WeekIndex]=102)*(T_PlannedOrders[EffectiveQty]&gt;0)*T_PlannedOrders[Order_Month])),"m月")&amp;"発注)")</f>
        <v/>
      </c>
      <c r="DB167">
        <f>IF(SUMIFS(T_PlannedOrders[EffectiveQty],T_PlannedOrders[Part Name],$A159,T_PlannedOrders[WeekIndex],103)=0,"",SUMIFS(T_PlannedOrders[EffectiveQty],T_PlannedOrders[Part Name],$A159,T_PlannedOrders[WeekIndex],103)&amp;" ("&amp;TEXT(SUMPRODUCT(MAX((T_PlannedOrders[Part Name]=$A159)*(T_PlannedOrders[WeekIndex]=103)*(T_PlannedOrders[EffectiveQty]&gt;0)*T_PlannedOrders[Order_Month])),"m月")&amp;"発注)")</f>
        <v/>
      </c>
      <c r="DC167">
        <f>IF(SUMIFS(T_PlannedOrders[EffectiveQty],T_PlannedOrders[Part Name],$A159,T_PlannedOrders[WeekIndex],104)=0,"",SUMIFS(T_PlannedOrders[EffectiveQty],T_PlannedOrders[Part Name],$A159,T_PlannedOrders[WeekIndex],104)&amp;" ("&amp;TEXT(SUMPRODUCT(MAX((T_PlannedOrders[Part Name]=$A159)*(T_PlannedOrders[WeekIndex]=104)*(T_PlannedOrders[EffectiveQty]&gt;0)*T_PlannedOrders[Order_Month])),"m月")&amp;"発注)")</f>
        <v/>
      </c>
    </row>
    <row r="168">
      <c r="B168" s="5" t="inlineStr">
        <is>
          <t>合計在庫(週末時点,kg)</t>
        </is>
      </c>
      <c r="D168">
        <f>'Grid_Stock'!B25</f>
        <v/>
      </c>
      <c r="E168">
        <f>'Grid_Stock'!C25</f>
        <v/>
      </c>
      <c r="F168">
        <f>'Grid_Stock'!D25</f>
        <v/>
      </c>
      <c r="G168">
        <f>'Grid_Stock'!E25</f>
        <v/>
      </c>
      <c r="H168">
        <f>'Grid_Stock'!F25</f>
        <v/>
      </c>
      <c r="I168">
        <f>'Grid_Stock'!G25</f>
        <v/>
      </c>
      <c r="J168">
        <f>'Grid_Stock'!H25</f>
        <v/>
      </c>
      <c r="K168">
        <f>'Grid_Stock'!I25</f>
        <v/>
      </c>
      <c r="L168">
        <f>'Grid_Stock'!J25</f>
        <v/>
      </c>
      <c r="M168">
        <f>'Grid_Stock'!K25</f>
        <v/>
      </c>
      <c r="N168">
        <f>'Grid_Stock'!L25</f>
        <v/>
      </c>
      <c r="O168">
        <f>'Grid_Stock'!M25</f>
        <v/>
      </c>
      <c r="P168">
        <f>'Grid_Stock'!N25</f>
        <v/>
      </c>
      <c r="Q168">
        <f>'Grid_Stock'!O25</f>
        <v/>
      </c>
      <c r="R168">
        <f>'Grid_Stock'!P25</f>
        <v/>
      </c>
      <c r="S168">
        <f>'Grid_Stock'!Q25</f>
        <v/>
      </c>
      <c r="T168">
        <f>'Grid_Stock'!R25</f>
        <v/>
      </c>
      <c r="U168">
        <f>'Grid_Stock'!S25</f>
        <v/>
      </c>
      <c r="V168">
        <f>'Grid_Stock'!T25</f>
        <v/>
      </c>
      <c r="W168">
        <f>'Grid_Stock'!U25</f>
        <v/>
      </c>
      <c r="X168">
        <f>'Grid_Stock'!V25</f>
        <v/>
      </c>
      <c r="Y168">
        <f>'Grid_Stock'!W25</f>
        <v/>
      </c>
      <c r="Z168">
        <f>'Grid_Stock'!X25</f>
        <v/>
      </c>
      <c r="AA168">
        <f>'Grid_Stock'!Y25</f>
        <v/>
      </c>
      <c r="AB168">
        <f>'Grid_Stock'!Z25</f>
        <v/>
      </c>
      <c r="AC168">
        <f>'Grid_Stock'!AA25</f>
        <v/>
      </c>
      <c r="AD168">
        <f>'Grid_Stock'!AB25</f>
        <v/>
      </c>
      <c r="AE168">
        <f>'Grid_Stock'!AC25</f>
        <v/>
      </c>
      <c r="AF168">
        <f>'Grid_Stock'!AD25</f>
        <v/>
      </c>
      <c r="AG168">
        <f>'Grid_Stock'!AE25</f>
        <v/>
      </c>
      <c r="AH168">
        <f>'Grid_Stock'!AF25</f>
        <v/>
      </c>
      <c r="AI168">
        <f>'Grid_Stock'!AG25</f>
        <v/>
      </c>
      <c r="AJ168">
        <f>'Grid_Stock'!AH25</f>
        <v/>
      </c>
      <c r="AK168">
        <f>'Grid_Stock'!AI25</f>
        <v/>
      </c>
      <c r="AL168">
        <f>'Grid_Stock'!AJ25</f>
        <v/>
      </c>
      <c r="AM168">
        <f>'Grid_Stock'!AK25</f>
        <v/>
      </c>
      <c r="AN168">
        <f>'Grid_Stock'!AL25</f>
        <v/>
      </c>
      <c r="AO168">
        <f>'Grid_Stock'!AM25</f>
        <v/>
      </c>
      <c r="AP168">
        <f>'Grid_Stock'!AN25</f>
        <v/>
      </c>
      <c r="AQ168">
        <f>'Grid_Stock'!AO25</f>
        <v/>
      </c>
      <c r="AR168">
        <f>'Grid_Stock'!AP25</f>
        <v/>
      </c>
      <c r="AS168">
        <f>'Grid_Stock'!AQ25</f>
        <v/>
      </c>
      <c r="AT168">
        <f>'Grid_Stock'!AR25</f>
        <v/>
      </c>
      <c r="AU168">
        <f>'Grid_Stock'!AS25</f>
        <v/>
      </c>
      <c r="AV168">
        <f>'Grid_Stock'!AT25</f>
        <v/>
      </c>
      <c r="AW168">
        <f>'Grid_Stock'!AU25</f>
        <v/>
      </c>
      <c r="AX168">
        <f>'Grid_Stock'!AV25</f>
        <v/>
      </c>
      <c r="AY168">
        <f>'Grid_Stock'!AW25</f>
        <v/>
      </c>
      <c r="AZ168">
        <f>'Grid_Stock'!AX25</f>
        <v/>
      </c>
      <c r="BA168">
        <f>'Grid_Stock'!AY25</f>
        <v/>
      </c>
      <c r="BB168">
        <f>'Grid_Stock'!AZ25</f>
        <v/>
      </c>
      <c r="BC168">
        <f>'Grid_Stock'!BA25</f>
        <v/>
      </c>
      <c r="BD168">
        <f>'Grid_Stock'!BB25</f>
        <v/>
      </c>
      <c r="BE168">
        <f>'Grid_Stock'!BC25</f>
        <v/>
      </c>
      <c r="BF168">
        <f>'Grid_Stock'!BD25</f>
        <v/>
      </c>
      <c r="BG168">
        <f>'Grid_Stock'!BE25</f>
        <v/>
      </c>
      <c r="BH168">
        <f>'Grid_Stock'!BF25</f>
        <v/>
      </c>
      <c r="BI168">
        <f>'Grid_Stock'!BG25</f>
        <v/>
      </c>
      <c r="BJ168">
        <f>'Grid_Stock'!BH25</f>
        <v/>
      </c>
      <c r="BK168">
        <f>'Grid_Stock'!BI25</f>
        <v/>
      </c>
      <c r="BL168">
        <f>'Grid_Stock'!BJ25</f>
        <v/>
      </c>
      <c r="BM168">
        <f>'Grid_Stock'!BK25</f>
        <v/>
      </c>
      <c r="BN168">
        <f>'Grid_Stock'!BL25</f>
        <v/>
      </c>
      <c r="BO168">
        <f>'Grid_Stock'!BM25</f>
        <v/>
      </c>
      <c r="BP168">
        <f>'Grid_Stock'!BN25</f>
        <v/>
      </c>
      <c r="BQ168">
        <f>'Grid_Stock'!BO25</f>
        <v/>
      </c>
      <c r="BR168">
        <f>'Grid_Stock'!BP25</f>
        <v/>
      </c>
      <c r="BS168">
        <f>'Grid_Stock'!BQ25</f>
        <v/>
      </c>
      <c r="BT168">
        <f>'Grid_Stock'!BR25</f>
        <v/>
      </c>
      <c r="BU168">
        <f>'Grid_Stock'!BS25</f>
        <v/>
      </c>
      <c r="BV168">
        <f>'Grid_Stock'!BT25</f>
        <v/>
      </c>
      <c r="BW168">
        <f>'Grid_Stock'!BU25</f>
        <v/>
      </c>
      <c r="BX168">
        <f>'Grid_Stock'!BV25</f>
        <v/>
      </c>
      <c r="BY168">
        <f>'Grid_Stock'!BW25</f>
        <v/>
      </c>
      <c r="BZ168">
        <f>'Grid_Stock'!BX25</f>
        <v/>
      </c>
      <c r="CA168">
        <f>'Grid_Stock'!BY25</f>
        <v/>
      </c>
      <c r="CB168">
        <f>'Grid_Stock'!BZ25</f>
        <v/>
      </c>
      <c r="CC168">
        <f>'Grid_Stock'!CA25</f>
        <v/>
      </c>
      <c r="CD168">
        <f>'Grid_Stock'!CB25</f>
        <v/>
      </c>
      <c r="CE168">
        <f>'Grid_Stock'!CC25</f>
        <v/>
      </c>
      <c r="CF168">
        <f>'Grid_Stock'!CD25</f>
        <v/>
      </c>
      <c r="CG168">
        <f>'Grid_Stock'!CE25</f>
        <v/>
      </c>
      <c r="CH168">
        <f>'Grid_Stock'!CF25</f>
        <v/>
      </c>
      <c r="CI168">
        <f>'Grid_Stock'!CG25</f>
        <v/>
      </c>
      <c r="CJ168">
        <f>'Grid_Stock'!CH25</f>
        <v/>
      </c>
      <c r="CK168">
        <f>'Grid_Stock'!CI25</f>
        <v/>
      </c>
      <c r="CL168">
        <f>'Grid_Stock'!CJ25</f>
        <v/>
      </c>
      <c r="CM168">
        <f>'Grid_Stock'!CK25</f>
        <v/>
      </c>
      <c r="CN168">
        <f>'Grid_Stock'!CL25</f>
        <v/>
      </c>
      <c r="CO168">
        <f>'Grid_Stock'!CM25</f>
        <v/>
      </c>
      <c r="CP168">
        <f>'Grid_Stock'!CN25</f>
        <v/>
      </c>
      <c r="CQ168">
        <f>'Grid_Stock'!CO25</f>
        <v/>
      </c>
      <c r="CR168">
        <f>'Grid_Stock'!CP25</f>
        <v/>
      </c>
      <c r="CS168">
        <f>'Grid_Stock'!CQ25</f>
        <v/>
      </c>
      <c r="CT168">
        <f>'Grid_Stock'!CR25</f>
        <v/>
      </c>
      <c r="CU168">
        <f>'Grid_Stock'!CS25</f>
        <v/>
      </c>
      <c r="CV168">
        <f>'Grid_Stock'!CT25</f>
        <v/>
      </c>
      <c r="CW168">
        <f>'Grid_Stock'!CU25</f>
        <v/>
      </c>
      <c r="CX168">
        <f>'Grid_Stock'!CV25</f>
        <v/>
      </c>
      <c r="CY168">
        <f>'Grid_Stock'!CW25</f>
        <v/>
      </c>
      <c r="CZ168">
        <f>'Grid_Stock'!CX25</f>
        <v/>
      </c>
      <c r="DA168">
        <f>'Grid_Stock'!CY25</f>
        <v/>
      </c>
      <c r="DB168">
        <f>'Grid_Stock'!CZ25</f>
        <v/>
      </c>
      <c r="DC168">
        <f>'Grid_Stock'!DA25</f>
        <v/>
      </c>
    </row>
    <row r="169">
      <c r="B169" s="23" t="inlineStr">
        <is>
          <t>（発注の目安はDashboardの基準在庫[下限/上限]と色分けを参照）</t>
        </is>
      </c>
    </row>
    <row r="171">
      <c r="A171" s="21" t="inlineStr">
        <is>
          <t>CHEM-1530</t>
        </is>
      </c>
      <c r="B171" s="21" t="inlineStr">
        <is>
          <t>JCK-97</t>
        </is>
      </c>
      <c r="C171" s="22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21" t="n"/>
      <c r="AC171" s="21" t="n"/>
      <c r="AD171" s="21" t="n"/>
      <c r="AE171" s="21" t="n"/>
      <c r="AF171" s="21" t="n"/>
      <c r="AG171" s="21" t="n"/>
      <c r="AH171" s="21" t="n"/>
      <c r="AI171" s="21" t="n"/>
      <c r="AJ171" s="21" t="n"/>
      <c r="AK171" s="21" t="n"/>
      <c r="AL171" s="21" t="n"/>
      <c r="AM171" s="21" t="n"/>
      <c r="AN171" s="21" t="n"/>
      <c r="AO171" s="21" t="n"/>
      <c r="AP171" s="21" t="n"/>
      <c r="AQ171" s="21" t="n"/>
      <c r="AR171" s="21" t="n"/>
      <c r="AS171" s="21" t="n"/>
      <c r="AT171" s="21" t="n"/>
      <c r="AU171" s="21" t="n"/>
      <c r="AV171" s="21" t="n"/>
      <c r="AW171" s="21" t="n"/>
      <c r="AX171" s="21" t="n"/>
      <c r="AY171" s="21" t="n"/>
      <c r="AZ171" s="21" t="n"/>
      <c r="BA171" s="21" t="n"/>
      <c r="BB171" s="21" t="n"/>
      <c r="BC171" s="21" t="n"/>
      <c r="BD171" s="21" t="n"/>
      <c r="BE171" s="21" t="n"/>
      <c r="BF171" s="21" t="n"/>
      <c r="BG171" s="21" t="n"/>
      <c r="BH171" s="21" t="n"/>
      <c r="BI171" s="21" t="n"/>
      <c r="BJ171" s="21" t="n"/>
      <c r="BK171" s="21" t="n"/>
      <c r="BL171" s="21" t="n"/>
      <c r="BM171" s="21" t="n"/>
      <c r="BN171" s="21" t="n"/>
      <c r="BO171" s="21" t="n"/>
      <c r="BP171" s="21" t="n"/>
      <c r="BQ171" s="21" t="n"/>
      <c r="BR171" s="21" t="n"/>
      <c r="BS171" s="21" t="n"/>
      <c r="BT171" s="21" t="n"/>
      <c r="BU171" s="21" t="n"/>
      <c r="BV171" s="21" t="n"/>
      <c r="BW171" s="21" t="n"/>
      <c r="BX171" s="21" t="n"/>
      <c r="BY171" s="21" t="n"/>
      <c r="BZ171" s="21" t="n"/>
      <c r="CA171" s="21" t="n"/>
      <c r="CB171" s="21" t="n"/>
      <c r="CC171" s="21" t="n"/>
      <c r="CD171" s="21" t="n"/>
      <c r="CE171" s="21" t="n"/>
      <c r="CF171" s="21" t="n"/>
      <c r="CG171" s="21" t="n"/>
      <c r="CH171" s="21" t="n"/>
      <c r="CI171" s="21" t="n"/>
      <c r="CJ171" s="21" t="n"/>
      <c r="CK171" s="21" t="n"/>
      <c r="CL171" s="21" t="n"/>
      <c r="CM171" s="21" t="n"/>
      <c r="CN171" s="21" t="n"/>
      <c r="CO171" s="21" t="n"/>
      <c r="CP171" s="21" t="n"/>
      <c r="CQ171" s="21" t="n"/>
      <c r="CR171" s="21" t="n"/>
      <c r="CS171" s="21" t="n"/>
      <c r="CT171" s="21" t="n"/>
      <c r="CU171" s="21" t="n"/>
      <c r="CV171" s="21" t="n"/>
      <c r="CW171" s="21" t="n"/>
      <c r="CX171" s="21" t="n"/>
      <c r="CY171" s="21" t="n"/>
      <c r="CZ171" s="21" t="n"/>
      <c r="DA171" s="21" t="n"/>
      <c r="DB171" s="21" t="n"/>
      <c r="DC171" s="21" t="n"/>
    </row>
    <row r="172">
      <c r="B172" t="inlineStr">
        <is>
          <t>TPP-650</t>
        </is>
      </c>
      <c r="C172" t="inlineStr">
        <is>
          <t>No. of batches</t>
        </is>
      </c>
      <c r="D172">
        <f>IFERROR(INDEX(PP_Grid[#Data],$DD172,2),0)</f>
        <v/>
      </c>
      <c r="E172">
        <f>IFERROR(INDEX(PP_Grid[#Data],$DD172,3),0)</f>
        <v/>
      </c>
      <c r="F172">
        <f>IFERROR(INDEX(PP_Grid[#Data],$DD172,4),0)</f>
        <v/>
      </c>
      <c r="G172">
        <f>IFERROR(INDEX(PP_Grid[#Data],$DD172,5),0)</f>
        <v/>
      </c>
      <c r="H172">
        <f>IFERROR(INDEX(PP_Grid[#Data],$DD172,6),0)</f>
        <v/>
      </c>
      <c r="I172">
        <f>IFERROR(INDEX(PP_Grid[#Data],$DD172,7),0)</f>
        <v/>
      </c>
      <c r="J172">
        <f>IFERROR(INDEX(PP_Grid[#Data],$DD172,8),0)</f>
        <v/>
      </c>
      <c r="K172">
        <f>IFERROR(INDEX(PP_Grid[#Data],$DD172,9),0)</f>
        <v/>
      </c>
      <c r="L172">
        <f>IFERROR(INDEX(PP_Grid[#Data],$DD172,10),0)</f>
        <v/>
      </c>
      <c r="M172">
        <f>IFERROR(INDEX(PP_Grid[#Data],$DD172,11),0)</f>
        <v/>
      </c>
      <c r="N172">
        <f>IFERROR(INDEX(PP_Grid[#Data],$DD172,12),0)</f>
        <v/>
      </c>
      <c r="O172">
        <f>IFERROR(INDEX(PP_Grid[#Data],$DD172,13),0)</f>
        <v/>
      </c>
      <c r="P172">
        <f>IFERROR(INDEX(PP_Grid[#Data],$DD172,14),0)</f>
        <v/>
      </c>
      <c r="Q172">
        <f>IFERROR(INDEX(PP_Grid[#Data],$DD172,15),0)</f>
        <v/>
      </c>
      <c r="R172">
        <f>IFERROR(INDEX(PP_Grid[#Data],$DD172,16),0)</f>
        <v/>
      </c>
      <c r="S172">
        <f>IFERROR(INDEX(PP_Grid[#Data],$DD172,17),0)</f>
        <v/>
      </c>
      <c r="T172">
        <f>IFERROR(INDEX(PP_Grid[#Data],$DD172,18),0)</f>
        <v/>
      </c>
      <c r="U172">
        <f>IFERROR(INDEX(PP_Grid[#Data],$DD172,19),0)</f>
        <v/>
      </c>
      <c r="V172">
        <f>IFERROR(INDEX(PP_Grid[#Data],$DD172,20),0)</f>
        <v/>
      </c>
      <c r="W172">
        <f>IFERROR(INDEX(PP_Grid[#Data],$DD172,21),0)</f>
        <v/>
      </c>
      <c r="X172">
        <f>IFERROR(INDEX(PP_Grid[#Data],$DD172,22),0)</f>
        <v/>
      </c>
      <c r="Y172">
        <f>IFERROR(INDEX(PP_Grid[#Data],$DD172,23),0)</f>
        <v/>
      </c>
      <c r="Z172">
        <f>IFERROR(INDEX(PP_Grid[#Data],$DD172,24),0)</f>
        <v/>
      </c>
      <c r="AA172">
        <f>IFERROR(INDEX(PP_Grid[#Data],$DD172,25),0)</f>
        <v/>
      </c>
      <c r="AB172">
        <f>IFERROR(INDEX(PP_Grid[#Data],$DD172,26),0)</f>
        <v/>
      </c>
      <c r="AC172">
        <f>IFERROR(INDEX(PP_Grid[#Data],$DD172,27),0)</f>
        <v/>
      </c>
      <c r="AD172">
        <f>IFERROR(INDEX(PP_Grid[#Data],$DD172,28),0)</f>
        <v/>
      </c>
      <c r="AE172">
        <f>IFERROR(INDEX(PP_Grid[#Data],$DD172,29),0)</f>
        <v/>
      </c>
      <c r="AF172">
        <f>IFERROR(INDEX(PP_Grid[#Data],$DD172,30),0)</f>
        <v/>
      </c>
      <c r="AG172">
        <f>IFERROR(INDEX(PP_Grid[#Data],$DD172,31),0)</f>
        <v/>
      </c>
      <c r="AH172">
        <f>IFERROR(INDEX(PP_Grid[#Data],$DD172,32),0)</f>
        <v/>
      </c>
      <c r="AI172">
        <f>IFERROR(INDEX(PP_Grid[#Data],$DD172,33),0)</f>
        <v/>
      </c>
      <c r="AJ172">
        <f>IFERROR(INDEX(PP_Grid[#Data],$DD172,34),0)</f>
        <v/>
      </c>
      <c r="AK172">
        <f>IFERROR(INDEX(PP_Grid[#Data],$DD172,35),0)</f>
        <v/>
      </c>
      <c r="AL172">
        <f>IFERROR(INDEX(PP_Grid[#Data],$DD172,36),0)</f>
        <v/>
      </c>
      <c r="AM172">
        <f>IFERROR(INDEX(PP_Grid[#Data],$DD172,37),0)</f>
        <v/>
      </c>
      <c r="AN172">
        <f>IFERROR(INDEX(PP_Grid[#Data],$DD172,38),0)</f>
        <v/>
      </c>
      <c r="AO172">
        <f>IFERROR(INDEX(PP_Grid[#Data],$DD172,39),0)</f>
        <v/>
      </c>
      <c r="AP172">
        <f>IFERROR(INDEX(PP_Grid[#Data],$DD172,40),0)</f>
        <v/>
      </c>
      <c r="AQ172">
        <f>IFERROR(INDEX(PP_Grid[#Data],$DD172,41),0)</f>
        <v/>
      </c>
      <c r="AR172">
        <f>IFERROR(INDEX(PP_Grid[#Data],$DD172,42),0)</f>
        <v/>
      </c>
      <c r="AS172">
        <f>IFERROR(INDEX(PP_Grid[#Data],$DD172,43),0)</f>
        <v/>
      </c>
      <c r="AT172">
        <f>IFERROR(INDEX(PP_Grid[#Data],$DD172,44),0)</f>
        <v/>
      </c>
      <c r="AU172">
        <f>IFERROR(INDEX(PP_Grid[#Data],$DD172,45),0)</f>
        <v/>
      </c>
      <c r="AV172">
        <f>IFERROR(INDEX(PP_Grid[#Data],$DD172,46),0)</f>
        <v/>
      </c>
      <c r="AW172">
        <f>IFERROR(INDEX(PP_Grid[#Data],$DD172,47),0)</f>
        <v/>
      </c>
      <c r="AX172">
        <f>IFERROR(INDEX(PP_Grid[#Data],$DD172,48),0)</f>
        <v/>
      </c>
      <c r="AY172">
        <f>IFERROR(INDEX(PP_Grid[#Data],$DD172,49),0)</f>
        <v/>
      </c>
      <c r="AZ172">
        <f>IFERROR(INDEX(PP_Grid[#Data],$DD172,50),0)</f>
        <v/>
      </c>
      <c r="BA172">
        <f>IFERROR(INDEX(PP_Grid[#Data],$DD172,51),0)</f>
        <v/>
      </c>
      <c r="BB172">
        <f>IFERROR(INDEX(PP_Grid[#Data],$DD172,52),0)</f>
        <v/>
      </c>
      <c r="BC172">
        <f>IFERROR(INDEX(PP_Grid[#Data],$DD172,53),0)</f>
        <v/>
      </c>
      <c r="BD172">
        <f>IFERROR(INDEX(PP_Grid[#Data],$DD172,54),0)</f>
        <v/>
      </c>
      <c r="BE172">
        <f>IFERROR(INDEX(PP_Grid[#Data],$DD172,55),0)</f>
        <v/>
      </c>
      <c r="BF172">
        <f>IFERROR(INDEX(PP_Grid[#Data],$DD172,56),0)</f>
        <v/>
      </c>
      <c r="BG172">
        <f>IFERROR(INDEX(PP_Grid[#Data],$DD172,57),0)</f>
        <v/>
      </c>
      <c r="BH172">
        <f>IFERROR(INDEX(PP_Grid[#Data],$DD172,58),0)</f>
        <v/>
      </c>
      <c r="BI172">
        <f>IFERROR(INDEX(PP_Grid[#Data],$DD172,59),0)</f>
        <v/>
      </c>
      <c r="BJ172">
        <f>IFERROR(INDEX(PP_Grid[#Data],$DD172,60),0)</f>
        <v/>
      </c>
      <c r="BK172">
        <f>IFERROR(INDEX(PP_Grid[#Data],$DD172,61),0)</f>
        <v/>
      </c>
      <c r="BL172">
        <f>IFERROR(INDEX(PP_Grid[#Data],$DD172,62),0)</f>
        <v/>
      </c>
      <c r="BM172">
        <f>IFERROR(INDEX(PP_Grid[#Data],$DD172,63),0)</f>
        <v/>
      </c>
      <c r="BN172">
        <f>IFERROR(INDEX(PP_Grid[#Data],$DD172,64),0)</f>
        <v/>
      </c>
      <c r="BO172">
        <f>IFERROR(INDEX(PP_Grid[#Data],$DD172,65),0)</f>
        <v/>
      </c>
      <c r="BP172">
        <f>IFERROR(INDEX(PP_Grid[#Data],$DD172,66),0)</f>
        <v/>
      </c>
      <c r="BQ172">
        <f>IFERROR(INDEX(PP_Grid[#Data],$DD172,67),0)</f>
        <v/>
      </c>
      <c r="BR172">
        <f>IFERROR(INDEX(PP_Grid[#Data],$DD172,68),0)</f>
        <v/>
      </c>
      <c r="BS172">
        <f>IFERROR(INDEX(PP_Grid[#Data],$DD172,69),0)</f>
        <v/>
      </c>
      <c r="BT172">
        <f>IFERROR(INDEX(PP_Grid[#Data],$DD172,70),0)</f>
        <v/>
      </c>
      <c r="BU172">
        <f>IFERROR(INDEX(PP_Grid[#Data],$DD172,71),0)</f>
        <v/>
      </c>
      <c r="BV172">
        <f>IFERROR(INDEX(PP_Grid[#Data],$DD172,72),0)</f>
        <v/>
      </c>
      <c r="BW172">
        <f>IFERROR(INDEX(PP_Grid[#Data],$DD172,73),0)</f>
        <v/>
      </c>
      <c r="BX172">
        <f>IFERROR(INDEX(PP_Grid[#Data],$DD172,74),0)</f>
        <v/>
      </c>
      <c r="BY172">
        <f>IFERROR(INDEX(PP_Grid[#Data],$DD172,75),0)</f>
        <v/>
      </c>
      <c r="BZ172">
        <f>IFERROR(INDEX(PP_Grid[#Data],$DD172,76),0)</f>
        <v/>
      </c>
      <c r="CA172">
        <f>IFERROR(INDEX(PP_Grid[#Data],$DD172,77),0)</f>
        <v/>
      </c>
      <c r="CB172">
        <f>IFERROR(INDEX(PP_Grid[#Data],$DD172,78),0)</f>
        <v/>
      </c>
      <c r="CC172">
        <f>IFERROR(INDEX(PP_Grid[#Data],$DD172,79),0)</f>
        <v/>
      </c>
      <c r="CD172">
        <f>IFERROR(INDEX(PP_Grid[#Data],$DD172,80),0)</f>
        <v/>
      </c>
      <c r="CE172">
        <f>IFERROR(INDEX(PP_Grid[#Data],$DD172,81),0)</f>
        <v/>
      </c>
      <c r="CF172">
        <f>IFERROR(INDEX(PP_Grid[#Data],$DD172,82),0)</f>
        <v/>
      </c>
      <c r="CG172">
        <f>IFERROR(INDEX(PP_Grid[#Data],$DD172,83),0)</f>
        <v/>
      </c>
      <c r="CH172">
        <f>IFERROR(INDEX(PP_Grid[#Data],$DD172,84),0)</f>
        <v/>
      </c>
      <c r="CI172">
        <f>IFERROR(INDEX(PP_Grid[#Data],$DD172,85),0)</f>
        <v/>
      </c>
      <c r="CJ172">
        <f>IFERROR(INDEX(PP_Grid[#Data],$DD172,86),0)</f>
        <v/>
      </c>
      <c r="CK172">
        <f>IFERROR(INDEX(PP_Grid[#Data],$DD172,87),0)</f>
        <v/>
      </c>
      <c r="CL172">
        <f>IFERROR(INDEX(PP_Grid[#Data],$DD172,88),0)</f>
        <v/>
      </c>
      <c r="CM172">
        <f>IFERROR(INDEX(PP_Grid[#Data],$DD172,89),0)</f>
        <v/>
      </c>
      <c r="CN172">
        <f>IFERROR(INDEX(PP_Grid[#Data],$DD172,90),0)</f>
        <v/>
      </c>
      <c r="CO172">
        <f>IFERROR(INDEX(PP_Grid[#Data],$DD172,91),0)</f>
        <v/>
      </c>
      <c r="CP172">
        <f>IFERROR(INDEX(PP_Grid[#Data],$DD172,92),0)</f>
        <v/>
      </c>
      <c r="CQ172">
        <f>IFERROR(INDEX(PP_Grid[#Data],$DD172,93),0)</f>
        <v/>
      </c>
      <c r="CR172">
        <f>IFERROR(INDEX(PP_Grid[#Data],$DD172,94),0)</f>
        <v/>
      </c>
      <c r="CS172">
        <f>IFERROR(INDEX(PP_Grid[#Data],$DD172,95),0)</f>
        <v/>
      </c>
      <c r="CT172">
        <f>IFERROR(INDEX(PP_Grid[#Data],$DD172,96),0)</f>
        <v/>
      </c>
      <c r="CU172">
        <f>IFERROR(INDEX(PP_Grid[#Data],$DD172,97),0)</f>
        <v/>
      </c>
      <c r="CV172">
        <f>IFERROR(INDEX(PP_Grid[#Data],$DD172,98),0)</f>
        <v/>
      </c>
      <c r="CW172">
        <f>IFERROR(INDEX(PP_Grid[#Data],$DD172,99),0)</f>
        <v/>
      </c>
      <c r="CX172">
        <f>IFERROR(INDEX(PP_Grid[#Data],$DD172,100),0)</f>
        <v/>
      </c>
      <c r="CY172">
        <f>IFERROR(INDEX(PP_Grid[#Data],$DD172,101),0)</f>
        <v/>
      </c>
      <c r="CZ172">
        <f>IFERROR(INDEX(PP_Grid[#Data],$DD172,102),0)</f>
        <v/>
      </c>
      <c r="DA172">
        <f>IFERROR(INDEX(PP_Grid[#Data],$DD172,103),0)</f>
        <v/>
      </c>
      <c r="DB172">
        <f>IFERROR(INDEX(PP_Grid[#Data],$DD172,104),0)</f>
        <v/>
      </c>
      <c r="DC172">
        <f>IFERROR(INDEX(PP_Grid[#Data],$DD172,105),0)</f>
        <v/>
      </c>
      <c r="DD172" s="12">
        <f>IFERROR(MATCH($B172,PP_Grid[Intermediate],0),99999)</f>
        <v/>
      </c>
    </row>
    <row r="173">
      <c r="B173" t="inlineStr">
        <is>
          <t>使用量(kg)</t>
        </is>
      </c>
      <c r="C173">
        <f>SUMIFS(M_BOM[RM_Qty_Per_Batch],M_BOM[Intermediate],$B172,M_BOM[Part Name],$A171)</f>
        <v/>
      </c>
      <c r="D173">
        <f>$C173*D172</f>
        <v/>
      </c>
      <c r="E173">
        <f>$C173*E172</f>
        <v/>
      </c>
      <c r="F173">
        <f>$C173*F172</f>
        <v/>
      </c>
      <c r="G173">
        <f>$C173*G172</f>
        <v/>
      </c>
      <c r="H173">
        <f>$C173*H172</f>
        <v/>
      </c>
      <c r="I173">
        <f>$C173*I172</f>
        <v/>
      </c>
      <c r="J173">
        <f>$C173*J172</f>
        <v/>
      </c>
      <c r="K173">
        <f>$C173*K172</f>
        <v/>
      </c>
      <c r="L173">
        <f>$C173*L172</f>
        <v/>
      </c>
      <c r="M173">
        <f>$C173*M172</f>
        <v/>
      </c>
      <c r="N173">
        <f>$C173*N172</f>
        <v/>
      </c>
      <c r="O173">
        <f>$C173*O172</f>
        <v/>
      </c>
      <c r="P173">
        <f>$C173*P172</f>
        <v/>
      </c>
      <c r="Q173">
        <f>$C173*Q172</f>
        <v/>
      </c>
      <c r="R173">
        <f>$C173*R172</f>
        <v/>
      </c>
      <c r="S173">
        <f>$C173*S172</f>
        <v/>
      </c>
      <c r="T173">
        <f>$C173*T172</f>
        <v/>
      </c>
      <c r="U173">
        <f>$C173*U172</f>
        <v/>
      </c>
      <c r="V173">
        <f>$C173*V172</f>
        <v/>
      </c>
      <c r="W173">
        <f>$C173*W172</f>
        <v/>
      </c>
      <c r="X173">
        <f>$C173*X172</f>
        <v/>
      </c>
      <c r="Y173">
        <f>$C173*Y172</f>
        <v/>
      </c>
      <c r="Z173">
        <f>$C173*Z172</f>
        <v/>
      </c>
      <c r="AA173">
        <f>$C173*AA172</f>
        <v/>
      </c>
      <c r="AB173">
        <f>$C173*AB172</f>
        <v/>
      </c>
      <c r="AC173">
        <f>$C173*AC172</f>
        <v/>
      </c>
      <c r="AD173">
        <f>$C173*AD172</f>
        <v/>
      </c>
      <c r="AE173">
        <f>$C173*AE172</f>
        <v/>
      </c>
      <c r="AF173">
        <f>$C173*AF172</f>
        <v/>
      </c>
      <c r="AG173">
        <f>$C173*AG172</f>
        <v/>
      </c>
      <c r="AH173">
        <f>$C173*AH172</f>
        <v/>
      </c>
      <c r="AI173">
        <f>$C173*AI172</f>
        <v/>
      </c>
      <c r="AJ173">
        <f>$C173*AJ172</f>
        <v/>
      </c>
      <c r="AK173">
        <f>$C173*AK172</f>
        <v/>
      </c>
      <c r="AL173">
        <f>$C173*AL172</f>
        <v/>
      </c>
      <c r="AM173">
        <f>$C173*AM172</f>
        <v/>
      </c>
      <c r="AN173">
        <f>$C173*AN172</f>
        <v/>
      </c>
      <c r="AO173">
        <f>$C173*AO172</f>
        <v/>
      </c>
      <c r="AP173">
        <f>$C173*AP172</f>
        <v/>
      </c>
      <c r="AQ173">
        <f>$C173*AQ172</f>
        <v/>
      </c>
      <c r="AR173">
        <f>$C173*AR172</f>
        <v/>
      </c>
      <c r="AS173">
        <f>$C173*AS172</f>
        <v/>
      </c>
      <c r="AT173">
        <f>$C173*AT172</f>
        <v/>
      </c>
      <c r="AU173">
        <f>$C173*AU172</f>
        <v/>
      </c>
      <c r="AV173">
        <f>$C173*AV172</f>
        <v/>
      </c>
      <c r="AW173">
        <f>$C173*AW172</f>
        <v/>
      </c>
      <c r="AX173">
        <f>$C173*AX172</f>
        <v/>
      </c>
      <c r="AY173">
        <f>$C173*AY172</f>
        <v/>
      </c>
      <c r="AZ173">
        <f>$C173*AZ172</f>
        <v/>
      </c>
      <c r="BA173">
        <f>$C173*BA172</f>
        <v/>
      </c>
      <c r="BB173">
        <f>$C173*BB172</f>
        <v/>
      </c>
      <c r="BC173">
        <f>$C173*BC172</f>
        <v/>
      </c>
      <c r="BD173">
        <f>$C173*BD172</f>
        <v/>
      </c>
      <c r="BE173">
        <f>$C173*BE172</f>
        <v/>
      </c>
      <c r="BF173">
        <f>$C173*BF172</f>
        <v/>
      </c>
      <c r="BG173">
        <f>$C173*BG172</f>
        <v/>
      </c>
      <c r="BH173">
        <f>$C173*BH172</f>
        <v/>
      </c>
      <c r="BI173">
        <f>$C173*BI172</f>
        <v/>
      </c>
      <c r="BJ173">
        <f>$C173*BJ172</f>
        <v/>
      </c>
      <c r="BK173">
        <f>$C173*BK172</f>
        <v/>
      </c>
      <c r="BL173">
        <f>$C173*BL172</f>
        <v/>
      </c>
      <c r="BM173">
        <f>$C173*BM172</f>
        <v/>
      </c>
      <c r="BN173">
        <f>$C173*BN172</f>
        <v/>
      </c>
      <c r="BO173">
        <f>$C173*BO172</f>
        <v/>
      </c>
      <c r="BP173">
        <f>$C173*BP172</f>
        <v/>
      </c>
      <c r="BQ173">
        <f>$C173*BQ172</f>
        <v/>
      </c>
      <c r="BR173">
        <f>$C173*BR172</f>
        <v/>
      </c>
      <c r="BS173">
        <f>$C173*BS172</f>
        <v/>
      </c>
      <c r="BT173">
        <f>$C173*BT172</f>
        <v/>
      </c>
      <c r="BU173">
        <f>$C173*BU172</f>
        <v/>
      </c>
      <c r="BV173">
        <f>$C173*BV172</f>
        <v/>
      </c>
      <c r="BW173">
        <f>$C173*BW172</f>
        <v/>
      </c>
      <c r="BX173">
        <f>$C173*BX172</f>
        <v/>
      </c>
      <c r="BY173">
        <f>$C173*BY172</f>
        <v/>
      </c>
      <c r="BZ173">
        <f>$C173*BZ172</f>
        <v/>
      </c>
      <c r="CA173">
        <f>$C173*CA172</f>
        <v/>
      </c>
      <c r="CB173">
        <f>$C173*CB172</f>
        <v/>
      </c>
      <c r="CC173">
        <f>$C173*CC172</f>
        <v/>
      </c>
      <c r="CD173">
        <f>$C173*CD172</f>
        <v/>
      </c>
      <c r="CE173">
        <f>$C173*CE172</f>
        <v/>
      </c>
      <c r="CF173">
        <f>$C173*CF172</f>
        <v/>
      </c>
      <c r="CG173">
        <f>$C173*CG172</f>
        <v/>
      </c>
      <c r="CH173">
        <f>$C173*CH172</f>
        <v/>
      </c>
      <c r="CI173">
        <f>$C173*CI172</f>
        <v/>
      </c>
      <c r="CJ173">
        <f>$C173*CJ172</f>
        <v/>
      </c>
      <c r="CK173">
        <f>$C173*CK172</f>
        <v/>
      </c>
      <c r="CL173">
        <f>$C173*CL172</f>
        <v/>
      </c>
      <c r="CM173">
        <f>$C173*CM172</f>
        <v/>
      </c>
      <c r="CN173">
        <f>$C173*CN172</f>
        <v/>
      </c>
      <c r="CO173">
        <f>$C173*CO172</f>
        <v/>
      </c>
      <c r="CP173">
        <f>$C173*CP172</f>
        <v/>
      </c>
      <c r="CQ173">
        <f>$C173*CQ172</f>
        <v/>
      </c>
      <c r="CR173">
        <f>$C173*CR172</f>
        <v/>
      </c>
      <c r="CS173">
        <f>$C173*CS172</f>
        <v/>
      </c>
      <c r="CT173">
        <f>$C173*CT172</f>
        <v/>
      </c>
      <c r="CU173">
        <f>$C173*CU172</f>
        <v/>
      </c>
      <c r="CV173">
        <f>$C173*CV172</f>
        <v/>
      </c>
      <c r="CW173">
        <f>$C173*CW172</f>
        <v/>
      </c>
      <c r="CX173">
        <f>$C173*CX172</f>
        <v/>
      </c>
      <c r="CY173">
        <f>$C173*CY172</f>
        <v/>
      </c>
      <c r="CZ173">
        <f>$C173*CZ172</f>
        <v/>
      </c>
      <c r="DA173">
        <f>$C173*DA172</f>
        <v/>
      </c>
      <c r="DB173">
        <f>$C173*DB172</f>
        <v/>
      </c>
      <c r="DC173">
        <f>$C173*DC172</f>
        <v/>
      </c>
    </row>
    <row r="174">
      <c r="B174" t="inlineStr">
        <is>
          <t>TSP-1499</t>
        </is>
      </c>
      <c r="C174" t="inlineStr">
        <is>
          <t>No. of batches</t>
        </is>
      </c>
      <c r="D174">
        <f>IFERROR(INDEX(PP_Grid[#Data],$DD174,2),0)</f>
        <v/>
      </c>
      <c r="E174">
        <f>IFERROR(INDEX(PP_Grid[#Data],$DD174,3),0)</f>
        <v/>
      </c>
      <c r="F174">
        <f>IFERROR(INDEX(PP_Grid[#Data],$DD174,4),0)</f>
        <v/>
      </c>
      <c r="G174">
        <f>IFERROR(INDEX(PP_Grid[#Data],$DD174,5),0)</f>
        <v/>
      </c>
      <c r="H174">
        <f>IFERROR(INDEX(PP_Grid[#Data],$DD174,6),0)</f>
        <v/>
      </c>
      <c r="I174">
        <f>IFERROR(INDEX(PP_Grid[#Data],$DD174,7),0)</f>
        <v/>
      </c>
      <c r="J174">
        <f>IFERROR(INDEX(PP_Grid[#Data],$DD174,8),0)</f>
        <v/>
      </c>
      <c r="K174">
        <f>IFERROR(INDEX(PP_Grid[#Data],$DD174,9),0)</f>
        <v/>
      </c>
      <c r="L174">
        <f>IFERROR(INDEX(PP_Grid[#Data],$DD174,10),0)</f>
        <v/>
      </c>
      <c r="M174">
        <f>IFERROR(INDEX(PP_Grid[#Data],$DD174,11),0)</f>
        <v/>
      </c>
      <c r="N174">
        <f>IFERROR(INDEX(PP_Grid[#Data],$DD174,12),0)</f>
        <v/>
      </c>
      <c r="O174">
        <f>IFERROR(INDEX(PP_Grid[#Data],$DD174,13),0)</f>
        <v/>
      </c>
      <c r="P174">
        <f>IFERROR(INDEX(PP_Grid[#Data],$DD174,14),0)</f>
        <v/>
      </c>
      <c r="Q174">
        <f>IFERROR(INDEX(PP_Grid[#Data],$DD174,15),0)</f>
        <v/>
      </c>
      <c r="R174">
        <f>IFERROR(INDEX(PP_Grid[#Data],$DD174,16),0)</f>
        <v/>
      </c>
      <c r="S174">
        <f>IFERROR(INDEX(PP_Grid[#Data],$DD174,17),0)</f>
        <v/>
      </c>
      <c r="T174">
        <f>IFERROR(INDEX(PP_Grid[#Data],$DD174,18),0)</f>
        <v/>
      </c>
      <c r="U174">
        <f>IFERROR(INDEX(PP_Grid[#Data],$DD174,19),0)</f>
        <v/>
      </c>
      <c r="V174">
        <f>IFERROR(INDEX(PP_Grid[#Data],$DD174,20),0)</f>
        <v/>
      </c>
      <c r="W174">
        <f>IFERROR(INDEX(PP_Grid[#Data],$DD174,21),0)</f>
        <v/>
      </c>
      <c r="X174">
        <f>IFERROR(INDEX(PP_Grid[#Data],$DD174,22),0)</f>
        <v/>
      </c>
      <c r="Y174">
        <f>IFERROR(INDEX(PP_Grid[#Data],$DD174,23),0)</f>
        <v/>
      </c>
      <c r="Z174">
        <f>IFERROR(INDEX(PP_Grid[#Data],$DD174,24),0)</f>
        <v/>
      </c>
      <c r="AA174">
        <f>IFERROR(INDEX(PP_Grid[#Data],$DD174,25),0)</f>
        <v/>
      </c>
      <c r="AB174">
        <f>IFERROR(INDEX(PP_Grid[#Data],$DD174,26),0)</f>
        <v/>
      </c>
      <c r="AC174">
        <f>IFERROR(INDEX(PP_Grid[#Data],$DD174,27),0)</f>
        <v/>
      </c>
      <c r="AD174">
        <f>IFERROR(INDEX(PP_Grid[#Data],$DD174,28),0)</f>
        <v/>
      </c>
      <c r="AE174">
        <f>IFERROR(INDEX(PP_Grid[#Data],$DD174,29),0)</f>
        <v/>
      </c>
      <c r="AF174">
        <f>IFERROR(INDEX(PP_Grid[#Data],$DD174,30),0)</f>
        <v/>
      </c>
      <c r="AG174">
        <f>IFERROR(INDEX(PP_Grid[#Data],$DD174,31),0)</f>
        <v/>
      </c>
      <c r="AH174">
        <f>IFERROR(INDEX(PP_Grid[#Data],$DD174,32),0)</f>
        <v/>
      </c>
      <c r="AI174">
        <f>IFERROR(INDEX(PP_Grid[#Data],$DD174,33),0)</f>
        <v/>
      </c>
      <c r="AJ174">
        <f>IFERROR(INDEX(PP_Grid[#Data],$DD174,34),0)</f>
        <v/>
      </c>
      <c r="AK174">
        <f>IFERROR(INDEX(PP_Grid[#Data],$DD174,35),0)</f>
        <v/>
      </c>
      <c r="AL174">
        <f>IFERROR(INDEX(PP_Grid[#Data],$DD174,36),0)</f>
        <v/>
      </c>
      <c r="AM174">
        <f>IFERROR(INDEX(PP_Grid[#Data],$DD174,37),0)</f>
        <v/>
      </c>
      <c r="AN174">
        <f>IFERROR(INDEX(PP_Grid[#Data],$DD174,38),0)</f>
        <v/>
      </c>
      <c r="AO174">
        <f>IFERROR(INDEX(PP_Grid[#Data],$DD174,39),0)</f>
        <v/>
      </c>
      <c r="AP174">
        <f>IFERROR(INDEX(PP_Grid[#Data],$DD174,40),0)</f>
        <v/>
      </c>
      <c r="AQ174">
        <f>IFERROR(INDEX(PP_Grid[#Data],$DD174,41),0)</f>
        <v/>
      </c>
      <c r="AR174">
        <f>IFERROR(INDEX(PP_Grid[#Data],$DD174,42),0)</f>
        <v/>
      </c>
      <c r="AS174">
        <f>IFERROR(INDEX(PP_Grid[#Data],$DD174,43),0)</f>
        <v/>
      </c>
      <c r="AT174">
        <f>IFERROR(INDEX(PP_Grid[#Data],$DD174,44),0)</f>
        <v/>
      </c>
      <c r="AU174">
        <f>IFERROR(INDEX(PP_Grid[#Data],$DD174,45),0)</f>
        <v/>
      </c>
      <c r="AV174">
        <f>IFERROR(INDEX(PP_Grid[#Data],$DD174,46),0)</f>
        <v/>
      </c>
      <c r="AW174">
        <f>IFERROR(INDEX(PP_Grid[#Data],$DD174,47),0)</f>
        <v/>
      </c>
      <c r="AX174">
        <f>IFERROR(INDEX(PP_Grid[#Data],$DD174,48),0)</f>
        <v/>
      </c>
      <c r="AY174">
        <f>IFERROR(INDEX(PP_Grid[#Data],$DD174,49),0)</f>
        <v/>
      </c>
      <c r="AZ174">
        <f>IFERROR(INDEX(PP_Grid[#Data],$DD174,50),0)</f>
        <v/>
      </c>
      <c r="BA174">
        <f>IFERROR(INDEX(PP_Grid[#Data],$DD174,51),0)</f>
        <v/>
      </c>
      <c r="BB174">
        <f>IFERROR(INDEX(PP_Grid[#Data],$DD174,52),0)</f>
        <v/>
      </c>
      <c r="BC174">
        <f>IFERROR(INDEX(PP_Grid[#Data],$DD174,53),0)</f>
        <v/>
      </c>
      <c r="BD174">
        <f>IFERROR(INDEX(PP_Grid[#Data],$DD174,54),0)</f>
        <v/>
      </c>
      <c r="BE174">
        <f>IFERROR(INDEX(PP_Grid[#Data],$DD174,55),0)</f>
        <v/>
      </c>
      <c r="BF174">
        <f>IFERROR(INDEX(PP_Grid[#Data],$DD174,56),0)</f>
        <v/>
      </c>
      <c r="BG174">
        <f>IFERROR(INDEX(PP_Grid[#Data],$DD174,57),0)</f>
        <v/>
      </c>
      <c r="BH174">
        <f>IFERROR(INDEX(PP_Grid[#Data],$DD174,58),0)</f>
        <v/>
      </c>
      <c r="BI174">
        <f>IFERROR(INDEX(PP_Grid[#Data],$DD174,59),0)</f>
        <v/>
      </c>
      <c r="BJ174">
        <f>IFERROR(INDEX(PP_Grid[#Data],$DD174,60),0)</f>
        <v/>
      </c>
      <c r="BK174">
        <f>IFERROR(INDEX(PP_Grid[#Data],$DD174,61),0)</f>
        <v/>
      </c>
      <c r="BL174">
        <f>IFERROR(INDEX(PP_Grid[#Data],$DD174,62),0)</f>
        <v/>
      </c>
      <c r="BM174">
        <f>IFERROR(INDEX(PP_Grid[#Data],$DD174,63),0)</f>
        <v/>
      </c>
      <c r="BN174">
        <f>IFERROR(INDEX(PP_Grid[#Data],$DD174,64),0)</f>
        <v/>
      </c>
      <c r="BO174">
        <f>IFERROR(INDEX(PP_Grid[#Data],$DD174,65),0)</f>
        <v/>
      </c>
      <c r="BP174">
        <f>IFERROR(INDEX(PP_Grid[#Data],$DD174,66),0)</f>
        <v/>
      </c>
      <c r="BQ174">
        <f>IFERROR(INDEX(PP_Grid[#Data],$DD174,67),0)</f>
        <v/>
      </c>
      <c r="BR174">
        <f>IFERROR(INDEX(PP_Grid[#Data],$DD174,68),0)</f>
        <v/>
      </c>
      <c r="BS174">
        <f>IFERROR(INDEX(PP_Grid[#Data],$DD174,69),0)</f>
        <v/>
      </c>
      <c r="BT174">
        <f>IFERROR(INDEX(PP_Grid[#Data],$DD174,70),0)</f>
        <v/>
      </c>
      <c r="BU174">
        <f>IFERROR(INDEX(PP_Grid[#Data],$DD174,71),0)</f>
        <v/>
      </c>
      <c r="BV174">
        <f>IFERROR(INDEX(PP_Grid[#Data],$DD174,72),0)</f>
        <v/>
      </c>
      <c r="BW174">
        <f>IFERROR(INDEX(PP_Grid[#Data],$DD174,73),0)</f>
        <v/>
      </c>
      <c r="BX174">
        <f>IFERROR(INDEX(PP_Grid[#Data],$DD174,74),0)</f>
        <v/>
      </c>
      <c r="BY174">
        <f>IFERROR(INDEX(PP_Grid[#Data],$DD174,75),0)</f>
        <v/>
      </c>
      <c r="BZ174">
        <f>IFERROR(INDEX(PP_Grid[#Data],$DD174,76),0)</f>
        <v/>
      </c>
      <c r="CA174">
        <f>IFERROR(INDEX(PP_Grid[#Data],$DD174,77),0)</f>
        <v/>
      </c>
      <c r="CB174">
        <f>IFERROR(INDEX(PP_Grid[#Data],$DD174,78),0)</f>
        <v/>
      </c>
      <c r="CC174">
        <f>IFERROR(INDEX(PP_Grid[#Data],$DD174,79),0)</f>
        <v/>
      </c>
      <c r="CD174">
        <f>IFERROR(INDEX(PP_Grid[#Data],$DD174,80),0)</f>
        <v/>
      </c>
      <c r="CE174">
        <f>IFERROR(INDEX(PP_Grid[#Data],$DD174,81),0)</f>
        <v/>
      </c>
      <c r="CF174">
        <f>IFERROR(INDEX(PP_Grid[#Data],$DD174,82),0)</f>
        <v/>
      </c>
      <c r="CG174">
        <f>IFERROR(INDEX(PP_Grid[#Data],$DD174,83),0)</f>
        <v/>
      </c>
      <c r="CH174">
        <f>IFERROR(INDEX(PP_Grid[#Data],$DD174,84),0)</f>
        <v/>
      </c>
      <c r="CI174">
        <f>IFERROR(INDEX(PP_Grid[#Data],$DD174,85),0)</f>
        <v/>
      </c>
      <c r="CJ174">
        <f>IFERROR(INDEX(PP_Grid[#Data],$DD174,86),0)</f>
        <v/>
      </c>
      <c r="CK174">
        <f>IFERROR(INDEX(PP_Grid[#Data],$DD174,87),0)</f>
        <v/>
      </c>
      <c r="CL174">
        <f>IFERROR(INDEX(PP_Grid[#Data],$DD174,88),0)</f>
        <v/>
      </c>
      <c r="CM174">
        <f>IFERROR(INDEX(PP_Grid[#Data],$DD174,89),0)</f>
        <v/>
      </c>
      <c r="CN174">
        <f>IFERROR(INDEX(PP_Grid[#Data],$DD174,90),0)</f>
        <v/>
      </c>
      <c r="CO174">
        <f>IFERROR(INDEX(PP_Grid[#Data],$DD174,91),0)</f>
        <v/>
      </c>
      <c r="CP174">
        <f>IFERROR(INDEX(PP_Grid[#Data],$DD174,92),0)</f>
        <v/>
      </c>
      <c r="CQ174">
        <f>IFERROR(INDEX(PP_Grid[#Data],$DD174,93),0)</f>
        <v/>
      </c>
      <c r="CR174">
        <f>IFERROR(INDEX(PP_Grid[#Data],$DD174,94),0)</f>
        <v/>
      </c>
      <c r="CS174">
        <f>IFERROR(INDEX(PP_Grid[#Data],$DD174,95),0)</f>
        <v/>
      </c>
      <c r="CT174">
        <f>IFERROR(INDEX(PP_Grid[#Data],$DD174,96),0)</f>
        <v/>
      </c>
      <c r="CU174">
        <f>IFERROR(INDEX(PP_Grid[#Data],$DD174,97),0)</f>
        <v/>
      </c>
      <c r="CV174">
        <f>IFERROR(INDEX(PP_Grid[#Data],$DD174,98),0)</f>
        <v/>
      </c>
      <c r="CW174">
        <f>IFERROR(INDEX(PP_Grid[#Data],$DD174,99),0)</f>
        <v/>
      </c>
      <c r="CX174">
        <f>IFERROR(INDEX(PP_Grid[#Data],$DD174,100),0)</f>
        <v/>
      </c>
      <c r="CY174">
        <f>IFERROR(INDEX(PP_Grid[#Data],$DD174,101),0)</f>
        <v/>
      </c>
      <c r="CZ174">
        <f>IFERROR(INDEX(PP_Grid[#Data],$DD174,102),0)</f>
        <v/>
      </c>
      <c r="DA174">
        <f>IFERROR(INDEX(PP_Grid[#Data],$DD174,103),0)</f>
        <v/>
      </c>
      <c r="DB174">
        <f>IFERROR(INDEX(PP_Grid[#Data],$DD174,104),0)</f>
        <v/>
      </c>
      <c r="DC174">
        <f>IFERROR(INDEX(PP_Grid[#Data],$DD174,105),0)</f>
        <v/>
      </c>
      <c r="DD174" s="12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SUMIFS(M_BOM[RM_Qty_Per_Batch],M_BOM[Intermediate],$B174,M_BOM[Part Name],$A171)</f>
        <v/>
      </c>
      <c r="D175">
        <f>$C175*D174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</row>
    <row r="176">
      <c r="B176" t="inlineStr">
        <is>
          <t>TSP-1555</t>
        </is>
      </c>
      <c r="C176" t="inlineStr">
        <is>
          <t>No. of batches</t>
        </is>
      </c>
      <c r="D176">
        <f>IFERROR(INDEX(PP_Grid[#Data],$DD176,2),0)</f>
        <v/>
      </c>
      <c r="E176">
        <f>IFERROR(INDEX(PP_Grid[#Data],$DD176,3),0)</f>
        <v/>
      </c>
      <c r="F176">
        <f>IFERROR(INDEX(PP_Grid[#Data],$DD176,4),0)</f>
        <v/>
      </c>
      <c r="G176">
        <f>IFERROR(INDEX(PP_Grid[#Data],$DD176,5),0)</f>
        <v/>
      </c>
      <c r="H176">
        <f>IFERROR(INDEX(PP_Grid[#Data],$DD176,6),0)</f>
        <v/>
      </c>
      <c r="I176">
        <f>IFERROR(INDEX(PP_Grid[#Data],$DD176,7),0)</f>
        <v/>
      </c>
      <c r="J176">
        <f>IFERROR(INDEX(PP_Grid[#Data],$DD176,8),0)</f>
        <v/>
      </c>
      <c r="K176">
        <f>IFERROR(INDEX(PP_Grid[#Data],$DD176,9),0)</f>
        <v/>
      </c>
      <c r="L176">
        <f>IFERROR(INDEX(PP_Grid[#Data],$DD176,10),0)</f>
        <v/>
      </c>
      <c r="M176">
        <f>IFERROR(INDEX(PP_Grid[#Data],$DD176,11),0)</f>
        <v/>
      </c>
      <c r="N176">
        <f>IFERROR(INDEX(PP_Grid[#Data],$DD176,12),0)</f>
        <v/>
      </c>
      <c r="O176">
        <f>IFERROR(INDEX(PP_Grid[#Data],$DD176,13),0)</f>
        <v/>
      </c>
      <c r="P176">
        <f>IFERROR(INDEX(PP_Grid[#Data],$DD176,14),0)</f>
        <v/>
      </c>
      <c r="Q176">
        <f>IFERROR(INDEX(PP_Grid[#Data],$DD176,15),0)</f>
        <v/>
      </c>
      <c r="R176">
        <f>IFERROR(INDEX(PP_Grid[#Data],$DD176,16),0)</f>
        <v/>
      </c>
      <c r="S176">
        <f>IFERROR(INDEX(PP_Grid[#Data],$DD176,17),0)</f>
        <v/>
      </c>
      <c r="T176">
        <f>IFERROR(INDEX(PP_Grid[#Data],$DD176,18),0)</f>
        <v/>
      </c>
      <c r="U176">
        <f>IFERROR(INDEX(PP_Grid[#Data],$DD176,19),0)</f>
        <v/>
      </c>
      <c r="V176">
        <f>IFERROR(INDEX(PP_Grid[#Data],$DD176,20),0)</f>
        <v/>
      </c>
      <c r="W176">
        <f>IFERROR(INDEX(PP_Grid[#Data],$DD176,21),0)</f>
        <v/>
      </c>
      <c r="X176">
        <f>IFERROR(INDEX(PP_Grid[#Data],$DD176,22),0)</f>
        <v/>
      </c>
      <c r="Y176">
        <f>IFERROR(INDEX(PP_Grid[#Data],$DD176,23),0)</f>
        <v/>
      </c>
      <c r="Z176">
        <f>IFERROR(INDEX(PP_Grid[#Data],$DD176,24),0)</f>
        <v/>
      </c>
      <c r="AA176">
        <f>IFERROR(INDEX(PP_Grid[#Data],$DD176,25),0)</f>
        <v/>
      </c>
      <c r="AB176">
        <f>IFERROR(INDEX(PP_Grid[#Data],$DD176,26),0)</f>
        <v/>
      </c>
      <c r="AC176">
        <f>IFERROR(INDEX(PP_Grid[#Data],$DD176,27),0)</f>
        <v/>
      </c>
      <c r="AD176">
        <f>IFERROR(INDEX(PP_Grid[#Data],$DD176,28),0)</f>
        <v/>
      </c>
      <c r="AE176">
        <f>IFERROR(INDEX(PP_Grid[#Data],$DD176,29),0)</f>
        <v/>
      </c>
      <c r="AF176">
        <f>IFERROR(INDEX(PP_Grid[#Data],$DD176,30),0)</f>
        <v/>
      </c>
      <c r="AG176">
        <f>IFERROR(INDEX(PP_Grid[#Data],$DD176,31),0)</f>
        <v/>
      </c>
      <c r="AH176">
        <f>IFERROR(INDEX(PP_Grid[#Data],$DD176,32),0)</f>
        <v/>
      </c>
      <c r="AI176">
        <f>IFERROR(INDEX(PP_Grid[#Data],$DD176,33),0)</f>
        <v/>
      </c>
      <c r="AJ176">
        <f>IFERROR(INDEX(PP_Grid[#Data],$DD176,34),0)</f>
        <v/>
      </c>
      <c r="AK176">
        <f>IFERROR(INDEX(PP_Grid[#Data],$DD176,35),0)</f>
        <v/>
      </c>
      <c r="AL176">
        <f>IFERROR(INDEX(PP_Grid[#Data],$DD176,36),0)</f>
        <v/>
      </c>
      <c r="AM176">
        <f>IFERROR(INDEX(PP_Grid[#Data],$DD176,37),0)</f>
        <v/>
      </c>
      <c r="AN176">
        <f>IFERROR(INDEX(PP_Grid[#Data],$DD176,38),0)</f>
        <v/>
      </c>
      <c r="AO176">
        <f>IFERROR(INDEX(PP_Grid[#Data],$DD176,39),0)</f>
        <v/>
      </c>
      <c r="AP176">
        <f>IFERROR(INDEX(PP_Grid[#Data],$DD176,40),0)</f>
        <v/>
      </c>
      <c r="AQ176">
        <f>IFERROR(INDEX(PP_Grid[#Data],$DD176,41),0)</f>
        <v/>
      </c>
      <c r="AR176">
        <f>IFERROR(INDEX(PP_Grid[#Data],$DD176,42),0)</f>
        <v/>
      </c>
      <c r="AS176">
        <f>IFERROR(INDEX(PP_Grid[#Data],$DD176,43),0)</f>
        <v/>
      </c>
      <c r="AT176">
        <f>IFERROR(INDEX(PP_Grid[#Data],$DD176,44),0)</f>
        <v/>
      </c>
      <c r="AU176">
        <f>IFERROR(INDEX(PP_Grid[#Data],$DD176,45),0)</f>
        <v/>
      </c>
      <c r="AV176">
        <f>IFERROR(INDEX(PP_Grid[#Data],$DD176,46),0)</f>
        <v/>
      </c>
      <c r="AW176">
        <f>IFERROR(INDEX(PP_Grid[#Data],$DD176,47),0)</f>
        <v/>
      </c>
      <c r="AX176">
        <f>IFERROR(INDEX(PP_Grid[#Data],$DD176,48),0)</f>
        <v/>
      </c>
      <c r="AY176">
        <f>IFERROR(INDEX(PP_Grid[#Data],$DD176,49),0)</f>
        <v/>
      </c>
      <c r="AZ176">
        <f>IFERROR(INDEX(PP_Grid[#Data],$DD176,50),0)</f>
        <v/>
      </c>
      <c r="BA176">
        <f>IFERROR(INDEX(PP_Grid[#Data],$DD176,51),0)</f>
        <v/>
      </c>
      <c r="BB176">
        <f>IFERROR(INDEX(PP_Grid[#Data],$DD176,52),0)</f>
        <v/>
      </c>
      <c r="BC176">
        <f>IFERROR(INDEX(PP_Grid[#Data],$DD176,53),0)</f>
        <v/>
      </c>
      <c r="BD176">
        <f>IFERROR(INDEX(PP_Grid[#Data],$DD176,54),0)</f>
        <v/>
      </c>
      <c r="BE176">
        <f>IFERROR(INDEX(PP_Grid[#Data],$DD176,55),0)</f>
        <v/>
      </c>
      <c r="BF176">
        <f>IFERROR(INDEX(PP_Grid[#Data],$DD176,56),0)</f>
        <v/>
      </c>
      <c r="BG176">
        <f>IFERROR(INDEX(PP_Grid[#Data],$DD176,57),0)</f>
        <v/>
      </c>
      <c r="BH176">
        <f>IFERROR(INDEX(PP_Grid[#Data],$DD176,58),0)</f>
        <v/>
      </c>
      <c r="BI176">
        <f>IFERROR(INDEX(PP_Grid[#Data],$DD176,59),0)</f>
        <v/>
      </c>
      <c r="BJ176">
        <f>IFERROR(INDEX(PP_Grid[#Data],$DD176,60),0)</f>
        <v/>
      </c>
      <c r="BK176">
        <f>IFERROR(INDEX(PP_Grid[#Data],$DD176,61),0)</f>
        <v/>
      </c>
      <c r="BL176">
        <f>IFERROR(INDEX(PP_Grid[#Data],$DD176,62),0)</f>
        <v/>
      </c>
      <c r="BM176">
        <f>IFERROR(INDEX(PP_Grid[#Data],$DD176,63),0)</f>
        <v/>
      </c>
      <c r="BN176">
        <f>IFERROR(INDEX(PP_Grid[#Data],$DD176,64),0)</f>
        <v/>
      </c>
      <c r="BO176">
        <f>IFERROR(INDEX(PP_Grid[#Data],$DD176,65),0)</f>
        <v/>
      </c>
      <c r="BP176">
        <f>IFERROR(INDEX(PP_Grid[#Data],$DD176,66),0)</f>
        <v/>
      </c>
      <c r="BQ176">
        <f>IFERROR(INDEX(PP_Grid[#Data],$DD176,67),0)</f>
        <v/>
      </c>
      <c r="BR176">
        <f>IFERROR(INDEX(PP_Grid[#Data],$DD176,68),0)</f>
        <v/>
      </c>
      <c r="BS176">
        <f>IFERROR(INDEX(PP_Grid[#Data],$DD176,69),0)</f>
        <v/>
      </c>
      <c r="BT176">
        <f>IFERROR(INDEX(PP_Grid[#Data],$DD176,70),0)</f>
        <v/>
      </c>
      <c r="BU176">
        <f>IFERROR(INDEX(PP_Grid[#Data],$DD176,71),0)</f>
        <v/>
      </c>
      <c r="BV176">
        <f>IFERROR(INDEX(PP_Grid[#Data],$DD176,72),0)</f>
        <v/>
      </c>
      <c r="BW176">
        <f>IFERROR(INDEX(PP_Grid[#Data],$DD176,73),0)</f>
        <v/>
      </c>
      <c r="BX176">
        <f>IFERROR(INDEX(PP_Grid[#Data],$DD176,74),0)</f>
        <v/>
      </c>
      <c r="BY176">
        <f>IFERROR(INDEX(PP_Grid[#Data],$DD176,75),0)</f>
        <v/>
      </c>
      <c r="BZ176">
        <f>IFERROR(INDEX(PP_Grid[#Data],$DD176,76),0)</f>
        <v/>
      </c>
      <c r="CA176">
        <f>IFERROR(INDEX(PP_Grid[#Data],$DD176,77),0)</f>
        <v/>
      </c>
      <c r="CB176">
        <f>IFERROR(INDEX(PP_Grid[#Data],$DD176,78),0)</f>
        <v/>
      </c>
      <c r="CC176">
        <f>IFERROR(INDEX(PP_Grid[#Data],$DD176,79),0)</f>
        <v/>
      </c>
      <c r="CD176">
        <f>IFERROR(INDEX(PP_Grid[#Data],$DD176,80),0)</f>
        <v/>
      </c>
      <c r="CE176">
        <f>IFERROR(INDEX(PP_Grid[#Data],$DD176,81),0)</f>
        <v/>
      </c>
      <c r="CF176">
        <f>IFERROR(INDEX(PP_Grid[#Data],$DD176,82),0)</f>
        <v/>
      </c>
      <c r="CG176">
        <f>IFERROR(INDEX(PP_Grid[#Data],$DD176,83),0)</f>
        <v/>
      </c>
      <c r="CH176">
        <f>IFERROR(INDEX(PP_Grid[#Data],$DD176,84),0)</f>
        <v/>
      </c>
      <c r="CI176">
        <f>IFERROR(INDEX(PP_Grid[#Data],$DD176,85),0)</f>
        <v/>
      </c>
      <c r="CJ176">
        <f>IFERROR(INDEX(PP_Grid[#Data],$DD176,86),0)</f>
        <v/>
      </c>
      <c r="CK176">
        <f>IFERROR(INDEX(PP_Grid[#Data],$DD176,87),0)</f>
        <v/>
      </c>
      <c r="CL176">
        <f>IFERROR(INDEX(PP_Grid[#Data],$DD176,88),0)</f>
        <v/>
      </c>
      <c r="CM176">
        <f>IFERROR(INDEX(PP_Grid[#Data],$DD176,89),0)</f>
        <v/>
      </c>
      <c r="CN176">
        <f>IFERROR(INDEX(PP_Grid[#Data],$DD176,90),0)</f>
        <v/>
      </c>
      <c r="CO176">
        <f>IFERROR(INDEX(PP_Grid[#Data],$DD176,91),0)</f>
        <v/>
      </c>
      <c r="CP176">
        <f>IFERROR(INDEX(PP_Grid[#Data],$DD176,92),0)</f>
        <v/>
      </c>
      <c r="CQ176">
        <f>IFERROR(INDEX(PP_Grid[#Data],$DD176,93),0)</f>
        <v/>
      </c>
      <c r="CR176">
        <f>IFERROR(INDEX(PP_Grid[#Data],$DD176,94),0)</f>
        <v/>
      </c>
      <c r="CS176">
        <f>IFERROR(INDEX(PP_Grid[#Data],$DD176,95),0)</f>
        <v/>
      </c>
      <c r="CT176">
        <f>IFERROR(INDEX(PP_Grid[#Data],$DD176,96),0)</f>
        <v/>
      </c>
      <c r="CU176">
        <f>IFERROR(INDEX(PP_Grid[#Data],$DD176,97),0)</f>
        <v/>
      </c>
      <c r="CV176">
        <f>IFERROR(INDEX(PP_Grid[#Data],$DD176,98),0)</f>
        <v/>
      </c>
      <c r="CW176">
        <f>IFERROR(INDEX(PP_Grid[#Data],$DD176,99),0)</f>
        <v/>
      </c>
      <c r="CX176">
        <f>IFERROR(INDEX(PP_Grid[#Data],$DD176,100),0)</f>
        <v/>
      </c>
      <c r="CY176">
        <f>IFERROR(INDEX(PP_Grid[#Data],$DD176,101),0)</f>
        <v/>
      </c>
      <c r="CZ176">
        <f>IFERROR(INDEX(PP_Grid[#Data],$DD176,102),0)</f>
        <v/>
      </c>
      <c r="DA176">
        <f>IFERROR(INDEX(PP_Grid[#Data],$DD176,103),0)</f>
        <v/>
      </c>
      <c r="DB176">
        <f>IFERROR(INDEX(PP_Grid[#Data],$DD176,104),0)</f>
        <v/>
      </c>
      <c r="DC176">
        <f>IFERROR(INDEX(PP_Grid[#Data],$DD176,105),0)</f>
        <v/>
      </c>
      <c r="DD176" s="12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SUMIFS(M_BOM[RM_Qty_Per_Batch],M_BOM[Intermediate],$B176,M_BOM[Part Name],$A171)</f>
        <v/>
      </c>
      <c r="D177">
        <f>$C177*D176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</row>
    <row r="178">
      <c r="B178" t="inlineStr">
        <is>
          <t>TSP-402</t>
        </is>
      </c>
      <c r="C178" t="inlineStr">
        <is>
          <t>No. of batches</t>
        </is>
      </c>
      <c r="D178">
        <f>IFERROR(INDEX(PP_Grid[#Data],$DD178,2),0)</f>
        <v/>
      </c>
      <c r="E178">
        <f>IFERROR(INDEX(PP_Grid[#Data],$DD178,3),0)</f>
        <v/>
      </c>
      <c r="F178">
        <f>IFERROR(INDEX(PP_Grid[#Data],$DD178,4),0)</f>
        <v/>
      </c>
      <c r="G178">
        <f>IFERROR(INDEX(PP_Grid[#Data],$DD178,5),0)</f>
        <v/>
      </c>
      <c r="H178">
        <f>IFERROR(INDEX(PP_Grid[#Data],$DD178,6),0)</f>
        <v/>
      </c>
      <c r="I178">
        <f>IFERROR(INDEX(PP_Grid[#Data],$DD178,7),0)</f>
        <v/>
      </c>
      <c r="J178">
        <f>IFERROR(INDEX(PP_Grid[#Data],$DD178,8),0)</f>
        <v/>
      </c>
      <c r="K178">
        <f>IFERROR(INDEX(PP_Grid[#Data],$DD178,9),0)</f>
        <v/>
      </c>
      <c r="L178">
        <f>IFERROR(INDEX(PP_Grid[#Data],$DD178,10),0)</f>
        <v/>
      </c>
      <c r="M178">
        <f>IFERROR(INDEX(PP_Grid[#Data],$DD178,11),0)</f>
        <v/>
      </c>
      <c r="N178">
        <f>IFERROR(INDEX(PP_Grid[#Data],$DD178,12),0)</f>
        <v/>
      </c>
      <c r="O178">
        <f>IFERROR(INDEX(PP_Grid[#Data],$DD178,13),0)</f>
        <v/>
      </c>
      <c r="P178">
        <f>IFERROR(INDEX(PP_Grid[#Data],$DD178,14),0)</f>
        <v/>
      </c>
      <c r="Q178">
        <f>IFERROR(INDEX(PP_Grid[#Data],$DD178,15),0)</f>
        <v/>
      </c>
      <c r="R178">
        <f>IFERROR(INDEX(PP_Grid[#Data],$DD178,16),0)</f>
        <v/>
      </c>
      <c r="S178">
        <f>IFERROR(INDEX(PP_Grid[#Data],$DD178,17),0)</f>
        <v/>
      </c>
      <c r="T178">
        <f>IFERROR(INDEX(PP_Grid[#Data],$DD178,18),0)</f>
        <v/>
      </c>
      <c r="U178">
        <f>IFERROR(INDEX(PP_Grid[#Data],$DD178,19),0)</f>
        <v/>
      </c>
      <c r="V178">
        <f>IFERROR(INDEX(PP_Grid[#Data],$DD178,20),0)</f>
        <v/>
      </c>
      <c r="W178">
        <f>IFERROR(INDEX(PP_Grid[#Data],$DD178,21),0)</f>
        <v/>
      </c>
      <c r="X178">
        <f>IFERROR(INDEX(PP_Grid[#Data],$DD178,22),0)</f>
        <v/>
      </c>
      <c r="Y178">
        <f>IFERROR(INDEX(PP_Grid[#Data],$DD178,23),0)</f>
        <v/>
      </c>
      <c r="Z178">
        <f>IFERROR(INDEX(PP_Grid[#Data],$DD178,24),0)</f>
        <v/>
      </c>
      <c r="AA178">
        <f>IFERROR(INDEX(PP_Grid[#Data],$DD178,25),0)</f>
        <v/>
      </c>
      <c r="AB178">
        <f>IFERROR(INDEX(PP_Grid[#Data],$DD178,26),0)</f>
        <v/>
      </c>
      <c r="AC178">
        <f>IFERROR(INDEX(PP_Grid[#Data],$DD178,27),0)</f>
        <v/>
      </c>
      <c r="AD178">
        <f>IFERROR(INDEX(PP_Grid[#Data],$DD178,28),0)</f>
        <v/>
      </c>
      <c r="AE178">
        <f>IFERROR(INDEX(PP_Grid[#Data],$DD178,29),0)</f>
        <v/>
      </c>
      <c r="AF178">
        <f>IFERROR(INDEX(PP_Grid[#Data],$DD178,30),0)</f>
        <v/>
      </c>
      <c r="AG178">
        <f>IFERROR(INDEX(PP_Grid[#Data],$DD178,31),0)</f>
        <v/>
      </c>
      <c r="AH178">
        <f>IFERROR(INDEX(PP_Grid[#Data],$DD178,32),0)</f>
        <v/>
      </c>
      <c r="AI178">
        <f>IFERROR(INDEX(PP_Grid[#Data],$DD178,33),0)</f>
        <v/>
      </c>
      <c r="AJ178">
        <f>IFERROR(INDEX(PP_Grid[#Data],$DD178,34),0)</f>
        <v/>
      </c>
      <c r="AK178">
        <f>IFERROR(INDEX(PP_Grid[#Data],$DD178,35),0)</f>
        <v/>
      </c>
      <c r="AL178">
        <f>IFERROR(INDEX(PP_Grid[#Data],$DD178,36),0)</f>
        <v/>
      </c>
      <c r="AM178">
        <f>IFERROR(INDEX(PP_Grid[#Data],$DD178,37),0)</f>
        <v/>
      </c>
      <c r="AN178">
        <f>IFERROR(INDEX(PP_Grid[#Data],$DD178,38),0)</f>
        <v/>
      </c>
      <c r="AO178">
        <f>IFERROR(INDEX(PP_Grid[#Data],$DD178,39),0)</f>
        <v/>
      </c>
      <c r="AP178">
        <f>IFERROR(INDEX(PP_Grid[#Data],$DD178,40),0)</f>
        <v/>
      </c>
      <c r="AQ178">
        <f>IFERROR(INDEX(PP_Grid[#Data],$DD178,41),0)</f>
        <v/>
      </c>
      <c r="AR178">
        <f>IFERROR(INDEX(PP_Grid[#Data],$DD178,42),0)</f>
        <v/>
      </c>
      <c r="AS178">
        <f>IFERROR(INDEX(PP_Grid[#Data],$DD178,43),0)</f>
        <v/>
      </c>
      <c r="AT178">
        <f>IFERROR(INDEX(PP_Grid[#Data],$DD178,44),0)</f>
        <v/>
      </c>
      <c r="AU178">
        <f>IFERROR(INDEX(PP_Grid[#Data],$DD178,45),0)</f>
        <v/>
      </c>
      <c r="AV178">
        <f>IFERROR(INDEX(PP_Grid[#Data],$DD178,46),0)</f>
        <v/>
      </c>
      <c r="AW178">
        <f>IFERROR(INDEX(PP_Grid[#Data],$DD178,47),0)</f>
        <v/>
      </c>
      <c r="AX178">
        <f>IFERROR(INDEX(PP_Grid[#Data],$DD178,48),0)</f>
        <v/>
      </c>
      <c r="AY178">
        <f>IFERROR(INDEX(PP_Grid[#Data],$DD178,49),0)</f>
        <v/>
      </c>
      <c r="AZ178">
        <f>IFERROR(INDEX(PP_Grid[#Data],$DD178,50),0)</f>
        <v/>
      </c>
      <c r="BA178">
        <f>IFERROR(INDEX(PP_Grid[#Data],$DD178,51),0)</f>
        <v/>
      </c>
      <c r="BB178">
        <f>IFERROR(INDEX(PP_Grid[#Data],$DD178,52),0)</f>
        <v/>
      </c>
      <c r="BC178">
        <f>IFERROR(INDEX(PP_Grid[#Data],$DD178,53),0)</f>
        <v/>
      </c>
      <c r="BD178">
        <f>IFERROR(INDEX(PP_Grid[#Data],$DD178,54),0)</f>
        <v/>
      </c>
      <c r="BE178">
        <f>IFERROR(INDEX(PP_Grid[#Data],$DD178,55),0)</f>
        <v/>
      </c>
      <c r="BF178">
        <f>IFERROR(INDEX(PP_Grid[#Data],$DD178,56),0)</f>
        <v/>
      </c>
      <c r="BG178">
        <f>IFERROR(INDEX(PP_Grid[#Data],$DD178,57),0)</f>
        <v/>
      </c>
      <c r="BH178">
        <f>IFERROR(INDEX(PP_Grid[#Data],$DD178,58),0)</f>
        <v/>
      </c>
      <c r="BI178">
        <f>IFERROR(INDEX(PP_Grid[#Data],$DD178,59),0)</f>
        <v/>
      </c>
      <c r="BJ178">
        <f>IFERROR(INDEX(PP_Grid[#Data],$DD178,60),0)</f>
        <v/>
      </c>
      <c r="BK178">
        <f>IFERROR(INDEX(PP_Grid[#Data],$DD178,61),0)</f>
        <v/>
      </c>
      <c r="BL178">
        <f>IFERROR(INDEX(PP_Grid[#Data],$DD178,62),0)</f>
        <v/>
      </c>
      <c r="BM178">
        <f>IFERROR(INDEX(PP_Grid[#Data],$DD178,63),0)</f>
        <v/>
      </c>
      <c r="BN178">
        <f>IFERROR(INDEX(PP_Grid[#Data],$DD178,64),0)</f>
        <v/>
      </c>
      <c r="BO178">
        <f>IFERROR(INDEX(PP_Grid[#Data],$DD178,65),0)</f>
        <v/>
      </c>
      <c r="BP178">
        <f>IFERROR(INDEX(PP_Grid[#Data],$DD178,66),0)</f>
        <v/>
      </c>
      <c r="BQ178">
        <f>IFERROR(INDEX(PP_Grid[#Data],$DD178,67),0)</f>
        <v/>
      </c>
      <c r="BR178">
        <f>IFERROR(INDEX(PP_Grid[#Data],$DD178,68),0)</f>
        <v/>
      </c>
      <c r="BS178">
        <f>IFERROR(INDEX(PP_Grid[#Data],$DD178,69),0)</f>
        <v/>
      </c>
      <c r="BT178">
        <f>IFERROR(INDEX(PP_Grid[#Data],$DD178,70),0)</f>
        <v/>
      </c>
      <c r="BU178">
        <f>IFERROR(INDEX(PP_Grid[#Data],$DD178,71),0)</f>
        <v/>
      </c>
      <c r="BV178">
        <f>IFERROR(INDEX(PP_Grid[#Data],$DD178,72),0)</f>
        <v/>
      </c>
      <c r="BW178">
        <f>IFERROR(INDEX(PP_Grid[#Data],$DD178,73),0)</f>
        <v/>
      </c>
      <c r="BX178">
        <f>IFERROR(INDEX(PP_Grid[#Data],$DD178,74),0)</f>
        <v/>
      </c>
      <c r="BY178">
        <f>IFERROR(INDEX(PP_Grid[#Data],$DD178,75),0)</f>
        <v/>
      </c>
      <c r="BZ178">
        <f>IFERROR(INDEX(PP_Grid[#Data],$DD178,76),0)</f>
        <v/>
      </c>
      <c r="CA178">
        <f>IFERROR(INDEX(PP_Grid[#Data],$DD178,77),0)</f>
        <v/>
      </c>
      <c r="CB178">
        <f>IFERROR(INDEX(PP_Grid[#Data],$DD178,78),0)</f>
        <v/>
      </c>
      <c r="CC178">
        <f>IFERROR(INDEX(PP_Grid[#Data],$DD178,79),0)</f>
        <v/>
      </c>
      <c r="CD178">
        <f>IFERROR(INDEX(PP_Grid[#Data],$DD178,80),0)</f>
        <v/>
      </c>
      <c r="CE178">
        <f>IFERROR(INDEX(PP_Grid[#Data],$DD178,81),0)</f>
        <v/>
      </c>
      <c r="CF178">
        <f>IFERROR(INDEX(PP_Grid[#Data],$DD178,82),0)</f>
        <v/>
      </c>
      <c r="CG178">
        <f>IFERROR(INDEX(PP_Grid[#Data],$DD178,83),0)</f>
        <v/>
      </c>
      <c r="CH178">
        <f>IFERROR(INDEX(PP_Grid[#Data],$DD178,84),0)</f>
        <v/>
      </c>
      <c r="CI178">
        <f>IFERROR(INDEX(PP_Grid[#Data],$DD178,85),0)</f>
        <v/>
      </c>
      <c r="CJ178">
        <f>IFERROR(INDEX(PP_Grid[#Data],$DD178,86),0)</f>
        <v/>
      </c>
      <c r="CK178">
        <f>IFERROR(INDEX(PP_Grid[#Data],$DD178,87),0)</f>
        <v/>
      </c>
      <c r="CL178">
        <f>IFERROR(INDEX(PP_Grid[#Data],$DD178,88),0)</f>
        <v/>
      </c>
      <c r="CM178">
        <f>IFERROR(INDEX(PP_Grid[#Data],$DD178,89),0)</f>
        <v/>
      </c>
      <c r="CN178">
        <f>IFERROR(INDEX(PP_Grid[#Data],$DD178,90),0)</f>
        <v/>
      </c>
      <c r="CO178">
        <f>IFERROR(INDEX(PP_Grid[#Data],$DD178,91),0)</f>
        <v/>
      </c>
      <c r="CP178">
        <f>IFERROR(INDEX(PP_Grid[#Data],$DD178,92),0)</f>
        <v/>
      </c>
      <c r="CQ178">
        <f>IFERROR(INDEX(PP_Grid[#Data],$DD178,93),0)</f>
        <v/>
      </c>
      <c r="CR178">
        <f>IFERROR(INDEX(PP_Grid[#Data],$DD178,94),0)</f>
        <v/>
      </c>
      <c r="CS178">
        <f>IFERROR(INDEX(PP_Grid[#Data],$DD178,95),0)</f>
        <v/>
      </c>
      <c r="CT178">
        <f>IFERROR(INDEX(PP_Grid[#Data],$DD178,96),0)</f>
        <v/>
      </c>
      <c r="CU178">
        <f>IFERROR(INDEX(PP_Grid[#Data],$DD178,97),0)</f>
        <v/>
      </c>
      <c r="CV178">
        <f>IFERROR(INDEX(PP_Grid[#Data],$DD178,98),0)</f>
        <v/>
      </c>
      <c r="CW178">
        <f>IFERROR(INDEX(PP_Grid[#Data],$DD178,99),0)</f>
        <v/>
      </c>
      <c r="CX178">
        <f>IFERROR(INDEX(PP_Grid[#Data],$DD178,100),0)</f>
        <v/>
      </c>
      <c r="CY178">
        <f>IFERROR(INDEX(PP_Grid[#Data],$DD178,101),0)</f>
        <v/>
      </c>
      <c r="CZ178">
        <f>IFERROR(INDEX(PP_Grid[#Data],$DD178,102),0)</f>
        <v/>
      </c>
      <c r="DA178">
        <f>IFERROR(INDEX(PP_Grid[#Data],$DD178,103),0)</f>
        <v/>
      </c>
      <c r="DB178">
        <f>IFERROR(INDEX(PP_Grid[#Data],$DD178,104),0)</f>
        <v/>
      </c>
      <c r="DC178">
        <f>IFERROR(INDEX(PP_Grid[#Data],$DD178,105),0)</f>
        <v/>
      </c>
      <c r="DD178" s="12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SUMIFS(M_BOM[RM_Qty_Per_Batch],M_BOM[Intermediate],$B178,M_BOM[Part Name],$A171)</f>
        <v/>
      </c>
      <c r="D179">
        <f>$C179*D178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</row>
    <row r="180">
      <c r="B180" t="inlineStr">
        <is>
          <t>TSP-403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Name],$A171)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t="inlineStr">
        <is>
          <t>TSP-404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Name],$A171)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t="inlineStr">
        <is>
          <t>TSP-405</t>
        </is>
      </c>
      <c r="C184" t="inlineStr">
        <is>
          <t>No. of batches</t>
        </is>
      </c>
      <c r="D184">
        <f>IFERROR(INDEX(PP_Grid[#Data],$DD184,2),0)</f>
        <v/>
      </c>
      <c r="E184">
        <f>IFERROR(INDEX(PP_Grid[#Data],$DD184,3),0)</f>
        <v/>
      </c>
      <c r="F184">
        <f>IFERROR(INDEX(PP_Grid[#Data],$DD184,4),0)</f>
        <v/>
      </c>
      <c r="G184">
        <f>IFERROR(INDEX(PP_Grid[#Data],$DD184,5),0)</f>
        <v/>
      </c>
      <c r="H184">
        <f>IFERROR(INDEX(PP_Grid[#Data],$DD184,6),0)</f>
        <v/>
      </c>
      <c r="I184">
        <f>IFERROR(INDEX(PP_Grid[#Data],$DD184,7),0)</f>
        <v/>
      </c>
      <c r="J184">
        <f>IFERROR(INDEX(PP_Grid[#Data],$DD184,8),0)</f>
        <v/>
      </c>
      <c r="K184">
        <f>IFERROR(INDEX(PP_Grid[#Data],$DD184,9),0)</f>
        <v/>
      </c>
      <c r="L184">
        <f>IFERROR(INDEX(PP_Grid[#Data],$DD184,10),0)</f>
        <v/>
      </c>
      <c r="M184">
        <f>IFERROR(INDEX(PP_Grid[#Data],$DD184,11),0)</f>
        <v/>
      </c>
      <c r="N184">
        <f>IFERROR(INDEX(PP_Grid[#Data],$DD184,12),0)</f>
        <v/>
      </c>
      <c r="O184">
        <f>IFERROR(INDEX(PP_Grid[#Data],$DD184,13),0)</f>
        <v/>
      </c>
      <c r="P184">
        <f>IFERROR(INDEX(PP_Grid[#Data],$DD184,14),0)</f>
        <v/>
      </c>
      <c r="Q184">
        <f>IFERROR(INDEX(PP_Grid[#Data],$DD184,15),0)</f>
        <v/>
      </c>
      <c r="R184">
        <f>IFERROR(INDEX(PP_Grid[#Data],$DD184,16),0)</f>
        <v/>
      </c>
      <c r="S184">
        <f>IFERROR(INDEX(PP_Grid[#Data],$DD184,17),0)</f>
        <v/>
      </c>
      <c r="T184">
        <f>IFERROR(INDEX(PP_Grid[#Data],$DD184,18),0)</f>
        <v/>
      </c>
      <c r="U184">
        <f>IFERROR(INDEX(PP_Grid[#Data],$DD184,19),0)</f>
        <v/>
      </c>
      <c r="V184">
        <f>IFERROR(INDEX(PP_Grid[#Data],$DD184,20),0)</f>
        <v/>
      </c>
      <c r="W184">
        <f>IFERROR(INDEX(PP_Grid[#Data],$DD184,21),0)</f>
        <v/>
      </c>
      <c r="X184">
        <f>IFERROR(INDEX(PP_Grid[#Data],$DD184,22),0)</f>
        <v/>
      </c>
      <c r="Y184">
        <f>IFERROR(INDEX(PP_Grid[#Data],$DD184,23),0)</f>
        <v/>
      </c>
      <c r="Z184">
        <f>IFERROR(INDEX(PP_Grid[#Data],$DD184,24),0)</f>
        <v/>
      </c>
      <c r="AA184">
        <f>IFERROR(INDEX(PP_Grid[#Data],$DD184,25),0)</f>
        <v/>
      </c>
      <c r="AB184">
        <f>IFERROR(INDEX(PP_Grid[#Data],$DD184,26),0)</f>
        <v/>
      </c>
      <c r="AC184">
        <f>IFERROR(INDEX(PP_Grid[#Data],$DD184,27),0)</f>
        <v/>
      </c>
      <c r="AD184">
        <f>IFERROR(INDEX(PP_Grid[#Data],$DD184,28),0)</f>
        <v/>
      </c>
      <c r="AE184">
        <f>IFERROR(INDEX(PP_Grid[#Data],$DD184,29),0)</f>
        <v/>
      </c>
      <c r="AF184">
        <f>IFERROR(INDEX(PP_Grid[#Data],$DD184,30),0)</f>
        <v/>
      </c>
      <c r="AG184">
        <f>IFERROR(INDEX(PP_Grid[#Data],$DD184,31),0)</f>
        <v/>
      </c>
      <c r="AH184">
        <f>IFERROR(INDEX(PP_Grid[#Data],$DD184,32),0)</f>
        <v/>
      </c>
      <c r="AI184">
        <f>IFERROR(INDEX(PP_Grid[#Data],$DD184,33),0)</f>
        <v/>
      </c>
      <c r="AJ184">
        <f>IFERROR(INDEX(PP_Grid[#Data],$DD184,34),0)</f>
        <v/>
      </c>
      <c r="AK184">
        <f>IFERROR(INDEX(PP_Grid[#Data],$DD184,35),0)</f>
        <v/>
      </c>
      <c r="AL184">
        <f>IFERROR(INDEX(PP_Grid[#Data],$DD184,36),0)</f>
        <v/>
      </c>
      <c r="AM184">
        <f>IFERROR(INDEX(PP_Grid[#Data],$DD184,37),0)</f>
        <v/>
      </c>
      <c r="AN184">
        <f>IFERROR(INDEX(PP_Grid[#Data],$DD184,38),0)</f>
        <v/>
      </c>
      <c r="AO184">
        <f>IFERROR(INDEX(PP_Grid[#Data],$DD184,39),0)</f>
        <v/>
      </c>
      <c r="AP184">
        <f>IFERROR(INDEX(PP_Grid[#Data],$DD184,40),0)</f>
        <v/>
      </c>
      <c r="AQ184">
        <f>IFERROR(INDEX(PP_Grid[#Data],$DD184,41),0)</f>
        <v/>
      </c>
      <c r="AR184">
        <f>IFERROR(INDEX(PP_Grid[#Data],$DD184,42),0)</f>
        <v/>
      </c>
      <c r="AS184">
        <f>IFERROR(INDEX(PP_Grid[#Data],$DD184,43),0)</f>
        <v/>
      </c>
      <c r="AT184">
        <f>IFERROR(INDEX(PP_Grid[#Data],$DD184,44),0)</f>
        <v/>
      </c>
      <c r="AU184">
        <f>IFERROR(INDEX(PP_Grid[#Data],$DD184,45),0)</f>
        <v/>
      </c>
      <c r="AV184">
        <f>IFERROR(INDEX(PP_Grid[#Data],$DD184,46),0)</f>
        <v/>
      </c>
      <c r="AW184">
        <f>IFERROR(INDEX(PP_Grid[#Data],$DD184,47),0)</f>
        <v/>
      </c>
      <c r="AX184">
        <f>IFERROR(INDEX(PP_Grid[#Data],$DD184,48),0)</f>
        <v/>
      </c>
      <c r="AY184">
        <f>IFERROR(INDEX(PP_Grid[#Data],$DD184,49),0)</f>
        <v/>
      </c>
      <c r="AZ184">
        <f>IFERROR(INDEX(PP_Grid[#Data],$DD184,50),0)</f>
        <v/>
      </c>
      <c r="BA184">
        <f>IFERROR(INDEX(PP_Grid[#Data],$DD184,51),0)</f>
        <v/>
      </c>
      <c r="BB184">
        <f>IFERROR(INDEX(PP_Grid[#Data],$DD184,52),0)</f>
        <v/>
      </c>
      <c r="BC184">
        <f>IFERROR(INDEX(PP_Grid[#Data],$DD184,53),0)</f>
        <v/>
      </c>
      <c r="BD184">
        <f>IFERROR(INDEX(PP_Grid[#Data],$DD184,54),0)</f>
        <v/>
      </c>
      <c r="BE184">
        <f>IFERROR(INDEX(PP_Grid[#Data],$DD184,55),0)</f>
        <v/>
      </c>
      <c r="BF184">
        <f>IFERROR(INDEX(PP_Grid[#Data],$DD184,56),0)</f>
        <v/>
      </c>
      <c r="BG184">
        <f>IFERROR(INDEX(PP_Grid[#Data],$DD184,57),0)</f>
        <v/>
      </c>
      <c r="BH184">
        <f>IFERROR(INDEX(PP_Grid[#Data],$DD184,58),0)</f>
        <v/>
      </c>
      <c r="BI184">
        <f>IFERROR(INDEX(PP_Grid[#Data],$DD184,59),0)</f>
        <v/>
      </c>
      <c r="BJ184">
        <f>IFERROR(INDEX(PP_Grid[#Data],$DD184,60),0)</f>
        <v/>
      </c>
      <c r="BK184">
        <f>IFERROR(INDEX(PP_Grid[#Data],$DD184,61),0)</f>
        <v/>
      </c>
      <c r="BL184">
        <f>IFERROR(INDEX(PP_Grid[#Data],$DD184,62),0)</f>
        <v/>
      </c>
      <c r="BM184">
        <f>IFERROR(INDEX(PP_Grid[#Data],$DD184,63),0)</f>
        <v/>
      </c>
      <c r="BN184">
        <f>IFERROR(INDEX(PP_Grid[#Data],$DD184,64),0)</f>
        <v/>
      </c>
      <c r="BO184">
        <f>IFERROR(INDEX(PP_Grid[#Data],$DD184,65),0)</f>
        <v/>
      </c>
      <c r="BP184">
        <f>IFERROR(INDEX(PP_Grid[#Data],$DD184,66),0)</f>
        <v/>
      </c>
      <c r="BQ184">
        <f>IFERROR(INDEX(PP_Grid[#Data],$DD184,67),0)</f>
        <v/>
      </c>
      <c r="BR184">
        <f>IFERROR(INDEX(PP_Grid[#Data],$DD184,68),0)</f>
        <v/>
      </c>
      <c r="BS184">
        <f>IFERROR(INDEX(PP_Grid[#Data],$DD184,69),0)</f>
        <v/>
      </c>
      <c r="BT184">
        <f>IFERROR(INDEX(PP_Grid[#Data],$DD184,70),0)</f>
        <v/>
      </c>
      <c r="BU184">
        <f>IFERROR(INDEX(PP_Grid[#Data],$DD184,71),0)</f>
        <v/>
      </c>
      <c r="BV184">
        <f>IFERROR(INDEX(PP_Grid[#Data],$DD184,72),0)</f>
        <v/>
      </c>
      <c r="BW184">
        <f>IFERROR(INDEX(PP_Grid[#Data],$DD184,73),0)</f>
        <v/>
      </c>
      <c r="BX184">
        <f>IFERROR(INDEX(PP_Grid[#Data],$DD184,74),0)</f>
        <v/>
      </c>
      <c r="BY184">
        <f>IFERROR(INDEX(PP_Grid[#Data],$DD184,75),0)</f>
        <v/>
      </c>
      <c r="BZ184">
        <f>IFERROR(INDEX(PP_Grid[#Data],$DD184,76),0)</f>
        <v/>
      </c>
      <c r="CA184">
        <f>IFERROR(INDEX(PP_Grid[#Data],$DD184,77),0)</f>
        <v/>
      </c>
      <c r="CB184">
        <f>IFERROR(INDEX(PP_Grid[#Data],$DD184,78),0)</f>
        <v/>
      </c>
      <c r="CC184">
        <f>IFERROR(INDEX(PP_Grid[#Data],$DD184,79),0)</f>
        <v/>
      </c>
      <c r="CD184">
        <f>IFERROR(INDEX(PP_Grid[#Data],$DD184,80),0)</f>
        <v/>
      </c>
      <c r="CE184">
        <f>IFERROR(INDEX(PP_Grid[#Data],$DD184,81),0)</f>
        <v/>
      </c>
      <c r="CF184">
        <f>IFERROR(INDEX(PP_Grid[#Data],$DD184,82),0)</f>
        <v/>
      </c>
      <c r="CG184">
        <f>IFERROR(INDEX(PP_Grid[#Data],$DD184,83),0)</f>
        <v/>
      </c>
      <c r="CH184">
        <f>IFERROR(INDEX(PP_Grid[#Data],$DD184,84),0)</f>
        <v/>
      </c>
      <c r="CI184">
        <f>IFERROR(INDEX(PP_Grid[#Data],$DD184,85),0)</f>
        <v/>
      </c>
      <c r="CJ184">
        <f>IFERROR(INDEX(PP_Grid[#Data],$DD184,86),0)</f>
        <v/>
      </c>
      <c r="CK184">
        <f>IFERROR(INDEX(PP_Grid[#Data],$DD184,87),0)</f>
        <v/>
      </c>
      <c r="CL184">
        <f>IFERROR(INDEX(PP_Grid[#Data],$DD184,88),0)</f>
        <v/>
      </c>
      <c r="CM184">
        <f>IFERROR(INDEX(PP_Grid[#Data],$DD184,89),0)</f>
        <v/>
      </c>
      <c r="CN184">
        <f>IFERROR(INDEX(PP_Grid[#Data],$DD184,90),0)</f>
        <v/>
      </c>
      <c r="CO184">
        <f>IFERROR(INDEX(PP_Grid[#Data],$DD184,91),0)</f>
        <v/>
      </c>
      <c r="CP184">
        <f>IFERROR(INDEX(PP_Grid[#Data],$DD184,92),0)</f>
        <v/>
      </c>
      <c r="CQ184">
        <f>IFERROR(INDEX(PP_Grid[#Data],$DD184,93),0)</f>
        <v/>
      </c>
      <c r="CR184">
        <f>IFERROR(INDEX(PP_Grid[#Data],$DD184,94),0)</f>
        <v/>
      </c>
      <c r="CS184">
        <f>IFERROR(INDEX(PP_Grid[#Data],$DD184,95),0)</f>
        <v/>
      </c>
      <c r="CT184">
        <f>IFERROR(INDEX(PP_Grid[#Data],$DD184,96),0)</f>
        <v/>
      </c>
      <c r="CU184">
        <f>IFERROR(INDEX(PP_Grid[#Data],$DD184,97),0)</f>
        <v/>
      </c>
      <c r="CV184">
        <f>IFERROR(INDEX(PP_Grid[#Data],$DD184,98),0)</f>
        <v/>
      </c>
      <c r="CW184">
        <f>IFERROR(INDEX(PP_Grid[#Data],$DD184,99),0)</f>
        <v/>
      </c>
      <c r="CX184">
        <f>IFERROR(INDEX(PP_Grid[#Data],$DD184,100),0)</f>
        <v/>
      </c>
      <c r="CY184">
        <f>IFERROR(INDEX(PP_Grid[#Data],$DD184,101),0)</f>
        <v/>
      </c>
      <c r="CZ184">
        <f>IFERROR(INDEX(PP_Grid[#Data],$DD184,102),0)</f>
        <v/>
      </c>
      <c r="DA184">
        <f>IFERROR(INDEX(PP_Grid[#Data],$DD184,103),0)</f>
        <v/>
      </c>
      <c r="DB184">
        <f>IFERROR(INDEX(PP_Grid[#Data],$DD184,104),0)</f>
        <v/>
      </c>
      <c r="DC184">
        <f>IFERROR(INDEX(PP_Grid[#Data],$DD184,105),0)</f>
        <v/>
      </c>
      <c r="DD184" s="12">
        <f>IFERROR(MATCH($B184,PP_Grid[Intermediate],0),99999)</f>
        <v/>
      </c>
    </row>
    <row r="185">
      <c r="B185" t="inlineStr">
        <is>
          <t>使用量(kg)</t>
        </is>
      </c>
      <c r="C185">
        <f>SUMIFS(M_BOM[RM_Qty_Per_Batch],M_BOM[Intermediate],$B184,M_BOM[Part Name],$A171)</f>
        <v/>
      </c>
      <c r="D185">
        <f>$C185*D184</f>
        <v/>
      </c>
      <c r="E185">
        <f>$C185*E184</f>
        <v/>
      </c>
      <c r="F185">
        <f>$C185*F184</f>
        <v/>
      </c>
      <c r="G185">
        <f>$C185*G184</f>
        <v/>
      </c>
      <c r="H185">
        <f>$C185*H184</f>
        <v/>
      </c>
      <c r="I185">
        <f>$C185*I184</f>
        <v/>
      </c>
      <c r="J185">
        <f>$C185*J184</f>
        <v/>
      </c>
      <c r="K185">
        <f>$C185*K184</f>
        <v/>
      </c>
      <c r="L185">
        <f>$C185*L184</f>
        <v/>
      </c>
      <c r="M185">
        <f>$C185*M184</f>
        <v/>
      </c>
      <c r="N185">
        <f>$C185*N184</f>
        <v/>
      </c>
      <c r="O185">
        <f>$C185*O184</f>
        <v/>
      </c>
      <c r="P185">
        <f>$C185*P184</f>
        <v/>
      </c>
      <c r="Q185">
        <f>$C185*Q184</f>
        <v/>
      </c>
      <c r="R185">
        <f>$C185*R184</f>
        <v/>
      </c>
      <c r="S185">
        <f>$C185*S184</f>
        <v/>
      </c>
      <c r="T185">
        <f>$C185*T184</f>
        <v/>
      </c>
      <c r="U185">
        <f>$C185*U184</f>
        <v/>
      </c>
      <c r="V185">
        <f>$C185*V184</f>
        <v/>
      </c>
      <c r="W185">
        <f>$C185*W184</f>
        <v/>
      </c>
      <c r="X185">
        <f>$C185*X184</f>
        <v/>
      </c>
      <c r="Y185">
        <f>$C185*Y184</f>
        <v/>
      </c>
      <c r="Z185">
        <f>$C185*Z184</f>
        <v/>
      </c>
      <c r="AA185">
        <f>$C185*AA184</f>
        <v/>
      </c>
      <c r="AB185">
        <f>$C185*AB184</f>
        <v/>
      </c>
      <c r="AC185">
        <f>$C185*AC184</f>
        <v/>
      </c>
      <c r="AD185">
        <f>$C185*AD184</f>
        <v/>
      </c>
      <c r="AE185">
        <f>$C185*AE184</f>
        <v/>
      </c>
      <c r="AF185">
        <f>$C185*AF184</f>
        <v/>
      </c>
      <c r="AG185">
        <f>$C185*AG184</f>
        <v/>
      </c>
      <c r="AH185">
        <f>$C185*AH184</f>
        <v/>
      </c>
      <c r="AI185">
        <f>$C185*AI184</f>
        <v/>
      </c>
      <c r="AJ185">
        <f>$C185*AJ184</f>
        <v/>
      </c>
      <c r="AK185">
        <f>$C185*AK184</f>
        <v/>
      </c>
      <c r="AL185">
        <f>$C185*AL184</f>
        <v/>
      </c>
      <c r="AM185">
        <f>$C185*AM184</f>
        <v/>
      </c>
      <c r="AN185">
        <f>$C185*AN184</f>
        <v/>
      </c>
      <c r="AO185">
        <f>$C185*AO184</f>
        <v/>
      </c>
      <c r="AP185">
        <f>$C185*AP184</f>
        <v/>
      </c>
      <c r="AQ185">
        <f>$C185*AQ184</f>
        <v/>
      </c>
      <c r="AR185">
        <f>$C185*AR184</f>
        <v/>
      </c>
      <c r="AS185">
        <f>$C185*AS184</f>
        <v/>
      </c>
      <c r="AT185">
        <f>$C185*AT184</f>
        <v/>
      </c>
      <c r="AU185">
        <f>$C185*AU184</f>
        <v/>
      </c>
      <c r="AV185">
        <f>$C185*AV184</f>
        <v/>
      </c>
      <c r="AW185">
        <f>$C185*AW184</f>
        <v/>
      </c>
      <c r="AX185">
        <f>$C185*AX184</f>
        <v/>
      </c>
      <c r="AY185">
        <f>$C185*AY184</f>
        <v/>
      </c>
      <c r="AZ185">
        <f>$C185*AZ184</f>
        <v/>
      </c>
      <c r="BA185">
        <f>$C185*BA184</f>
        <v/>
      </c>
      <c r="BB185">
        <f>$C185*BB184</f>
        <v/>
      </c>
      <c r="BC185">
        <f>$C185*BC184</f>
        <v/>
      </c>
      <c r="BD185">
        <f>$C185*BD184</f>
        <v/>
      </c>
      <c r="BE185">
        <f>$C185*BE184</f>
        <v/>
      </c>
      <c r="BF185">
        <f>$C185*BF184</f>
        <v/>
      </c>
      <c r="BG185">
        <f>$C185*BG184</f>
        <v/>
      </c>
      <c r="BH185">
        <f>$C185*BH184</f>
        <v/>
      </c>
      <c r="BI185">
        <f>$C185*BI184</f>
        <v/>
      </c>
      <c r="BJ185">
        <f>$C185*BJ184</f>
        <v/>
      </c>
      <c r="BK185">
        <f>$C185*BK184</f>
        <v/>
      </c>
      <c r="BL185">
        <f>$C185*BL184</f>
        <v/>
      </c>
      <c r="BM185">
        <f>$C185*BM184</f>
        <v/>
      </c>
      <c r="BN185">
        <f>$C185*BN184</f>
        <v/>
      </c>
      <c r="BO185">
        <f>$C185*BO184</f>
        <v/>
      </c>
      <c r="BP185">
        <f>$C185*BP184</f>
        <v/>
      </c>
      <c r="BQ185">
        <f>$C185*BQ184</f>
        <v/>
      </c>
      <c r="BR185">
        <f>$C185*BR184</f>
        <v/>
      </c>
      <c r="BS185">
        <f>$C185*BS184</f>
        <v/>
      </c>
      <c r="BT185">
        <f>$C185*BT184</f>
        <v/>
      </c>
      <c r="BU185">
        <f>$C185*BU184</f>
        <v/>
      </c>
      <c r="BV185">
        <f>$C185*BV184</f>
        <v/>
      </c>
      <c r="BW185">
        <f>$C185*BW184</f>
        <v/>
      </c>
      <c r="BX185">
        <f>$C185*BX184</f>
        <v/>
      </c>
      <c r="BY185">
        <f>$C185*BY184</f>
        <v/>
      </c>
      <c r="BZ185">
        <f>$C185*BZ184</f>
        <v/>
      </c>
      <c r="CA185">
        <f>$C185*CA184</f>
        <v/>
      </c>
      <c r="CB185">
        <f>$C185*CB184</f>
        <v/>
      </c>
      <c r="CC185">
        <f>$C185*CC184</f>
        <v/>
      </c>
      <c r="CD185">
        <f>$C185*CD184</f>
        <v/>
      </c>
      <c r="CE185">
        <f>$C185*CE184</f>
        <v/>
      </c>
      <c r="CF185">
        <f>$C185*CF184</f>
        <v/>
      </c>
      <c r="CG185">
        <f>$C185*CG184</f>
        <v/>
      </c>
      <c r="CH185">
        <f>$C185*CH184</f>
        <v/>
      </c>
      <c r="CI185">
        <f>$C185*CI184</f>
        <v/>
      </c>
      <c r="CJ185">
        <f>$C185*CJ184</f>
        <v/>
      </c>
      <c r="CK185">
        <f>$C185*CK184</f>
        <v/>
      </c>
      <c r="CL185">
        <f>$C185*CL184</f>
        <v/>
      </c>
      <c r="CM185">
        <f>$C185*CM184</f>
        <v/>
      </c>
      <c r="CN185">
        <f>$C185*CN184</f>
        <v/>
      </c>
      <c r="CO185">
        <f>$C185*CO184</f>
        <v/>
      </c>
      <c r="CP185">
        <f>$C185*CP184</f>
        <v/>
      </c>
      <c r="CQ185">
        <f>$C185*CQ184</f>
        <v/>
      </c>
      <c r="CR185">
        <f>$C185*CR184</f>
        <v/>
      </c>
      <c r="CS185">
        <f>$C185*CS184</f>
        <v/>
      </c>
      <c r="CT185">
        <f>$C185*CT184</f>
        <v/>
      </c>
      <c r="CU185">
        <f>$C185*CU184</f>
        <v/>
      </c>
      <c r="CV185">
        <f>$C185*CV184</f>
        <v/>
      </c>
      <c r="CW185">
        <f>$C185*CW184</f>
        <v/>
      </c>
      <c r="CX185">
        <f>$C185*CX184</f>
        <v/>
      </c>
      <c r="CY185">
        <f>$C185*CY184</f>
        <v/>
      </c>
      <c r="CZ185">
        <f>$C185*CZ184</f>
        <v/>
      </c>
      <c r="DA185">
        <f>$C185*DA184</f>
        <v/>
      </c>
      <c r="DB185">
        <f>$C185*DB184</f>
        <v/>
      </c>
      <c r="DC185">
        <f>$C185*DC184</f>
        <v/>
      </c>
    </row>
    <row r="186">
      <c r="B186" t="inlineStr">
        <is>
          <t>TSP-655</t>
        </is>
      </c>
      <c r="C186" t="inlineStr">
        <is>
          <t>No. of batches</t>
        </is>
      </c>
      <c r="D186">
        <f>IFERROR(INDEX(PP_Grid[#Data],$DD186,2),0)</f>
        <v/>
      </c>
      <c r="E186">
        <f>IFERROR(INDEX(PP_Grid[#Data],$DD186,3),0)</f>
        <v/>
      </c>
      <c r="F186">
        <f>IFERROR(INDEX(PP_Grid[#Data],$DD186,4),0)</f>
        <v/>
      </c>
      <c r="G186">
        <f>IFERROR(INDEX(PP_Grid[#Data],$DD186,5),0)</f>
        <v/>
      </c>
      <c r="H186">
        <f>IFERROR(INDEX(PP_Grid[#Data],$DD186,6),0)</f>
        <v/>
      </c>
      <c r="I186">
        <f>IFERROR(INDEX(PP_Grid[#Data],$DD186,7),0)</f>
        <v/>
      </c>
      <c r="J186">
        <f>IFERROR(INDEX(PP_Grid[#Data],$DD186,8),0)</f>
        <v/>
      </c>
      <c r="K186">
        <f>IFERROR(INDEX(PP_Grid[#Data],$DD186,9),0)</f>
        <v/>
      </c>
      <c r="L186">
        <f>IFERROR(INDEX(PP_Grid[#Data],$DD186,10),0)</f>
        <v/>
      </c>
      <c r="M186">
        <f>IFERROR(INDEX(PP_Grid[#Data],$DD186,11),0)</f>
        <v/>
      </c>
      <c r="N186">
        <f>IFERROR(INDEX(PP_Grid[#Data],$DD186,12),0)</f>
        <v/>
      </c>
      <c r="O186">
        <f>IFERROR(INDEX(PP_Grid[#Data],$DD186,13),0)</f>
        <v/>
      </c>
      <c r="P186">
        <f>IFERROR(INDEX(PP_Grid[#Data],$DD186,14),0)</f>
        <v/>
      </c>
      <c r="Q186">
        <f>IFERROR(INDEX(PP_Grid[#Data],$DD186,15),0)</f>
        <v/>
      </c>
      <c r="R186">
        <f>IFERROR(INDEX(PP_Grid[#Data],$DD186,16),0)</f>
        <v/>
      </c>
      <c r="S186">
        <f>IFERROR(INDEX(PP_Grid[#Data],$DD186,17),0)</f>
        <v/>
      </c>
      <c r="T186">
        <f>IFERROR(INDEX(PP_Grid[#Data],$DD186,18),0)</f>
        <v/>
      </c>
      <c r="U186">
        <f>IFERROR(INDEX(PP_Grid[#Data],$DD186,19),0)</f>
        <v/>
      </c>
      <c r="V186">
        <f>IFERROR(INDEX(PP_Grid[#Data],$DD186,20),0)</f>
        <v/>
      </c>
      <c r="W186">
        <f>IFERROR(INDEX(PP_Grid[#Data],$DD186,21),0)</f>
        <v/>
      </c>
      <c r="X186">
        <f>IFERROR(INDEX(PP_Grid[#Data],$DD186,22),0)</f>
        <v/>
      </c>
      <c r="Y186">
        <f>IFERROR(INDEX(PP_Grid[#Data],$DD186,23),0)</f>
        <v/>
      </c>
      <c r="Z186">
        <f>IFERROR(INDEX(PP_Grid[#Data],$DD186,24),0)</f>
        <v/>
      </c>
      <c r="AA186">
        <f>IFERROR(INDEX(PP_Grid[#Data],$DD186,25),0)</f>
        <v/>
      </c>
      <c r="AB186">
        <f>IFERROR(INDEX(PP_Grid[#Data],$DD186,26),0)</f>
        <v/>
      </c>
      <c r="AC186">
        <f>IFERROR(INDEX(PP_Grid[#Data],$DD186,27),0)</f>
        <v/>
      </c>
      <c r="AD186">
        <f>IFERROR(INDEX(PP_Grid[#Data],$DD186,28),0)</f>
        <v/>
      </c>
      <c r="AE186">
        <f>IFERROR(INDEX(PP_Grid[#Data],$DD186,29),0)</f>
        <v/>
      </c>
      <c r="AF186">
        <f>IFERROR(INDEX(PP_Grid[#Data],$DD186,30),0)</f>
        <v/>
      </c>
      <c r="AG186">
        <f>IFERROR(INDEX(PP_Grid[#Data],$DD186,31),0)</f>
        <v/>
      </c>
      <c r="AH186">
        <f>IFERROR(INDEX(PP_Grid[#Data],$DD186,32),0)</f>
        <v/>
      </c>
      <c r="AI186">
        <f>IFERROR(INDEX(PP_Grid[#Data],$DD186,33),0)</f>
        <v/>
      </c>
      <c r="AJ186">
        <f>IFERROR(INDEX(PP_Grid[#Data],$DD186,34),0)</f>
        <v/>
      </c>
      <c r="AK186">
        <f>IFERROR(INDEX(PP_Grid[#Data],$DD186,35),0)</f>
        <v/>
      </c>
      <c r="AL186">
        <f>IFERROR(INDEX(PP_Grid[#Data],$DD186,36),0)</f>
        <v/>
      </c>
      <c r="AM186">
        <f>IFERROR(INDEX(PP_Grid[#Data],$DD186,37),0)</f>
        <v/>
      </c>
      <c r="AN186">
        <f>IFERROR(INDEX(PP_Grid[#Data],$DD186,38),0)</f>
        <v/>
      </c>
      <c r="AO186">
        <f>IFERROR(INDEX(PP_Grid[#Data],$DD186,39),0)</f>
        <v/>
      </c>
      <c r="AP186">
        <f>IFERROR(INDEX(PP_Grid[#Data],$DD186,40),0)</f>
        <v/>
      </c>
      <c r="AQ186">
        <f>IFERROR(INDEX(PP_Grid[#Data],$DD186,41),0)</f>
        <v/>
      </c>
      <c r="AR186">
        <f>IFERROR(INDEX(PP_Grid[#Data],$DD186,42),0)</f>
        <v/>
      </c>
      <c r="AS186">
        <f>IFERROR(INDEX(PP_Grid[#Data],$DD186,43),0)</f>
        <v/>
      </c>
      <c r="AT186">
        <f>IFERROR(INDEX(PP_Grid[#Data],$DD186,44),0)</f>
        <v/>
      </c>
      <c r="AU186">
        <f>IFERROR(INDEX(PP_Grid[#Data],$DD186,45),0)</f>
        <v/>
      </c>
      <c r="AV186">
        <f>IFERROR(INDEX(PP_Grid[#Data],$DD186,46),0)</f>
        <v/>
      </c>
      <c r="AW186">
        <f>IFERROR(INDEX(PP_Grid[#Data],$DD186,47),0)</f>
        <v/>
      </c>
      <c r="AX186">
        <f>IFERROR(INDEX(PP_Grid[#Data],$DD186,48),0)</f>
        <v/>
      </c>
      <c r="AY186">
        <f>IFERROR(INDEX(PP_Grid[#Data],$DD186,49),0)</f>
        <v/>
      </c>
      <c r="AZ186">
        <f>IFERROR(INDEX(PP_Grid[#Data],$DD186,50),0)</f>
        <v/>
      </c>
      <c r="BA186">
        <f>IFERROR(INDEX(PP_Grid[#Data],$DD186,51),0)</f>
        <v/>
      </c>
      <c r="BB186">
        <f>IFERROR(INDEX(PP_Grid[#Data],$DD186,52),0)</f>
        <v/>
      </c>
      <c r="BC186">
        <f>IFERROR(INDEX(PP_Grid[#Data],$DD186,53),0)</f>
        <v/>
      </c>
      <c r="BD186">
        <f>IFERROR(INDEX(PP_Grid[#Data],$DD186,54),0)</f>
        <v/>
      </c>
      <c r="BE186">
        <f>IFERROR(INDEX(PP_Grid[#Data],$DD186,55),0)</f>
        <v/>
      </c>
      <c r="BF186">
        <f>IFERROR(INDEX(PP_Grid[#Data],$DD186,56),0)</f>
        <v/>
      </c>
      <c r="BG186">
        <f>IFERROR(INDEX(PP_Grid[#Data],$DD186,57),0)</f>
        <v/>
      </c>
      <c r="BH186">
        <f>IFERROR(INDEX(PP_Grid[#Data],$DD186,58),0)</f>
        <v/>
      </c>
      <c r="BI186">
        <f>IFERROR(INDEX(PP_Grid[#Data],$DD186,59),0)</f>
        <v/>
      </c>
      <c r="BJ186">
        <f>IFERROR(INDEX(PP_Grid[#Data],$DD186,60),0)</f>
        <v/>
      </c>
      <c r="BK186">
        <f>IFERROR(INDEX(PP_Grid[#Data],$DD186,61),0)</f>
        <v/>
      </c>
      <c r="BL186">
        <f>IFERROR(INDEX(PP_Grid[#Data],$DD186,62),0)</f>
        <v/>
      </c>
      <c r="BM186">
        <f>IFERROR(INDEX(PP_Grid[#Data],$DD186,63),0)</f>
        <v/>
      </c>
      <c r="BN186">
        <f>IFERROR(INDEX(PP_Grid[#Data],$DD186,64),0)</f>
        <v/>
      </c>
      <c r="BO186">
        <f>IFERROR(INDEX(PP_Grid[#Data],$DD186,65),0)</f>
        <v/>
      </c>
      <c r="BP186">
        <f>IFERROR(INDEX(PP_Grid[#Data],$DD186,66),0)</f>
        <v/>
      </c>
      <c r="BQ186">
        <f>IFERROR(INDEX(PP_Grid[#Data],$DD186,67),0)</f>
        <v/>
      </c>
      <c r="BR186">
        <f>IFERROR(INDEX(PP_Grid[#Data],$DD186,68),0)</f>
        <v/>
      </c>
      <c r="BS186">
        <f>IFERROR(INDEX(PP_Grid[#Data],$DD186,69),0)</f>
        <v/>
      </c>
      <c r="BT186">
        <f>IFERROR(INDEX(PP_Grid[#Data],$DD186,70),0)</f>
        <v/>
      </c>
      <c r="BU186">
        <f>IFERROR(INDEX(PP_Grid[#Data],$DD186,71),0)</f>
        <v/>
      </c>
      <c r="BV186">
        <f>IFERROR(INDEX(PP_Grid[#Data],$DD186,72),0)</f>
        <v/>
      </c>
      <c r="BW186">
        <f>IFERROR(INDEX(PP_Grid[#Data],$DD186,73),0)</f>
        <v/>
      </c>
      <c r="BX186">
        <f>IFERROR(INDEX(PP_Grid[#Data],$DD186,74),0)</f>
        <v/>
      </c>
      <c r="BY186">
        <f>IFERROR(INDEX(PP_Grid[#Data],$DD186,75),0)</f>
        <v/>
      </c>
      <c r="BZ186">
        <f>IFERROR(INDEX(PP_Grid[#Data],$DD186,76),0)</f>
        <v/>
      </c>
      <c r="CA186">
        <f>IFERROR(INDEX(PP_Grid[#Data],$DD186,77),0)</f>
        <v/>
      </c>
      <c r="CB186">
        <f>IFERROR(INDEX(PP_Grid[#Data],$DD186,78),0)</f>
        <v/>
      </c>
      <c r="CC186">
        <f>IFERROR(INDEX(PP_Grid[#Data],$DD186,79),0)</f>
        <v/>
      </c>
      <c r="CD186">
        <f>IFERROR(INDEX(PP_Grid[#Data],$DD186,80),0)</f>
        <v/>
      </c>
      <c r="CE186">
        <f>IFERROR(INDEX(PP_Grid[#Data],$DD186,81),0)</f>
        <v/>
      </c>
      <c r="CF186">
        <f>IFERROR(INDEX(PP_Grid[#Data],$DD186,82),0)</f>
        <v/>
      </c>
      <c r="CG186">
        <f>IFERROR(INDEX(PP_Grid[#Data],$DD186,83),0)</f>
        <v/>
      </c>
      <c r="CH186">
        <f>IFERROR(INDEX(PP_Grid[#Data],$DD186,84),0)</f>
        <v/>
      </c>
      <c r="CI186">
        <f>IFERROR(INDEX(PP_Grid[#Data],$DD186,85),0)</f>
        <v/>
      </c>
      <c r="CJ186">
        <f>IFERROR(INDEX(PP_Grid[#Data],$DD186,86),0)</f>
        <v/>
      </c>
      <c r="CK186">
        <f>IFERROR(INDEX(PP_Grid[#Data],$DD186,87),0)</f>
        <v/>
      </c>
      <c r="CL186">
        <f>IFERROR(INDEX(PP_Grid[#Data],$DD186,88),0)</f>
        <v/>
      </c>
      <c r="CM186">
        <f>IFERROR(INDEX(PP_Grid[#Data],$DD186,89),0)</f>
        <v/>
      </c>
      <c r="CN186">
        <f>IFERROR(INDEX(PP_Grid[#Data],$DD186,90),0)</f>
        <v/>
      </c>
      <c r="CO186">
        <f>IFERROR(INDEX(PP_Grid[#Data],$DD186,91),0)</f>
        <v/>
      </c>
      <c r="CP186">
        <f>IFERROR(INDEX(PP_Grid[#Data],$DD186,92),0)</f>
        <v/>
      </c>
      <c r="CQ186">
        <f>IFERROR(INDEX(PP_Grid[#Data],$DD186,93),0)</f>
        <v/>
      </c>
      <c r="CR186">
        <f>IFERROR(INDEX(PP_Grid[#Data],$DD186,94),0)</f>
        <v/>
      </c>
      <c r="CS186">
        <f>IFERROR(INDEX(PP_Grid[#Data],$DD186,95),0)</f>
        <v/>
      </c>
      <c r="CT186">
        <f>IFERROR(INDEX(PP_Grid[#Data],$DD186,96),0)</f>
        <v/>
      </c>
      <c r="CU186">
        <f>IFERROR(INDEX(PP_Grid[#Data],$DD186,97),0)</f>
        <v/>
      </c>
      <c r="CV186">
        <f>IFERROR(INDEX(PP_Grid[#Data],$DD186,98),0)</f>
        <v/>
      </c>
      <c r="CW186">
        <f>IFERROR(INDEX(PP_Grid[#Data],$DD186,99),0)</f>
        <v/>
      </c>
      <c r="CX186">
        <f>IFERROR(INDEX(PP_Grid[#Data],$DD186,100),0)</f>
        <v/>
      </c>
      <c r="CY186">
        <f>IFERROR(INDEX(PP_Grid[#Data],$DD186,101),0)</f>
        <v/>
      </c>
      <c r="CZ186">
        <f>IFERROR(INDEX(PP_Grid[#Data],$DD186,102),0)</f>
        <v/>
      </c>
      <c r="DA186">
        <f>IFERROR(INDEX(PP_Grid[#Data],$DD186,103),0)</f>
        <v/>
      </c>
      <c r="DB186">
        <f>IFERROR(INDEX(PP_Grid[#Data],$DD186,104),0)</f>
        <v/>
      </c>
      <c r="DC186">
        <f>IFERROR(INDEX(PP_Grid[#Data],$DD186,105),0)</f>
        <v/>
      </c>
      <c r="DD186" s="12">
        <f>IFERROR(MATCH($B186,PP_Grid[Intermediate],0),99999)</f>
        <v/>
      </c>
    </row>
    <row r="187">
      <c r="B187" t="inlineStr">
        <is>
          <t>使用量(kg)</t>
        </is>
      </c>
      <c r="C187">
        <f>SUMIFS(M_BOM[RM_Qty_Per_Batch],M_BOM[Intermediate],$B186,M_BOM[Part Name],$A171)</f>
        <v/>
      </c>
      <c r="D187">
        <f>$C187*D186</f>
        <v/>
      </c>
      <c r="E187">
        <f>$C187*E186</f>
        <v/>
      </c>
      <c r="F187">
        <f>$C187*F186</f>
        <v/>
      </c>
      <c r="G187">
        <f>$C187*G186</f>
        <v/>
      </c>
      <c r="H187">
        <f>$C187*H186</f>
        <v/>
      </c>
      <c r="I187">
        <f>$C187*I186</f>
        <v/>
      </c>
      <c r="J187">
        <f>$C187*J186</f>
        <v/>
      </c>
      <c r="K187">
        <f>$C187*K186</f>
        <v/>
      </c>
      <c r="L187">
        <f>$C187*L186</f>
        <v/>
      </c>
      <c r="M187">
        <f>$C187*M186</f>
        <v/>
      </c>
      <c r="N187">
        <f>$C187*N186</f>
        <v/>
      </c>
      <c r="O187">
        <f>$C187*O186</f>
        <v/>
      </c>
      <c r="P187">
        <f>$C187*P186</f>
        <v/>
      </c>
      <c r="Q187">
        <f>$C187*Q186</f>
        <v/>
      </c>
      <c r="R187">
        <f>$C187*R186</f>
        <v/>
      </c>
      <c r="S187">
        <f>$C187*S186</f>
        <v/>
      </c>
      <c r="T187">
        <f>$C187*T186</f>
        <v/>
      </c>
      <c r="U187">
        <f>$C187*U186</f>
        <v/>
      </c>
      <c r="V187">
        <f>$C187*V186</f>
        <v/>
      </c>
      <c r="W187">
        <f>$C187*W186</f>
        <v/>
      </c>
      <c r="X187">
        <f>$C187*X186</f>
        <v/>
      </c>
      <c r="Y187">
        <f>$C187*Y186</f>
        <v/>
      </c>
      <c r="Z187">
        <f>$C187*Z186</f>
        <v/>
      </c>
      <c r="AA187">
        <f>$C187*AA186</f>
        <v/>
      </c>
      <c r="AB187">
        <f>$C187*AB186</f>
        <v/>
      </c>
      <c r="AC187">
        <f>$C187*AC186</f>
        <v/>
      </c>
      <c r="AD187">
        <f>$C187*AD186</f>
        <v/>
      </c>
      <c r="AE187">
        <f>$C187*AE186</f>
        <v/>
      </c>
      <c r="AF187">
        <f>$C187*AF186</f>
        <v/>
      </c>
      <c r="AG187">
        <f>$C187*AG186</f>
        <v/>
      </c>
      <c r="AH187">
        <f>$C187*AH186</f>
        <v/>
      </c>
      <c r="AI187">
        <f>$C187*AI186</f>
        <v/>
      </c>
      <c r="AJ187">
        <f>$C187*AJ186</f>
        <v/>
      </c>
      <c r="AK187">
        <f>$C187*AK186</f>
        <v/>
      </c>
      <c r="AL187">
        <f>$C187*AL186</f>
        <v/>
      </c>
      <c r="AM187">
        <f>$C187*AM186</f>
        <v/>
      </c>
      <c r="AN187">
        <f>$C187*AN186</f>
        <v/>
      </c>
      <c r="AO187">
        <f>$C187*AO186</f>
        <v/>
      </c>
      <c r="AP187">
        <f>$C187*AP186</f>
        <v/>
      </c>
      <c r="AQ187">
        <f>$C187*AQ186</f>
        <v/>
      </c>
      <c r="AR187">
        <f>$C187*AR186</f>
        <v/>
      </c>
      <c r="AS187">
        <f>$C187*AS186</f>
        <v/>
      </c>
      <c r="AT187">
        <f>$C187*AT186</f>
        <v/>
      </c>
      <c r="AU187">
        <f>$C187*AU186</f>
        <v/>
      </c>
      <c r="AV187">
        <f>$C187*AV186</f>
        <v/>
      </c>
      <c r="AW187">
        <f>$C187*AW186</f>
        <v/>
      </c>
      <c r="AX187">
        <f>$C187*AX186</f>
        <v/>
      </c>
      <c r="AY187">
        <f>$C187*AY186</f>
        <v/>
      </c>
      <c r="AZ187">
        <f>$C187*AZ186</f>
        <v/>
      </c>
      <c r="BA187">
        <f>$C187*BA186</f>
        <v/>
      </c>
      <c r="BB187">
        <f>$C187*BB186</f>
        <v/>
      </c>
      <c r="BC187">
        <f>$C187*BC186</f>
        <v/>
      </c>
      <c r="BD187">
        <f>$C187*BD186</f>
        <v/>
      </c>
      <c r="BE187">
        <f>$C187*BE186</f>
        <v/>
      </c>
      <c r="BF187">
        <f>$C187*BF186</f>
        <v/>
      </c>
      <c r="BG187">
        <f>$C187*BG186</f>
        <v/>
      </c>
      <c r="BH187">
        <f>$C187*BH186</f>
        <v/>
      </c>
      <c r="BI187">
        <f>$C187*BI186</f>
        <v/>
      </c>
      <c r="BJ187">
        <f>$C187*BJ186</f>
        <v/>
      </c>
      <c r="BK187">
        <f>$C187*BK186</f>
        <v/>
      </c>
      <c r="BL187">
        <f>$C187*BL186</f>
        <v/>
      </c>
      <c r="BM187">
        <f>$C187*BM186</f>
        <v/>
      </c>
      <c r="BN187">
        <f>$C187*BN186</f>
        <v/>
      </c>
      <c r="BO187">
        <f>$C187*BO186</f>
        <v/>
      </c>
      <c r="BP187">
        <f>$C187*BP186</f>
        <v/>
      </c>
      <c r="BQ187">
        <f>$C187*BQ186</f>
        <v/>
      </c>
      <c r="BR187">
        <f>$C187*BR186</f>
        <v/>
      </c>
      <c r="BS187">
        <f>$C187*BS186</f>
        <v/>
      </c>
      <c r="BT187">
        <f>$C187*BT186</f>
        <v/>
      </c>
      <c r="BU187">
        <f>$C187*BU186</f>
        <v/>
      </c>
      <c r="BV187">
        <f>$C187*BV186</f>
        <v/>
      </c>
      <c r="BW187">
        <f>$C187*BW186</f>
        <v/>
      </c>
      <c r="BX187">
        <f>$C187*BX186</f>
        <v/>
      </c>
      <c r="BY187">
        <f>$C187*BY186</f>
        <v/>
      </c>
      <c r="BZ187">
        <f>$C187*BZ186</f>
        <v/>
      </c>
      <c r="CA187">
        <f>$C187*CA186</f>
        <v/>
      </c>
      <c r="CB187">
        <f>$C187*CB186</f>
        <v/>
      </c>
      <c r="CC187">
        <f>$C187*CC186</f>
        <v/>
      </c>
      <c r="CD187">
        <f>$C187*CD186</f>
        <v/>
      </c>
      <c r="CE187">
        <f>$C187*CE186</f>
        <v/>
      </c>
      <c r="CF187">
        <f>$C187*CF186</f>
        <v/>
      </c>
      <c r="CG187">
        <f>$C187*CG186</f>
        <v/>
      </c>
      <c r="CH187">
        <f>$C187*CH186</f>
        <v/>
      </c>
      <c r="CI187">
        <f>$C187*CI186</f>
        <v/>
      </c>
      <c r="CJ187">
        <f>$C187*CJ186</f>
        <v/>
      </c>
      <c r="CK187">
        <f>$C187*CK186</f>
        <v/>
      </c>
      <c r="CL187">
        <f>$C187*CL186</f>
        <v/>
      </c>
      <c r="CM187">
        <f>$C187*CM186</f>
        <v/>
      </c>
      <c r="CN187">
        <f>$C187*CN186</f>
        <v/>
      </c>
      <c r="CO187">
        <f>$C187*CO186</f>
        <v/>
      </c>
      <c r="CP187">
        <f>$C187*CP186</f>
        <v/>
      </c>
      <c r="CQ187">
        <f>$C187*CQ186</f>
        <v/>
      </c>
      <c r="CR187">
        <f>$C187*CR186</f>
        <v/>
      </c>
      <c r="CS187">
        <f>$C187*CS186</f>
        <v/>
      </c>
      <c r="CT187">
        <f>$C187*CT186</f>
        <v/>
      </c>
      <c r="CU187">
        <f>$C187*CU186</f>
        <v/>
      </c>
      <c r="CV187">
        <f>$C187*CV186</f>
        <v/>
      </c>
      <c r="CW187">
        <f>$C187*CW186</f>
        <v/>
      </c>
      <c r="CX187">
        <f>$C187*CX186</f>
        <v/>
      </c>
      <c r="CY187">
        <f>$C187*CY186</f>
        <v/>
      </c>
      <c r="CZ187">
        <f>$C187*CZ186</f>
        <v/>
      </c>
      <c r="DA187">
        <f>$C187*DA186</f>
        <v/>
      </c>
      <c r="DB187">
        <f>$C187*DB186</f>
        <v/>
      </c>
      <c r="DC187">
        <f>$C187*DC186</f>
        <v/>
      </c>
    </row>
    <row r="188">
      <c r="B188" t="inlineStr">
        <is>
          <t>TSP-656</t>
        </is>
      </c>
      <c r="C188" t="inlineStr">
        <is>
          <t>No. of batches</t>
        </is>
      </c>
      <c r="D188">
        <f>IFERROR(INDEX(PP_Grid[#Data],$DD188,2),0)</f>
        <v/>
      </c>
      <c r="E188">
        <f>IFERROR(INDEX(PP_Grid[#Data],$DD188,3),0)</f>
        <v/>
      </c>
      <c r="F188">
        <f>IFERROR(INDEX(PP_Grid[#Data],$DD188,4),0)</f>
        <v/>
      </c>
      <c r="G188">
        <f>IFERROR(INDEX(PP_Grid[#Data],$DD188,5),0)</f>
        <v/>
      </c>
      <c r="H188">
        <f>IFERROR(INDEX(PP_Grid[#Data],$DD188,6),0)</f>
        <v/>
      </c>
      <c r="I188">
        <f>IFERROR(INDEX(PP_Grid[#Data],$DD188,7),0)</f>
        <v/>
      </c>
      <c r="J188">
        <f>IFERROR(INDEX(PP_Grid[#Data],$DD188,8),0)</f>
        <v/>
      </c>
      <c r="K188">
        <f>IFERROR(INDEX(PP_Grid[#Data],$DD188,9),0)</f>
        <v/>
      </c>
      <c r="L188">
        <f>IFERROR(INDEX(PP_Grid[#Data],$DD188,10),0)</f>
        <v/>
      </c>
      <c r="M188">
        <f>IFERROR(INDEX(PP_Grid[#Data],$DD188,11),0)</f>
        <v/>
      </c>
      <c r="N188">
        <f>IFERROR(INDEX(PP_Grid[#Data],$DD188,12),0)</f>
        <v/>
      </c>
      <c r="O188">
        <f>IFERROR(INDEX(PP_Grid[#Data],$DD188,13),0)</f>
        <v/>
      </c>
      <c r="P188">
        <f>IFERROR(INDEX(PP_Grid[#Data],$DD188,14),0)</f>
        <v/>
      </c>
      <c r="Q188">
        <f>IFERROR(INDEX(PP_Grid[#Data],$DD188,15),0)</f>
        <v/>
      </c>
      <c r="R188">
        <f>IFERROR(INDEX(PP_Grid[#Data],$DD188,16),0)</f>
        <v/>
      </c>
      <c r="S188">
        <f>IFERROR(INDEX(PP_Grid[#Data],$DD188,17),0)</f>
        <v/>
      </c>
      <c r="T188">
        <f>IFERROR(INDEX(PP_Grid[#Data],$DD188,18),0)</f>
        <v/>
      </c>
      <c r="U188">
        <f>IFERROR(INDEX(PP_Grid[#Data],$DD188,19),0)</f>
        <v/>
      </c>
      <c r="V188">
        <f>IFERROR(INDEX(PP_Grid[#Data],$DD188,20),0)</f>
        <v/>
      </c>
      <c r="W188">
        <f>IFERROR(INDEX(PP_Grid[#Data],$DD188,21),0)</f>
        <v/>
      </c>
      <c r="X188">
        <f>IFERROR(INDEX(PP_Grid[#Data],$DD188,22),0)</f>
        <v/>
      </c>
      <c r="Y188">
        <f>IFERROR(INDEX(PP_Grid[#Data],$DD188,23),0)</f>
        <v/>
      </c>
      <c r="Z188">
        <f>IFERROR(INDEX(PP_Grid[#Data],$DD188,24),0)</f>
        <v/>
      </c>
      <c r="AA188">
        <f>IFERROR(INDEX(PP_Grid[#Data],$DD188,25),0)</f>
        <v/>
      </c>
      <c r="AB188">
        <f>IFERROR(INDEX(PP_Grid[#Data],$DD188,26),0)</f>
        <v/>
      </c>
      <c r="AC188">
        <f>IFERROR(INDEX(PP_Grid[#Data],$DD188,27),0)</f>
        <v/>
      </c>
      <c r="AD188">
        <f>IFERROR(INDEX(PP_Grid[#Data],$DD188,28),0)</f>
        <v/>
      </c>
      <c r="AE188">
        <f>IFERROR(INDEX(PP_Grid[#Data],$DD188,29),0)</f>
        <v/>
      </c>
      <c r="AF188">
        <f>IFERROR(INDEX(PP_Grid[#Data],$DD188,30),0)</f>
        <v/>
      </c>
      <c r="AG188">
        <f>IFERROR(INDEX(PP_Grid[#Data],$DD188,31),0)</f>
        <v/>
      </c>
      <c r="AH188">
        <f>IFERROR(INDEX(PP_Grid[#Data],$DD188,32),0)</f>
        <v/>
      </c>
      <c r="AI188">
        <f>IFERROR(INDEX(PP_Grid[#Data],$DD188,33),0)</f>
        <v/>
      </c>
      <c r="AJ188">
        <f>IFERROR(INDEX(PP_Grid[#Data],$DD188,34),0)</f>
        <v/>
      </c>
      <c r="AK188">
        <f>IFERROR(INDEX(PP_Grid[#Data],$DD188,35),0)</f>
        <v/>
      </c>
      <c r="AL188">
        <f>IFERROR(INDEX(PP_Grid[#Data],$DD188,36),0)</f>
        <v/>
      </c>
      <c r="AM188">
        <f>IFERROR(INDEX(PP_Grid[#Data],$DD188,37),0)</f>
        <v/>
      </c>
      <c r="AN188">
        <f>IFERROR(INDEX(PP_Grid[#Data],$DD188,38),0)</f>
        <v/>
      </c>
      <c r="AO188">
        <f>IFERROR(INDEX(PP_Grid[#Data],$DD188,39),0)</f>
        <v/>
      </c>
      <c r="AP188">
        <f>IFERROR(INDEX(PP_Grid[#Data],$DD188,40),0)</f>
        <v/>
      </c>
      <c r="AQ188">
        <f>IFERROR(INDEX(PP_Grid[#Data],$DD188,41),0)</f>
        <v/>
      </c>
      <c r="AR188">
        <f>IFERROR(INDEX(PP_Grid[#Data],$DD188,42),0)</f>
        <v/>
      </c>
      <c r="AS188">
        <f>IFERROR(INDEX(PP_Grid[#Data],$DD188,43),0)</f>
        <v/>
      </c>
      <c r="AT188">
        <f>IFERROR(INDEX(PP_Grid[#Data],$DD188,44),0)</f>
        <v/>
      </c>
      <c r="AU188">
        <f>IFERROR(INDEX(PP_Grid[#Data],$DD188,45),0)</f>
        <v/>
      </c>
      <c r="AV188">
        <f>IFERROR(INDEX(PP_Grid[#Data],$DD188,46),0)</f>
        <v/>
      </c>
      <c r="AW188">
        <f>IFERROR(INDEX(PP_Grid[#Data],$DD188,47),0)</f>
        <v/>
      </c>
      <c r="AX188">
        <f>IFERROR(INDEX(PP_Grid[#Data],$DD188,48),0)</f>
        <v/>
      </c>
      <c r="AY188">
        <f>IFERROR(INDEX(PP_Grid[#Data],$DD188,49),0)</f>
        <v/>
      </c>
      <c r="AZ188">
        <f>IFERROR(INDEX(PP_Grid[#Data],$DD188,50),0)</f>
        <v/>
      </c>
      <c r="BA188">
        <f>IFERROR(INDEX(PP_Grid[#Data],$DD188,51),0)</f>
        <v/>
      </c>
      <c r="BB188">
        <f>IFERROR(INDEX(PP_Grid[#Data],$DD188,52),0)</f>
        <v/>
      </c>
      <c r="BC188">
        <f>IFERROR(INDEX(PP_Grid[#Data],$DD188,53),0)</f>
        <v/>
      </c>
      <c r="BD188">
        <f>IFERROR(INDEX(PP_Grid[#Data],$DD188,54),0)</f>
        <v/>
      </c>
      <c r="BE188">
        <f>IFERROR(INDEX(PP_Grid[#Data],$DD188,55),0)</f>
        <v/>
      </c>
      <c r="BF188">
        <f>IFERROR(INDEX(PP_Grid[#Data],$DD188,56),0)</f>
        <v/>
      </c>
      <c r="BG188">
        <f>IFERROR(INDEX(PP_Grid[#Data],$DD188,57),0)</f>
        <v/>
      </c>
      <c r="BH188">
        <f>IFERROR(INDEX(PP_Grid[#Data],$DD188,58),0)</f>
        <v/>
      </c>
      <c r="BI188">
        <f>IFERROR(INDEX(PP_Grid[#Data],$DD188,59),0)</f>
        <v/>
      </c>
      <c r="BJ188">
        <f>IFERROR(INDEX(PP_Grid[#Data],$DD188,60),0)</f>
        <v/>
      </c>
      <c r="BK188">
        <f>IFERROR(INDEX(PP_Grid[#Data],$DD188,61),0)</f>
        <v/>
      </c>
      <c r="BL188">
        <f>IFERROR(INDEX(PP_Grid[#Data],$DD188,62),0)</f>
        <v/>
      </c>
      <c r="BM188">
        <f>IFERROR(INDEX(PP_Grid[#Data],$DD188,63),0)</f>
        <v/>
      </c>
      <c r="BN188">
        <f>IFERROR(INDEX(PP_Grid[#Data],$DD188,64),0)</f>
        <v/>
      </c>
      <c r="BO188">
        <f>IFERROR(INDEX(PP_Grid[#Data],$DD188,65),0)</f>
        <v/>
      </c>
      <c r="BP188">
        <f>IFERROR(INDEX(PP_Grid[#Data],$DD188,66),0)</f>
        <v/>
      </c>
      <c r="BQ188">
        <f>IFERROR(INDEX(PP_Grid[#Data],$DD188,67),0)</f>
        <v/>
      </c>
      <c r="BR188">
        <f>IFERROR(INDEX(PP_Grid[#Data],$DD188,68),0)</f>
        <v/>
      </c>
      <c r="BS188">
        <f>IFERROR(INDEX(PP_Grid[#Data],$DD188,69),0)</f>
        <v/>
      </c>
      <c r="BT188">
        <f>IFERROR(INDEX(PP_Grid[#Data],$DD188,70),0)</f>
        <v/>
      </c>
      <c r="BU188">
        <f>IFERROR(INDEX(PP_Grid[#Data],$DD188,71),0)</f>
        <v/>
      </c>
      <c r="BV188">
        <f>IFERROR(INDEX(PP_Grid[#Data],$DD188,72),0)</f>
        <v/>
      </c>
      <c r="BW188">
        <f>IFERROR(INDEX(PP_Grid[#Data],$DD188,73),0)</f>
        <v/>
      </c>
      <c r="BX188">
        <f>IFERROR(INDEX(PP_Grid[#Data],$DD188,74),0)</f>
        <v/>
      </c>
      <c r="BY188">
        <f>IFERROR(INDEX(PP_Grid[#Data],$DD188,75),0)</f>
        <v/>
      </c>
      <c r="BZ188">
        <f>IFERROR(INDEX(PP_Grid[#Data],$DD188,76),0)</f>
        <v/>
      </c>
      <c r="CA188">
        <f>IFERROR(INDEX(PP_Grid[#Data],$DD188,77),0)</f>
        <v/>
      </c>
      <c r="CB188">
        <f>IFERROR(INDEX(PP_Grid[#Data],$DD188,78),0)</f>
        <v/>
      </c>
      <c r="CC188">
        <f>IFERROR(INDEX(PP_Grid[#Data],$DD188,79),0)</f>
        <v/>
      </c>
      <c r="CD188">
        <f>IFERROR(INDEX(PP_Grid[#Data],$DD188,80),0)</f>
        <v/>
      </c>
      <c r="CE188">
        <f>IFERROR(INDEX(PP_Grid[#Data],$DD188,81),0)</f>
        <v/>
      </c>
      <c r="CF188">
        <f>IFERROR(INDEX(PP_Grid[#Data],$DD188,82),0)</f>
        <v/>
      </c>
      <c r="CG188">
        <f>IFERROR(INDEX(PP_Grid[#Data],$DD188,83),0)</f>
        <v/>
      </c>
      <c r="CH188">
        <f>IFERROR(INDEX(PP_Grid[#Data],$DD188,84),0)</f>
        <v/>
      </c>
      <c r="CI188">
        <f>IFERROR(INDEX(PP_Grid[#Data],$DD188,85),0)</f>
        <v/>
      </c>
      <c r="CJ188">
        <f>IFERROR(INDEX(PP_Grid[#Data],$DD188,86),0)</f>
        <v/>
      </c>
      <c r="CK188">
        <f>IFERROR(INDEX(PP_Grid[#Data],$DD188,87),0)</f>
        <v/>
      </c>
      <c r="CL188">
        <f>IFERROR(INDEX(PP_Grid[#Data],$DD188,88),0)</f>
        <v/>
      </c>
      <c r="CM188">
        <f>IFERROR(INDEX(PP_Grid[#Data],$DD188,89),0)</f>
        <v/>
      </c>
      <c r="CN188">
        <f>IFERROR(INDEX(PP_Grid[#Data],$DD188,90),0)</f>
        <v/>
      </c>
      <c r="CO188">
        <f>IFERROR(INDEX(PP_Grid[#Data],$DD188,91),0)</f>
        <v/>
      </c>
      <c r="CP188">
        <f>IFERROR(INDEX(PP_Grid[#Data],$DD188,92),0)</f>
        <v/>
      </c>
      <c r="CQ188">
        <f>IFERROR(INDEX(PP_Grid[#Data],$DD188,93),0)</f>
        <v/>
      </c>
      <c r="CR188">
        <f>IFERROR(INDEX(PP_Grid[#Data],$DD188,94),0)</f>
        <v/>
      </c>
      <c r="CS188">
        <f>IFERROR(INDEX(PP_Grid[#Data],$DD188,95),0)</f>
        <v/>
      </c>
      <c r="CT188">
        <f>IFERROR(INDEX(PP_Grid[#Data],$DD188,96),0)</f>
        <v/>
      </c>
      <c r="CU188">
        <f>IFERROR(INDEX(PP_Grid[#Data],$DD188,97),0)</f>
        <v/>
      </c>
      <c r="CV188">
        <f>IFERROR(INDEX(PP_Grid[#Data],$DD188,98),0)</f>
        <v/>
      </c>
      <c r="CW188">
        <f>IFERROR(INDEX(PP_Grid[#Data],$DD188,99),0)</f>
        <v/>
      </c>
      <c r="CX188">
        <f>IFERROR(INDEX(PP_Grid[#Data],$DD188,100),0)</f>
        <v/>
      </c>
      <c r="CY188">
        <f>IFERROR(INDEX(PP_Grid[#Data],$DD188,101),0)</f>
        <v/>
      </c>
      <c r="CZ188">
        <f>IFERROR(INDEX(PP_Grid[#Data],$DD188,102),0)</f>
        <v/>
      </c>
      <c r="DA188">
        <f>IFERROR(INDEX(PP_Grid[#Data],$DD188,103),0)</f>
        <v/>
      </c>
      <c r="DB188">
        <f>IFERROR(INDEX(PP_Grid[#Data],$DD188,104),0)</f>
        <v/>
      </c>
      <c r="DC188">
        <f>IFERROR(INDEX(PP_Grid[#Data],$DD188,105),0)</f>
        <v/>
      </c>
      <c r="DD188" s="12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SUMIFS(M_BOM[RM_Qty_Per_Batch],M_BOM[Intermediate],$B188,M_BOM[Part Name],$A171)</f>
        <v/>
      </c>
      <c r="D189">
        <f>$C189*D188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</row>
    <row r="190">
      <c r="B190" t="inlineStr">
        <is>
          <t>TSP-903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Name],$A171)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TSP-959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Name],$A171)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VSP-602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Name],$A171)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VSP-822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Name],$A171)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VSP-910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Name],$A171)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VSP-990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Name],$A171)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s="5" t="inlineStr">
        <is>
          <t>合計使用量(kg)/週</t>
        </is>
      </c>
      <c r="D202">
        <f>'Grid_Requirement'!B17</f>
        <v/>
      </c>
      <c r="E202">
        <f>'Grid_Requirement'!C17</f>
        <v/>
      </c>
      <c r="F202">
        <f>'Grid_Requirement'!D17</f>
        <v/>
      </c>
      <c r="G202">
        <f>'Grid_Requirement'!E17</f>
        <v/>
      </c>
      <c r="H202">
        <f>'Grid_Requirement'!F17</f>
        <v/>
      </c>
      <c r="I202">
        <f>'Grid_Requirement'!G17</f>
        <v/>
      </c>
      <c r="J202">
        <f>'Grid_Requirement'!H17</f>
        <v/>
      </c>
      <c r="K202">
        <f>'Grid_Requirement'!I17</f>
        <v/>
      </c>
      <c r="L202">
        <f>'Grid_Requirement'!J17</f>
        <v/>
      </c>
      <c r="M202">
        <f>'Grid_Requirement'!K17</f>
        <v/>
      </c>
      <c r="N202">
        <f>'Grid_Requirement'!L17</f>
        <v/>
      </c>
      <c r="O202">
        <f>'Grid_Requirement'!M17</f>
        <v/>
      </c>
      <c r="P202">
        <f>'Grid_Requirement'!N17</f>
        <v/>
      </c>
      <c r="Q202">
        <f>'Grid_Requirement'!O17</f>
        <v/>
      </c>
      <c r="R202">
        <f>'Grid_Requirement'!P17</f>
        <v/>
      </c>
      <c r="S202">
        <f>'Grid_Requirement'!Q17</f>
        <v/>
      </c>
      <c r="T202">
        <f>'Grid_Requirement'!R17</f>
        <v/>
      </c>
      <c r="U202">
        <f>'Grid_Requirement'!S17</f>
        <v/>
      </c>
      <c r="V202">
        <f>'Grid_Requirement'!T17</f>
        <v/>
      </c>
      <c r="W202">
        <f>'Grid_Requirement'!U17</f>
        <v/>
      </c>
      <c r="X202">
        <f>'Grid_Requirement'!V17</f>
        <v/>
      </c>
      <c r="Y202">
        <f>'Grid_Requirement'!W17</f>
        <v/>
      </c>
      <c r="Z202">
        <f>'Grid_Requirement'!X17</f>
        <v/>
      </c>
      <c r="AA202">
        <f>'Grid_Requirement'!Y17</f>
        <v/>
      </c>
      <c r="AB202">
        <f>'Grid_Requirement'!Z17</f>
        <v/>
      </c>
      <c r="AC202">
        <f>'Grid_Requirement'!AA17</f>
        <v/>
      </c>
      <c r="AD202">
        <f>'Grid_Requirement'!AB17</f>
        <v/>
      </c>
      <c r="AE202">
        <f>'Grid_Requirement'!AC17</f>
        <v/>
      </c>
      <c r="AF202">
        <f>'Grid_Requirement'!AD17</f>
        <v/>
      </c>
      <c r="AG202">
        <f>'Grid_Requirement'!AE17</f>
        <v/>
      </c>
      <c r="AH202">
        <f>'Grid_Requirement'!AF17</f>
        <v/>
      </c>
      <c r="AI202">
        <f>'Grid_Requirement'!AG17</f>
        <v/>
      </c>
      <c r="AJ202">
        <f>'Grid_Requirement'!AH17</f>
        <v/>
      </c>
      <c r="AK202">
        <f>'Grid_Requirement'!AI17</f>
        <v/>
      </c>
      <c r="AL202">
        <f>'Grid_Requirement'!AJ17</f>
        <v/>
      </c>
      <c r="AM202">
        <f>'Grid_Requirement'!AK17</f>
        <v/>
      </c>
      <c r="AN202">
        <f>'Grid_Requirement'!AL17</f>
        <v/>
      </c>
      <c r="AO202">
        <f>'Grid_Requirement'!AM17</f>
        <v/>
      </c>
      <c r="AP202">
        <f>'Grid_Requirement'!AN17</f>
        <v/>
      </c>
      <c r="AQ202">
        <f>'Grid_Requirement'!AO17</f>
        <v/>
      </c>
      <c r="AR202">
        <f>'Grid_Requirement'!AP17</f>
        <v/>
      </c>
      <c r="AS202">
        <f>'Grid_Requirement'!AQ17</f>
        <v/>
      </c>
      <c r="AT202">
        <f>'Grid_Requirement'!AR17</f>
        <v/>
      </c>
      <c r="AU202">
        <f>'Grid_Requirement'!AS17</f>
        <v/>
      </c>
      <c r="AV202">
        <f>'Grid_Requirement'!AT17</f>
        <v/>
      </c>
      <c r="AW202">
        <f>'Grid_Requirement'!AU17</f>
        <v/>
      </c>
      <c r="AX202">
        <f>'Grid_Requirement'!AV17</f>
        <v/>
      </c>
      <c r="AY202">
        <f>'Grid_Requirement'!AW17</f>
        <v/>
      </c>
      <c r="AZ202">
        <f>'Grid_Requirement'!AX17</f>
        <v/>
      </c>
      <c r="BA202">
        <f>'Grid_Requirement'!AY17</f>
        <v/>
      </c>
      <c r="BB202">
        <f>'Grid_Requirement'!AZ17</f>
        <v/>
      </c>
      <c r="BC202">
        <f>'Grid_Requirement'!BA17</f>
        <v/>
      </c>
      <c r="BD202">
        <f>'Grid_Requirement'!BB17</f>
        <v/>
      </c>
      <c r="BE202">
        <f>'Grid_Requirement'!BC17</f>
        <v/>
      </c>
      <c r="BF202">
        <f>'Grid_Requirement'!BD17</f>
        <v/>
      </c>
      <c r="BG202">
        <f>'Grid_Requirement'!BE17</f>
        <v/>
      </c>
      <c r="BH202">
        <f>'Grid_Requirement'!BF17</f>
        <v/>
      </c>
      <c r="BI202">
        <f>'Grid_Requirement'!BG17</f>
        <v/>
      </c>
      <c r="BJ202">
        <f>'Grid_Requirement'!BH17</f>
        <v/>
      </c>
      <c r="BK202">
        <f>'Grid_Requirement'!BI17</f>
        <v/>
      </c>
      <c r="BL202">
        <f>'Grid_Requirement'!BJ17</f>
        <v/>
      </c>
      <c r="BM202">
        <f>'Grid_Requirement'!BK17</f>
        <v/>
      </c>
      <c r="BN202">
        <f>'Grid_Requirement'!BL17</f>
        <v/>
      </c>
      <c r="BO202">
        <f>'Grid_Requirement'!BM17</f>
        <v/>
      </c>
      <c r="BP202">
        <f>'Grid_Requirement'!BN17</f>
        <v/>
      </c>
      <c r="BQ202">
        <f>'Grid_Requirement'!BO17</f>
        <v/>
      </c>
      <c r="BR202">
        <f>'Grid_Requirement'!BP17</f>
        <v/>
      </c>
      <c r="BS202">
        <f>'Grid_Requirement'!BQ17</f>
        <v/>
      </c>
      <c r="BT202">
        <f>'Grid_Requirement'!BR17</f>
        <v/>
      </c>
      <c r="BU202">
        <f>'Grid_Requirement'!BS17</f>
        <v/>
      </c>
      <c r="BV202">
        <f>'Grid_Requirement'!BT17</f>
        <v/>
      </c>
      <c r="BW202">
        <f>'Grid_Requirement'!BU17</f>
        <v/>
      </c>
      <c r="BX202">
        <f>'Grid_Requirement'!BV17</f>
        <v/>
      </c>
      <c r="BY202">
        <f>'Grid_Requirement'!BW17</f>
        <v/>
      </c>
      <c r="BZ202">
        <f>'Grid_Requirement'!BX17</f>
        <v/>
      </c>
      <c r="CA202">
        <f>'Grid_Requirement'!BY17</f>
        <v/>
      </c>
      <c r="CB202">
        <f>'Grid_Requirement'!BZ17</f>
        <v/>
      </c>
      <c r="CC202">
        <f>'Grid_Requirement'!CA17</f>
        <v/>
      </c>
      <c r="CD202">
        <f>'Grid_Requirement'!CB17</f>
        <v/>
      </c>
      <c r="CE202">
        <f>'Grid_Requirement'!CC17</f>
        <v/>
      </c>
      <c r="CF202">
        <f>'Grid_Requirement'!CD17</f>
        <v/>
      </c>
      <c r="CG202">
        <f>'Grid_Requirement'!CE17</f>
        <v/>
      </c>
      <c r="CH202">
        <f>'Grid_Requirement'!CF17</f>
        <v/>
      </c>
      <c r="CI202">
        <f>'Grid_Requirement'!CG17</f>
        <v/>
      </c>
      <c r="CJ202">
        <f>'Grid_Requirement'!CH17</f>
        <v/>
      </c>
      <c r="CK202">
        <f>'Grid_Requirement'!CI17</f>
        <v/>
      </c>
      <c r="CL202">
        <f>'Grid_Requirement'!CJ17</f>
        <v/>
      </c>
      <c r="CM202">
        <f>'Grid_Requirement'!CK17</f>
        <v/>
      </c>
      <c r="CN202">
        <f>'Grid_Requirement'!CL17</f>
        <v/>
      </c>
      <c r="CO202">
        <f>'Grid_Requirement'!CM17</f>
        <v/>
      </c>
      <c r="CP202">
        <f>'Grid_Requirement'!CN17</f>
        <v/>
      </c>
      <c r="CQ202">
        <f>'Grid_Requirement'!CO17</f>
        <v/>
      </c>
      <c r="CR202">
        <f>'Grid_Requirement'!CP17</f>
        <v/>
      </c>
      <c r="CS202">
        <f>'Grid_Requirement'!CQ17</f>
        <v/>
      </c>
      <c r="CT202">
        <f>'Grid_Requirement'!CR17</f>
        <v/>
      </c>
      <c r="CU202">
        <f>'Grid_Requirement'!CS17</f>
        <v/>
      </c>
      <c r="CV202">
        <f>'Grid_Requirement'!CT17</f>
        <v/>
      </c>
      <c r="CW202">
        <f>'Grid_Requirement'!CU17</f>
        <v/>
      </c>
      <c r="CX202">
        <f>'Grid_Requirement'!CV17</f>
        <v/>
      </c>
      <c r="CY202">
        <f>'Grid_Requirement'!CW17</f>
        <v/>
      </c>
      <c r="CZ202">
        <f>'Grid_Requirement'!CX17</f>
        <v/>
      </c>
      <c r="DA202">
        <f>'Grid_Requirement'!CY17</f>
        <v/>
      </c>
      <c r="DB202">
        <f>'Grid_Requirement'!CZ17</f>
        <v/>
      </c>
      <c r="DC202">
        <f>'Grid_Requirement'!DA17</f>
        <v/>
      </c>
    </row>
    <row r="203">
      <c r="B203" t="inlineStr">
        <is>
          <t>TTAF在庫(実績,kg)</t>
        </is>
      </c>
      <c r="D203">
        <f>'T_TTAFStock'!B21</f>
        <v/>
      </c>
      <c r="E203">
        <f>'T_TTAFStock'!C21</f>
        <v/>
      </c>
      <c r="F203">
        <f>'T_TTAFStock'!D21</f>
        <v/>
      </c>
      <c r="G203">
        <f>'T_TTAFStock'!E21</f>
        <v/>
      </c>
      <c r="H203">
        <f>'T_TTAFStock'!F21</f>
        <v/>
      </c>
      <c r="I203">
        <f>'T_TTAFStock'!G21</f>
        <v/>
      </c>
      <c r="J203">
        <f>'T_TTAFStock'!H21</f>
        <v/>
      </c>
      <c r="K203">
        <f>'T_TTAFStock'!I21</f>
        <v/>
      </c>
      <c r="L203">
        <f>'T_TTAFStock'!J21</f>
        <v/>
      </c>
      <c r="M203">
        <f>'T_TTAFStock'!K21</f>
        <v/>
      </c>
      <c r="N203">
        <f>'T_TTAFStock'!L21</f>
        <v/>
      </c>
      <c r="O203">
        <f>'T_TTAFStock'!M21</f>
        <v/>
      </c>
      <c r="P203">
        <f>'T_TTAFStock'!N21</f>
        <v/>
      </c>
      <c r="Q203">
        <f>'T_TTAFStock'!O21</f>
        <v/>
      </c>
      <c r="R203">
        <f>'T_TTAFStock'!P21</f>
        <v/>
      </c>
      <c r="S203">
        <f>'T_TTAFStock'!Q21</f>
        <v/>
      </c>
      <c r="T203">
        <f>'T_TTAFStock'!R21</f>
        <v/>
      </c>
      <c r="U203">
        <f>'T_TTAFStock'!S21</f>
        <v/>
      </c>
      <c r="V203">
        <f>'T_TTAFStock'!T21</f>
        <v/>
      </c>
      <c r="W203">
        <f>'T_TTAFStock'!U21</f>
        <v/>
      </c>
      <c r="X203">
        <f>'T_TTAFStock'!V21</f>
        <v/>
      </c>
      <c r="Y203">
        <f>'T_TTAFStock'!W21</f>
        <v/>
      </c>
      <c r="Z203">
        <f>'T_TTAFStock'!X21</f>
        <v/>
      </c>
      <c r="AA203">
        <f>'T_TTAFStock'!Y21</f>
        <v/>
      </c>
      <c r="AB203">
        <f>'T_TTAFStock'!Z21</f>
        <v/>
      </c>
      <c r="AC203">
        <f>'T_TTAFStock'!AA21</f>
        <v/>
      </c>
      <c r="AD203">
        <f>'T_TTAFStock'!AB21</f>
        <v/>
      </c>
      <c r="AE203">
        <f>'T_TTAFStock'!AC21</f>
        <v/>
      </c>
      <c r="AF203">
        <f>'T_TTAFStock'!AD21</f>
        <v/>
      </c>
      <c r="AG203">
        <f>'T_TTAFStock'!AE21</f>
        <v/>
      </c>
      <c r="AH203">
        <f>'T_TTAFStock'!AF21</f>
        <v/>
      </c>
      <c r="AI203">
        <f>'T_TTAFStock'!AG21</f>
        <v/>
      </c>
      <c r="AJ203">
        <f>'T_TTAFStock'!AH21</f>
        <v/>
      </c>
      <c r="AK203">
        <f>'T_TTAFStock'!AI21</f>
        <v/>
      </c>
      <c r="AL203">
        <f>'T_TTAFStock'!AJ21</f>
        <v/>
      </c>
      <c r="AM203">
        <f>'T_TTAFStock'!AK21</f>
        <v/>
      </c>
      <c r="AN203">
        <f>'T_TTAFStock'!AL21</f>
        <v/>
      </c>
      <c r="AO203">
        <f>'T_TTAFStock'!AM21</f>
        <v/>
      </c>
      <c r="AP203">
        <f>'T_TTAFStock'!AN21</f>
        <v/>
      </c>
      <c r="AQ203">
        <f>'T_TTAFStock'!AO21</f>
        <v/>
      </c>
      <c r="AR203">
        <f>'T_TTAFStock'!AP21</f>
        <v/>
      </c>
      <c r="AS203">
        <f>'T_TTAFStock'!AQ21</f>
        <v/>
      </c>
      <c r="AT203">
        <f>'T_TTAFStock'!AR21</f>
        <v/>
      </c>
      <c r="AU203">
        <f>'T_TTAFStock'!AS21</f>
        <v/>
      </c>
      <c r="AV203">
        <f>'T_TTAFStock'!AT21</f>
        <v/>
      </c>
      <c r="AW203">
        <f>'T_TTAFStock'!AU21</f>
        <v/>
      </c>
      <c r="AX203">
        <f>'T_TTAFStock'!AV21</f>
        <v/>
      </c>
      <c r="AY203">
        <f>'T_TTAFStock'!AW21</f>
        <v/>
      </c>
      <c r="AZ203">
        <f>'T_TTAFStock'!AX21</f>
        <v/>
      </c>
      <c r="BA203">
        <f>'T_TTAFStock'!AY21</f>
        <v/>
      </c>
      <c r="BB203">
        <f>'T_TTAFStock'!AZ21</f>
        <v/>
      </c>
      <c r="BC203">
        <f>'T_TTAFStock'!BA21</f>
        <v/>
      </c>
      <c r="BD203">
        <f>'T_TTAFStock'!BB21</f>
        <v/>
      </c>
      <c r="BE203">
        <f>'T_TTAFStock'!BC21</f>
        <v/>
      </c>
      <c r="BF203">
        <f>'T_TTAFStock'!BD21</f>
        <v/>
      </c>
      <c r="BG203">
        <f>'T_TTAFStock'!BE21</f>
        <v/>
      </c>
      <c r="BH203">
        <f>'T_TTAFStock'!BF21</f>
        <v/>
      </c>
      <c r="BI203">
        <f>'T_TTAFStock'!BG21</f>
        <v/>
      </c>
      <c r="BJ203">
        <f>'T_TTAFStock'!BH21</f>
        <v/>
      </c>
      <c r="BK203">
        <f>'T_TTAFStock'!BI21</f>
        <v/>
      </c>
      <c r="BL203">
        <f>'T_TTAFStock'!BJ21</f>
        <v/>
      </c>
      <c r="BM203">
        <f>'T_TTAFStock'!BK21</f>
        <v/>
      </c>
      <c r="BN203">
        <f>'T_TTAFStock'!BL21</f>
        <v/>
      </c>
      <c r="BO203">
        <f>'T_TTAFStock'!BM21</f>
        <v/>
      </c>
      <c r="BP203">
        <f>'T_TTAFStock'!BN21</f>
        <v/>
      </c>
      <c r="BQ203">
        <f>'T_TTAFStock'!BO21</f>
        <v/>
      </c>
      <c r="BR203">
        <f>'T_TTAFStock'!BP21</f>
        <v/>
      </c>
      <c r="BS203">
        <f>'T_TTAFStock'!BQ21</f>
        <v/>
      </c>
      <c r="BT203">
        <f>'T_TTAFStock'!BR21</f>
        <v/>
      </c>
      <c r="BU203">
        <f>'T_TTAFStock'!BS21</f>
        <v/>
      </c>
      <c r="BV203">
        <f>'T_TTAFStock'!BT21</f>
        <v/>
      </c>
      <c r="BW203">
        <f>'T_TTAFStock'!BU21</f>
        <v/>
      </c>
      <c r="BX203">
        <f>'T_TTAFStock'!BV21</f>
        <v/>
      </c>
      <c r="BY203">
        <f>'T_TTAFStock'!BW21</f>
        <v/>
      </c>
      <c r="BZ203">
        <f>'T_TTAFStock'!BX21</f>
        <v/>
      </c>
      <c r="CA203">
        <f>'T_TTAFStock'!BY21</f>
        <v/>
      </c>
      <c r="CB203">
        <f>'T_TTAFStock'!BZ21</f>
        <v/>
      </c>
      <c r="CC203">
        <f>'T_TTAFStock'!CA21</f>
        <v/>
      </c>
      <c r="CD203">
        <f>'T_TTAFStock'!CB21</f>
        <v/>
      </c>
      <c r="CE203">
        <f>'T_TTAFStock'!CC21</f>
        <v/>
      </c>
      <c r="CF203">
        <f>'T_TTAFStock'!CD21</f>
        <v/>
      </c>
      <c r="CG203">
        <f>'T_TTAFStock'!CE21</f>
        <v/>
      </c>
      <c r="CH203">
        <f>'T_TTAFStock'!CF21</f>
        <v/>
      </c>
      <c r="CI203">
        <f>'T_TTAFStock'!CG21</f>
        <v/>
      </c>
      <c r="CJ203">
        <f>'T_TTAFStock'!CH21</f>
        <v/>
      </c>
      <c r="CK203">
        <f>'T_TTAFStock'!CI21</f>
        <v/>
      </c>
      <c r="CL203">
        <f>'T_TTAFStock'!CJ21</f>
        <v/>
      </c>
      <c r="CM203">
        <f>'T_TTAFStock'!CK21</f>
        <v/>
      </c>
      <c r="CN203">
        <f>'T_TTAFStock'!CL21</f>
        <v/>
      </c>
      <c r="CO203">
        <f>'T_TTAFStock'!CM21</f>
        <v/>
      </c>
      <c r="CP203">
        <f>'T_TTAFStock'!CN21</f>
        <v/>
      </c>
      <c r="CQ203">
        <f>'T_TTAFStock'!CO21</f>
        <v/>
      </c>
      <c r="CR203">
        <f>'T_TTAFStock'!CP21</f>
        <v/>
      </c>
      <c r="CS203">
        <f>'T_TTAFStock'!CQ21</f>
        <v/>
      </c>
      <c r="CT203">
        <f>'T_TTAFStock'!CR21</f>
        <v/>
      </c>
      <c r="CU203">
        <f>'T_TTAFStock'!CS21</f>
        <v/>
      </c>
      <c r="CV203">
        <f>'T_TTAFStock'!CT21</f>
        <v/>
      </c>
      <c r="CW203">
        <f>'T_TTAFStock'!CU21</f>
        <v/>
      </c>
      <c r="CX203">
        <f>'T_TTAFStock'!CV21</f>
        <v/>
      </c>
      <c r="CY203">
        <f>'T_TTAFStock'!CW21</f>
        <v/>
      </c>
      <c r="CZ203">
        <f>'T_TTAFStock'!CX21</f>
        <v/>
      </c>
      <c r="DA203">
        <f>'T_TTAFStock'!CY21</f>
        <v/>
      </c>
      <c r="DB203">
        <f>'T_TTAFStock'!CZ21</f>
        <v/>
      </c>
      <c r="DC203">
        <f>'T_TTAFStock'!DA21</f>
        <v/>
      </c>
    </row>
    <row r="204">
      <c r="B204" t="inlineStr">
        <is>
          <t>自社在庫(実績,kg)</t>
        </is>
      </c>
      <c r="D204">
        <f>'T_SelfStock'!B21</f>
        <v/>
      </c>
      <c r="E204">
        <f>'T_SelfStock'!C21</f>
        <v/>
      </c>
      <c r="F204">
        <f>'T_SelfStock'!D21</f>
        <v/>
      </c>
      <c r="G204">
        <f>'T_SelfStock'!E21</f>
        <v/>
      </c>
      <c r="H204">
        <f>'T_SelfStock'!F21</f>
        <v/>
      </c>
      <c r="I204">
        <f>'T_SelfStock'!G21</f>
        <v/>
      </c>
      <c r="J204">
        <f>'T_SelfStock'!H21</f>
        <v/>
      </c>
      <c r="K204">
        <f>'T_SelfStock'!I21</f>
        <v/>
      </c>
      <c r="L204">
        <f>'T_SelfStock'!J21</f>
        <v/>
      </c>
      <c r="M204">
        <f>'T_SelfStock'!K21</f>
        <v/>
      </c>
      <c r="N204">
        <f>'T_SelfStock'!L21</f>
        <v/>
      </c>
      <c r="O204">
        <f>'T_SelfStock'!M21</f>
        <v/>
      </c>
      <c r="P204">
        <f>'T_SelfStock'!N21</f>
        <v/>
      </c>
      <c r="Q204">
        <f>'T_SelfStock'!O21</f>
        <v/>
      </c>
      <c r="R204">
        <f>'T_SelfStock'!P21</f>
        <v/>
      </c>
      <c r="S204">
        <f>'T_SelfStock'!Q21</f>
        <v/>
      </c>
      <c r="T204">
        <f>'T_SelfStock'!R21</f>
        <v/>
      </c>
      <c r="U204">
        <f>'T_SelfStock'!S21</f>
        <v/>
      </c>
      <c r="V204">
        <f>'T_SelfStock'!T21</f>
        <v/>
      </c>
      <c r="W204">
        <f>'T_SelfStock'!U21</f>
        <v/>
      </c>
      <c r="X204">
        <f>'T_SelfStock'!V21</f>
        <v/>
      </c>
      <c r="Y204">
        <f>'T_SelfStock'!W21</f>
        <v/>
      </c>
      <c r="Z204">
        <f>'T_SelfStock'!X21</f>
        <v/>
      </c>
      <c r="AA204">
        <f>'T_SelfStock'!Y21</f>
        <v/>
      </c>
      <c r="AB204">
        <f>'T_SelfStock'!Z21</f>
        <v/>
      </c>
      <c r="AC204">
        <f>'T_SelfStock'!AA21</f>
        <v/>
      </c>
      <c r="AD204">
        <f>'T_SelfStock'!AB21</f>
        <v/>
      </c>
      <c r="AE204">
        <f>'T_SelfStock'!AC21</f>
        <v/>
      </c>
      <c r="AF204">
        <f>'T_SelfStock'!AD21</f>
        <v/>
      </c>
      <c r="AG204">
        <f>'T_SelfStock'!AE21</f>
        <v/>
      </c>
      <c r="AH204">
        <f>'T_SelfStock'!AF21</f>
        <v/>
      </c>
      <c r="AI204">
        <f>'T_SelfStock'!AG21</f>
        <v/>
      </c>
      <c r="AJ204">
        <f>'T_SelfStock'!AH21</f>
        <v/>
      </c>
      <c r="AK204">
        <f>'T_SelfStock'!AI21</f>
        <v/>
      </c>
      <c r="AL204">
        <f>'T_SelfStock'!AJ21</f>
        <v/>
      </c>
      <c r="AM204">
        <f>'T_SelfStock'!AK21</f>
        <v/>
      </c>
      <c r="AN204">
        <f>'T_SelfStock'!AL21</f>
        <v/>
      </c>
      <c r="AO204">
        <f>'T_SelfStock'!AM21</f>
        <v/>
      </c>
      <c r="AP204">
        <f>'T_SelfStock'!AN21</f>
        <v/>
      </c>
      <c r="AQ204">
        <f>'T_SelfStock'!AO21</f>
        <v/>
      </c>
      <c r="AR204">
        <f>'T_SelfStock'!AP21</f>
        <v/>
      </c>
      <c r="AS204">
        <f>'T_SelfStock'!AQ21</f>
        <v/>
      </c>
      <c r="AT204">
        <f>'T_SelfStock'!AR21</f>
        <v/>
      </c>
      <c r="AU204">
        <f>'T_SelfStock'!AS21</f>
        <v/>
      </c>
      <c r="AV204">
        <f>'T_SelfStock'!AT21</f>
        <v/>
      </c>
      <c r="AW204">
        <f>'T_SelfStock'!AU21</f>
        <v/>
      </c>
      <c r="AX204">
        <f>'T_SelfStock'!AV21</f>
        <v/>
      </c>
      <c r="AY204">
        <f>'T_SelfStock'!AW21</f>
        <v/>
      </c>
      <c r="AZ204">
        <f>'T_SelfStock'!AX21</f>
        <v/>
      </c>
      <c r="BA204">
        <f>'T_SelfStock'!AY21</f>
        <v/>
      </c>
      <c r="BB204">
        <f>'T_SelfStock'!AZ21</f>
        <v/>
      </c>
      <c r="BC204">
        <f>'T_SelfStock'!BA21</f>
        <v/>
      </c>
      <c r="BD204">
        <f>'T_SelfStock'!BB21</f>
        <v/>
      </c>
      <c r="BE204">
        <f>'T_SelfStock'!BC21</f>
        <v/>
      </c>
      <c r="BF204">
        <f>'T_SelfStock'!BD21</f>
        <v/>
      </c>
      <c r="BG204">
        <f>'T_SelfStock'!BE21</f>
        <v/>
      </c>
      <c r="BH204">
        <f>'T_SelfStock'!BF21</f>
        <v/>
      </c>
      <c r="BI204">
        <f>'T_SelfStock'!BG21</f>
        <v/>
      </c>
      <c r="BJ204">
        <f>'T_SelfStock'!BH21</f>
        <v/>
      </c>
      <c r="BK204">
        <f>'T_SelfStock'!BI21</f>
        <v/>
      </c>
      <c r="BL204">
        <f>'T_SelfStock'!BJ21</f>
        <v/>
      </c>
      <c r="BM204">
        <f>'T_SelfStock'!BK21</f>
        <v/>
      </c>
      <c r="BN204">
        <f>'T_SelfStock'!BL21</f>
        <v/>
      </c>
      <c r="BO204">
        <f>'T_SelfStock'!BM21</f>
        <v/>
      </c>
      <c r="BP204">
        <f>'T_SelfStock'!BN21</f>
        <v/>
      </c>
      <c r="BQ204">
        <f>'T_SelfStock'!BO21</f>
        <v/>
      </c>
      <c r="BR204">
        <f>'T_SelfStock'!BP21</f>
        <v/>
      </c>
      <c r="BS204">
        <f>'T_SelfStock'!BQ21</f>
        <v/>
      </c>
      <c r="BT204">
        <f>'T_SelfStock'!BR21</f>
        <v/>
      </c>
      <c r="BU204">
        <f>'T_SelfStock'!BS21</f>
        <v/>
      </c>
      <c r="BV204">
        <f>'T_SelfStock'!BT21</f>
        <v/>
      </c>
      <c r="BW204">
        <f>'T_SelfStock'!BU21</f>
        <v/>
      </c>
      <c r="BX204">
        <f>'T_SelfStock'!BV21</f>
        <v/>
      </c>
      <c r="BY204">
        <f>'T_SelfStock'!BW21</f>
        <v/>
      </c>
      <c r="BZ204">
        <f>'T_SelfStock'!BX21</f>
        <v/>
      </c>
      <c r="CA204">
        <f>'T_SelfStock'!BY21</f>
        <v/>
      </c>
      <c r="CB204">
        <f>'T_SelfStock'!BZ21</f>
        <v/>
      </c>
      <c r="CC204">
        <f>'T_SelfStock'!CA21</f>
        <v/>
      </c>
      <c r="CD204">
        <f>'T_SelfStock'!CB21</f>
        <v/>
      </c>
      <c r="CE204">
        <f>'T_SelfStock'!CC21</f>
        <v/>
      </c>
      <c r="CF204">
        <f>'T_SelfStock'!CD21</f>
        <v/>
      </c>
      <c r="CG204">
        <f>'T_SelfStock'!CE21</f>
        <v/>
      </c>
      <c r="CH204">
        <f>'T_SelfStock'!CF21</f>
        <v/>
      </c>
      <c r="CI204">
        <f>'T_SelfStock'!CG21</f>
        <v/>
      </c>
      <c r="CJ204">
        <f>'T_SelfStock'!CH21</f>
        <v/>
      </c>
      <c r="CK204">
        <f>'T_SelfStock'!CI21</f>
        <v/>
      </c>
      <c r="CL204">
        <f>'T_SelfStock'!CJ21</f>
        <v/>
      </c>
      <c r="CM204">
        <f>'T_SelfStock'!CK21</f>
        <v/>
      </c>
      <c r="CN204">
        <f>'T_SelfStock'!CL21</f>
        <v/>
      </c>
      <c r="CO204">
        <f>'T_SelfStock'!CM21</f>
        <v/>
      </c>
      <c r="CP204">
        <f>'T_SelfStock'!CN21</f>
        <v/>
      </c>
      <c r="CQ204">
        <f>'T_SelfStock'!CO21</f>
        <v/>
      </c>
      <c r="CR204">
        <f>'T_SelfStock'!CP21</f>
        <v/>
      </c>
      <c r="CS204">
        <f>'T_SelfStock'!CQ21</f>
        <v/>
      </c>
      <c r="CT204">
        <f>'T_SelfStock'!CR21</f>
        <v/>
      </c>
      <c r="CU204">
        <f>'T_SelfStock'!CS21</f>
        <v/>
      </c>
      <c r="CV204">
        <f>'T_SelfStock'!CT21</f>
        <v/>
      </c>
      <c r="CW204">
        <f>'T_SelfStock'!CU21</f>
        <v/>
      </c>
      <c r="CX204">
        <f>'T_SelfStock'!CV21</f>
        <v/>
      </c>
      <c r="CY204">
        <f>'T_SelfStock'!CW21</f>
        <v/>
      </c>
      <c r="CZ204">
        <f>'T_SelfStock'!CX21</f>
        <v/>
      </c>
      <c r="DA204">
        <f>'T_SelfStock'!CY21</f>
        <v/>
      </c>
      <c r="DB204">
        <f>'T_SelfStock'!CZ21</f>
        <v/>
      </c>
      <c r="DC204">
        <f>'T_SelfStock'!DA21</f>
        <v/>
      </c>
    </row>
    <row r="205">
      <c r="B205" t="inlineStr">
        <is>
          <t>Order(発注予定,kg)</t>
        </is>
      </c>
      <c r="D205">
        <f>IF(SUMIFS(T_PlannedOrders[EffectiveQty],T_PlannedOrders[Part Name],$A171,T_PlannedOrders[WeekIndex],1)=0,"",SUMIFS(T_PlannedOrders[EffectiveQty],T_PlannedOrders[Part Name],$A171,T_PlannedOrders[WeekIndex],1)&amp;" ("&amp;TEXT(SUMPRODUCT(MAX((T_PlannedOrders[Part Name]=$A171)*(T_PlannedOrders[WeekIndex]=1)*(T_PlannedOrders[EffectiveQty]&gt;0)*T_PlannedOrders[Order_Month])),"m月")&amp;"発注)")</f>
        <v/>
      </c>
      <c r="E205">
        <f>IF(SUMIFS(T_PlannedOrders[EffectiveQty],T_PlannedOrders[Part Name],$A171,T_PlannedOrders[WeekIndex],2)=0,"",SUMIFS(T_PlannedOrders[EffectiveQty],T_PlannedOrders[Part Name],$A171,T_PlannedOrders[WeekIndex],2)&amp;" ("&amp;TEXT(SUMPRODUCT(MAX((T_PlannedOrders[Part Name]=$A171)*(T_PlannedOrders[WeekIndex]=2)*(T_PlannedOrders[EffectiveQty]&gt;0)*T_PlannedOrders[Order_Month])),"m月")&amp;"発注)")</f>
        <v/>
      </c>
      <c r="F205">
        <f>IF(SUMIFS(T_PlannedOrders[EffectiveQty],T_PlannedOrders[Part Name],$A171,T_PlannedOrders[WeekIndex],3)=0,"",SUMIFS(T_PlannedOrders[EffectiveQty],T_PlannedOrders[Part Name],$A171,T_PlannedOrders[WeekIndex],3)&amp;" ("&amp;TEXT(SUMPRODUCT(MAX((T_PlannedOrders[Part Name]=$A171)*(T_PlannedOrders[WeekIndex]=3)*(T_PlannedOrders[EffectiveQty]&gt;0)*T_PlannedOrders[Order_Month])),"m月")&amp;"発注)")</f>
        <v/>
      </c>
      <c r="G205">
        <f>IF(SUMIFS(T_PlannedOrders[EffectiveQty],T_PlannedOrders[Part Name],$A171,T_PlannedOrders[WeekIndex],4)=0,"",SUMIFS(T_PlannedOrders[EffectiveQty],T_PlannedOrders[Part Name],$A171,T_PlannedOrders[WeekIndex],4)&amp;" ("&amp;TEXT(SUMPRODUCT(MAX((T_PlannedOrders[Part Name]=$A171)*(T_PlannedOrders[WeekIndex]=4)*(T_PlannedOrders[EffectiveQty]&gt;0)*T_PlannedOrders[Order_Month])),"m月")&amp;"発注)")</f>
        <v/>
      </c>
      <c r="H205">
        <f>IF(SUMIFS(T_PlannedOrders[EffectiveQty],T_PlannedOrders[Part Name],$A171,T_PlannedOrders[WeekIndex],5)=0,"",SUMIFS(T_PlannedOrders[EffectiveQty],T_PlannedOrders[Part Name],$A171,T_PlannedOrders[WeekIndex],5)&amp;" ("&amp;TEXT(SUMPRODUCT(MAX((T_PlannedOrders[Part Name]=$A171)*(T_PlannedOrders[WeekIndex]=5)*(T_PlannedOrders[EffectiveQty]&gt;0)*T_PlannedOrders[Order_Month])),"m月")&amp;"発注)")</f>
        <v/>
      </c>
      <c r="I205">
        <f>IF(SUMIFS(T_PlannedOrders[EffectiveQty],T_PlannedOrders[Part Name],$A171,T_PlannedOrders[WeekIndex],6)=0,"",SUMIFS(T_PlannedOrders[EffectiveQty],T_PlannedOrders[Part Name],$A171,T_PlannedOrders[WeekIndex],6)&amp;" ("&amp;TEXT(SUMPRODUCT(MAX((T_PlannedOrders[Part Name]=$A171)*(T_PlannedOrders[WeekIndex]=6)*(T_PlannedOrders[EffectiveQty]&gt;0)*T_PlannedOrders[Order_Month])),"m月")&amp;"発注)")</f>
        <v/>
      </c>
      <c r="J205">
        <f>IF(SUMIFS(T_PlannedOrders[EffectiveQty],T_PlannedOrders[Part Name],$A171,T_PlannedOrders[WeekIndex],7)=0,"",SUMIFS(T_PlannedOrders[EffectiveQty],T_PlannedOrders[Part Name],$A171,T_PlannedOrders[WeekIndex],7)&amp;" ("&amp;TEXT(SUMPRODUCT(MAX((T_PlannedOrders[Part Name]=$A171)*(T_PlannedOrders[WeekIndex]=7)*(T_PlannedOrders[EffectiveQty]&gt;0)*T_PlannedOrders[Order_Month])),"m月")&amp;"発注)")</f>
        <v/>
      </c>
      <c r="K205">
        <f>IF(SUMIFS(T_PlannedOrders[EffectiveQty],T_PlannedOrders[Part Name],$A171,T_PlannedOrders[WeekIndex],8)=0,"",SUMIFS(T_PlannedOrders[EffectiveQty],T_PlannedOrders[Part Name],$A171,T_PlannedOrders[WeekIndex],8)&amp;" ("&amp;TEXT(SUMPRODUCT(MAX((T_PlannedOrders[Part Name]=$A171)*(T_PlannedOrders[WeekIndex]=8)*(T_PlannedOrders[EffectiveQty]&gt;0)*T_PlannedOrders[Order_Month])),"m月")&amp;"発注)")</f>
        <v/>
      </c>
      <c r="L205">
        <f>IF(SUMIFS(T_PlannedOrders[EffectiveQty],T_PlannedOrders[Part Name],$A171,T_PlannedOrders[WeekIndex],9)=0,"",SUMIFS(T_PlannedOrders[EffectiveQty],T_PlannedOrders[Part Name],$A171,T_PlannedOrders[WeekIndex],9)&amp;" ("&amp;TEXT(SUMPRODUCT(MAX((T_PlannedOrders[Part Name]=$A171)*(T_PlannedOrders[WeekIndex]=9)*(T_PlannedOrders[EffectiveQty]&gt;0)*T_PlannedOrders[Order_Month])),"m月")&amp;"発注)")</f>
        <v/>
      </c>
      <c r="M205">
        <f>IF(SUMIFS(T_PlannedOrders[EffectiveQty],T_PlannedOrders[Part Name],$A171,T_PlannedOrders[WeekIndex],10)=0,"",SUMIFS(T_PlannedOrders[EffectiveQty],T_PlannedOrders[Part Name],$A171,T_PlannedOrders[WeekIndex],10)&amp;" ("&amp;TEXT(SUMPRODUCT(MAX((T_PlannedOrders[Part Name]=$A171)*(T_PlannedOrders[WeekIndex]=10)*(T_PlannedOrders[EffectiveQty]&gt;0)*T_PlannedOrders[Order_Month])),"m月")&amp;"発注)")</f>
        <v/>
      </c>
      <c r="N205">
        <f>IF(SUMIFS(T_PlannedOrders[EffectiveQty],T_PlannedOrders[Part Name],$A171,T_PlannedOrders[WeekIndex],11)=0,"",SUMIFS(T_PlannedOrders[EffectiveQty],T_PlannedOrders[Part Name],$A171,T_PlannedOrders[WeekIndex],11)&amp;" ("&amp;TEXT(SUMPRODUCT(MAX((T_PlannedOrders[Part Name]=$A171)*(T_PlannedOrders[WeekIndex]=11)*(T_PlannedOrders[EffectiveQty]&gt;0)*T_PlannedOrders[Order_Month])),"m月")&amp;"発注)")</f>
        <v/>
      </c>
      <c r="O205">
        <f>IF(SUMIFS(T_PlannedOrders[EffectiveQty],T_PlannedOrders[Part Name],$A171,T_PlannedOrders[WeekIndex],12)=0,"",SUMIFS(T_PlannedOrders[EffectiveQty],T_PlannedOrders[Part Name],$A171,T_PlannedOrders[WeekIndex],12)&amp;" ("&amp;TEXT(SUMPRODUCT(MAX((T_PlannedOrders[Part Name]=$A171)*(T_PlannedOrders[WeekIndex]=12)*(T_PlannedOrders[EffectiveQty]&gt;0)*T_PlannedOrders[Order_Month])),"m月")&amp;"発注)")</f>
        <v/>
      </c>
      <c r="P205">
        <f>IF(SUMIFS(T_PlannedOrders[EffectiveQty],T_PlannedOrders[Part Name],$A171,T_PlannedOrders[WeekIndex],13)=0,"",SUMIFS(T_PlannedOrders[EffectiveQty],T_PlannedOrders[Part Name],$A171,T_PlannedOrders[WeekIndex],13)&amp;" ("&amp;TEXT(SUMPRODUCT(MAX((T_PlannedOrders[Part Name]=$A171)*(T_PlannedOrders[WeekIndex]=13)*(T_PlannedOrders[EffectiveQty]&gt;0)*T_PlannedOrders[Order_Month])),"m月")&amp;"発注)")</f>
        <v/>
      </c>
      <c r="Q205">
        <f>IF(SUMIFS(T_PlannedOrders[EffectiveQty],T_PlannedOrders[Part Name],$A171,T_PlannedOrders[WeekIndex],14)=0,"",SUMIFS(T_PlannedOrders[EffectiveQty],T_PlannedOrders[Part Name],$A171,T_PlannedOrders[WeekIndex],14)&amp;" ("&amp;TEXT(SUMPRODUCT(MAX((T_PlannedOrders[Part Name]=$A171)*(T_PlannedOrders[WeekIndex]=14)*(T_PlannedOrders[EffectiveQty]&gt;0)*T_PlannedOrders[Order_Month])),"m月")&amp;"発注)")</f>
        <v/>
      </c>
      <c r="R205">
        <f>IF(SUMIFS(T_PlannedOrders[EffectiveQty],T_PlannedOrders[Part Name],$A171,T_PlannedOrders[WeekIndex],15)=0,"",SUMIFS(T_PlannedOrders[EffectiveQty],T_PlannedOrders[Part Name],$A171,T_PlannedOrders[WeekIndex],15)&amp;" ("&amp;TEXT(SUMPRODUCT(MAX((T_PlannedOrders[Part Name]=$A171)*(T_PlannedOrders[WeekIndex]=15)*(T_PlannedOrders[EffectiveQty]&gt;0)*T_PlannedOrders[Order_Month])),"m月")&amp;"発注)")</f>
        <v/>
      </c>
      <c r="S205">
        <f>IF(SUMIFS(T_PlannedOrders[EffectiveQty],T_PlannedOrders[Part Name],$A171,T_PlannedOrders[WeekIndex],16)=0,"",SUMIFS(T_PlannedOrders[EffectiveQty],T_PlannedOrders[Part Name],$A171,T_PlannedOrders[WeekIndex],16)&amp;" ("&amp;TEXT(SUMPRODUCT(MAX((T_PlannedOrders[Part Name]=$A171)*(T_PlannedOrders[WeekIndex]=16)*(T_PlannedOrders[EffectiveQty]&gt;0)*T_PlannedOrders[Order_Month])),"m月")&amp;"発注)")</f>
        <v/>
      </c>
      <c r="T205">
        <f>IF(SUMIFS(T_PlannedOrders[EffectiveQty],T_PlannedOrders[Part Name],$A171,T_PlannedOrders[WeekIndex],17)=0,"",SUMIFS(T_PlannedOrders[EffectiveQty],T_PlannedOrders[Part Name],$A171,T_PlannedOrders[WeekIndex],17)&amp;" ("&amp;TEXT(SUMPRODUCT(MAX((T_PlannedOrders[Part Name]=$A171)*(T_PlannedOrders[WeekIndex]=17)*(T_PlannedOrders[EffectiveQty]&gt;0)*T_PlannedOrders[Order_Month])),"m月")&amp;"発注)")</f>
        <v/>
      </c>
      <c r="U205">
        <f>IF(SUMIFS(T_PlannedOrders[EffectiveQty],T_PlannedOrders[Part Name],$A171,T_PlannedOrders[WeekIndex],18)=0,"",SUMIFS(T_PlannedOrders[EffectiveQty],T_PlannedOrders[Part Name],$A171,T_PlannedOrders[WeekIndex],18)&amp;" ("&amp;TEXT(SUMPRODUCT(MAX((T_PlannedOrders[Part Name]=$A171)*(T_PlannedOrders[WeekIndex]=18)*(T_PlannedOrders[EffectiveQty]&gt;0)*T_PlannedOrders[Order_Month])),"m月")&amp;"発注)")</f>
        <v/>
      </c>
      <c r="V205">
        <f>IF(SUMIFS(T_PlannedOrders[EffectiveQty],T_PlannedOrders[Part Name],$A171,T_PlannedOrders[WeekIndex],19)=0,"",SUMIFS(T_PlannedOrders[EffectiveQty],T_PlannedOrders[Part Name],$A171,T_PlannedOrders[WeekIndex],19)&amp;" ("&amp;TEXT(SUMPRODUCT(MAX((T_PlannedOrders[Part Name]=$A171)*(T_PlannedOrders[WeekIndex]=19)*(T_PlannedOrders[EffectiveQty]&gt;0)*T_PlannedOrders[Order_Month])),"m月")&amp;"発注)")</f>
        <v/>
      </c>
      <c r="W205">
        <f>IF(SUMIFS(T_PlannedOrders[EffectiveQty],T_PlannedOrders[Part Name],$A171,T_PlannedOrders[WeekIndex],20)=0,"",SUMIFS(T_PlannedOrders[EffectiveQty],T_PlannedOrders[Part Name],$A171,T_PlannedOrders[WeekIndex],20)&amp;" ("&amp;TEXT(SUMPRODUCT(MAX((T_PlannedOrders[Part Name]=$A171)*(T_PlannedOrders[WeekIndex]=20)*(T_PlannedOrders[EffectiveQty]&gt;0)*T_PlannedOrders[Order_Month])),"m月")&amp;"発注)")</f>
        <v/>
      </c>
      <c r="X205">
        <f>IF(SUMIFS(T_PlannedOrders[EffectiveQty],T_PlannedOrders[Part Name],$A171,T_PlannedOrders[WeekIndex],21)=0,"",SUMIFS(T_PlannedOrders[EffectiveQty],T_PlannedOrders[Part Name],$A171,T_PlannedOrders[WeekIndex],21)&amp;" ("&amp;TEXT(SUMPRODUCT(MAX((T_PlannedOrders[Part Name]=$A171)*(T_PlannedOrders[WeekIndex]=21)*(T_PlannedOrders[EffectiveQty]&gt;0)*T_PlannedOrders[Order_Month])),"m月")&amp;"発注)")</f>
        <v/>
      </c>
      <c r="Y205">
        <f>IF(SUMIFS(T_PlannedOrders[EffectiveQty],T_PlannedOrders[Part Name],$A171,T_PlannedOrders[WeekIndex],22)=0,"",SUMIFS(T_PlannedOrders[EffectiveQty],T_PlannedOrders[Part Name],$A171,T_PlannedOrders[WeekIndex],22)&amp;" ("&amp;TEXT(SUMPRODUCT(MAX((T_PlannedOrders[Part Name]=$A171)*(T_PlannedOrders[WeekIndex]=22)*(T_PlannedOrders[EffectiveQty]&gt;0)*T_PlannedOrders[Order_Month])),"m月")&amp;"発注)")</f>
        <v/>
      </c>
      <c r="Z205">
        <f>IF(SUMIFS(T_PlannedOrders[EffectiveQty],T_PlannedOrders[Part Name],$A171,T_PlannedOrders[WeekIndex],23)=0,"",SUMIFS(T_PlannedOrders[EffectiveQty],T_PlannedOrders[Part Name],$A171,T_PlannedOrders[WeekIndex],23)&amp;" ("&amp;TEXT(SUMPRODUCT(MAX((T_PlannedOrders[Part Name]=$A171)*(T_PlannedOrders[WeekIndex]=23)*(T_PlannedOrders[EffectiveQty]&gt;0)*T_PlannedOrders[Order_Month])),"m月")&amp;"発注)")</f>
        <v/>
      </c>
      <c r="AA205">
        <f>IF(SUMIFS(T_PlannedOrders[EffectiveQty],T_PlannedOrders[Part Name],$A171,T_PlannedOrders[WeekIndex],24)=0,"",SUMIFS(T_PlannedOrders[EffectiveQty],T_PlannedOrders[Part Name],$A171,T_PlannedOrders[WeekIndex],24)&amp;" ("&amp;TEXT(SUMPRODUCT(MAX((T_PlannedOrders[Part Name]=$A171)*(T_PlannedOrders[WeekIndex]=24)*(T_PlannedOrders[EffectiveQty]&gt;0)*T_PlannedOrders[Order_Month])),"m月")&amp;"発注)")</f>
        <v/>
      </c>
      <c r="AB205">
        <f>IF(SUMIFS(T_PlannedOrders[EffectiveQty],T_PlannedOrders[Part Name],$A171,T_PlannedOrders[WeekIndex],25)=0,"",SUMIFS(T_PlannedOrders[EffectiveQty],T_PlannedOrders[Part Name],$A171,T_PlannedOrders[WeekIndex],25)&amp;" ("&amp;TEXT(SUMPRODUCT(MAX((T_PlannedOrders[Part Name]=$A171)*(T_PlannedOrders[WeekIndex]=25)*(T_PlannedOrders[EffectiveQty]&gt;0)*T_PlannedOrders[Order_Month])),"m月")&amp;"発注)")</f>
        <v/>
      </c>
      <c r="AC205">
        <f>IF(SUMIFS(T_PlannedOrders[EffectiveQty],T_PlannedOrders[Part Name],$A171,T_PlannedOrders[WeekIndex],26)=0,"",SUMIFS(T_PlannedOrders[EffectiveQty],T_PlannedOrders[Part Name],$A171,T_PlannedOrders[WeekIndex],26)&amp;" ("&amp;TEXT(SUMPRODUCT(MAX((T_PlannedOrders[Part Name]=$A171)*(T_PlannedOrders[WeekIndex]=26)*(T_PlannedOrders[EffectiveQty]&gt;0)*T_PlannedOrders[Order_Month])),"m月")&amp;"発注)")</f>
        <v/>
      </c>
      <c r="AD205">
        <f>IF(SUMIFS(T_PlannedOrders[EffectiveQty],T_PlannedOrders[Part Name],$A171,T_PlannedOrders[WeekIndex],27)=0,"",SUMIFS(T_PlannedOrders[EffectiveQty],T_PlannedOrders[Part Name],$A171,T_PlannedOrders[WeekIndex],27)&amp;" ("&amp;TEXT(SUMPRODUCT(MAX((T_PlannedOrders[Part Name]=$A171)*(T_PlannedOrders[WeekIndex]=27)*(T_PlannedOrders[EffectiveQty]&gt;0)*T_PlannedOrders[Order_Month])),"m月")&amp;"発注)")</f>
        <v/>
      </c>
      <c r="AE205">
        <f>IF(SUMIFS(T_PlannedOrders[EffectiveQty],T_PlannedOrders[Part Name],$A171,T_PlannedOrders[WeekIndex],28)=0,"",SUMIFS(T_PlannedOrders[EffectiveQty],T_PlannedOrders[Part Name],$A171,T_PlannedOrders[WeekIndex],28)&amp;" ("&amp;TEXT(SUMPRODUCT(MAX((T_PlannedOrders[Part Name]=$A171)*(T_PlannedOrders[WeekIndex]=28)*(T_PlannedOrders[EffectiveQty]&gt;0)*T_PlannedOrders[Order_Month])),"m月")&amp;"発注)")</f>
        <v/>
      </c>
      <c r="AF205">
        <f>IF(SUMIFS(T_PlannedOrders[EffectiveQty],T_PlannedOrders[Part Name],$A171,T_PlannedOrders[WeekIndex],29)=0,"",SUMIFS(T_PlannedOrders[EffectiveQty],T_PlannedOrders[Part Name],$A171,T_PlannedOrders[WeekIndex],29)&amp;" ("&amp;TEXT(SUMPRODUCT(MAX((T_PlannedOrders[Part Name]=$A171)*(T_PlannedOrders[WeekIndex]=29)*(T_PlannedOrders[EffectiveQty]&gt;0)*T_PlannedOrders[Order_Month])),"m月")&amp;"発注)")</f>
        <v/>
      </c>
      <c r="AG205">
        <f>IF(SUMIFS(T_PlannedOrders[EffectiveQty],T_PlannedOrders[Part Name],$A171,T_PlannedOrders[WeekIndex],30)=0,"",SUMIFS(T_PlannedOrders[EffectiveQty],T_PlannedOrders[Part Name],$A171,T_PlannedOrders[WeekIndex],30)&amp;" ("&amp;TEXT(SUMPRODUCT(MAX((T_PlannedOrders[Part Name]=$A171)*(T_PlannedOrders[WeekIndex]=30)*(T_PlannedOrders[EffectiveQty]&gt;0)*T_PlannedOrders[Order_Month])),"m月")&amp;"発注)")</f>
        <v/>
      </c>
      <c r="AH205">
        <f>IF(SUMIFS(T_PlannedOrders[EffectiveQty],T_PlannedOrders[Part Name],$A171,T_PlannedOrders[WeekIndex],31)=0,"",SUMIFS(T_PlannedOrders[EffectiveQty],T_PlannedOrders[Part Name],$A171,T_PlannedOrders[WeekIndex],31)&amp;" ("&amp;TEXT(SUMPRODUCT(MAX((T_PlannedOrders[Part Name]=$A171)*(T_PlannedOrders[WeekIndex]=31)*(T_PlannedOrders[EffectiveQty]&gt;0)*T_PlannedOrders[Order_Month])),"m月")&amp;"発注)")</f>
        <v/>
      </c>
      <c r="AI205">
        <f>IF(SUMIFS(T_PlannedOrders[EffectiveQty],T_PlannedOrders[Part Name],$A171,T_PlannedOrders[WeekIndex],32)=0,"",SUMIFS(T_PlannedOrders[EffectiveQty],T_PlannedOrders[Part Name],$A171,T_PlannedOrders[WeekIndex],32)&amp;" ("&amp;TEXT(SUMPRODUCT(MAX((T_PlannedOrders[Part Name]=$A171)*(T_PlannedOrders[WeekIndex]=32)*(T_PlannedOrders[EffectiveQty]&gt;0)*T_PlannedOrders[Order_Month])),"m月")&amp;"発注)")</f>
        <v/>
      </c>
      <c r="AJ205">
        <f>IF(SUMIFS(T_PlannedOrders[EffectiveQty],T_PlannedOrders[Part Name],$A171,T_PlannedOrders[WeekIndex],33)=0,"",SUMIFS(T_PlannedOrders[EffectiveQty],T_PlannedOrders[Part Name],$A171,T_PlannedOrders[WeekIndex],33)&amp;" ("&amp;TEXT(SUMPRODUCT(MAX((T_PlannedOrders[Part Name]=$A171)*(T_PlannedOrders[WeekIndex]=33)*(T_PlannedOrders[EffectiveQty]&gt;0)*T_PlannedOrders[Order_Month])),"m月")&amp;"発注)")</f>
        <v/>
      </c>
      <c r="AK205">
        <f>IF(SUMIFS(T_PlannedOrders[EffectiveQty],T_PlannedOrders[Part Name],$A171,T_PlannedOrders[WeekIndex],34)=0,"",SUMIFS(T_PlannedOrders[EffectiveQty],T_PlannedOrders[Part Name],$A171,T_PlannedOrders[WeekIndex],34)&amp;" ("&amp;TEXT(SUMPRODUCT(MAX((T_PlannedOrders[Part Name]=$A171)*(T_PlannedOrders[WeekIndex]=34)*(T_PlannedOrders[EffectiveQty]&gt;0)*T_PlannedOrders[Order_Month])),"m月")&amp;"発注)")</f>
        <v/>
      </c>
      <c r="AL205">
        <f>IF(SUMIFS(T_PlannedOrders[EffectiveQty],T_PlannedOrders[Part Name],$A171,T_PlannedOrders[WeekIndex],35)=0,"",SUMIFS(T_PlannedOrders[EffectiveQty],T_PlannedOrders[Part Name],$A171,T_PlannedOrders[WeekIndex],35)&amp;" ("&amp;TEXT(SUMPRODUCT(MAX((T_PlannedOrders[Part Name]=$A171)*(T_PlannedOrders[WeekIndex]=35)*(T_PlannedOrders[EffectiveQty]&gt;0)*T_PlannedOrders[Order_Month])),"m月")&amp;"発注)")</f>
        <v/>
      </c>
      <c r="AM205">
        <f>IF(SUMIFS(T_PlannedOrders[EffectiveQty],T_PlannedOrders[Part Name],$A171,T_PlannedOrders[WeekIndex],36)=0,"",SUMIFS(T_PlannedOrders[EffectiveQty],T_PlannedOrders[Part Name],$A171,T_PlannedOrders[WeekIndex],36)&amp;" ("&amp;TEXT(SUMPRODUCT(MAX((T_PlannedOrders[Part Name]=$A171)*(T_PlannedOrders[WeekIndex]=36)*(T_PlannedOrders[EffectiveQty]&gt;0)*T_PlannedOrders[Order_Month])),"m月")&amp;"発注)")</f>
        <v/>
      </c>
      <c r="AN205">
        <f>IF(SUMIFS(T_PlannedOrders[EffectiveQty],T_PlannedOrders[Part Name],$A171,T_PlannedOrders[WeekIndex],37)=0,"",SUMIFS(T_PlannedOrders[EffectiveQty],T_PlannedOrders[Part Name],$A171,T_PlannedOrders[WeekIndex],37)&amp;" ("&amp;TEXT(SUMPRODUCT(MAX((T_PlannedOrders[Part Name]=$A171)*(T_PlannedOrders[WeekIndex]=37)*(T_PlannedOrders[EffectiveQty]&gt;0)*T_PlannedOrders[Order_Month])),"m月")&amp;"発注)")</f>
        <v/>
      </c>
      <c r="AO205">
        <f>IF(SUMIFS(T_PlannedOrders[EffectiveQty],T_PlannedOrders[Part Name],$A171,T_PlannedOrders[WeekIndex],38)=0,"",SUMIFS(T_PlannedOrders[EffectiveQty],T_PlannedOrders[Part Name],$A171,T_PlannedOrders[WeekIndex],38)&amp;" ("&amp;TEXT(SUMPRODUCT(MAX((T_PlannedOrders[Part Name]=$A171)*(T_PlannedOrders[WeekIndex]=38)*(T_PlannedOrders[EffectiveQty]&gt;0)*T_PlannedOrders[Order_Month])),"m月")&amp;"発注)")</f>
        <v/>
      </c>
      <c r="AP205">
        <f>IF(SUMIFS(T_PlannedOrders[EffectiveQty],T_PlannedOrders[Part Name],$A171,T_PlannedOrders[WeekIndex],39)=0,"",SUMIFS(T_PlannedOrders[EffectiveQty],T_PlannedOrders[Part Name],$A171,T_PlannedOrders[WeekIndex],39)&amp;" ("&amp;TEXT(SUMPRODUCT(MAX((T_PlannedOrders[Part Name]=$A171)*(T_PlannedOrders[WeekIndex]=39)*(T_PlannedOrders[EffectiveQty]&gt;0)*T_PlannedOrders[Order_Month])),"m月")&amp;"発注)")</f>
        <v/>
      </c>
      <c r="AQ205">
        <f>IF(SUMIFS(T_PlannedOrders[EffectiveQty],T_PlannedOrders[Part Name],$A171,T_PlannedOrders[WeekIndex],40)=0,"",SUMIFS(T_PlannedOrders[EffectiveQty],T_PlannedOrders[Part Name],$A171,T_PlannedOrders[WeekIndex],40)&amp;" ("&amp;TEXT(SUMPRODUCT(MAX((T_PlannedOrders[Part Name]=$A171)*(T_PlannedOrders[WeekIndex]=40)*(T_PlannedOrders[EffectiveQty]&gt;0)*T_PlannedOrders[Order_Month])),"m月")&amp;"発注)")</f>
        <v/>
      </c>
      <c r="AR205">
        <f>IF(SUMIFS(T_PlannedOrders[EffectiveQty],T_PlannedOrders[Part Name],$A171,T_PlannedOrders[WeekIndex],41)=0,"",SUMIFS(T_PlannedOrders[EffectiveQty],T_PlannedOrders[Part Name],$A171,T_PlannedOrders[WeekIndex],41)&amp;" ("&amp;TEXT(SUMPRODUCT(MAX((T_PlannedOrders[Part Name]=$A171)*(T_PlannedOrders[WeekIndex]=41)*(T_PlannedOrders[EffectiveQty]&gt;0)*T_PlannedOrders[Order_Month])),"m月")&amp;"発注)")</f>
        <v/>
      </c>
      <c r="AS205">
        <f>IF(SUMIFS(T_PlannedOrders[EffectiveQty],T_PlannedOrders[Part Name],$A171,T_PlannedOrders[WeekIndex],42)=0,"",SUMIFS(T_PlannedOrders[EffectiveQty],T_PlannedOrders[Part Name],$A171,T_PlannedOrders[WeekIndex],42)&amp;" ("&amp;TEXT(SUMPRODUCT(MAX((T_PlannedOrders[Part Name]=$A171)*(T_PlannedOrders[WeekIndex]=42)*(T_PlannedOrders[EffectiveQty]&gt;0)*T_PlannedOrders[Order_Month])),"m月")&amp;"発注)")</f>
        <v/>
      </c>
      <c r="AT205">
        <f>IF(SUMIFS(T_PlannedOrders[EffectiveQty],T_PlannedOrders[Part Name],$A171,T_PlannedOrders[WeekIndex],43)=0,"",SUMIFS(T_PlannedOrders[EffectiveQty],T_PlannedOrders[Part Name],$A171,T_PlannedOrders[WeekIndex],43)&amp;" ("&amp;TEXT(SUMPRODUCT(MAX((T_PlannedOrders[Part Name]=$A171)*(T_PlannedOrders[WeekIndex]=43)*(T_PlannedOrders[EffectiveQty]&gt;0)*T_PlannedOrders[Order_Month])),"m月")&amp;"発注)")</f>
        <v/>
      </c>
      <c r="AU205">
        <f>IF(SUMIFS(T_PlannedOrders[EffectiveQty],T_PlannedOrders[Part Name],$A171,T_PlannedOrders[WeekIndex],44)=0,"",SUMIFS(T_PlannedOrders[EffectiveQty],T_PlannedOrders[Part Name],$A171,T_PlannedOrders[WeekIndex],44)&amp;" ("&amp;TEXT(SUMPRODUCT(MAX((T_PlannedOrders[Part Name]=$A171)*(T_PlannedOrders[WeekIndex]=44)*(T_PlannedOrders[EffectiveQty]&gt;0)*T_PlannedOrders[Order_Month])),"m月")&amp;"発注)")</f>
        <v/>
      </c>
      <c r="AV205">
        <f>IF(SUMIFS(T_PlannedOrders[EffectiveQty],T_PlannedOrders[Part Name],$A171,T_PlannedOrders[WeekIndex],45)=0,"",SUMIFS(T_PlannedOrders[EffectiveQty],T_PlannedOrders[Part Name],$A171,T_PlannedOrders[WeekIndex],45)&amp;" ("&amp;TEXT(SUMPRODUCT(MAX((T_PlannedOrders[Part Name]=$A171)*(T_PlannedOrders[WeekIndex]=45)*(T_PlannedOrders[EffectiveQty]&gt;0)*T_PlannedOrders[Order_Month])),"m月")&amp;"発注)")</f>
        <v/>
      </c>
      <c r="AW205">
        <f>IF(SUMIFS(T_PlannedOrders[EffectiveQty],T_PlannedOrders[Part Name],$A171,T_PlannedOrders[WeekIndex],46)=0,"",SUMIFS(T_PlannedOrders[EffectiveQty],T_PlannedOrders[Part Name],$A171,T_PlannedOrders[WeekIndex],46)&amp;" ("&amp;TEXT(SUMPRODUCT(MAX((T_PlannedOrders[Part Name]=$A171)*(T_PlannedOrders[WeekIndex]=46)*(T_PlannedOrders[EffectiveQty]&gt;0)*T_PlannedOrders[Order_Month])),"m月")&amp;"発注)")</f>
        <v/>
      </c>
      <c r="AX205">
        <f>IF(SUMIFS(T_PlannedOrders[EffectiveQty],T_PlannedOrders[Part Name],$A171,T_PlannedOrders[WeekIndex],47)=0,"",SUMIFS(T_PlannedOrders[EffectiveQty],T_PlannedOrders[Part Name],$A171,T_PlannedOrders[WeekIndex],47)&amp;" ("&amp;TEXT(SUMPRODUCT(MAX((T_PlannedOrders[Part Name]=$A171)*(T_PlannedOrders[WeekIndex]=47)*(T_PlannedOrders[EffectiveQty]&gt;0)*T_PlannedOrders[Order_Month])),"m月")&amp;"発注)")</f>
        <v/>
      </c>
      <c r="AY205">
        <f>IF(SUMIFS(T_PlannedOrders[EffectiveQty],T_PlannedOrders[Part Name],$A171,T_PlannedOrders[WeekIndex],48)=0,"",SUMIFS(T_PlannedOrders[EffectiveQty],T_PlannedOrders[Part Name],$A171,T_PlannedOrders[WeekIndex],48)&amp;" ("&amp;TEXT(SUMPRODUCT(MAX((T_PlannedOrders[Part Name]=$A171)*(T_PlannedOrders[WeekIndex]=48)*(T_PlannedOrders[EffectiveQty]&gt;0)*T_PlannedOrders[Order_Month])),"m月")&amp;"発注)")</f>
        <v/>
      </c>
      <c r="AZ205">
        <f>IF(SUMIFS(T_PlannedOrders[EffectiveQty],T_PlannedOrders[Part Name],$A171,T_PlannedOrders[WeekIndex],49)=0,"",SUMIFS(T_PlannedOrders[EffectiveQty],T_PlannedOrders[Part Name],$A171,T_PlannedOrders[WeekIndex],49)&amp;" ("&amp;TEXT(SUMPRODUCT(MAX((T_PlannedOrders[Part Name]=$A171)*(T_PlannedOrders[WeekIndex]=49)*(T_PlannedOrders[EffectiveQty]&gt;0)*T_PlannedOrders[Order_Month])),"m月")&amp;"発注)")</f>
        <v/>
      </c>
      <c r="BA205">
        <f>IF(SUMIFS(T_PlannedOrders[EffectiveQty],T_PlannedOrders[Part Name],$A171,T_PlannedOrders[WeekIndex],50)=0,"",SUMIFS(T_PlannedOrders[EffectiveQty],T_PlannedOrders[Part Name],$A171,T_PlannedOrders[WeekIndex],50)&amp;" ("&amp;TEXT(SUMPRODUCT(MAX((T_PlannedOrders[Part Name]=$A171)*(T_PlannedOrders[WeekIndex]=50)*(T_PlannedOrders[EffectiveQty]&gt;0)*T_PlannedOrders[Order_Month])),"m月")&amp;"発注)")</f>
        <v/>
      </c>
      <c r="BB205">
        <f>IF(SUMIFS(T_PlannedOrders[EffectiveQty],T_PlannedOrders[Part Name],$A171,T_PlannedOrders[WeekIndex],51)=0,"",SUMIFS(T_PlannedOrders[EffectiveQty],T_PlannedOrders[Part Name],$A171,T_PlannedOrders[WeekIndex],51)&amp;" ("&amp;TEXT(SUMPRODUCT(MAX((T_PlannedOrders[Part Name]=$A171)*(T_PlannedOrders[WeekIndex]=51)*(T_PlannedOrders[EffectiveQty]&gt;0)*T_PlannedOrders[Order_Month])),"m月")&amp;"発注)")</f>
        <v/>
      </c>
      <c r="BC205">
        <f>IF(SUMIFS(T_PlannedOrders[EffectiveQty],T_PlannedOrders[Part Name],$A171,T_PlannedOrders[WeekIndex],52)=0,"",SUMIFS(T_PlannedOrders[EffectiveQty],T_PlannedOrders[Part Name],$A171,T_PlannedOrders[WeekIndex],52)&amp;" ("&amp;TEXT(SUMPRODUCT(MAX((T_PlannedOrders[Part Name]=$A171)*(T_PlannedOrders[WeekIndex]=52)*(T_PlannedOrders[EffectiveQty]&gt;0)*T_PlannedOrders[Order_Month])),"m月")&amp;"発注)")</f>
        <v/>
      </c>
      <c r="BD205">
        <f>IF(SUMIFS(T_PlannedOrders[EffectiveQty],T_PlannedOrders[Part Name],$A171,T_PlannedOrders[WeekIndex],53)=0,"",SUMIFS(T_PlannedOrders[EffectiveQty],T_PlannedOrders[Part Name],$A171,T_PlannedOrders[WeekIndex],53)&amp;" ("&amp;TEXT(SUMPRODUCT(MAX((T_PlannedOrders[Part Name]=$A171)*(T_PlannedOrders[WeekIndex]=53)*(T_PlannedOrders[EffectiveQty]&gt;0)*T_PlannedOrders[Order_Month])),"m月")&amp;"発注)")</f>
        <v/>
      </c>
      <c r="BE205">
        <f>IF(SUMIFS(T_PlannedOrders[EffectiveQty],T_PlannedOrders[Part Name],$A171,T_PlannedOrders[WeekIndex],54)=0,"",SUMIFS(T_PlannedOrders[EffectiveQty],T_PlannedOrders[Part Name],$A171,T_PlannedOrders[WeekIndex],54)&amp;" ("&amp;TEXT(SUMPRODUCT(MAX((T_PlannedOrders[Part Name]=$A171)*(T_PlannedOrders[WeekIndex]=54)*(T_PlannedOrders[EffectiveQty]&gt;0)*T_PlannedOrders[Order_Month])),"m月")&amp;"発注)")</f>
        <v/>
      </c>
      <c r="BF205">
        <f>IF(SUMIFS(T_PlannedOrders[EffectiveQty],T_PlannedOrders[Part Name],$A171,T_PlannedOrders[WeekIndex],55)=0,"",SUMIFS(T_PlannedOrders[EffectiveQty],T_PlannedOrders[Part Name],$A171,T_PlannedOrders[WeekIndex],55)&amp;" ("&amp;TEXT(SUMPRODUCT(MAX((T_PlannedOrders[Part Name]=$A171)*(T_PlannedOrders[WeekIndex]=55)*(T_PlannedOrders[EffectiveQty]&gt;0)*T_PlannedOrders[Order_Month])),"m月")&amp;"発注)")</f>
        <v/>
      </c>
      <c r="BG205">
        <f>IF(SUMIFS(T_PlannedOrders[EffectiveQty],T_PlannedOrders[Part Name],$A171,T_PlannedOrders[WeekIndex],56)=0,"",SUMIFS(T_PlannedOrders[EffectiveQty],T_PlannedOrders[Part Name],$A171,T_PlannedOrders[WeekIndex],56)&amp;" ("&amp;TEXT(SUMPRODUCT(MAX((T_PlannedOrders[Part Name]=$A171)*(T_PlannedOrders[WeekIndex]=56)*(T_PlannedOrders[EffectiveQty]&gt;0)*T_PlannedOrders[Order_Month])),"m月")&amp;"発注)")</f>
        <v/>
      </c>
      <c r="BH205">
        <f>IF(SUMIFS(T_PlannedOrders[EffectiveQty],T_PlannedOrders[Part Name],$A171,T_PlannedOrders[WeekIndex],57)=0,"",SUMIFS(T_PlannedOrders[EffectiveQty],T_PlannedOrders[Part Name],$A171,T_PlannedOrders[WeekIndex],57)&amp;" ("&amp;TEXT(SUMPRODUCT(MAX((T_PlannedOrders[Part Name]=$A171)*(T_PlannedOrders[WeekIndex]=57)*(T_PlannedOrders[EffectiveQty]&gt;0)*T_PlannedOrders[Order_Month])),"m月")&amp;"発注)")</f>
        <v/>
      </c>
      <c r="BI205">
        <f>IF(SUMIFS(T_PlannedOrders[EffectiveQty],T_PlannedOrders[Part Name],$A171,T_PlannedOrders[WeekIndex],58)=0,"",SUMIFS(T_PlannedOrders[EffectiveQty],T_PlannedOrders[Part Name],$A171,T_PlannedOrders[WeekIndex],58)&amp;" ("&amp;TEXT(SUMPRODUCT(MAX((T_PlannedOrders[Part Name]=$A171)*(T_PlannedOrders[WeekIndex]=58)*(T_PlannedOrders[EffectiveQty]&gt;0)*T_PlannedOrders[Order_Month])),"m月")&amp;"発注)")</f>
        <v/>
      </c>
      <c r="BJ205">
        <f>IF(SUMIFS(T_PlannedOrders[EffectiveQty],T_PlannedOrders[Part Name],$A171,T_PlannedOrders[WeekIndex],59)=0,"",SUMIFS(T_PlannedOrders[EffectiveQty],T_PlannedOrders[Part Name],$A171,T_PlannedOrders[WeekIndex],59)&amp;" ("&amp;TEXT(SUMPRODUCT(MAX((T_PlannedOrders[Part Name]=$A171)*(T_PlannedOrders[WeekIndex]=59)*(T_PlannedOrders[EffectiveQty]&gt;0)*T_PlannedOrders[Order_Month])),"m月")&amp;"発注)")</f>
        <v/>
      </c>
      <c r="BK205">
        <f>IF(SUMIFS(T_PlannedOrders[EffectiveQty],T_PlannedOrders[Part Name],$A171,T_PlannedOrders[WeekIndex],60)=0,"",SUMIFS(T_PlannedOrders[EffectiveQty],T_PlannedOrders[Part Name],$A171,T_PlannedOrders[WeekIndex],60)&amp;" ("&amp;TEXT(SUMPRODUCT(MAX((T_PlannedOrders[Part Name]=$A171)*(T_PlannedOrders[WeekIndex]=60)*(T_PlannedOrders[EffectiveQty]&gt;0)*T_PlannedOrders[Order_Month])),"m月")&amp;"発注)")</f>
        <v/>
      </c>
      <c r="BL205">
        <f>IF(SUMIFS(T_PlannedOrders[EffectiveQty],T_PlannedOrders[Part Name],$A171,T_PlannedOrders[WeekIndex],61)=0,"",SUMIFS(T_PlannedOrders[EffectiveQty],T_PlannedOrders[Part Name],$A171,T_PlannedOrders[WeekIndex],61)&amp;" ("&amp;TEXT(SUMPRODUCT(MAX((T_PlannedOrders[Part Name]=$A171)*(T_PlannedOrders[WeekIndex]=61)*(T_PlannedOrders[EffectiveQty]&gt;0)*T_PlannedOrders[Order_Month])),"m月")&amp;"発注)")</f>
        <v/>
      </c>
      <c r="BM205">
        <f>IF(SUMIFS(T_PlannedOrders[EffectiveQty],T_PlannedOrders[Part Name],$A171,T_PlannedOrders[WeekIndex],62)=0,"",SUMIFS(T_PlannedOrders[EffectiveQty],T_PlannedOrders[Part Name],$A171,T_PlannedOrders[WeekIndex],62)&amp;" ("&amp;TEXT(SUMPRODUCT(MAX((T_PlannedOrders[Part Name]=$A171)*(T_PlannedOrders[WeekIndex]=62)*(T_PlannedOrders[EffectiveQty]&gt;0)*T_PlannedOrders[Order_Month])),"m月")&amp;"発注)")</f>
        <v/>
      </c>
      <c r="BN205">
        <f>IF(SUMIFS(T_PlannedOrders[EffectiveQty],T_PlannedOrders[Part Name],$A171,T_PlannedOrders[WeekIndex],63)=0,"",SUMIFS(T_PlannedOrders[EffectiveQty],T_PlannedOrders[Part Name],$A171,T_PlannedOrders[WeekIndex],63)&amp;" ("&amp;TEXT(SUMPRODUCT(MAX((T_PlannedOrders[Part Name]=$A171)*(T_PlannedOrders[WeekIndex]=63)*(T_PlannedOrders[EffectiveQty]&gt;0)*T_PlannedOrders[Order_Month])),"m月")&amp;"発注)")</f>
        <v/>
      </c>
      <c r="BO205">
        <f>IF(SUMIFS(T_PlannedOrders[EffectiveQty],T_PlannedOrders[Part Name],$A171,T_PlannedOrders[WeekIndex],64)=0,"",SUMIFS(T_PlannedOrders[EffectiveQty],T_PlannedOrders[Part Name],$A171,T_PlannedOrders[WeekIndex],64)&amp;" ("&amp;TEXT(SUMPRODUCT(MAX((T_PlannedOrders[Part Name]=$A171)*(T_PlannedOrders[WeekIndex]=64)*(T_PlannedOrders[EffectiveQty]&gt;0)*T_PlannedOrders[Order_Month])),"m月")&amp;"発注)")</f>
        <v/>
      </c>
      <c r="BP205">
        <f>IF(SUMIFS(T_PlannedOrders[EffectiveQty],T_PlannedOrders[Part Name],$A171,T_PlannedOrders[WeekIndex],65)=0,"",SUMIFS(T_PlannedOrders[EffectiveQty],T_PlannedOrders[Part Name],$A171,T_PlannedOrders[WeekIndex],65)&amp;" ("&amp;TEXT(SUMPRODUCT(MAX((T_PlannedOrders[Part Name]=$A171)*(T_PlannedOrders[WeekIndex]=65)*(T_PlannedOrders[EffectiveQty]&gt;0)*T_PlannedOrders[Order_Month])),"m月")&amp;"発注)")</f>
        <v/>
      </c>
      <c r="BQ205">
        <f>IF(SUMIFS(T_PlannedOrders[EffectiveQty],T_PlannedOrders[Part Name],$A171,T_PlannedOrders[WeekIndex],66)=0,"",SUMIFS(T_PlannedOrders[EffectiveQty],T_PlannedOrders[Part Name],$A171,T_PlannedOrders[WeekIndex],66)&amp;" ("&amp;TEXT(SUMPRODUCT(MAX((T_PlannedOrders[Part Name]=$A171)*(T_PlannedOrders[WeekIndex]=66)*(T_PlannedOrders[EffectiveQty]&gt;0)*T_PlannedOrders[Order_Month])),"m月")&amp;"発注)")</f>
        <v/>
      </c>
      <c r="BR205">
        <f>IF(SUMIFS(T_PlannedOrders[EffectiveQty],T_PlannedOrders[Part Name],$A171,T_PlannedOrders[WeekIndex],67)=0,"",SUMIFS(T_PlannedOrders[EffectiveQty],T_PlannedOrders[Part Name],$A171,T_PlannedOrders[WeekIndex],67)&amp;" ("&amp;TEXT(SUMPRODUCT(MAX((T_PlannedOrders[Part Name]=$A171)*(T_PlannedOrders[WeekIndex]=67)*(T_PlannedOrders[EffectiveQty]&gt;0)*T_PlannedOrders[Order_Month])),"m月")&amp;"発注)")</f>
        <v/>
      </c>
      <c r="BS205">
        <f>IF(SUMIFS(T_PlannedOrders[EffectiveQty],T_PlannedOrders[Part Name],$A171,T_PlannedOrders[WeekIndex],68)=0,"",SUMIFS(T_PlannedOrders[EffectiveQty],T_PlannedOrders[Part Name],$A171,T_PlannedOrders[WeekIndex],68)&amp;" ("&amp;TEXT(SUMPRODUCT(MAX((T_PlannedOrders[Part Name]=$A171)*(T_PlannedOrders[WeekIndex]=68)*(T_PlannedOrders[EffectiveQty]&gt;0)*T_PlannedOrders[Order_Month])),"m月")&amp;"発注)")</f>
        <v/>
      </c>
      <c r="BT205">
        <f>IF(SUMIFS(T_PlannedOrders[EffectiveQty],T_PlannedOrders[Part Name],$A171,T_PlannedOrders[WeekIndex],69)=0,"",SUMIFS(T_PlannedOrders[EffectiveQty],T_PlannedOrders[Part Name],$A171,T_PlannedOrders[WeekIndex],69)&amp;" ("&amp;TEXT(SUMPRODUCT(MAX((T_PlannedOrders[Part Name]=$A171)*(T_PlannedOrders[WeekIndex]=69)*(T_PlannedOrders[EffectiveQty]&gt;0)*T_PlannedOrders[Order_Month])),"m月")&amp;"発注)")</f>
        <v/>
      </c>
      <c r="BU205">
        <f>IF(SUMIFS(T_PlannedOrders[EffectiveQty],T_PlannedOrders[Part Name],$A171,T_PlannedOrders[WeekIndex],70)=0,"",SUMIFS(T_PlannedOrders[EffectiveQty],T_PlannedOrders[Part Name],$A171,T_PlannedOrders[WeekIndex],70)&amp;" ("&amp;TEXT(SUMPRODUCT(MAX((T_PlannedOrders[Part Name]=$A171)*(T_PlannedOrders[WeekIndex]=70)*(T_PlannedOrders[EffectiveQty]&gt;0)*T_PlannedOrders[Order_Month])),"m月")&amp;"発注)")</f>
        <v/>
      </c>
      <c r="BV205">
        <f>IF(SUMIFS(T_PlannedOrders[EffectiveQty],T_PlannedOrders[Part Name],$A171,T_PlannedOrders[WeekIndex],71)=0,"",SUMIFS(T_PlannedOrders[EffectiveQty],T_PlannedOrders[Part Name],$A171,T_PlannedOrders[WeekIndex],71)&amp;" ("&amp;TEXT(SUMPRODUCT(MAX((T_PlannedOrders[Part Name]=$A171)*(T_PlannedOrders[WeekIndex]=71)*(T_PlannedOrders[EffectiveQty]&gt;0)*T_PlannedOrders[Order_Month])),"m月")&amp;"発注)")</f>
        <v/>
      </c>
      <c r="BW205">
        <f>IF(SUMIFS(T_PlannedOrders[EffectiveQty],T_PlannedOrders[Part Name],$A171,T_PlannedOrders[WeekIndex],72)=0,"",SUMIFS(T_PlannedOrders[EffectiveQty],T_PlannedOrders[Part Name],$A171,T_PlannedOrders[WeekIndex],72)&amp;" ("&amp;TEXT(SUMPRODUCT(MAX((T_PlannedOrders[Part Name]=$A171)*(T_PlannedOrders[WeekIndex]=72)*(T_PlannedOrders[EffectiveQty]&gt;0)*T_PlannedOrders[Order_Month])),"m月")&amp;"発注)")</f>
        <v/>
      </c>
      <c r="BX205">
        <f>IF(SUMIFS(T_PlannedOrders[EffectiveQty],T_PlannedOrders[Part Name],$A171,T_PlannedOrders[WeekIndex],73)=0,"",SUMIFS(T_PlannedOrders[EffectiveQty],T_PlannedOrders[Part Name],$A171,T_PlannedOrders[WeekIndex],73)&amp;" ("&amp;TEXT(SUMPRODUCT(MAX((T_PlannedOrders[Part Name]=$A171)*(T_PlannedOrders[WeekIndex]=73)*(T_PlannedOrders[EffectiveQty]&gt;0)*T_PlannedOrders[Order_Month])),"m月")&amp;"発注)")</f>
        <v/>
      </c>
      <c r="BY205">
        <f>IF(SUMIFS(T_PlannedOrders[EffectiveQty],T_PlannedOrders[Part Name],$A171,T_PlannedOrders[WeekIndex],74)=0,"",SUMIFS(T_PlannedOrders[EffectiveQty],T_PlannedOrders[Part Name],$A171,T_PlannedOrders[WeekIndex],74)&amp;" ("&amp;TEXT(SUMPRODUCT(MAX((T_PlannedOrders[Part Name]=$A171)*(T_PlannedOrders[WeekIndex]=74)*(T_PlannedOrders[EffectiveQty]&gt;0)*T_PlannedOrders[Order_Month])),"m月")&amp;"発注)")</f>
        <v/>
      </c>
      <c r="BZ205">
        <f>IF(SUMIFS(T_PlannedOrders[EffectiveQty],T_PlannedOrders[Part Name],$A171,T_PlannedOrders[WeekIndex],75)=0,"",SUMIFS(T_PlannedOrders[EffectiveQty],T_PlannedOrders[Part Name],$A171,T_PlannedOrders[WeekIndex],75)&amp;" ("&amp;TEXT(SUMPRODUCT(MAX((T_PlannedOrders[Part Name]=$A171)*(T_PlannedOrders[WeekIndex]=75)*(T_PlannedOrders[EffectiveQty]&gt;0)*T_PlannedOrders[Order_Month])),"m月")&amp;"発注)")</f>
        <v/>
      </c>
      <c r="CA205">
        <f>IF(SUMIFS(T_PlannedOrders[EffectiveQty],T_PlannedOrders[Part Name],$A171,T_PlannedOrders[WeekIndex],76)=0,"",SUMIFS(T_PlannedOrders[EffectiveQty],T_PlannedOrders[Part Name],$A171,T_PlannedOrders[WeekIndex],76)&amp;" ("&amp;TEXT(SUMPRODUCT(MAX((T_PlannedOrders[Part Name]=$A171)*(T_PlannedOrders[WeekIndex]=76)*(T_PlannedOrders[EffectiveQty]&gt;0)*T_PlannedOrders[Order_Month])),"m月")&amp;"発注)")</f>
        <v/>
      </c>
      <c r="CB205">
        <f>IF(SUMIFS(T_PlannedOrders[EffectiveQty],T_PlannedOrders[Part Name],$A171,T_PlannedOrders[WeekIndex],77)=0,"",SUMIFS(T_PlannedOrders[EffectiveQty],T_PlannedOrders[Part Name],$A171,T_PlannedOrders[WeekIndex],77)&amp;" ("&amp;TEXT(SUMPRODUCT(MAX((T_PlannedOrders[Part Name]=$A171)*(T_PlannedOrders[WeekIndex]=77)*(T_PlannedOrders[EffectiveQty]&gt;0)*T_PlannedOrders[Order_Month])),"m月")&amp;"発注)")</f>
        <v/>
      </c>
      <c r="CC205">
        <f>IF(SUMIFS(T_PlannedOrders[EffectiveQty],T_PlannedOrders[Part Name],$A171,T_PlannedOrders[WeekIndex],78)=0,"",SUMIFS(T_PlannedOrders[EffectiveQty],T_PlannedOrders[Part Name],$A171,T_PlannedOrders[WeekIndex],78)&amp;" ("&amp;TEXT(SUMPRODUCT(MAX((T_PlannedOrders[Part Name]=$A171)*(T_PlannedOrders[WeekIndex]=78)*(T_PlannedOrders[EffectiveQty]&gt;0)*T_PlannedOrders[Order_Month])),"m月")&amp;"発注)")</f>
        <v/>
      </c>
      <c r="CD205">
        <f>IF(SUMIFS(T_PlannedOrders[EffectiveQty],T_PlannedOrders[Part Name],$A171,T_PlannedOrders[WeekIndex],79)=0,"",SUMIFS(T_PlannedOrders[EffectiveQty],T_PlannedOrders[Part Name],$A171,T_PlannedOrders[WeekIndex],79)&amp;" ("&amp;TEXT(SUMPRODUCT(MAX((T_PlannedOrders[Part Name]=$A171)*(T_PlannedOrders[WeekIndex]=79)*(T_PlannedOrders[EffectiveQty]&gt;0)*T_PlannedOrders[Order_Month])),"m月")&amp;"発注)")</f>
        <v/>
      </c>
      <c r="CE205">
        <f>IF(SUMIFS(T_PlannedOrders[EffectiveQty],T_PlannedOrders[Part Name],$A171,T_PlannedOrders[WeekIndex],80)=0,"",SUMIFS(T_PlannedOrders[EffectiveQty],T_PlannedOrders[Part Name],$A171,T_PlannedOrders[WeekIndex],80)&amp;" ("&amp;TEXT(SUMPRODUCT(MAX((T_PlannedOrders[Part Name]=$A171)*(T_PlannedOrders[WeekIndex]=80)*(T_PlannedOrders[EffectiveQty]&gt;0)*T_PlannedOrders[Order_Month])),"m月")&amp;"発注)")</f>
        <v/>
      </c>
      <c r="CF205">
        <f>IF(SUMIFS(T_PlannedOrders[EffectiveQty],T_PlannedOrders[Part Name],$A171,T_PlannedOrders[WeekIndex],81)=0,"",SUMIFS(T_PlannedOrders[EffectiveQty],T_PlannedOrders[Part Name],$A171,T_PlannedOrders[WeekIndex],81)&amp;" ("&amp;TEXT(SUMPRODUCT(MAX((T_PlannedOrders[Part Name]=$A171)*(T_PlannedOrders[WeekIndex]=81)*(T_PlannedOrders[EffectiveQty]&gt;0)*T_PlannedOrders[Order_Month])),"m月")&amp;"発注)")</f>
        <v/>
      </c>
      <c r="CG205">
        <f>IF(SUMIFS(T_PlannedOrders[EffectiveQty],T_PlannedOrders[Part Name],$A171,T_PlannedOrders[WeekIndex],82)=0,"",SUMIFS(T_PlannedOrders[EffectiveQty],T_PlannedOrders[Part Name],$A171,T_PlannedOrders[WeekIndex],82)&amp;" ("&amp;TEXT(SUMPRODUCT(MAX((T_PlannedOrders[Part Name]=$A171)*(T_PlannedOrders[WeekIndex]=82)*(T_PlannedOrders[EffectiveQty]&gt;0)*T_PlannedOrders[Order_Month])),"m月")&amp;"発注)")</f>
        <v/>
      </c>
      <c r="CH205">
        <f>IF(SUMIFS(T_PlannedOrders[EffectiveQty],T_PlannedOrders[Part Name],$A171,T_PlannedOrders[WeekIndex],83)=0,"",SUMIFS(T_PlannedOrders[EffectiveQty],T_PlannedOrders[Part Name],$A171,T_PlannedOrders[WeekIndex],83)&amp;" ("&amp;TEXT(SUMPRODUCT(MAX((T_PlannedOrders[Part Name]=$A171)*(T_PlannedOrders[WeekIndex]=83)*(T_PlannedOrders[EffectiveQty]&gt;0)*T_PlannedOrders[Order_Month])),"m月")&amp;"発注)")</f>
        <v/>
      </c>
      <c r="CI205">
        <f>IF(SUMIFS(T_PlannedOrders[EffectiveQty],T_PlannedOrders[Part Name],$A171,T_PlannedOrders[WeekIndex],84)=0,"",SUMIFS(T_PlannedOrders[EffectiveQty],T_PlannedOrders[Part Name],$A171,T_PlannedOrders[WeekIndex],84)&amp;" ("&amp;TEXT(SUMPRODUCT(MAX((T_PlannedOrders[Part Name]=$A171)*(T_PlannedOrders[WeekIndex]=84)*(T_PlannedOrders[EffectiveQty]&gt;0)*T_PlannedOrders[Order_Month])),"m月")&amp;"発注)")</f>
        <v/>
      </c>
      <c r="CJ205">
        <f>IF(SUMIFS(T_PlannedOrders[EffectiveQty],T_PlannedOrders[Part Name],$A171,T_PlannedOrders[WeekIndex],85)=0,"",SUMIFS(T_PlannedOrders[EffectiveQty],T_PlannedOrders[Part Name],$A171,T_PlannedOrders[WeekIndex],85)&amp;" ("&amp;TEXT(SUMPRODUCT(MAX((T_PlannedOrders[Part Name]=$A171)*(T_PlannedOrders[WeekIndex]=85)*(T_PlannedOrders[EffectiveQty]&gt;0)*T_PlannedOrders[Order_Month])),"m月")&amp;"発注)")</f>
        <v/>
      </c>
      <c r="CK205">
        <f>IF(SUMIFS(T_PlannedOrders[EffectiveQty],T_PlannedOrders[Part Name],$A171,T_PlannedOrders[WeekIndex],86)=0,"",SUMIFS(T_PlannedOrders[EffectiveQty],T_PlannedOrders[Part Name],$A171,T_PlannedOrders[WeekIndex],86)&amp;" ("&amp;TEXT(SUMPRODUCT(MAX((T_PlannedOrders[Part Name]=$A171)*(T_PlannedOrders[WeekIndex]=86)*(T_PlannedOrders[EffectiveQty]&gt;0)*T_PlannedOrders[Order_Month])),"m月")&amp;"発注)")</f>
        <v/>
      </c>
      <c r="CL205">
        <f>IF(SUMIFS(T_PlannedOrders[EffectiveQty],T_PlannedOrders[Part Name],$A171,T_PlannedOrders[WeekIndex],87)=0,"",SUMIFS(T_PlannedOrders[EffectiveQty],T_PlannedOrders[Part Name],$A171,T_PlannedOrders[WeekIndex],87)&amp;" ("&amp;TEXT(SUMPRODUCT(MAX((T_PlannedOrders[Part Name]=$A171)*(T_PlannedOrders[WeekIndex]=87)*(T_PlannedOrders[EffectiveQty]&gt;0)*T_PlannedOrders[Order_Month])),"m月")&amp;"発注)")</f>
        <v/>
      </c>
      <c r="CM205">
        <f>IF(SUMIFS(T_PlannedOrders[EffectiveQty],T_PlannedOrders[Part Name],$A171,T_PlannedOrders[WeekIndex],88)=0,"",SUMIFS(T_PlannedOrders[EffectiveQty],T_PlannedOrders[Part Name],$A171,T_PlannedOrders[WeekIndex],88)&amp;" ("&amp;TEXT(SUMPRODUCT(MAX((T_PlannedOrders[Part Name]=$A171)*(T_PlannedOrders[WeekIndex]=88)*(T_PlannedOrders[EffectiveQty]&gt;0)*T_PlannedOrders[Order_Month])),"m月")&amp;"発注)")</f>
        <v/>
      </c>
      <c r="CN205">
        <f>IF(SUMIFS(T_PlannedOrders[EffectiveQty],T_PlannedOrders[Part Name],$A171,T_PlannedOrders[WeekIndex],89)=0,"",SUMIFS(T_PlannedOrders[EffectiveQty],T_PlannedOrders[Part Name],$A171,T_PlannedOrders[WeekIndex],89)&amp;" ("&amp;TEXT(SUMPRODUCT(MAX((T_PlannedOrders[Part Name]=$A171)*(T_PlannedOrders[WeekIndex]=89)*(T_PlannedOrders[EffectiveQty]&gt;0)*T_PlannedOrders[Order_Month])),"m月")&amp;"発注)")</f>
        <v/>
      </c>
      <c r="CO205">
        <f>IF(SUMIFS(T_PlannedOrders[EffectiveQty],T_PlannedOrders[Part Name],$A171,T_PlannedOrders[WeekIndex],90)=0,"",SUMIFS(T_PlannedOrders[EffectiveQty],T_PlannedOrders[Part Name],$A171,T_PlannedOrders[WeekIndex],90)&amp;" ("&amp;TEXT(SUMPRODUCT(MAX((T_PlannedOrders[Part Name]=$A171)*(T_PlannedOrders[WeekIndex]=90)*(T_PlannedOrders[EffectiveQty]&gt;0)*T_PlannedOrders[Order_Month])),"m月")&amp;"発注)")</f>
        <v/>
      </c>
      <c r="CP205">
        <f>IF(SUMIFS(T_PlannedOrders[EffectiveQty],T_PlannedOrders[Part Name],$A171,T_PlannedOrders[WeekIndex],91)=0,"",SUMIFS(T_PlannedOrders[EffectiveQty],T_PlannedOrders[Part Name],$A171,T_PlannedOrders[WeekIndex],91)&amp;" ("&amp;TEXT(SUMPRODUCT(MAX((T_PlannedOrders[Part Name]=$A171)*(T_PlannedOrders[WeekIndex]=91)*(T_PlannedOrders[EffectiveQty]&gt;0)*T_PlannedOrders[Order_Month])),"m月")&amp;"発注)")</f>
        <v/>
      </c>
      <c r="CQ205">
        <f>IF(SUMIFS(T_PlannedOrders[EffectiveQty],T_PlannedOrders[Part Name],$A171,T_PlannedOrders[WeekIndex],92)=0,"",SUMIFS(T_PlannedOrders[EffectiveQty],T_PlannedOrders[Part Name],$A171,T_PlannedOrders[WeekIndex],92)&amp;" ("&amp;TEXT(SUMPRODUCT(MAX((T_PlannedOrders[Part Name]=$A171)*(T_PlannedOrders[WeekIndex]=92)*(T_PlannedOrders[EffectiveQty]&gt;0)*T_PlannedOrders[Order_Month])),"m月")&amp;"発注)")</f>
        <v/>
      </c>
      <c r="CR205">
        <f>IF(SUMIFS(T_PlannedOrders[EffectiveQty],T_PlannedOrders[Part Name],$A171,T_PlannedOrders[WeekIndex],93)=0,"",SUMIFS(T_PlannedOrders[EffectiveQty],T_PlannedOrders[Part Name],$A171,T_PlannedOrders[WeekIndex],93)&amp;" ("&amp;TEXT(SUMPRODUCT(MAX((T_PlannedOrders[Part Name]=$A171)*(T_PlannedOrders[WeekIndex]=93)*(T_PlannedOrders[EffectiveQty]&gt;0)*T_PlannedOrders[Order_Month])),"m月")&amp;"発注)")</f>
        <v/>
      </c>
      <c r="CS205">
        <f>IF(SUMIFS(T_PlannedOrders[EffectiveQty],T_PlannedOrders[Part Name],$A171,T_PlannedOrders[WeekIndex],94)=0,"",SUMIFS(T_PlannedOrders[EffectiveQty],T_PlannedOrders[Part Name],$A171,T_PlannedOrders[WeekIndex],94)&amp;" ("&amp;TEXT(SUMPRODUCT(MAX((T_PlannedOrders[Part Name]=$A171)*(T_PlannedOrders[WeekIndex]=94)*(T_PlannedOrders[EffectiveQty]&gt;0)*T_PlannedOrders[Order_Month])),"m月")&amp;"発注)")</f>
        <v/>
      </c>
      <c r="CT205">
        <f>IF(SUMIFS(T_PlannedOrders[EffectiveQty],T_PlannedOrders[Part Name],$A171,T_PlannedOrders[WeekIndex],95)=0,"",SUMIFS(T_PlannedOrders[EffectiveQty],T_PlannedOrders[Part Name],$A171,T_PlannedOrders[WeekIndex],95)&amp;" ("&amp;TEXT(SUMPRODUCT(MAX((T_PlannedOrders[Part Name]=$A171)*(T_PlannedOrders[WeekIndex]=95)*(T_PlannedOrders[EffectiveQty]&gt;0)*T_PlannedOrders[Order_Month])),"m月")&amp;"発注)")</f>
        <v/>
      </c>
      <c r="CU205">
        <f>IF(SUMIFS(T_PlannedOrders[EffectiveQty],T_PlannedOrders[Part Name],$A171,T_PlannedOrders[WeekIndex],96)=0,"",SUMIFS(T_PlannedOrders[EffectiveQty],T_PlannedOrders[Part Name],$A171,T_PlannedOrders[WeekIndex],96)&amp;" ("&amp;TEXT(SUMPRODUCT(MAX((T_PlannedOrders[Part Name]=$A171)*(T_PlannedOrders[WeekIndex]=96)*(T_PlannedOrders[EffectiveQty]&gt;0)*T_PlannedOrders[Order_Month])),"m月")&amp;"発注)")</f>
        <v/>
      </c>
      <c r="CV205">
        <f>IF(SUMIFS(T_PlannedOrders[EffectiveQty],T_PlannedOrders[Part Name],$A171,T_PlannedOrders[WeekIndex],97)=0,"",SUMIFS(T_PlannedOrders[EffectiveQty],T_PlannedOrders[Part Name],$A171,T_PlannedOrders[WeekIndex],97)&amp;" ("&amp;TEXT(SUMPRODUCT(MAX((T_PlannedOrders[Part Name]=$A171)*(T_PlannedOrders[WeekIndex]=97)*(T_PlannedOrders[EffectiveQty]&gt;0)*T_PlannedOrders[Order_Month])),"m月")&amp;"発注)")</f>
        <v/>
      </c>
      <c r="CW205">
        <f>IF(SUMIFS(T_PlannedOrders[EffectiveQty],T_PlannedOrders[Part Name],$A171,T_PlannedOrders[WeekIndex],98)=0,"",SUMIFS(T_PlannedOrders[EffectiveQty],T_PlannedOrders[Part Name],$A171,T_PlannedOrders[WeekIndex],98)&amp;" ("&amp;TEXT(SUMPRODUCT(MAX((T_PlannedOrders[Part Name]=$A171)*(T_PlannedOrders[WeekIndex]=98)*(T_PlannedOrders[EffectiveQty]&gt;0)*T_PlannedOrders[Order_Month])),"m月")&amp;"発注)")</f>
        <v/>
      </c>
      <c r="CX205">
        <f>IF(SUMIFS(T_PlannedOrders[EffectiveQty],T_PlannedOrders[Part Name],$A171,T_PlannedOrders[WeekIndex],99)=0,"",SUMIFS(T_PlannedOrders[EffectiveQty],T_PlannedOrders[Part Name],$A171,T_PlannedOrders[WeekIndex],99)&amp;" ("&amp;TEXT(SUMPRODUCT(MAX((T_PlannedOrders[Part Name]=$A171)*(T_PlannedOrders[WeekIndex]=99)*(T_PlannedOrders[EffectiveQty]&gt;0)*T_PlannedOrders[Order_Month])),"m月")&amp;"発注)")</f>
        <v/>
      </c>
      <c r="CY205">
        <f>IF(SUMIFS(T_PlannedOrders[EffectiveQty],T_PlannedOrders[Part Name],$A171,T_PlannedOrders[WeekIndex],100)=0,"",SUMIFS(T_PlannedOrders[EffectiveQty],T_PlannedOrders[Part Name],$A171,T_PlannedOrders[WeekIndex],100)&amp;" ("&amp;TEXT(SUMPRODUCT(MAX((T_PlannedOrders[Part Name]=$A171)*(T_PlannedOrders[WeekIndex]=100)*(T_PlannedOrders[EffectiveQty]&gt;0)*T_PlannedOrders[Order_Month])),"m月")&amp;"発注)")</f>
        <v/>
      </c>
      <c r="CZ205">
        <f>IF(SUMIFS(T_PlannedOrders[EffectiveQty],T_PlannedOrders[Part Name],$A171,T_PlannedOrders[WeekIndex],101)=0,"",SUMIFS(T_PlannedOrders[EffectiveQty],T_PlannedOrders[Part Name],$A171,T_PlannedOrders[WeekIndex],101)&amp;" ("&amp;TEXT(SUMPRODUCT(MAX((T_PlannedOrders[Part Name]=$A171)*(T_PlannedOrders[WeekIndex]=101)*(T_PlannedOrders[EffectiveQty]&gt;0)*T_PlannedOrders[Order_Month])),"m月")&amp;"発注)")</f>
        <v/>
      </c>
      <c r="DA205">
        <f>IF(SUMIFS(T_PlannedOrders[EffectiveQty],T_PlannedOrders[Part Name],$A171,T_PlannedOrders[WeekIndex],102)=0,"",SUMIFS(T_PlannedOrders[EffectiveQty],T_PlannedOrders[Part Name],$A171,T_PlannedOrders[WeekIndex],102)&amp;" ("&amp;TEXT(SUMPRODUCT(MAX((T_PlannedOrders[Part Name]=$A171)*(T_PlannedOrders[WeekIndex]=102)*(T_PlannedOrders[EffectiveQty]&gt;0)*T_PlannedOrders[Order_Month])),"m月")&amp;"発注)")</f>
        <v/>
      </c>
      <c r="DB205">
        <f>IF(SUMIFS(T_PlannedOrders[EffectiveQty],T_PlannedOrders[Part Name],$A171,T_PlannedOrders[WeekIndex],103)=0,"",SUMIFS(T_PlannedOrders[EffectiveQty],T_PlannedOrders[Part Name],$A171,T_PlannedOrders[WeekIndex],103)&amp;" ("&amp;TEXT(SUMPRODUCT(MAX((T_PlannedOrders[Part Name]=$A171)*(T_PlannedOrders[WeekIndex]=103)*(T_PlannedOrders[EffectiveQty]&gt;0)*T_PlannedOrders[Order_Month])),"m月")&amp;"発注)")</f>
        <v/>
      </c>
      <c r="DC205">
        <f>IF(SUMIFS(T_PlannedOrders[EffectiveQty],T_PlannedOrders[Part Name],$A171,T_PlannedOrders[WeekIndex],104)=0,"",SUMIFS(T_PlannedOrders[EffectiveQty],T_PlannedOrders[Part Name],$A171,T_PlannedOrders[WeekIndex],104)&amp;" ("&amp;TEXT(SUMPRODUCT(MAX((T_PlannedOrders[Part Name]=$A171)*(T_PlannedOrders[WeekIndex]=104)*(T_PlannedOrders[EffectiveQty]&gt;0)*T_PlannedOrders[Order_Month])),"m月")&amp;"発注)")</f>
        <v/>
      </c>
    </row>
    <row r="206">
      <c r="B206" s="5" t="inlineStr">
        <is>
          <t>合計在庫(週末時点,kg)</t>
        </is>
      </c>
      <c r="D206">
        <f>'Grid_Stock'!B17</f>
        <v/>
      </c>
      <c r="E206">
        <f>'Grid_Stock'!C17</f>
        <v/>
      </c>
      <c r="F206">
        <f>'Grid_Stock'!D17</f>
        <v/>
      </c>
      <c r="G206">
        <f>'Grid_Stock'!E17</f>
        <v/>
      </c>
      <c r="H206">
        <f>'Grid_Stock'!F17</f>
        <v/>
      </c>
      <c r="I206">
        <f>'Grid_Stock'!G17</f>
        <v/>
      </c>
      <c r="J206">
        <f>'Grid_Stock'!H17</f>
        <v/>
      </c>
      <c r="K206">
        <f>'Grid_Stock'!I17</f>
        <v/>
      </c>
      <c r="L206">
        <f>'Grid_Stock'!J17</f>
        <v/>
      </c>
      <c r="M206">
        <f>'Grid_Stock'!K17</f>
        <v/>
      </c>
      <c r="N206">
        <f>'Grid_Stock'!L17</f>
        <v/>
      </c>
      <c r="O206">
        <f>'Grid_Stock'!M17</f>
        <v/>
      </c>
      <c r="P206">
        <f>'Grid_Stock'!N17</f>
        <v/>
      </c>
      <c r="Q206">
        <f>'Grid_Stock'!O17</f>
        <v/>
      </c>
      <c r="R206">
        <f>'Grid_Stock'!P17</f>
        <v/>
      </c>
      <c r="S206">
        <f>'Grid_Stock'!Q17</f>
        <v/>
      </c>
      <c r="T206">
        <f>'Grid_Stock'!R17</f>
        <v/>
      </c>
      <c r="U206">
        <f>'Grid_Stock'!S17</f>
        <v/>
      </c>
      <c r="V206">
        <f>'Grid_Stock'!T17</f>
        <v/>
      </c>
      <c r="W206">
        <f>'Grid_Stock'!U17</f>
        <v/>
      </c>
      <c r="X206">
        <f>'Grid_Stock'!V17</f>
        <v/>
      </c>
      <c r="Y206">
        <f>'Grid_Stock'!W17</f>
        <v/>
      </c>
      <c r="Z206">
        <f>'Grid_Stock'!X17</f>
        <v/>
      </c>
      <c r="AA206">
        <f>'Grid_Stock'!Y17</f>
        <v/>
      </c>
      <c r="AB206">
        <f>'Grid_Stock'!Z17</f>
        <v/>
      </c>
      <c r="AC206">
        <f>'Grid_Stock'!AA17</f>
        <v/>
      </c>
      <c r="AD206">
        <f>'Grid_Stock'!AB17</f>
        <v/>
      </c>
      <c r="AE206">
        <f>'Grid_Stock'!AC17</f>
        <v/>
      </c>
      <c r="AF206">
        <f>'Grid_Stock'!AD17</f>
        <v/>
      </c>
      <c r="AG206">
        <f>'Grid_Stock'!AE17</f>
        <v/>
      </c>
      <c r="AH206">
        <f>'Grid_Stock'!AF17</f>
        <v/>
      </c>
      <c r="AI206">
        <f>'Grid_Stock'!AG17</f>
        <v/>
      </c>
      <c r="AJ206">
        <f>'Grid_Stock'!AH17</f>
        <v/>
      </c>
      <c r="AK206">
        <f>'Grid_Stock'!AI17</f>
        <v/>
      </c>
      <c r="AL206">
        <f>'Grid_Stock'!AJ17</f>
        <v/>
      </c>
      <c r="AM206">
        <f>'Grid_Stock'!AK17</f>
        <v/>
      </c>
      <c r="AN206">
        <f>'Grid_Stock'!AL17</f>
        <v/>
      </c>
      <c r="AO206">
        <f>'Grid_Stock'!AM17</f>
        <v/>
      </c>
      <c r="AP206">
        <f>'Grid_Stock'!AN17</f>
        <v/>
      </c>
      <c r="AQ206">
        <f>'Grid_Stock'!AO17</f>
        <v/>
      </c>
      <c r="AR206">
        <f>'Grid_Stock'!AP17</f>
        <v/>
      </c>
      <c r="AS206">
        <f>'Grid_Stock'!AQ17</f>
        <v/>
      </c>
      <c r="AT206">
        <f>'Grid_Stock'!AR17</f>
        <v/>
      </c>
      <c r="AU206">
        <f>'Grid_Stock'!AS17</f>
        <v/>
      </c>
      <c r="AV206">
        <f>'Grid_Stock'!AT17</f>
        <v/>
      </c>
      <c r="AW206">
        <f>'Grid_Stock'!AU17</f>
        <v/>
      </c>
      <c r="AX206">
        <f>'Grid_Stock'!AV17</f>
        <v/>
      </c>
      <c r="AY206">
        <f>'Grid_Stock'!AW17</f>
        <v/>
      </c>
      <c r="AZ206">
        <f>'Grid_Stock'!AX17</f>
        <v/>
      </c>
      <c r="BA206">
        <f>'Grid_Stock'!AY17</f>
        <v/>
      </c>
      <c r="BB206">
        <f>'Grid_Stock'!AZ17</f>
        <v/>
      </c>
      <c r="BC206">
        <f>'Grid_Stock'!BA17</f>
        <v/>
      </c>
      <c r="BD206">
        <f>'Grid_Stock'!BB17</f>
        <v/>
      </c>
      <c r="BE206">
        <f>'Grid_Stock'!BC17</f>
        <v/>
      </c>
      <c r="BF206">
        <f>'Grid_Stock'!BD17</f>
        <v/>
      </c>
      <c r="BG206">
        <f>'Grid_Stock'!BE17</f>
        <v/>
      </c>
      <c r="BH206">
        <f>'Grid_Stock'!BF17</f>
        <v/>
      </c>
      <c r="BI206">
        <f>'Grid_Stock'!BG17</f>
        <v/>
      </c>
      <c r="BJ206">
        <f>'Grid_Stock'!BH17</f>
        <v/>
      </c>
      <c r="BK206">
        <f>'Grid_Stock'!BI17</f>
        <v/>
      </c>
      <c r="BL206">
        <f>'Grid_Stock'!BJ17</f>
        <v/>
      </c>
      <c r="BM206">
        <f>'Grid_Stock'!BK17</f>
        <v/>
      </c>
      <c r="BN206">
        <f>'Grid_Stock'!BL17</f>
        <v/>
      </c>
      <c r="BO206">
        <f>'Grid_Stock'!BM17</f>
        <v/>
      </c>
      <c r="BP206">
        <f>'Grid_Stock'!BN17</f>
        <v/>
      </c>
      <c r="BQ206">
        <f>'Grid_Stock'!BO17</f>
        <v/>
      </c>
      <c r="BR206">
        <f>'Grid_Stock'!BP17</f>
        <v/>
      </c>
      <c r="BS206">
        <f>'Grid_Stock'!BQ17</f>
        <v/>
      </c>
      <c r="BT206">
        <f>'Grid_Stock'!BR17</f>
        <v/>
      </c>
      <c r="BU206">
        <f>'Grid_Stock'!BS17</f>
        <v/>
      </c>
      <c r="BV206">
        <f>'Grid_Stock'!BT17</f>
        <v/>
      </c>
      <c r="BW206">
        <f>'Grid_Stock'!BU17</f>
        <v/>
      </c>
      <c r="BX206">
        <f>'Grid_Stock'!BV17</f>
        <v/>
      </c>
      <c r="BY206">
        <f>'Grid_Stock'!BW17</f>
        <v/>
      </c>
      <c r="BZ206">
        <f>'Grid_Stock'!BX17</f>
        <v/>
      </c>
      <c r="CA206">
        <f>'Grid_Stock'!BY17</f>
        <v/>
      </c>
      <c r="CB206">
        <f>'Grid_Stock'!BZ17</f>
        <v/>
      </c>
      <c r="CC206">
        <f>'Grid_Stock'!CA17</f>
        <v/>
      </c>
      <c r="CD206">
        <f>'Grid_Stock'!CB17</f>
        <v/>
      </c>
      <c r="CE206">
        <f>'Grid_Stock'!CC17</f>
        <v/>
      </c>
      <c r="CF206">
        <f>'Grid_Stock'!CD17</f>
        <v/>
      </c>
      <c r="CG206">
        <f>'Grid_Stock'!CE17</f>
        <v/>
      </c>
      <c r="CH206">
        <f>'Grid_Stock'!CF17</f>
        <v/>
      </c>
      <c r="CI206">
        <f>'Grid_Stock'!CG17</f>
        <v/>
      </c>
      <c r="CJ206">
        <f>'Grid_Stock'!CH17</f>
        <v/>
      </c>
      <c r="CK206">
        <f>'Grid_Stock'!CI17</f>
        <v/>
      </c>
      <c r="CL206">
        <f>'Grid_Stock'!CJ17</f>
        <v/>
      </c>
      <c r="CM206">
        <f>'Grid_Stock'!CK17</f>
        <v/>
      </c>
      <c r="CN206">
        <f>'Grid_Stock'!CL17</f>
        <v/>
      </c>
      <c r="CO206">
        <f>'Grid_Stock'!CM17</f>
        <v/>
      </c>
      <c r="CP206">
        <f>'Grid_Stock'!CN17</f>
        <v/>
      </c>
      <c r="CQ206">
        <f>'Grid_Stock'!CO17</f>
        <v/>
      </c>
      <c r="CR206">
        <f>'Grid_Stock'!CP17</f>
        <v/>
      </c>
      <c r="CS206">
        <f>'Grid_Stock'!CQ17</f>
        <v/>
      </c>
      <c r="CT206">
        <f>'Grid_Stock'!CR17</f>
        <v/>
      </c>
      <c r="CU206">
        <f>'Grid_Stock'!CS17</f>
        <v/>
      </c>
      <c r="CV206">
        <f>'Grid_Stock'!CT17</f>
        <v/>
      </c>
      <c r="CW206">
        <f>'Grid_Stock'!CU17</f>
        <v/>
      </c>
      <c r="CX206">
        <f>'Grid_Stock'!CV17</f>
        <v/>
      </c>
      <c r="CY206">
        <f>'Grid_Stock'!CW17</f>
        <v/>
      </c>
      <c r="CZ206">
        <f>'Grid_Stock'!CX17</f>
        <v/>
      </c>
      <c r="DA206">
        <f>'Grid_Stock'!CY17</f>
        <v/>
      </c>
      <c r="DB206">
        <f>'Grid_Stock'!CZ17</f>
        <v/>
      </c>
      <c r="DC206">
        <f>'Grid_Stock'!DA17</f>
        <v/>
      </c>
    </row>
    <row r="207">
      <c r="B207" s="23" t="inlineStr">
        <is>
          <t>（発注の目安はDashboardの基準在庫[下限/上限]と色分けを参照）</t>
        </is>
      </c>
    </row>
    <row r="209">
      <c r="A209" s="21" t="inlineStr">
        <is>
          <t>CHEM-1730</t>
        </is>
      </c>
      <c r="B209" s="21" t="inlineStr">
        <is>
          <t>NAT 41</t>
        </is>
      </c>
      <c r="C209" s="22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21" t="n"/>
      <c r="AI209" s="21" t="n"/>
      <c r="AJ209" s="21" t="n"/>
      <c r="AK209" s="21" t="n"/>
      <c r="AL209" s="21" t="n"/>
      <c r="AM209" s="21" t="n"/>
      <c r="AN209" s="21" t="n"/>
      <c r="AO209" s="21" t="n"/>
      <c r="AP209" s="21" t="n"/>
      <c r="AQ209" s="21" t="n"/>
      <c r="AR209" s="21" t="n"/>
      <c r="AS209" s="21" t="n"/>
      <c r="AT209" s="21" t="n"/>
      <c r="AU209" s="21" t="n"/>
      <c r="AV209" s="21" t="n"/>
      <c r="AW209" s="21" t="n"/>
      <c r="AX209" s="21" t="n"/>
      <c r="AY209" s="21" t="n"/>
      <c r="AZ209" s="21" t="n"/>
      <c r="BA209" s="21" t="n"/>
      <c r="BB209" s="21" t="n"/>
      <c r="BC209" s="21" t="n"/>
      <c r="BD209" s="21" t="n"/>
      <c r="BE209" s="21" t="n"/>
      <c r="BF209" s="21" t="n"/>
      <c r="BG209" s="21" t="n"/>
      <c r="BH209" s="21" t="n"/>
      <c r="BI209" s="21" t="n"/>
      <c r="BJ209" s="21" t="n"/>
      <c r="BK209" s="21" t="n"/>
      <c r="BL209" s="21" t="n"/>
      <c r="BM209" s="21" t="n"/>
      <c r="BN209" s="21" t="n"/>
      <c r="BO209" s="21" t="n"/>
      <c r="BP209" s="21" t="n"/>
      <c r="BQ209" s="21" t="n"/>
      <c r="BR209" s="21" t="n"/>
      <c r="BS209" s="21" t="n"/>
      <c r="BT209" s="21" t="n"/>
      <c r="BU209" s="21" t="n"/>
      <c r="BV209" s="21" t="n"/>
      <c r="BW209" s="21" t="n"/>
      <c r="BX209" s="21" t="n"/>
      <c r="BY209" s="21" t="n"/>
      <c r="BZ209" s="21" t="n"/>
      <c r="CA209" s="21" t="n"/>
      <c r="CB209" s="21" t="n"/>
      <c r="CC209" s="21" t="n"/>
      <c r="CD209" s="21" t="n"/>
      <c r="CE209" s="21" t="n"/>
      <c r="CF209" s="21" t="n"/>
      <c r="CG209" s="21" t="n"/>
      <c r="CH209" s="21" t="n"/>
      <c r="CI209" s="21" t="n"/>
      <c r="CJ209" s="21" t="n"/>
      <c r="CK209" s="21" t="n"/>
      <c r="CL209" s="21" t="n"/>
      <c r="CM209" s="21" t="n"/>
      <c r="CN209" s="21" t="n"/>
      <c r="CO209" s="21" t="n"/>
      <c r="CP209" s="21" t="n"/>
      <c r="CQ209" s="21" t="n"/>
      <c r="CR209" s="21" t="n"/>
      <c r="CS209" s="21" t="n"/>
      <c r="CT209" s="21" t="n"/>
      <c r="CU209" s="21" t="n"/>
      <c r="CV209" s="21" t="n"/>
      <c r="CW209" s="21" t="n"/>
      <c r="CX209" s="21" t="n"/>
      <c r="CY209" s="21" t="n"/>
      <c r="CZ209" s="21" t="n"/>
      <c r="DA209" s="21" t="n"/>
      <c r="DB209" s="21" t="n"/>
      <c r="DC209" s="21" t="n"/>
    </row>
    <row r="210">
      <c r="B210" t="inlineStr">
        <is>
          <t>TPP-911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Name],$A209)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TPP-912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Name],$A209)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TSP-924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Name],$A209)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t="inlineStr">
        <is>
          <t>TSP-925</t>
        </is>
      </c>
      <c r="C216" t="inlineStr">
        <is>
          <t>No. of batches</t>
        </is>
      </c>
      <c r="D216">
        <f>IFERROR(INDEX(PP_Grid[#Data],$DD216,2),0)</f>
        <v/>
      </c>
      <c r="E216">
        <f>IFERROR(INDEX(PP_Grid[#Data],$DD216,3),0)</f>
        <v/>
      </c>
      <c r="F216">
        <f>IFERROR(INDEX(PP_Grid[#Data],$DD216,4),0)</f>
        <v/>
      </c>
      <c r="G216">
        <f>IFERROR(INDEX(PP_Grid[#Data],$DD216,5),0)</f>
        <v/>
      </c>
      <c r="H216">
        <f>IFERROR(INDEX(PP_Grid[#Data],$DD216,6),0)</f>
        <v/>
      </c>
      <c r="I216">
        <f>IFERROR(INDEX(PP_Grid[#Data],$DD216,7),0)</f>
        <v/>
      </c>
      <c r="J216">
        <f>IFERROR(INDEX(PP_Grid[#Data],$DD216,8),0)</f>
        <v/>
      </c>
      <c r="K216">
        <f>IFERROR(INDEX(PP_Grid[#Data],$DD216,9),0)</f>
        <v/>
      </c>
      <c r="L216">
        <f>IFERROR(INDEX(PP_Grid[#Data],$DD216,10),0)</f>
        <v/>
      </c>
      <c r="M216">
        <f>IFERROR(INDEX(PP_Grid[#Data],$DD216,11),0)</f>
        <v/>
      </c>
      <c r="N216">
        <f>IFERROR(INDEX(PP_Grid[#Data],$DD216,12),0)</f>
        <v/>
      </c>
      <c r="O216">
        <f>IFERROR(INDEX(PP_Grid[#Data],$DD216,13),0)</f>
        <v/>
      </c>
      <c r="P216">
        <f>IFERROR(INDEX(PP_Grid[#Data],$DD216,14),0)</f>
        <v/>
      </c>
      <c r="Q216">
        <f>IFERROR(INDEX(PP_Grid[#Data],$DD216,15),0)</f>
        <v/>
      </c>
      <c r="R216">
        <f>IFERROR(INDEX(PP_Grid[#Data],$DD216,16),0)</f>
        <v/>
      </c>
      <c r="S216">
        <f>IFERROR(INDEX(PP_Grid[#Data],$DD216,17),0)</f>
        <v/>
      </c>
      <c r="T216">
        <f>IFERROR(INDEX(PP_Grid[#Data],$DD216,18),0)</f>
        <v/>
      </c>
      <c r="U216">
        <f>IFERROR(INDEX(PP_Grid[#Data],$DD216,19),0)</f>
        <v/>
      </c>
      <c r="V216">
        <f>IFERROR(INDEX(PP_Grid[#Data],$DD216,20),0)</f>
        <v/>
      </c>
      <c r="W216">
        <f>IFERROR(INDEX(PP_Grid[#Data],$DD216,21),0)</f>
        <v/>
      </c>
      <c r="X216">
        <f>IFERROR(INDEX(PP_Grid[#Data],$DD216,22),0)</f>
        <v/>
      </c>
      <c r="Y216">
        <f>IFERROR(INDEX(PP_Grid[#Data],$DD216,23),0)</f>
        <v/>
      </c>
      <c r="Z216">
        <f>IFERROR(INDEX(PP_Grid[#Data],$DD216,24),0)</f>
        <v/>
      </c>
      <c r="AA216">
        <f>IFERROR(INDEX(PP_Grid[#Data],$DD216,25),0)</f>
        <v/>
      </c>
      <c r="AB216">
        <f>IFERROR(INDEX(PP_Grid[#Data],$DD216,26),0)</f>
        <v/>
      </c>
      <c r="AC216">
        <f>IFERROR(INDEX(PP_Grid[#Data],$DD216,27),0)</f>
        <v/>
      </c>
      <c r="AD216">
        <f>IFERROR(INDEX(PP_Grid[#Data],$DD216,28),0)</f>
        <v/>
      </c>
      <c r="AE216">
        <f>IFERROR(INDEX(PP_Grid[#Data],$DD216,29),0)</f>
        <v/>
      </c>
      <c r="AF216">
        <f>IFERROR(INDEX(PP_Grid[#Data],$DD216,30),0)</f>
        <v/>
      </c>
      <c r="AG216">
        <f>IFERROR(INDEX(PP_Grid[#Data],$DD216,31),0)</f>
        <v/>
      </c>
      <c r="AH216">
        <f>IFERROR(INDEX(PP_Grid[#Data],$DD216,32),0)</f>
        <v/>
      </c>
      <c r="AI216">
        <f>IFERROR(INDEX(PP_Grid[#Data],$DD216,33),0)</f>
        <v/>
      </c>
      <c r="AJ216">
        <f>IFERROR(INDEX(PP_Grid[#Data],$DD216,34),0)</f>
        <v/>
      </c>
      <c r="AK216">
        <f>IFERROR(INDEX(PP_Grid[#Data],$DD216,35),0)</f>
        <v/>
      </c>
      <c r="AL216">
        <f>IFERROR(INDEX(PP_Grid[#Data],$DD216,36),0)</f>
        <v/>
      </c>
      <c r="AM216">
        <f>IFERROR(INDEX(PP_Grid[#Data],$DD216,37),0)</f>
        <v/>
      </c>
      <c r="AN216">
        <f>IFERROR(INDEX(PP_Grid[#Data],$DD216,38),0)</f>
        <v/>
      </c>
      <c r="AO216">
        <f>IFERROR(INDEX(PP_Grid[#Data],$DD216,39),0)</f>
        <v/>
      </c>
      <c r="AP216">
        <f>IFERROR(INDEX(PP_Grid[#Data],$DD216,40),0)</f>
        <v/>
      </c>
      <c r="AQ216">
        <f>IFERROR(INDEX(PP_Grid[#Data],$DD216,41),0)</f>
        <v/>
      </c>
      <c r="AR216">
        <f>IFERROR(INDEX(PP_Grid[#Data],$DD216,42),0)</f>
        <v/>
      </c>
      <c r="AS216">
        <f>IFERROR(INDEX(PP_Grid[#Data],$DD216,43),0)</f>
        <v/>
      </c>
      <c r="AT216">
        <f>IFERROR(INDEX(PP_Grid[#Data],$DD216,44),0)</f>
        <v/>
      </c>
      <c r="AU216">
        <f>IFERROR(INDEX(PP_Grid[#Data],$DD216,45),0)</f>
        <v/>
      </c>
      <c r="AV216">
        <f>IFERROR(INDEX(PP_Grid[#Data],$DD216,46),0)</f>
        <v/>
      </c>
      <c r="AW216">
        <f>IFERROR(INDEX(PP_Grid[#Data],$DD216,47),0)</f>
        <v/>
      </c>
      <c r="AX216">
        <f>IFERROR(INDEX(PP_Grid[#Data],$DD216,48),0)</f>
        <v/>
      </c>
      <c r="AY216">
        <f>IFERROR(INDEX(PP_Grid[#Data],$DD216,49),0)</f>
        <v/>
      </c>
      <c r="AZ216">
        <f>IFERROR(INDEX(PP_Grid[#Data],$DD216,50),0)</f>
        <v/>
      </c>
      <c r="BA216">
        <f>IFERROR(INDEX(PP_Grid[#Data],$DD216,51),0)</f>
        <v/>
      </c>
      <c r="BB216">
        <f>IFERROR(INDEX(PP_Grid[#Data],$DD216,52),0)</f>
        <v/>
      </c>
      <c r="BC216">
        <f>IFERROR(INDEX(PP_Grid[#Data],$DD216,53),0)</f>
        <v/>
      </c>
      <c r="BD216">
        <f>IFERROR(INDEX(PP_Grid[#Data],$DD216,54),0)</f>
        <v/>
      </c>
      <c r="BE216">
        <f>IFERROR(INDEX(PP_Grid[#Data],$DD216,55),0)</f>
        <v/>
      </c>
      <c r="BF216">
        <f>IFERROR(INDEX(PP_Grid[#Data],$DD216,56),0)</f>
        <v/>
      </c>
      <c r="BG216">
        <f>IFERROR(INDEX(PP_Grid[#Data],$DD216,57),0)</f>
        <v/>
      </c>
      <c r="BH216">
        <f>IFERROR(INDEX(PP_Grid[#Data],$DD216,58),0)</f>
        <v/>
      </c>
      <c r="BI216">
        <f>IFERROR(INDEX(PP_Grid[#Data],$DD216,59),0)</f>
        <v/>
      </c>
      <c r="BJ216">
        <f>IFERROR(INDEX(PP_Grid[#Data],$DD216,60),0)</f>
        <v/>
      </c>
      <c r="BK216">
        <f>IFERROR(INDEX(PP_Grid[#Data],$DD216,61),0)</f>
        <v/>
      </c>
      <c r="BL216">
        <f>IFERROR(INDEX(PP_Grid[#Data],$DD216,62),0)</f>
        <v/>
      </c>
      <c r="BM216">
        <f>IFERROR(INDEX(PP_Grid[#Data],$DD216,63),0)</f>
        <v/>
      </c>
      <c r="BN216">
        <f>IFERROR(INDEX(PP_Grid[#Data],$DD216,64),0)</f>
        <v/>
      </c>
      <c r="BO216">
        <f>IFERROR(INDEX(PP_Grid[#Data],$DD216,65),0)</f>
        <v/>
      </c>
      <c r="BP216">
        <f>IFERROR(INDEX(PP_Grid[#Data],$DD216,66),0)</f>
        <v/>
      </c>
      <c r="BQ216">
        <f>IFERROR(INDEX(PP_Grid[#Data],$DD216,67),0)</f>
        <v/>
      </c>
      <c r="BR216">
        <f>IFERROR(INDEX(PP_Grid[#Data],$DD216,68),0)</f>
        <v/>
      </c>
      <c r="BS216">
        <f>IFERROR(INDEX(PP_Grid[#Data],$DD216,69),0)</f>
        <v/>
      </c>
      <c r="BT216">
        <f>IFERROR(INDEX(PP_Grid[#Data],$DD216,70),0)</f>
        <v/>
      </c>
      <c r="BU216">
        <f>IFERROR(INDEX(PP_Grid[#Data],$DD216,71),0)</f>
        <v/>
      </c>
      <c r="BV216">
        <f>IFERROR(INDEX(PP_Grid[#Data],$DD216,72),0)</f>
        <v/>
      </c>
      <c r="BW216">
        <f>IFERROR(INDEX(PP_Grid[#Data],$DD216,73),0)</f>
        <v/>
      </c>
      <c r="BX216">
        <f>IFERROR(INDEX(PP_Grid[#Data],$DD216,74),0)</f>
        <v/>
      </c>
      <c r="BY216">
        <f>IFERROR(INDEX(PP_Grid[#Data],$DD216,75),0)</f>
        <v/>
      </c>
      <c r="BZ216">
        <f>IFERROR(INDEX(PP_Grid[#Data],$DD216,76),0)</f>
        <v/>
      </c>
      <c r="CA216">
        <f>IFERROR(INDEX(PP_Grid[#Data],$DD216,77),0)</f>
        <v/>
      </c>
      <c r="CB216">
        <f>IFERROR(INDEX(PP_Grid[#Data],$DD216,78),0)</f>
        <v/>
      </c>
      <c r="CC216">
        <f>IFERROR(INDEX(PP_Grid[#Data],$DD216,79),0)</f>
        <v/>
      </c>
      <c r="CD216">
        <f>IFERROR(INDEX(PP_Grid[#Data],$DD216,80),0)</f>
        <v/>
      </c>
      <c r="CE216">
        <f>IFERROR(INDEX(PP_Grid[#Data],$DD216,81),0)</f>
        <v/>
      </c>
      <c r="CF216">
        <f>IFERROR(INDEX(PP_Grid[#Data],$DD216,82),0)</f>
        <v/>
      </c>
      <c r="CG216">
        <f>IFERROR(INDEX(PP_Grid[#Data],$DD216,83),0)</f>
        <v/>
      </c>
      <c r="CH216">
        <f>IFERROR(INDEX(PP_Grid[#Data],$DD216,84),0)</f>
        <v/>
      </c>
      <c r="CI216">
        <f>IFERROR(INDEX(PP_Grid[#Data],$DD216,85),0)</f>
        <v/>
      </c>
      <c r="CJ216">
        <f>IFERROR(INDEX(PP_Grid[#Data],$DD216,86),0)</f>
        <v/>
      </c>
      <c r="CK216">
        <f>IFERROR(INDEX(PP_Grid[#Data],$DD216,87),0)</f>
        <v/>
      </c>
      <c r="CL216">
        <f>IFERROR(INDEX(PP_Grid[#Data],$DD216,88),0)</f>
        <v/>
      </c>
      <c r="CM216">
        <f>IFERROR(INDEX(PP_Grid[#Data],$DD216,89),0)</f>
        <v/>
      </c>
      <c r="CN216">
        <f>IFERROR(INDEX(PP_Grid[#Data],$DD216,90),0)</f>
        <v/>
      </c>
      <c r="CO216">
        <f>IFERROR(INDEX(PP_Grid[#Data],$DD216,91),0)</f>
        <v/>
      </c>
      <c r="CP216">
        <f>IFERROR(INDEX(PP_Grid[#Data],$DD216,92),0)</f>
        <v/>
      </c>
      <c r="CQ216">
        <f>IFERROR(INDEX(PP_Grid[#Data],$DD216,93),0)</f>
        <v/>
      </c>
      <c r="CR216">
        <f>IFERROR(INDEX(PP_Grid[#Data],$DD216,94),0)</f>
        <v/>
      </c>
      <c r="CS216">
        <f>IFERROR(INDEX(PP_Grid[#Data],$DD216,95),0)</f>
        <v/>
      </c>
      <c r="CT216">
        <f>IFERROR(INDEX(PP_Grid[#Data],$DD216,96),0)</f>
        <v/>
      </c>
      <c r="CU216">
        <f>IFERROR(INDEX(PP_Grid[#Data],$DD216,97),0)</f>
        <v/>
      </c>
      <c r="CV216">
        <f>IFERROR(INDEX(PP_Grid[#Data],$DD216,98),0)</f>
        <v/>
      </c>
      <c r="CW216">
        <f>IFERROR(INDEX(PP_Grid[#Data],$DD216,99),0)</f>
        <v/>
      </c>
      <c r="CX216">
        <f>IFERROR(INDEX(PP_Grid[#Data],$DD216,100),0)</f>
        <v/>
      </c>
      <c r="CY216">
        <f>IFERROR(INDEX(PP_Grid[#Data],$DD216,101),0)</f>
        <v/>
      </c>
      <c r="CZ216">
        <f>IFERROR(INDEX(PP_Grid[#Data],$DD216,102),0)</f>
        <v/>
      </c>
      <c r="DA216">
        <f>IFERROR(INDEX(PP_Grid[#Data],$DD216,103),0)</f>
        <v/>
      </c>
      <c r="DB216">
        <f>IFERROR(INDEX(PP_Grid[#Data],$DD216,104),0)</f>
        <v/>
      </c>
      <c r="DC216">
        <f>IFERROR(INDEX(PP_Grid[#Data],$DD216,105),0)</f>
        <v/>
      </c>
      <c r="DD216" s="12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SUMIFS(M_BOM[RM_Qty_Per_Batch],M_BOM[Intermediate],$B216,M_BOM[Part Name],$A209)</f>
        <v/>
      </c>
      <c r="D217">
        <f>$C217*D216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</row>
    <row r="218">
      <c r="B218" s="5" t="inlineStr">
        <is>
          <t>合計使用量(kg)/週</t>
        </is>
      </c>
      <c r="D218">
        <f>'Grid_Requirement'!B21</f>
        <v/>
      </c>
      <c r="E218">
        <f>'Grid_Requirement'!C21</f>
        <v/>
      </c>
      <c r="F218">
        <f>'Grid_Requirement'!D21</f>
        <v/>
      </c>
      <c r="G218">
        <f>'Grid_Requirement'!E21</f>
        <v/>
      </c>
      <c r="H218">
        <f>'Grid_Requirement'!F21</f>
        <v/>
      </c>
      <c r="I218">
        <f>'Grid_Requirement'!G21</f>
        <v/>
      </c>
      <c r="J218">
        <f>'Grid_Requirement'!H21</f>
        <v/>
      </c>
      <c r="K218">
        <f>'Grid_Requirement'!I21</f>
        <v/>
      </c>
      <c r="L218">
        <f>'Grid_Requirement'!J21</f>
        <v/>
      </c>
      <c r="M218">
        <f>'Grid_Requirement'!K21</f>
        <v/>
      </c>
      <c r="N218">
        <f>'Grid_Requirement'!L21</f>
        <v/>
      </c>
      <c r="O218">
        <f>'Grid_Requirement'!M21</f>
        <v/>
      </c>
      <c r="P218">
        <f>'Grid_Requirement'!N21</f>
        <v/>
      </c>
      <c r="Q218">
        <f>'Grid_Requirement'!O21</f>
        <v/>
      </c>
      <c r="R218">
        <f>'Grid_Requirement'!P21</f>
        <v/>
      </c>
      <c r="S218">
        <f>'Grid_Requirement'!Q21</f>
        <v/>
      </c>
      <c r="T218">
        <f>'Grid_Requirement'!R21</f>
        <v/>
      </c>
      <c r="U218">
        <f>'Grid_Requirement'!S21</f>
        <v/>
      </c>
      <c r="V218">
        <f>'Grid_Requirement'!T21</f>
        <v/>
      </c>
      <c r="W218">
        <f>'Grid_Requirement'!U21</f>
        <v/>
      </c>
      <c r="X218">
        <f>'Grid_Requirement'!V21</f>
        <v/>
      </c>
      <c r="Y218">
        <f>'Grid_Requirement'!W21</f>
        <v/>
      </c>
      <c r="Z218">
        <f>'Grid_Requirement'!X21</f>
        <v/>
      </c>
      <c r="AA218">
        <f>'Grid_Requirement'!Y21</f>
        <v/>
      </c>
      <c r="AB218">
        <f>'Grid_Requirement'!Z21</f>
        <v/>
      </c>
      <c r="AC218">
        <f>'Grid_Requirement'!AA21</f>
        <v/>
      </c>
      <c r="AD218">
        <f>'Grid_Requirement'!AB21</f>
        <v/>
      </c>
      <c r="AE218">
        <f>'Grid_Requirement'!AC21</f>
        <v/>
      </c>
      <c r="AF218">
        <f>'Grid_Requirement'!AD21</f>
        <v/>
      </c>
      <c r="AG218">
        <f>'Grid_Requirement'!AE21</f>
        <v/>
      </c>
      <c r="AH218">
        <f>'Grid_Requirement'!AF21</f>
        <v/>
      </c>
      <c r="AI218">
        <f>'Grid_Requirement'!AG21</f>
        <v/>
      </c>
      <c r="AJ218">
        <f>'Grid_Requirement'!AH21</f>
        <v/>
      </c>
      <c r="AK218">
        <f>'Grid_Requirement'!AI21</f>
        <v/>
      </c>
      <c r="AL218">
        <f>'Grid_Requirement'!AJ21</f>
        <v/>
      </c>
      <c r="AM218">
        <f>'Grid_Requirement'!AK21</f>
        <v/>
      </c>
      <c r="AN218">
        <f>'Grid_Requirement'!AL21</f>
        <v/>
      </c>
      <c r="AO218">
        <f>'Grid_Requirement'!AM21</f>
        <v/>
      </c>
      <c r="AP218">
        <f>'Grid_Requirement'!AN21</f>
        <v/>
      </c>
      <c r="AQ218">
        <f>'Grid_Requirement'!AO21</f>
        <v/>
      </c>
      <c r="AR218">
        <f>'Grid_Requirement'!AP21</f>
        <v/>
      </c>
      <c r="AS218">
        <f>'Grid_Requirement'!AQ21</f>
        <v/>
      </c>
      <c r="AT218">
        <f>'Grid_Requirement'!AR21</f>
        <v/>
      </c>
      <c r="AU218">
        <f>'Grid_Requirement'!AS21</f>
        <v/>
      </c>
      <c r="AV218">
        <f>'Grid_Requirement'!AT21</f>
        <v/>
      </c>
      <c r="AW218">
        <f>'Grid_Requirement'!AU21</f>
        <v/>
      </c>
      <c r="AX218">
        <f>'Grid_Requirement'!AV21</f>
        <v/>
      </c>
      <c r="AY218">
        <f>'Grid_Requirement'!AW21</f>
        <v/>
      </c>
      <c r="AZ218">
        <f>'Grid_Requirement'!AX21</f>
        <v/>
      </c>
      <c r="BA218">
        <f>'Grid_Requirement'!AY21</f>
        <v/>
      </c>
      <c r="BB218">
        <f>'Grid_Requirement'!AZ21</f>
        <v/>
      </c>
      <c r="BC218">
        <f>'Grid_Requirement'!BA21</f>
        <v/>
      </c>
      <c r="BD218">
        <f>'Grid_Requirement'!BB21</f>
        <v/>
      </c>
      <c r="BE218">
        <f>'Grid_Requirement'!BC21</f>
        <v/>
      </c>
      <c r="BF218">
        <f>'Grid_Requirement'!BD21</f>
        <v/>
      </c>
      <c r="BG218">
        <f>'Grid_Requirement'!BE21</f>
        <v/>
      </c>
      <c r="BH218">
        <f>'Grid_Requirement'!BF21</f>
        <v/>
      </c>
      <c r="BI218">
        <f>'Grid_Requirement'!BG21</f>
        <v/>
      </c>
      <c r="BJ218">
        <f>'Grid_Requirement'!BH21</f>
        <v/>
      </c>
      <c r="BK218">
        <f>'Grid_Requirement'!BI21</f>
        <v/>
      </c>
      <c r="BL218">
        <f>'Grid_Requirement'!BJ21</f>
        <v/>
      </c>
      <c r="BM218">
        <f>'Grid_Requirement'!BK21</f>
        <v/>
      </c>
      <c r="BN218">
        <f>'Grid_Requirement'!BL21</f>
        <v/>
      </c>
      <c r="BO218">
        <f>'Grid_Requirement'!BM21</f>
        <v/>
      </c>
      <c r="BP218">
        <f>'Grid_Requirement'!BN21</f>
        <v/>
      </c>
      <c r="BQ218">
        <f>'Grid_Requirement'!BO21</f>
        <v/>
      </c>
      <c r="BR218">
        <f>'Grid_Requirement'!BP21</f>
        <v/>
      </c>
      <c r="BS218">
        <f>'Grid_Requirement'!BQ21</f>
        <v/>
      </c>
      <c r="BT218">
        <f>'Grid_Requirement'!BR21</f>
        <v/>
      </c>
      <c r="BU218">
        <f>'Grid_Requirement'!BS21</f>
        <v/>
      </c>
      <c r="BV218">
        <f>'Grid_Requirement'!BT21</f>
        <v/>
      </c>
      <c r="BW218">
        <f>'Grid_Requirement'!BU21</f>
        <v/>
      </c>
      <c r="BX218">
        <f>'Grid_Requirement'!BV21</f>
        <v/>
      </c>
      <c r="BY218">
        <f>'Grid_Requirement'!BW21</f>
        <v/>
      </c>
      <c r="BZ218">
        <f>'Grid_Requirement'!BX21</f>
        <v/>
      </c>
      <c r="CA218">
        <f>'Grid_Requirement'!BY21</f>
        <v/>
      </c>
      <c r="CB218">
        <f>'Grid_Requirement'!BZ21</f>
        <v/>
      </c>
      <c r="CC218">
        <f>'Grid_Requirement'!CA21</f>
        <v/>
      </c>
      <c r="CD218">
        <f>'Grid_Requirement'!CB21</f>
        <v/>
      </c>
      <c r="CE218">
        <f>'Grid_Requirement'!CC21</f>
        <v/>
      </c>
      <c r="CF218">
        <f>'Grid_Requirement'!CD21</f>
        <v/>
      </c>
      <c r="CG218">
        <f>'Grid_Requirement'!CE21</f>
        <v/>
      </c>
      <c r="CH218">
        <f>'Grid_Requirement'!CF21</f>
        <v/>
      </c>
      <c r="CI218">
        <f>'Grid_Requirement'!CG21</f>
        <v/>
      </c>
      <c r="CJ218">
        <f>'Grid_Requirement'!CH21</f>
        <v/>
      </c>
      <c r="CK218">
        <f>'Grid_Requirement'!CI21</f>
        <v/>
      </c>
      <c r="CL218">
        <f>'Grid_Requirement'!CJ21</f>
        <v/>
      </c>
      <c r="CM218">
        <f>'Grid_Requirement'!CK21</f>
        <v/>
      </c>
      <c r="CN218">
        <f>'Grid_Requirement'!CL21</f>
        <v/>
      </c>
      <c r="CO218">
        <f>'Grid_Requirement'!CM21</f>
        <v/>
      </c>
      <c r="CP218">
        <f>'Grid_Requirement'!CN21</f>
        <v/>
      </c>
      <c r="CQ218">
        <f>'Grid_Requirement'!CO21</f>
        <v/>
      </c>
      <c r="CR218">
        <f>'Grid_Requirement'!CP21</f>
        <v/>
      </c>
      <c r="CS218">
        <f>'Grid_Requirement'!CQ21</f>
        <v/>
      </c>
      <c r="CT218">
        <f>'Grid_Requirement'!CR21</f>
        <v/>
      </c>
      <c r="CU218">
        <f>'Grid_Requirement'!CS21</f>
        <v/>
      </c>
      <c r="CV218">
        <f>'Grid_Requirement'!CT21</f>
        <v/>
      </c>
      <c r="CW218">
        <f>'Grid_Requirement'!CU21</f>
        <v/>
      </c>
      <c r="CX218">
        <f>'Grid_Requirement'!CV21</f>
        <v/>
      </c>
      <c r="CY218">
        <f>'Grid_Requirement'!CW21</f>
        <v/>
      </c>
      <c r="CZ218">
        <f>'Grid_Requirement'!CX21</f>
        <v/>
      </c>
      <c r="DA218">
        <f>'Grid_Requirement'!CY21</f>
        <v/>
      </c>
      <c r="DB218">
        <f>'Grid_Requirement'!CZ21</f>
        <v/>
      </c>
      <c r="DC218">
        <f>'Grid_Requirement'!DA21</f>
        <v/>
      </c>
    </row>
    <row r="219">
      <c r="B219" t="inlineStr">
        <is>
          <t>TTAF在庫(実績,kg)</t>
        </is>
      </c>
      <c r="D219">
        <f>'T_TTAFStock'!B25</f>
        <v/>
      </c>
      <c r="E219">
        <f>'T_TTAFStock'!C25</f>
        <v/>
      </c>
      <c r="F219">
        <f>'T_TTAFStock'!D25</f>
        <v/>
      </c>
      <c r="G219">
        <f>'T_TTAFStock'!E25</f>
        <v/>
      </c>
      <c r="H219">
        <f>'T_TTAFStock'!F25</f>
        <v/>
      </c>
      <c r="I219">
        <f>'T_TTAFStock'!G25</f>
        <v/>
      </c>
      <c r="J219">
        <f>'T_TTAFStock'!H25</f>
        <v/>
      </c>
      <c r="K219">
        <f>'T_TTAFStock'!I25</f>
        <v/>
      </c>
      <c r="L219">
        <f>'T_TTAFStock'!J25</f>
        <v/>
      </c>
      <c r="M219">
        <f>'T_TTAFStock'!K25</f>
        <v/>
      </c>
      <c r="N219">
        <f>'T_TTAFStock'!L25</f>
        <v/>
      </c>
      <c r="O219">
        <f>'T_TTAFStock'!M25</f>
        <v/>
      </c>
      <c r="P219">
        <f>'T_TTAFStock'!N25</f>
        <v/>
      </c>
      <c r="Q219">
        <f>'T_TTAFStock'!O25</f>
        <v/>
      </c>
      <c r="R219">
        <f>'T_TTAFStock'!P25</f>
        <v/>
      </c>
      <c r="S219">
        <f>'T_TTAFStock'!Q25</f>
        <v/>
      </c>
      <c r="T219">
        <f>'T_TTAFStock'!R25</f>
        <v/>
      </c>
      <c r="U219">
        <f>'T_TTAFStock'!S25</f>
        <v/>
      </c>
      <c r="V219">
        <f>'T_TTAFStock'!T25</f>
        <v/>
      </c>
      <c r="W219">
        <f>'T_TTAFStock'!U25</f>
        <v/>
      </c>
      <c r="X219">
        <f>'T_TTAFStock'!V25</f>
        <v/>
      </c>
      <c r="Y219">
        <f>'T_TTAFStock'!W25</f>
        <v/>
      </c>
      <c r="Z219">
        <f>'T_TTAFStock'!X25</f>
        <v/>
      </c>
      <c r="AA219">
        <f>'T_TTAFStock'!Y25</f>
        <v/>
      </c>
      <c r="AB219">
        <f>'T_TTAFStock'!Z25</f>
        <v/>
      </c>
      <c r="AC219">
        <f>'T_TTAFStock'!AA25</f>
        <v/>
      </c>
      <c r="AD219">
        <f>'T_TTAFStock'!AB25</f>
        <v/>
      </c>
      <c r="AE219">
        <f>'T_TTAFStock'!AC25</f>
        <v/>
      </c>
      <c r="AF219">
        <f>'T_TTAFStock'!AD25</f>
        <v/>
      </c>
      <c r="AG219">
        <f>'T_TTAFStock'!AE25</f>
        <v/>
      </c>
      <c r="AH219">
        <f>'T_TTAFStock'!AF25</f>
        <v/>
      </c>
      <c r="AI219">
        <f>'T_TTAFStock'!AG25</f>
        <v/>
      </c>
      <c r="AJ219">
        <f>'T_TTAFStock'!AH25</f>
        <v/>
      </c>
      <c r="AK219">
        <f>'T_TTAFStock'!AI25</f>
        <v/>
      </c>
      <c r="AL219">
        <f>'T_TTAFStock'!AJ25</f>
        <v/>
      </c>
      <c r="AM219">
        <f>'T_TTAFStock'!AK25</f>
        <v/>
      </c>
      <c r="AN219">
        <f>'T_TTAFStock'!AL25</f>
        <v/>
      </c>
      <c r="AO219">
        <f>'T_TTAFStock'!AM25</f>
        <v/>
      </c>
      <c r="AP219">
        <f>'T_TTAFStock'!AN25</f>
        <v/>
      </c>
      <c r="AQ219">
        <f>'T_TTAFStock'!AO25</f>
        <v/>
      </c>
      <c r="AR219">
        <f>'T_TTAFStock'!AP25</f>
        <v/>
      </c>
      <c r="AS219">
        <f>'T_TTAFStock'!AQ25</f>
        <v/>
      </c>
      <c r="AT219">
        <f>'T_TTAFStock'!AR25</f>
        <v/>
      </c>
      <c r="AU219">
        <f>'T_TTAFStock'!AS25</f>
        <v/>
      </c>
      <c r="AV219">
        <f>'T_TTAFStock'!AT25</f>
        <v/>
      </c>
      <c r="AW219">
        <f>'T_TTAFStock'!AU25</f>
        <v/>
      </c>
      <c r="AX219">
        <f>'T_TTAFStock'!AV25</f>
        <v/>
      </c>
      <c r="AY219">
        <f>'T_TTAFStock'!AW25</f>
        <v/>
      </c>
      <c r="AZ219">
        <f>'T_TTAFStock'!AX25</f>
        <v/>
      </c>
      <c r="BA219">
        <f>'T_TTAFStock'!AY25</f>
        <v/>
      </c>
      <c r="BB219">
        <f>'T_TTAFStock'!AZ25</f>
        <v/>
      </c>
      <c r="BC219">
        <f>'T_TTAFStock'!BA25</f>
        <v/>
      </c>
      <c r="BD219">
        <f>'T_TTAFStock'!BB25</f>
        <v/>
      </c>
      <c r="BE219">
        <f>'T_TTAFStock'!BC25</f>
        <v/>
      </c>
      <c r="BF219">
        <f>'T_TTAFStock'!BD25</f>
        <v/>
      </c>
      <c r="BG219">
        <f>'T_TTAFStock'!BE25</f>
        <v/>
      </c>
      <c r="BH219">
        <f>'T_TTAFStock'!BF25</f>
        <v/>
      </c>
      <c r="BI219">
        <f>'T_TTAFStock'!BG25</f>
        <v/>
      </c>
      <c r="BJ219">
        <f>'T_TTAFStock'!BH25</f>
        <v/>
      </c>
      <c r="BK219">
        <f>'T_TTAFStock'!BI25</f>
        <v/>
      </c>
      <c r="BL219">
        <f>'T_TTAFStock'!BJ25</f>
        <v/>
      </c>
      <c r="BM219">
        <f>'T_TTAFStock'!BK25</f>
        <v/>
      </c>
      <c r="BN219">
        <f>'T_TTAFStock'!BL25</f>
        <v/>
      </c>
      <c r="BO219">
        <f>'T_TTAFStock'!BM25</f>
        <v/>
      </c>
      <c r="BP219">
        <f>'T_TTAFStock'!BN25</f>
        <v/>
      </c>
      <c r="BQ219">
        <f>'T_TTAFStock'!BO25</f>
        <v/>
      </c>
      <c r="BR219">
        <f>'T_TTAFStock'!BP25</f>
        <v/>
      </c>
      <c r="BS219">
        <f>'T_TTAFStock'!BQ25</f>
        <v/>
      </c>
      <c r="BT219">
        <f>'T_TTAFStock'!BR25</f>
        <v/>
      </c>
      <c r="BU219">
        <f>'T_TTAFStock'!BS25</f>
        <v/>
      </c>
      <c r="BV219">
        <f>'T_TTAFStock'!BT25</f>
        <v/>
      </c>
      <c r="BW219">
        <f>'T_TTAFStock'!BU25</f>
        <v/>
      </c>
      <c r="BX219">
        <f>'T_TTAFStock'!BV25</f>
        <v/>
      </c>
      <c r="BY219">
        <f>'T_TTAFStock'!BW25</f>
        <v/>
      </c>
      <c r="BZ219">
        <f>'T_TTAFStock'!BX25</f>
        <v/>
      </c>
      <c r="CA219">
        <f>'T_TTAFStock'!BY25</f>
        <v/>
      </c>
      <c r="CB219">
        <f>'T_TTAFStock'!BZ25</f>
        <v/>
      </c>
      <c r="CC219">
        <f>'T_TTAFStock'!CA25</f>
        <v/>
      </c>
      <c r="CD219">
        <f>'T_TTAFStock'!CB25</f>
        <v/>
      </c>
      <c r="CE219">
        <f>'T_TTAFStock'!CC25</f>
        <v/>
      </c>
      <c r="CF219">
        <f>'T_TTAFStock'!CD25</f>
        <v/>
      </c>
      <c r="CG219">
        <f>'T_TTAFStock'!CE25</f>
        <v/>
      </c>
      <c r="CH219">
        <f>'T_TTAFStock'!CF25</f>
        <v/>
      </c>
      <c r="CI219">
        <f>'T_TTAFStock'!CG25</f>
        <v/>
      </c>
      <c r="CJ219">
        <f>'T_TTAFStock'!CH25</f>
        <v/>
      </c>
      <c r="CK219">
        <f>'T_TTAFStock'!CI25</f>
        <v/>
      </c>
      <c r="CL219">
        <f>'T_TTAFStock'!CJ25</f>
        <v/>
      </c>
      <c r="CM219">
        <f>'T_TTAFStock'!CK25</f>
        <v/>
      </c>
      <c r="CN219">
        <f>'T_TTAFStock'!CL25</f>
        <v/>
      </c>
      <c r="CO219">
        <f>'T_TTAFStock'!CM25</f>
        <v/>
      </c>
      <c r="CP219">
        <f>'T_TTAFStock'!CN25</f>
        <v/>
      </c>
      <c r="CQ219">
        <f>'T_TTAFStock'!CO25</f>
        <v/>
      </c>
      <c r="CR219">
        <f>'T_TTAFStock'!CP25</f>
        <v/>
      </c>
      <c r="CS219">
        <f>'T_TTAFStock'!CQ25</f>
        <v/>
      </c>
      <c r="CT219">
        <f>'T_TTAFStock'!CR25</f>
        <v/>
      </c>
      <c r="CU219">
        <f>'T_TTAFStock'!CS25</f>
        <v/>
      </c>
      <c r="CV219">
        <f>'T_TTAFStock'!CT25</f>
        <v/>
      </c>
      <c r="CW219">
        <f>'T_TTAFStock'!CU25</f>
        <v/>
      </c>
      <c r="CX219">
        <f>'T_TTAFStock'!CV25</f>
        <v/>
      </c>
      <c r="CY219">
        <f>'T_TTAFStock'!CW25</f>
        <v/>
      </c>
      <c r="CZ219">
        <f>'T_TTAFStock'!CX25</f>
        <v/>
      </c>
      <c r="DA219">
        <f>'T_TTAFStock'!CY25</f>
        <v/>
      </c>
      <c r="DB219">
        <f>'T_TTAFStock'!CZ25</f>
        <v/>
      </c>
      <c r="DC219">
        <f>'T_TTAFStock'!DA25</f>
        <v/>
      </c>
    </row>
    <row r="220">
      <c r="B220" t="inlineStr">
        <is>
          <t>自社在庫(実績,kg)</t>
        </is>
      </c>
      <c r="D220">
        <f>'T_SelfStock'!B25</f>
        <v/>
      </c>
      <c r="E220">
        <f>'T_SelfStock'!C25</f>
        <v/>
      </c>
      <c r="F220">
        <f>'T_SelfStock'!D25</f>
        <v/>
      </c>
      <c r="G220">
        <f>'T_SelfStock'!E25</f>
        <v/>
      </c>
      <c r="H220">
        <f>'T_SelfStock'!F25</f>
        <v/>
      </c>
      <c r="I220">
        <f>'T_SelfStock'!G25</f>
        <v/>
      </c>
      <c r="J220">
        <f>'T_SelfStock'!H25</f>
        <v/>
      </c>
      <c r="K220">
        <f>'T_SelfStock'!I25</f>
        <v/>
      </c>
      <c r="L220">
        <f>'T_SelfStock'!J25</f>
        <v/>
      </c>
      <c r="M220">
        <f>'T_SelfStock'!K25</f>
        <v/>
      </c>
      <c r="N220">
        <f>'T_SelfStock'!L25</f>
        <v/>
      </c>
      <c r="O220">
        <f>'T_SelfStock'!M25</f>
        <v/>
      </c>
      <c r="P220">
        <f>'T_SelfStock'!N25</f>
        <v/>
      </c>
      <c r="Q220">
        <f>'T_SelfStock'!O25</f>
        <v/>
      </c>
      <c r="R220">
        <f>'T_SelfStock'!P25</f>
        <v/>
      </c>
      <c r="S220">
        <f>'T_SelfStock'!Q25</f>
        <v/>
      </c>
      <c r="T220">
        <f>'T_SelfStock'!R25</f>
        <v/>
      </c>
      <c r="U220">
        <f>'T_SelfStock'!S25</f>
        <v/>
      </c>
      <c r="V220">
        <f>'T_SelfStock'!T25</f>
        <v/>
      </c>
      <c r="W220">
        <f>'T_SelfStock'!U25</f>
        <v/>
      </c>
      <c r="X220">
        <f>'T_SelfStock'!V25</f>
        <v/>
      </c>
      <c r="Y220">
        <f>'T_SelfStock'!W25</f>
        <v/>
      </c>
      <c r="Z220">
        <f>'T_SelfStock'!X25</f>
        <v/>
      </c>
      <c r="AA220">
        <f>'T_SelfStock'!Y25</f>
        <v/>
      </c>
      <c r="AB220">
        <f>'T_SelfStock'!Z25</f>
        <v/>
      </c>
      <c r="AC220">
        <f>'T_SelfStock'!AA25</f>
        <v/>
      </c>
      <c r="AD220">
        <f>'T_SelfStock'!AB25</f>
        <v/>
      </c>
      <c r="AE220">
        <f>'T_SelfStock'!AC25</f>
        <v/>
      </c>
      <c r="AF220">
        <f>'T_SelfStock'!AD25</f>
        <v/>
      </c>
      <c r="AG220">
        <f>'T_SelfStock'!AE25</f>
        <v/>
      </c>
      <c r="AH220">
        <f>'T_SelfStock'!AF25</f>
        <v/>
      </c>
      <c r="AI220">
        <f>'T_SelfStock'!AG25</f>
        <v/>
      </c>
      <c r="AJ220">
        <f>'T_SelfStock'!AH25</f>
        <v/>
      </c>
      <c r="AK220">
        <f>'T_SelfStock'!AI25</f>
        <v/>
      </c>
      <c r="AL220">
        <f>'T_SelfStock'!AJ25</f>
        <v/>
      </c>
      <c r="AM220">
        <f>'T_SelfStock'!AK25</f>
        <v/>
      </c>
      <c r="AN220">
        <f>'T_SelfStock'!AL25</f>
        <v/>
      </c>
      <c r="AO220">
        <f>'T_SelfStock'!AM25</f>
        <v/>
      </c>
      <c r="AP220">
        <f>'T_SelfStock'!AN25</f>
        <v/>
      </c>
      <c r="AQ220">
        <f>'T_SelfStock'!AO25</f>
        <v/>
      </c>
      <c r="AR220">
        <f>'T_SelfStock'!AP25</f>
        <v/>
      </c>
      <c r="AS220">
        <f>'T_SelfStock'!AQ25</f>
        <v/>
      </c>
      <c r="AT220">
        <f>'T_SelfStock'!AR25</f>
        <v/>
      </c>
      <c r="AU220">
        <f>'T_SelfStock'!AS25</f>
        <v/>
      </c>
      <c r="AV220">
        <f>'T_SelfStock'!AT25</f>
        <v/>
      </c>
      <c r="AW220">
        <f>'T_SelfStock'!AU25</f>
        <v/>
      </c>
      <c r="AX220">
        <f>'T_SelfStock'!AV25</f>
        <v/>
      </c>
      <c r="AY220">
        <f>'T_SelfStock'!AW25</f>
        <v/>
      </c>
      <c r="AZ220">
        <f>'T_SelfStock'!AX25</f>
        <v/>
      </c>
      <c r="BA220">
        <f>'T_SelfStock'!AY25</f>
        <v/>
      </c>
      <c r="BB220">
        <f>'T_SelfStock'!AZ25</f>
        <v/>
      </c>
      <c r="BC220">
        <f>'T_SelfStock'!BA25</f>
        <v/>
      </c>
      <c r="BD220">
        <f>'T_SelfStock'!BB25</f>
        <v/>
      </c>
      <c r="BE220">
        <f>'T_SelfStock'!BC25</f>
        <v/>
      </c>
      <c r="BF220">
        <f>'T_SelfStock'!BD25</f>
        <v/>
      </c>
      <c r="BG220">
        <f>'T_SelfStock'!BE25</f>
        <v/>
      </c>
      <c r="BH220">
        <f>'T_SelfStock'!BF25</f>
        <v/>
      </c>
      <c r="BI220">
        <f>'T_SelfStock'!BG25</f>
        <v/>
      </c>
      <c r="BJ220">
        <f>'T_SelfStock'!BH25</f>
        <v/>
      </c>
      <c r="BK220">
        <f>'T_SelfStock'!BI25</f>
        <v/>
      </c>
      <c r="BL220">
        <f>'T_SelfStock'!BJ25</f>
        <v/>
      </c>
      <c r="BM220">
        <f>'T_SelfStock'!BK25</f>
        <v/>
      </c>
      <c r="BN220">
        <f>'T_SelfStock'!BL25</f>
        <v/>
      </c>
      <c r="BO220">
        <f>'T_SelfStock'!BM25</f>
        <v/>
      </c>
      <c r="BP220">
        <f>'T_SelfStock'!BN25</f>
        <v/>
      </c>
      <c r="BQ220">
        <f>'T_SelfStock'!BO25</f>
        <v/>
      </c>
      <c r="BR220">
        <f>'T_SelfStock'!BP25</f>
        <v/>
      </c>
      <c r="BS220">
        <f>'T_SelfStock'!BQ25</f>
        <v/>
      </c>
      <c r="BT220">
        <f>'T_SelfStock'!BR25</f>
        <v/>
      </c>
      <c r="BU220">
        <f>'T_SelfStock'!BS25</f>
        <v/>
      </c>
      <c r="BV220">
        <f>'T_SelfStock'!BT25</f>
        <v/>
      </c>
      <c r="BW220">
        <f>'T_SelfStock'!BU25</f>
        <v/>
      </c>
      <c r="BX220">
        <f>'T_SelfStock'!BV25</f>
        <v/>
      </c>
      <c r="BY220">
        <f>'T_SelfStock'!BW25</f>
        <v/>
      </c>
      <c r="BZ220">
        <f>'T_SelfStock'!BX25</f>
        <v/>
      </c>
      <c r="CA220">
        <f>'T_SelfStock'!BY25</f>
        <v/>
      </c>
      <c r="CB220">
        <f>'T_SelfStock'!BZ25</f>
        <v/>
      </c>
      <c r="CC220">
        <f>'T_SelfStock'!CA25</f>
        <v/>
      </c>
      <c r="CD220">
        <f>'T_SelfStock'!CB25</f>
        <v/>
      </c>
      <c r="CE220">
        <f>'T_SelfStock'!CC25</f>
        <v/>
      </c>
      <c r="CF220">
        <f>'T_SelfStock'!CD25</f>
        <v/>
      </c>
      <c r="CG220">
        <f>'T_SelfStock'!CE25</f>
        <v/>
      </c>
      <c r="CH220">
        <f>'T_SelfStock'!CF25</f>
        <v/>
      </c>
      <c r="CI220">
        <f>'T_SelfStock'!CG25</f>
        <v/>
      </c>
      <c r="CJ220">
        <f>'T_SelfStock'!CH25</f>
        <v/>
      </c>
      <c r="CK220">
        <f>'T_SelfStock'!CI25</f>
        <v/>
      </c>
      <c r="CL220">
        <f>'T_SelfStock'!CJ25</f>
        <v/>
      </c>
      <c r="CM220">
        <f>'T_SelfStock'!CK25</f>
        <v/>
      </c>
      <c r="CN220">
        <f>'T_SelfStock'!CL25</f>
        <v/>
      </c>
      <c r="CO220">
        <f>'T_SelfStock'!CM25</f>
        <v/>
      </c>
      <c r="CP220">
        <f>'T_SelfStock'!CN25</f>
        <v/>
      </c>
      <c r="CQ220">
        <f>'T_SelfStock'!CO25</f>
        <v/>
      </c>
      <c r="CR220">
        <f>'T_SelfStock'!CP25</f>
        <v/>
      </c>
      <c r="CS220">
        <f>'T_SelfStock'!CQ25</f>
        <v/>
      </c>
      <c r="CT220">
        <f>'T_SelfStock'!CR25</f>
        <v/>
      </c>
      <c r="CU220">
        <f>'T_SelfStock'!CS25</f>
        <v/>
      </c>
      <c r="CV220">
        <f>'T_SelfStock'!CT25</f>
        <v/>
      </c>
      <c r="CW220">
        <f>'T_SelfStock'!CU25</f>
        <v/>
      </c>
      <c r="CX220">
        <f>'T_SelfStock'!CV25</f>
        <v/>
      </c>
      <c r="CY220">
        <f>'T_SelfStock'!CW25</f>
        <v/>
      </c>
      <c r="CZ220">
        <f>'T_SelfStock'!CX25</f>
        <v/>
      </c>
      <c r="DA220">
        <f>'T_SelfStock'!CY25</f>
        <v/>
      </c>
      <c r="DB220">
        <f>'T_SelfStock'!CZ25</f>
        <v/>
      </c>
      <c r="DC220">
        <f>'T_SelfStock'!DA25</f>
        <v/>
      </c>
    </row>
    <row r="221">
      <c r="B221" t="inlineStr">
        <is>
          <t>Order(発注予定,kg)</t>
        </is>
      </c>
      <c r="D221">
        <f>IF(SUMIFS(T_PlannedOrders[EffectiveQty],T_PlannedOrders[Part Name],$A209,T_PlannedOrders[WeekIndex],1)=0,"",SUMIFS(T_PlannedOrders[EffectiveQty],T_PlannedOrders[Part Name],$A209,T_PlannedOrders[WeekIndex],1)&amp;" ("&amp;TEXT(SUMPRODUCT(MAX((T_PlannedOrders[Part Name]=$A209)*(T_PlannedOrders[WeekIndex]=1)*(T_PlannedOrders[EffectiveQty]&gt;0)*T_PlannedOrders[Order_Month])),"m月")&amp;"発注)")</f>
        <v/>
      </c>
      <c r="E221">
        <f>IF(SUMIFS(T_PlannedOrders[EffectiveQty],T_PlannedOrders[Part Name],$A209,T_PlannedOrders[WeekIndex],2)=0,"",SUMIFS(T_PlannedOrders[EffectiveQty],T_PlannedOrders[Part Name],$A209,T_PlannedOrders[WeekIndex],2)&amp;" ("&amp;TEXT(SUMPRODUCT(MAX((T_PlannedOrders[Part Name]=$A209)*(T_PlannedOrders[WeekIndex]=2)*(T_PlannedOrders[EffectiveQty]&gt;0)*T_PlannedOrders[Order_Month])),"m月")&amp;"発注)")</f>
        <v/>
      </c>
      <c r="F221">
        <f>IF(SUMIFS(T_PlannedOrders[EffectiveQty],T_PlannedOrders[Part Name],$A209,T_PlannedOrders[WeekIndex],3)=0,"",SUMIFS(T_PlannedOrders[EffectiveQty],T_PlannedOrders[Part Name],$A209,T_PlannedOrders[WeekIndex],3)&amp;" ("&amp;TEXT(SUMPRODUCT(MAX((T_PlannedOrders[Part Name]=$A209)*(T_PlannedOrders[WeekIndex]=3)*(T_PlannedOrders[EffectiveQty]&gt;0)*T_PlannedOrders[Order_Month])),"m月")&amp;"発注)")</f>
        <v/>
      </c>
      <c r="G221">
        <f>IF(SUMIFS(T_PlannedOrders[EffectiveQty],T_PlannedOrders[Part Name],$A209,T_PlannedOrders[WeekIndex],4)=0,"",SUMIFS(T_PlannedOrders[EffectiveQty],T_PlannedOrders[Part Name],$A209,T_PlannedOrders[WeekIndex],4)&amp;" ("&amp;TEXT(SUMPRODUCT(MAX((T_PlannedOrders[Part Name]=$A209)*(T_PlannedOrders[WeekIndex]=4)*(T_PlannedOrders[EffectiveQty]&gt;0)*T_PlannedOrders[Order_Month])),"m月")&amp;"発注)")</f>
        <v/>
      </c>
      <c r="H221">
        <f>IF(SUMIFS(T_PlannedOrders[EffectiveQty],T_PlannedOrders[Part Name],$A209,T_PlannedOrders[WeekIndex],5)=0,"",SUMIFS(T_PlannedOrders[EffectiveQty],T_PlannedOrders[Part Name],$A209,T_PlannedOrders[WeekIndex],5)&amp;" ("&amp;TEXT(SUMPRODUCT(MAX((T_PlannedOrders[Part Name]=$A209)*(T_PlannedOrders[WeekIndex]=5)*(T_PlannedOrders[EffectiveQty]&gt;0)*T_PlannedOrders[Order_Month])),"m月")&amp;"発注)")</f>
        <v/>
      </c>
      <c r="I221">
        <f>IF(SUMIFS(T_PlannedOrders[EffectiveQty],T_PlannedOrders[Part Name],$A209,T_PlannedOrders[WeekIndex],6)=0,"",SUMIFS(T_PlannedOrders[EffectiveQty],T_PlannedOrders[Part Name],$A209,T_PlannedOrders[WeekIndex],6)&amp;" ("&amp;TEXT(SUMPRODUCT(MAX((T_PlannedOrders[Part Name]=$A209)*(T_PlannedOrders[WeekIndex]=6)*(T_PlannedOrders[EffectiveQty]&gt;0)*T_PlannedOrders[Order_Month])),"m月")&amp;"発注)")</f>
        <v/>
      </c>
      <c r="J221">
        <f>IF(SUMIFS(T_PlannedOrders[EffectiveQty],T_PlannedOrders[Part Name],$A209,T_PlannedOrders[WeekIndex],7)=0,"",SUMIFS(T_PlannedOrders[EffectiveQty],T_PlannedOrders[Part Name],$A209,T_PlannedOrders[WeekIndex],7)&amp;" ("&amp;TEXT(SUMPRODUCT(MAX((T_PlannedOrders[Part Name]=$A209)*(T_PlannedOrders[WeekIndex]=7)*(T_PlannedOrders[EffectiveQty]&gt;0)*T_PlannedOrders[Order_Month])),"m月")&amp;"発注)")</f>
        <v/>
      </c>
      <c r="K221">
        <f>IF(SUMIFS(T_PlannedOrders[EffectiveQty],T_PlannedOrders[Part Name],$A209,T_PlannedOrders[WeekIndex],8)=0,"",SUMIFS(T_PlannedOrders[EffectiveQty],T_PlannedOrders[Part Name],$A209,T_PlannedOrders[WeekIndex],8)&amp;" ("&amp;TEXT(SUMPRODUCT(MAX((T_PlannedOrders[Part Name]=$A209)*(T_PlannedOrders[WeekIndex]=8)*(T_PlannedOrders[EffectiveQty]&gt;0)*T_PlannedOrders[Order_Month])),"m月")&amp;"発注)")</f>
        <v/>
      </c>
      <c r="L221">
        <f>IF(SUMIFS(T_PlannedOrders[EffectiveQty],T_PlannedOrders[Part Name],$A209,T_PlannedOrders[WeekIndex],9)=0,"",SUMIFS(T_PlannedOrders[EffectiveQty],T_PlannedOrders[Part Name],$A209,T_PlannedOrders[WeekIndex],9)&amp;" ("&amp;TEXT(SUMPRODUCT(MAX((T_PlannedOrders[Part Name]=$A209)*(T_PlannedOrders[WeekIndex]=9)*(T_PlannedOrders[EffectiveQty]&gt;0)*T_PlannedOrders[Order_Month])),"m月")&amp;"発注)")</f>
        <v/>
      </c>
      <c r="M221">
        <f>IF(SUMIFS(T_PlannedOrders[EffectiveQty],T_PlannedOrders[Part Name],$A209,T_PlannedOrders[WeekIndex],10)=0,"",SUMIFS(T_PlannedOrders[EffectiveQty],T_PlannedOrders[Part Name],$A209,T_PlannedOrders[WeekIndex],10)&amp;" ("&amp;TEXT(SUMPRODUCT(MAX((T_PlannedOrders[Part Name]=$A209)*(T_PlannedOrders[WeekIndex]=10)*(T_PlannedOrders[EffectiveQty]&gt;0)*T_PlannedOrders[Order_Month])),"m月")&amp;"発注)")</f>
        <v/>
      </c>
      <c r="N221">
        <f>IF(SUMIFS(T_PlannedOrders[EffectiveQty],T_PlannedOrders[Part Name],$A209,T_PlannedOrders[WeekIndex],11)=0,"",SUMIFS(T_PlannedOrders[EffectiveQty],T_PlannedOrders[Part Name],$A209,T_PlannedOrders[WeekIndex],11)&amp;" ("&amp;TEXT(SUMPRODUCT(MAX((T_PlannedOrders[Part Name]=$A209)*(T_PlannedOrders[WeekIndex]=11)*(T_PlannedOrders[EffectiveQty]&gt;0)*T_PlannedOrders[Order_Month])),"m月")&amp;"発注)")</f>
        <v/>
      </c>
      <c r="O221">
        <f>IF(SUMIFS(T_PlannedOrders[EffectiveQty],T_PlannedOrders[Part Name],$A209,T_PlannedOrders[WeekIndex],12)=0,"",SUMIFS(T_PlannedOrders[EffectiveQty],T_PlannedOrders[Part Name],$A209,T_PlannedOrders[WeekIndex],12)&amp;" ("&amp;TEXT(SUMPRODUCT(MAX((T_PlannedOrders[Part Name]=$A209)*(T_PlannedOrders[WeekIndex]=12)*(T_PlannedOrders[EffectiveQty]&gt;0)*T_PlannedOrders[Order_Month])),"m月")&amp;"発注)")</f>
        <v/>
      </c>
      <c r="P221">
        <f>IF(SUMIFS(T_PlannedOrders[EffectiveQty],T_PlannedOrders[Part Name],$A209,T_PlannedOrders[WeekIndex],13)=0,"",SUMIFS(T_PlannedOrders[EffectiveQty],T_PlannedOrders[Part Name],$A209,T_PlannedOrders[WeekIndex],13)&amp;" ("&amp;TEXT(SUMPRODUCT(MAX((T_PlannedOrders[Part Name]=$A209)*(T_PlannedOrders[WeekIndex]=13)*(T_PlannedOrders[EffectiveQty]&gt;0)*T_PlannedOrders[Order_Month])),"m月")&amp;"発注)")</f>
        <v/>
      </c>
      <c r="Q221">
        <f>IF(SUMIFS(T_PlannedOrders[EffectiveQty],T_PlannedOrders[Part Name],$A209,T_PlannedOrders[WeekIndex],14)=0,"",SUMIFS(T_PlannedOrders[EffectiveQty],T_PlannedOrders[Part Name],$A209,T_PlannedOrders[WeekIndex],14)&amp;" ("&amp;TEXT(SUMPRODUCT(MAX((T_PlannedOrders[Part Name]=$A209)*(T_PlannedOrders[WeekIndex]=14)*(T_PlannedOrders[EffectiveQty]&gt;0)*T_PlannedOrders[Order_Month])),"m月")&amp;"発注)")</f>
        <v/>
      </c>
      <c r="R221">
        <f>IF(SUMIFS(T_PlannedOrders[EffectiveQty],T_PlannedOrders[Part Name],$A209,T_PlannedOrders[WeekIndex],15)=0,"",SUMIFS(T_PlannedOrders[EffectiveQty],T_PlannedOrders[Part Name],$A209,T_PlannedOrders[WeekIndex],15)&amp;" ("&amp;TEXT(SUMPRODUCT(MAX((T_PlannedOrders[Part Name]=$A209)*(T_PlannedOrders[WeekIndex]=15)*(T_PlannedOrders[EffectiveQty]&gt;0)*T_PlannedOrders[Order_Month])),"m月")&amp;"発注)")</f>
        <v/>
      </c>
      <c r="S221">
        <f>IF(SUMIFS(T_PlannedOrders[EffectiveQty],T_PlannedOrders[Part Name],$A209,T_PlannedOrders[WeekIndex],16)=0,"",SUMIFS(T_PlannedOrders[EffectiveQty],T_PlannedOrders[Part Name],$A209,T_PlannedOrders[WeekIndex],16)&amp;" ("&amp;TEXT(SUMPRODUCT(MAX((T_PlannedOrders[Part Name]=$A209)*(T_PlannedOrders[WeekIndex]=16)*(T_PlannedOrders[EffectiveQty]&gt;0)*T_PlannedOrders[Order_Month])),"m月")&amp;"発注)")</f>
        <v/>
      </c>
      <c r="T221">
        <f>IF(SUMIFS(T_PlannedOrders[EffectiveQty],T_PlannedOrders[Part Name],$A209,T_PlannedOrders[WeekIndex],17)=0,"",SUMIFS(T_PlannedOrders[EffectiveQty],T_PlannedOrders[Part Name],$A209,T_PlannedOrders[WeekIndex],17)&amp;" ("&amp;TEXT(SUMPRODUCT(MAX((T_PlannedOrders[Part Name]=$A209)*(T_PlannedOrders[WeekIndex]=17)*(T_PlannedOrders[EffectiveQty]&gt;0)*T_PlannedOrders[Order_Month])),"m月")&amp;"発注)")</f>
        <v/>
      </c>
      <c r="U221">
        <f>IF(SUMIFS(T_PlannedOrders[EffectiveQty],T_PlannedOrders[Part Name],$A209,T_PlannedOrders[WeekIndex],18)=0,"",SUMIFS(T_PlannedOrders[EffectiveQty],T_PlannedOrders[Part Name],$A209,T_PlannedOrders[WeekIndex],18)&amp;" ("&amp;TEXT(SUMPRODUCT(MAX((T_PlannedOrders[Part Name]=$A209)*(T_PlannedOrders[WeekIndex]=18)*(T_PlannedOrders[EffectiveQty]&gt;0)*T_PlannedOrders[Order_Month])),"m月")&amp;"発注)")</f>
        <v/>
      </c>
      <c r="V221">
        <f>IF(SUMIFS(T_PlannedOrders[EffectiveQty],T_PlannedOrders[Part Name],$A209,T_PlannedOrders[WeekIndex],19)=0,"",SUMIFS(T_PlannedOrders[EffectiveQty],T_PlannedOrders[Part Name],$A209,T_PlannedOrders[WeekIndex],19)&amp;" ("&amp;TEXT(SUMPRODUCT(MAX((T_PlannedOrders[Part Name]=$A209)*(T_PlannedOrders[WeekIndex]=19)*(T_PlannedOrders[EffectiveQty]&gt;0)*T_PlannedOrders[Order_Month])),"m月")&amp;"発注)")</f>
        <v/>
      </c>
      <c r="W221">
        <f>IF(SUMIFS(T_PlannedOrders[EffectiveQty],T_PlannedOrders[Part Name],$A209,T_PlannedOrders[WeekIndex],20)=0,"",SUMIFS(T_PlannedOrders[EffectiveQty],T_PlannedOrders[Part Name],$A209,T_PlannedOrders[WeekIndex],20)&amp;" ("&amp;TEXT(SUMPRODUCT(MAX((T_PlannedOrders[Part Name]=$A209)*(T_PlannedOrders[WeekIndex]=20)*(T_PlannedOrders[EffectiveQty]&gt;0)*T_PlannedOrders[Order_Month])),"m月")&amp;"発注)")</f>
        <v/>
      </c>
      <c r="X221">
        <f>IF(SUMIFS(T_PlannedOrders[EffectiveQty],T_PlannedOrders[Part Name],$A209,T_PlannedOrders[WeekIndex],21)=0,"",SUMIFS(T_PlannedOrders[EffectiveQty],T_PlannedOrders[Part Name],$A209,T_PlannedOrders[WeekIndex],21)&amp;" ("&amp;TEXT(SUMPRODUCT(MAX((T_PlannedOrders[Part Name]=$A209)*(T_PlannedOrders[WeekIndex]=21)*(T_PlannedOrders[EffectiveQty]&gt;0)*T_PlannedOrders[Order_Month])),"m月")&amp;"発注)")</f>
        <v/>
      </c>
      <c r="Y221">
        <f>IF(SUMIFS(T_PlannedOrders[EffectiveQty],T_PlannedOrders[Part Name],$A209,T_PlannedOrders[WeekIndex],22)=0,"",SUMIFS(T_PlannedOrders[EffectiveQty],T_PlannedOrders[Part Name],$A209,T_PlannedOrders[WeekIndex],22)&amp;" ("&amp;TEXT(SUMPRODUCT(MAX((T_PlannedOrders[Part Name]=$A209)*(T_PlannedOrders[WeekIndex]=22)*(T_PlannedOrders[EffectiveQty]&gt;0)*T_PlannedOrders[Order_Month])),"m月")&amp;"発注)")</f>
        <v/>
      </c>
      <c r="Z221">
        <f>IF(SUMIFS(T_PlannedOrders[EffectiveQty],T_PlannedOrders[Part Name],$A209,T_PlannedOrders[WeekIndex],23)=0,"",SUMIFS(T_PlannedOrders[EffectiveQty],T_PlannedOrders[Part Name],$A209,T_PlannedOrders[WeekIndex],23)&amp;" ("&amp;TEXT(SUMPRODUCT(MAX((T_PlannedOrders[Part Name]=$A209)*(T_PlannedOrders[WeekIndex]=23)*(T_PlannedOrders[EffectiveQty]&gt;0)*T_PlannedOrders[Order_Month])),"m月")&amp;"発注)")</f>
        <v/>
      </c>
      <c r="AA221">
        <f>IF(SUMIFS(T_PlannedOrders[EffectiveQty],T_PlannedOrders[Part Name],$A209,T_PlannedOrders[WeekIndex],24)=0,"",SUMIFS(T_PlannedOrders[EffectiveQty],T_PlannedOrders[Part Name],$A209,T_PlannedOrders[WeekIndex],24)&amp;" ("&amp;TEXT(SUMPRODUCT(MAX((T_PlannedOrders[Part Name]=$A209)*(T_PlannedOrders[WeekIndex]=24)*(T_PlannedOrders[EffectiveQty]&gt;0)*T_PlannedOrders[Order_Month])),"m月")&amp;"発注)")</f>
        <v/>
      </c>
      <c r="AB221">
        <f>IF(SUMIFS(T_PlannedOrders[EffectiveQty],T_PlannedOrders[Part Name],$A209,T_PlannedOrders[WeekIndex],25)=0,"",SUMIFS(T_PlannedOrders[EffectiveQty],T_PlannedOrders[Part Name],$A209,T_PlannedOrders[WeekIndex],25)&amp;" ("&amp;TEXT(SUMPRODUCT(MAX((T_PlannedOrders[Part Name]=$A209)*(T_PlannedOrders[WeekIndex]=25)*(T_PlannedOrders[EffectiveQty]&gt;0)*T_PlannedOrders[Order_Month])),"m月")&amp;"発注)")</f>
        <v/>
      </c>
      <c r="AC221">
        <f>IF(SUMIFS(T_PlannedOrders[EffectiveQty],T_PlannedOrders[Part Name],$A209,T_PlannedOrders[WeekIndex],26)=0,"",SUMIFS(T_PlannedOrders[EffectiveQty],T_PlannedOrders[Part Name],$A209,T_PlannedOrders[WeekIndex],26)&amp;" ("&amp;TEXT(SUMPRODUCT(MAX((T_PlannedOrders[Part Name]=$A209)*(T_PlannedOrders[WeekIndex]=26)*(T_PlannedOrders[EffectiveQty]&gt;0)*T_PlannedOrders[Order_Month])),"m月")&amp;"発注)")</f>
        <v/>
      </c>
      <c r="AD221">
        <f>IF(SUMIFS(T_PlannedOrders[EffectiveQty],T_PlannedOrders[Part Name],$A209,T_PlannedOrders[WeekIndex],27)=0,"",SUMIFS(T_PlannedOrders[EffectiveQty],T_PlannedOrders[Part Name],$A209,T_PlannedOrders[WeekIndex],27)&amp;" ("&amp;TEXT(SUMPRODUCT(MAX((T_PlannedOrders[Part Name]=$A209)*(T_PlannedOrders[WeekIndex]=27)*(T_PlannedOrders[EffectiveQty]&gt;0)*T_PlannedOrders[Order_Month])),"m月")&amp;"発注)")</f>
        <v/>
      </c>
      <c r="AE221">
        <f>IF(SUMIFS(T_PlannedOrders[EffectiveQty],T_PlannedOrders[Part Name],$A209,T_PlannedOrders[WeekIndex],28)=0,"",SUMIFS(T_PlannedOrders[EffectiveQty],T_PlannedOrders[Part Name],$A209,T_PlannedOrders[WeekIndex],28)&amp;" ("&amp;TEXT(SUMPRODUCT(MAX((T_PlannedOrders[Part Name]=$A209)*(T_PlannedOrders[WeekIndex]=28)*(T_PlannedOrders[EffectiveQty]&gt;0)*T_PlannedOrders[Order_Month])),"m月")&amp;"発注)")</f>
        <v/>
      </c>
      <c r="AF221">
        <f>IF(SUMIFS(T_PlannedOrders[EffectiveQty],T_PlannedOrders[Part Name],$A209,T_PlannedOrders[WeekIndex],29)=0,"",SUMIFS(T_PlannedOrders[EffectiveQty],T_PlannedOrders[Part Name],$A209,T_PlannedOrders[WeekIndex],29)&amp;" ("&amp;TEXT(SUMPRODUCT(MAX((T_PlannedOrders[Part Name]=$A209)*(T_PlannedOrders[WeekIndex]=29)*(T_PlannedOrders[EffectiveQty]&gt;0)*T_PlannedOrders[Order_Month])),"m月")&amp;"発注)")</f>
        <v/>
      </c>
      <c r="AG221">
        <f>IF(SUMIFS(T_PlannedOrders[EffectiveQty],T_PlannedOrders[Part Name],$A209,T_PlannedOrders[WeekIndex],30)=0,"",SUMIFS(T_PlannedOrders[EffectiveQty],T_PlannedOrders[Part Name],$A209,T_PlannedOrders[WeekIndex],30)&amp;" ("&amp;TEXT(SUMPRODUCT(MAX((T_PlannedOrders[Part Name]=$A209)*(T_PlannedOrders[WeekIndex]=30)*(T_PlannedOrders[EffectiveQty]&gt;0)*T_PlannedOrders[Order_Month])),"m月")&amp;"発注)")</f>
        <v/>
      </c>
      <c r="AH221">
        <f>IF(SUMIFS(T_PlannedOrders[EffectiveQty],T_PlannedOrders[Part Name],$A209,T_PlannedOrders[WeekIndex],31)=0,"",SUMIFS(T_PlannedOrders[EffectiveQty],T_PlannedOrders[Part Name],$A209,T_PlannedOrders[WeekIndex],31)&amp;" ("&amp;TEXT(SUMPRODUCT(MAX((T_PlannedOrders[Part Name]=$A209)*(T_PlannedOrders[WeekIndex]=31)*(T_PlannedOrders[EffectiveQty]&gt;0)*T_PlannedOrders[Order_Month])),"m月")&amp;"発注)")</f>
        <v/>
      </c>
      <c r="AI221">
        <f>IF(SUMIFS(T_PlannedOrders[EffectiveQty],T_PlannedOrders[Part Name],$A209,T_PlannedOrders[WeekIndex],32)=0,"",SUMIFS(T_PlannedOrders[EffectiveQty],T_PlannedOrders[Part Name],$A209,T_PlannedOrders[WeekIndex],32)&amp;" ("&amp;TEXT(SUMPRODUCT(MAX((T_PlannedOrders[Part Name]=$A209)*(T_PlannedOrders[WeekIndex]=32)*(T_PlannedOrders[EffectiveQty]&gt;0)*T_PlannedOrders[Order_Month])),"m月")&amp;"発注)")</f>
        <v/>
      </c>
      <c r="AJ221">
        <f>IF(SUMIFS(T_PlannedOrders[EffectiveQty],T_PlannedOrders[Part Name],$A209,T_PlannedOrders[WeekIndex],33)=0,"",SUMIFS(T_PlannedOrders[EffectiveQty],T_PlannedOrders[Part Name],$A209,T_PlannedOrders[WeekIndex],33)&amp;" ("&amp;TEXT(SUMPRODUCT(MAX((T_PlannedOrders[Part Name]=$A209)*(T_PlannedOrders[WeekIndex]=33)*(T_PlannedOrders[EffectiveQty]&gt;0)*T_PlannedOrders[Order_Month])),"m月")&amp;"発注)")</f>
        <v/>
      </c>
      <c r="AK221">
        <f>IF(SUMIFS(T_PlannedOrders[EffectiveQty],T_PlannedOrders[Part Name],$A209,T_PlannedOrders[WeekIndex],34)=0,"",SUMIFS(T_PlannedOrders[EffectiveQty],T_PlannedOrders[Part Name],$A209,T_PlannedOrders[WeekIndex],34)&amp;" ("&amp;TEXT(SUMPRODUCT(MAX((T_PlannedOrders[Part Name]=$A209)*(T_PlannedOrders[WeekIndex]=34)*(T_PlannedOrders[EffectiveQty]&gt;0)*T_PlannedOrders[Order_Month])),"m月")&amp;"発注)")</f>
        <v/>
      </c>
      <c r="AL221">
        <f>IF(SUMIFS(T_PlannedOrders[EffectiveQty],T_PlannedOrders[Part Name],$A209,T_PlannedOrders[WeekIndex],35)=0,"",SUMIFS(T_PlannedOrders[EffectiveQty],T_PlannedOrders[Part Name],$A209,T_PlannedOrders[WeekIndex],35)&amp;" ("&amp;TEXT(SUMPRODUCT(MAX((T_PlannedOrders[Part Name]=$A209)*(T_PlannedOrders[WeekIndex]=35)*(T_PlannedOrders[EffectiveQty]&gt;0)*T_PlannedOrders[Order_Month])),"m月")&amp;"発注)")</f>
        <v/>
      </c>
      <c r="AM221">
        <f>IF(SUMIFS(T_PlannedOrders[EffectiveQty],T_PlannedOrders[Part Name],$A209,T_PlannedOrders[WeekIndex],36)=0,"",SUMIFS(T_PlannedOrders[EffectiveQty],T_PlannedOrders[Part Name],$A209,T_PlannedOrders[WeekIndex],36)&amp;" ("&amp;TEXT(SUMPRODUCT(MAX((T_PlannedOrders[Part Name]=$A209)*(T_PlannedOrders[WeekIndex]=36)*(T_PlannedOrders[EffectiveQty]&gt;0)*T_PlannedOrders[Order_Month])),"m月")&amp;"発注)")</f>
        <v/>
      </c>
      <c r="AN221">
        <f>IF(SUMIFS(T_PlannedOrders[EffectiveQty],T_PlannedOrders[Part Name],$A209,T_PlannedOrders[WeekIndex],37)=0,"",SUMIFS(T_PlannedOrders[EffectiveQty],T_PlannedOrders[Part Name],$A209,T_PlannedOrders[WeekIndex],37)&amp;" ("&amp;TEXT(SUMPRODUCT(MAX((T_PlannedOrders[Part Name]=$A209)*(T_PlannedOrders[WeekIndex]=37)*(T_PlannedOrders[EffectiveQty]&gt;0)*T_PlannedOrders[Order_Month])),"m月")&amp;"発注)")</f>
        <v/>
      </c>
      <c r="AO221">
        <f>IF(SUMIFS(T_PlannedOrders[EffectiveQty],T_PlannedOrders[Part Name],$A209,T_PlannedOrders[WeekIndex],38)=0,"",SUMIFS(T_PlannedOrders[EffectiveQty],T_PlannedOrders[Part Name],$A209,T_PlannedOrders[WeekIndex],38)&amp;" ("&amp;TEXT(SUMPRODUCT(MAX((T_PlannedOrders[Part Name]=$A209)*(T_PlannedOrders[WeekIndex]=38)*(T_PlannedOrders[EffectiveQty]&gt;0)*T_PlannedOrders[Order_Month])),"m月")&amp;"発注)")</f>
        <v/>
      </c>
      <c r="AP221">
        <f>IF(SUMIFS(T_PlannedOrders[EffectiveQty],T_PlannedOrders[Part Name],$A209,T_PlannedOrders[WeekIndex],39)=0,"",SUMIFS(T_PlannedOrders[EffectiveQty],T_PlannedOrders[Part Name],$A209,T_PlannedOrders[WeekIndex],39)&amp;" ("&amp;TEXT(SUMPRODUCT(MAX((T_PlannedOrders[Part Name]=$A209)*(T_PlannedOrders[WeekIndex]=39)*(T_PlannedOrders[EffectiveQty]&gt;0)*T_PlannedOrders[Order_Month])),"m月")&amp;"発注)")</f>
        <v/>
      </c>
      <c r="AQ221">
        <f>IF(SUMIFS(T_PlannedOrders[EffectiveQty],T_PlannedOrders[Part Name],$A209,T_PlannedOrders[WeekIndex],40)=0,"",SUMIFS(T_PlannedOrders[EffectiveQty],T_PlannedOrders[Part Name],$A209,T_PlannedOrders[WeekIndex],40)&amp;" ("&amp;TEXT(SUMPRODUCT(MAX((T_PlannedOrders[Part Name]=$A209)*(T_PlannedOrders[WeekIndex]=40)*(T_PlannedOrders[EffectiveQty]&gt;0)*T_PlannedOrders[Order_Month])),"m月")&amp;"発注)")</f>
        <v/>
      </c>
      <c r="AR221">
        <f>IF(SUMIFS(T_PlannedOrders[EffectiveQty],T_PlannedOrders[Part Name],$A209,T_PlannedOrders[WeekIndex],41)=0,"",SUMIFS(T_PlannedOrders[EffectiveQty],T_PlannedOrders[Part Name],$A209,T_PlannedOrders[WeekIndex],41)&amp;" ("&amp;TEXT(SUMPRODUCT(MAX((T_PlannedOrders[Part Name]=$A209)*(T_PlannedOrders[WeekIndex]=41)*(T_PlannedOrders[EffectiveQty]&gt;0)*T_PlannedOrders[Order_Month])),"m月")&amp;"発注)")</f>
        <v/>
      </c>
      <c r="AS221">
        <f>IF(SUMIFS(T_PlannedOrders[EffectiveQty],T_PlannedOrders[Part Name],$A209,T_PlannedOrders[WeekIndex],42)=0,"",SUMIFS(T_PlannedOrders[EffectiveQty],T_PlannedOrders[Part Name],$A209,T_PlannedOrders[WeekIndex],42)&amp;" ("&amp;TEXT(SUMPRODUCT(MAX((T_PlannedOrders[Part Name]=$A209)*(T_PlannedOrders[WeekIndex]=42)*(T_PlannedOrders[EffectiveQty]&gt;0)*T_PlannedOrders[Order_Month])),"m月")&amp;"発注)")</f>
        <v/>
      </c>
      <c r="AT221">
        <f>IF(SUMIFS(T_PlannedOrders[EffectiveQty],T_PlannedOrders[Part Name],$A209,T_PlannedOrders[WeekIndex],43)=0,"",SUMIFS(T_PlannedOrders[EffectiveQty],T_PlannedOrders[Part Name],$A209,T_PlannedOrders[WeekIndex],43)&amp;" ("&amp;TEXT(SUMPRODUCT(MAX((T_PlannedOrders[Part Name]=$A209)*(T_PlannedOrders[WeekIndex]=43)*(T_PlannedOrders[EffectiveQty]&gt;0)*T_PlannedOrders[Order_Month])),"m月")&amp;"発注)")</f>
        <v/>
      </c>
      <c r="AU221">
        <f>IF(SUMIFS(T_PlannedOrders[EffectiveQty],T_PlannedOrders[Part Name],$A209,T_PlannedOrders[WeekIndex],44)=0,"",SUMIFS(T_PlannedOrders[EffectiveQty],T_PlannedOrders[Part Name],$A209,T_PlannedOrders[WeekIndex],44)&amp;" ("&amp;TEXT(SUMPRODUCT(MAX((T_PlannedOrders[Part Name]=$A209)*(T_PlannedOrders[WeekIndex]=44)*(T_PlannedOrders[EffectiveQty]&gt;0)*T_PlannedOrders[Order_Month])),"m月")&amp;"発注)")</f>
        <v/>
      </c>
      <c r="AV221">
        <f>IF(SUMIFS(T_PlannedOrders[EffectiveQty],T_PlannedOrders[Part Name],$A209,T_PlannedOrders[WeekIndex],45)=0,"",SUMIFS(T_PlannedOrders[EffectiveQty],T_PlannedOrders[Part Name],$A209,T_PlannedOrders[WeekIndex],45)&amp;" ("&amp;TEXT(SUMPRODUCT(MAX((T_PlannedOrders[Part Name]=$A209)*(T_PlannedOrders[WeekIndex]=45)*(T_PlannedOrders[EffectiveQty]&gt;0)*T_PlannedOrders[Order_Month])),"m月")&amp;"発注)")</f>
        <v/>
      </c>
      <c r="AW221">
        <f>IF(SUMIFS(T_PlannedOrders[EffectiveQty],T_PlannedOrders[Part Name],$A209,T_PlannedOrders[WeekIndex],46)=0,"",SUMIFS(T_PlannedOrders[EffectiveQty],T_PlannedOrders[Part Name],$A209,T_PlannedOrders[WeekIndex],46)&amp;" ("&amp;TEXT(SUMPRODUCT(MAX((T_PlannedOrders[Part Name]=$A209)*(T_PlannedOrders[WeekIndex]=46)*(T_PlannedOrders[EffectiveQty]&gt;0)*T_PlannedOrders[Order_Month])),"m月")&amp;"発注)")</f>
        <v/>
      </c>
      <c r="AX221">
        <f>IF(SUMIFS(T_PlannedOrders[EffectiveQty],T_PlannedOrders[Part Name],$A209,T_PlannedOrders[WeekIndex],47)=0,"",SUMIFS(T_PlannedOrders[EffectiveQty],T_PlannedOrders[Part Name],$A209,T_PlannedOrders[WeekIndex],47)&amp;" ("&amp;TEXT(SUMPRODUCT(MAX((T_PlannedOrders[Part Name]=$A209)*(T_PlannedOrders[WeekIndex]=47)*(T_PlannedOrders[EffectiveQty]&gt;0)*T_PlannedOrders[Order_Month])),"m月")&amp;"発注)")</f>
        <v/>
      </c>
      <c r="AY221">
        <f>IF(SUMIFS(T_PlannedOrders[EffectiveQty],T_PlannedOrders[Part Name],$A209,T_PlannedOrders[WeekIndex],48)=0,"",SUMIFS(T_PlannedOrders[EffectiveQty],T_PlannedOrders[Part Name],$A209,T_PlannedOrders[WeekIndex],48)&amp;" ("&amp;TEXT(SUMPRODUCT(MAX((T_PlannedOrders[Part Name]=$A209)*(T_PlannedOrders[WeekIndex]=48)*(T_PlannedOrders[EffectiveQty]&gt;0)*T_PlannedOrders[Order_Month])),"m月")&amp;"発注)")</f>
        <v/>
      </c>
      <c r="AZ221">
        <f>IF(SUMIFS(T_PlannedOrders[EffectiveQty],T_PlannedOrders[Part Name],$A209,T_PlannedOrders[WeekIndex],49)=0,"",SUMIFS(T_PlannedOrders[EffectiveQty],T_PlannedOrders[Part Name],$A209,T_PlannedOrders[WeekIndex],49)&amp;" ("&amp;TEXT(SUMPRODUCT(MAX((T_PlannedOrders[Part Name]=$A209)*(T_PlannedOrders[WeekIndex]=49)*(T_PlannedOrders[EffectiveQty]&gt;0)*T_PlannedOrders[Order_Month])),"m月")&amp;"発注)")</f>
        <v/>
      </c>
      <c r="BA221">
        <f>IF(SUMIFS(T_PlannedOrders[EffectiveQty],T_PlannedOrders[Part Name],$A209,T_PlannedOrders[WeekIndex],50)=0,"",SUMIFS(T_PlannedOrders[EffectiveQty],T_PlannedOrders[Part Name],$A209,T_PlannedOrders[WeekIndex],50)&amp;" ("&amp;TEXT(SUMPRODUCT(MAX((T_PlannedOrders[Part Name]=$A209)*(T_PlannedOrders[WeekIndex]=50)*(T_PlannedOrders[EffectiveQty]&gt;0)*T_PlannedOrders[Order_Month])),"m月")&amp;"発注)")</f>
        <v/>
      </c>
      <c r="BB221">
        <f>IF(SUMIFS(T_PlannedOrders[EffectiveQty],T_PlannedOrders[Part Name],$A209,T_PlannedOrders[WeekIndex],51)=0,"",SUMIFS(T_PlannedOrders[EffectiveQty],T_PlannedOrders[Part Name],$A209,T_PlannedOrders[WeekIndex],51)&amp;" ("&amp;TEXT(SUMPRODUCT(MAX((T_PlannedOrders[Part Name]=$A209)*(T_PlannedOrders[WeekIndex]=51)*(T_PlannedOrders[EffectiveQty]&gt;0)*T_PlannedOrders[Order_Month])),"m月")&amp;"発注)")</f>
        <v/>
      </c>
      <c r="BC221">
        <f>IF(SUMIFS(T_PlannedOrders[EffectiveQty],T_PlannedOrders[Part Name],$A209,T_PlannedOrders[WeekIndex],52)=0,"",SUMIFS(T_PlannedOrders[EffectiveQty],T_PlannedOrders[Part Name],$A209,T_PlannedOrders[WeekIndex],52)&amp;" ("&amp;TEXT(SUMPRODUCT(MAX((T_PlannedOrders[Part Name]=$A209)*(T_PlannedOrders[WeekIndex]=52)*(T_PlannedOrders[EffectiveQty]&gt;0)*T_PlannedOrders[Order_Month])),"m月")&amp;"発注)")</f>
        <v/>
      </c>
      <c r="BD221">
        <f>IF(SUMIFS(T_PlannedOrders[EffectiveQty],T_PlannedOrders[Part Name],$A209,T_PlannedOrders[WeekIndex],53)=0,"",SUMIFS(T_PlannedOrders[EffectiveQty],T_PlannedOrders[Part Name],$A209,T_PlannedOrders[WeekIndex],53)&amp;" ("&amp;TEXT(SUMPRODUCT(MAX((T_PlannedOrders[Part Name]=$A209)*(T_PlannedOrders[WeekIndex]=53)*(T_PlannedOrders[EffectiveQty]&gt;0)*T_PlannedOrders[Order_Month])),"m月")&amp;"発注)")</f>
        <v/>
      </c>
      <c r="BE221">
        <f>IF(SUMIFS(T_PlannedOrders[EffectiveQty],T_PlannedOrders[Part Name],$A209,T_PlannedOrders[WeekIndex],54)=0,"",SUMIFS(T_PlannedOrders[EffectiveQty],T_PlannedOrders[Part Name],$A209,T_PlannedOrders[WeekIndex],54)&amp;" ("&amp;TEXT(SUMPRODUCT(MAX((T_PlannedOrders[Part Name]=$A209)*(T_PlannedOrders[WeekIndex]=54)*(T_PlannedOrders[EffectiveQty]&gt;0)*T_PlannedOrders[Order_Month])),"m月")&amp;"発注)")</f>
        <v/>
      </c>
      <c r="BF221">
        <f>IF(SUMIFS(T_PlannedOrders[EffectiveQty],T_PlannedOrders[Part Name],$A209,T_PlannedOrders[WeekIndex],55)=0,"",SUMIFS(T_PlannedOrders[EffectiveQty],T_PlannedOrders[Part Name],$A209,T_PlannedOrders[WeekIndex],55)&amp;" ("&amp;TEXT(SUMPRODUCT(MAX((T_PlannedOrders[Part Name]=$A209)*(T_PlannedOrders[WeekIndex]=55)*(T_PlannedOrders[EffectiveQty]&gt;0)*T_PlannedOrders[Order_Month])),"m月")&amp;"発注)")</f>
        <v/>
      </c>
      <c r="BG221">
        <f>IF(SUMIFS(T_PlannedOrders[EffectiveQty],T_PlannedOrders[Part Name],$A209,T_PlannedOrders[WeekIndex],56)=0,"",SUMIFS(T_PlannedOrders[EffectiveQty],T_PlannedOrders[Part Name],$A209,T_PlannedOrders[WeekIndex],56)&amp;" ("&amp;TEXT(SUMPRODUCT(MAX((T_PlannedOrders[Part Name]=$A209)*(T_PlannedOrders[WeekIndex]=56)*(T_PlannedOrders[EffectiveQty]&gt;0)*T_PlannedOrders[Order_Month])),"m月")&amp;"発注)")</f>
        <v/>
      </c>
      <c r="BH221">
        <f>IF(SUMIFS(T_PlannedOrders[EffectiveQty],T_PlannedOrders[Part Name],$A209,T_PlannedOrders[WeekIndex],57)=0,"",SUMIFS(T_PlannedOrders[EffectiveQty],T_PlannedOrders[Part Name],$A209,T_PlannedOrders[WeekIndex],57)&amp;" ("&amp;TEXT(SUMPRODUCT(MAX((T_PlannedOrders[Part Name]=$A209)*(T_PlannedOrders[WeekIndex]=57)*(T_PlannedOrders[EffectiveQty]&gt;0)*T_PlannedOrders[Order_Month])),"m月")&amp;"発注)")</f>
        <v/>
      </c>
      <c r="BI221">
        <f>IF(SUMIFS(T_PlannedOrders[EffectiveQty],T_PlannedOrders[Part Name],$A209,T_PlannedOrders[WeekIndex],58)=0,"",SUMIFS(T_PlannedOrders[EffectiveQty],T_PlannedOrders[Part Name],$A209,T_PlannedOrders[WeekIndex],58)&amp;" ("&amp;TEXT(SUMPRODUCT(MAX((T_PlannedOrders[Part Name]=$A209)*(T_PlannedOrders[WeekIndex]=58)*(T_PlannedOrders[EffectiveQty]&gt;0)*T_PlannedOrders[Order_Month])),"m月")&amp;"発注)")</f>
        <v/>
      </c>
      <c r="BJ221">
        <f>IF(SUMIFS(T_PlannedOrders[EffectiveQty],T_PlannedOrders[Part Name],$A209,T_PlannedOrders[WeekIndex],59)=0,"",SUMIFS(T_PlannedOrders[EffectiveQty],T_PlannedOrders[Part Name],$A209,T_PlannedOrders[WeekIndex],59)&amp;" ("&amp;TEXT(SUMPRODUCT(MAX((T_PlannedOrders[Part Name]=$A209)*(T_PlannedOrders[WeekIndex]=59)*(T_PlannedOrders[EffectiveQty]&gt;0)*T_PlannedOrders[Order_Month])),"m月")&amp;"発注)")</f>
        <v/>
      </c>
      <c r="BK221">
        <f>IF(SUMIFS(T_PlannedOrders[EffectiveQty],T_PlannedOrders[Part Name],$A209,T_PlannedOrders[WeekIndex],60)=0,"",SUMIFS(T_PlannedOrders[EffectiveQty],T_PlannedOrders[Part Name],$A209,T_PlannedOrders[WeekIndex],60)&amp;" ("&amp;TEXT(SUMPRODUCT(MAX((T_PlannedOrders[Part Name]=$A209)*(T_PlannedOrders[WeekIndex]=60)*(T_PlannedOrders[EffectiveQty]&gt;0)*T_PlannedOrders[Order_Month])),"m月")&amp;"発注)")</f>
        <v/>
      </c>
      <c r="BL221">
        <f>IF(SUMIFS(T_PlannedOrders[EffectiveQty],T_PlannedOrders[Part Name],$A209,T_PlannedOrders[WeekIndex],61)=0,"",SUMIFS(T_PlannedOrders[EffectiveQty],T_PlannedOrders[Part Name],$A209,T_PlannedOrders[WeekIndex],61)&amp;" ("&amp;TEXT(SUMPRODUCT(MAX((T_PlannedOrders[Part Name]=$A209)*(T_PlannedOrders[WeekIndex]=61)*(T_PlannedOrders[EffectiveQty]&gt;0)*T_PlannedOrders[Order_Month])),"m月")&amp;"発注)")</f>
        <v/>
      </c>
      <c r="BM221">
        <f>IF(SUMIFS(T_PlannedOrders[EffectiveQty],T_PlannedOrders[Part Name],$A209,T_PlannedOrders[WeekIndex],62)=0,"",SUMIFS(T_PlannedOrders[EffectiveQty],T_PlannedOrders[Part Name],$A209,T_PlannedOrders[WeekIndex],62)&amp;" ("&amp;TEXT(SUMPRODUCT(MAX((T_PlannedOrders[Part Name]=$A209)*(T_PlannedOrders[WeekIndex]=62)*(T_PlannedOrders[EffectiveQty]&gt;0)*T_PlannedOrders[Order_Month])),"m月")&amp;"発注)")</f>
        <v/>
      </c>
      <c r="BN221">
        <f>IF(SUMIFS(T_PlannedOrders[EffectiveQty],T_PlannedOrders[Part Name],$A209,T_PlannedOrders[WeekIndex],63)=0,"",SUMIFS(T_PlannedOrders[EffectiveQty],T_PlannedOrders[Part Name],$A209,T_PlannedOrders[WeekIndex],63)&amp;" ("&amp;TEXT(SUMPRODUCT(MAX((T_PlannedOrders[Part Name]=$A209)*(T_PlannedOrders[WeekIndex]=63)*(T_PlannedOrders[EffectiveQty]&gt;0)*T_PlannedOrders[Order_Month])),"m月")&amp;"発注)")</f>
        <v/>
      </c>
      <c r="BO221">
        <f>IF(SUMIFS(T_PlannedOrders[EffectiveQty],T_PlannedOrders[Part Name],$A209,T_PlannedOrders[WeekIndex],64)=0,"",SUMIFS(T_PlannedOrders[EffectiveQty],T_PlannedOrders[Part Name],$A209,T_PlannedOrders[WeekIndex],64)&amp;" ("&amp;TEXT(SUMPRODUCT(MAX((T_PlannedOrders[Part Name]=$A209)*(T_PlannedOrders[WeekIndex]=64)*(T_PlannedOrders[EffectiveQty]&gt;0)*T_PlannedOrders[Order_Month])),"m月")&amp;"発注)")</f>
        <v/>
      </c>
      <c r="BP221">
        <f>IF(SUMIFS(T_PlannedOrders[EffectiveQty],T_PlannedOrders[Part Name],$A209,T_PlannedOrders[WeekIndex],65)=0,"",SUMIFS(T_PlannedOrders[EffectiveQty],T_PlannedOrders[Part Name],$A209,T_PlannedOrders[WeekIndex],65)&amp;" ("&amp;TEXT(SUMPRODUCT(MAX((T_PlannedOrders[Part Name]=$A209)*(T_PlannedOrders[WeekIndex]=65)*(T_PlannedOrders[EffectiveQty]&gt;0)*T_PlannedOrders[Order_Month])),"m月")&amp;"発注)")</f>
        <v/>
      </c>
      <c r="BQ221">
        <f>IF(SUMIFS(T_PlannedOrders[EffectiveQty],T_PlannedOrders[Part Name],$A209,T_PlannedOrders[WeekIndex],66)=0,"",SUMIFS(T_PlannedOrders[EffectiveQty],T_PlannedOrders[Part Name],$A209,T_PlannedOrders[WeekIndex],66)&amp;" ("&amp;TEXT(SUMPRODUCT(MAX((T_PlannedOrders[Part Name]=$A209)*(T_PlannedOrders[WeekIndex]=66)*(T_PlannedOrders[EffectiveQty]&gt;0)*T_PlannedOrders[Order_Month])),"m月")&amp;"発注)")</f>
        <v/>
      </c>
      <c r="BR221">
        <f>IF(SUMIFS(T_PlannedOrders[EffectiveQty],T_PlannedOrders[Part Name],$A209,T_PlannedOrders[WeekIndex],67)=0,"",SUMIFS(T_PlannedOrders[EffectiveQty],T_PlannedOrders[Part Name],$A209,T_PlannedOrders[WeekIndex],67)&amp;" ("&amp;TEXT(SUMPRODUCT(MAX((T_PlannedOrders[Part Name]=$A209)*(T_PlannedOrders[WeekIndex]=67)*(T_PlannedOrders[EffectiveQty]&gt;0)*T_PlannedOrders[Order_Month])),"m月")&amp;"発注)")</f>
        <v/>
      </c>
      <c r="BS221">
        <f>IF(SUMIFS(T_PlannedOrders[EffectiveQty],T_PlannedOrders[Part Name],$A209,T_PlannedOrders[WeekIndex],68)=0,"",SUMIFS(T_PlannedOrders[EffectiveQty],T_PlannedOrders[Part Name],$A209,T_PlannedOrders[WeekIndex],68)&amp;" ("&amp;TEXT(SUMPRODUCT(MAX((T_PlannedOrders[Part Name]=$A209)*(T_PlannedOrders[WeekIndex]=68)*(T_PlannedOrders[EffectiveQty]&gt;0)*T_PlannedOrders[Order_Month])),"m月")&amp;"発注)")</f>
        <v/>
      </c>
      <c r="BT221">
        <f>IF(SUMIFS(T_PlannedOrders[EffectiveQty],T_PlannedOrders[Part Name],$A209,T_PlannedOrders[WeekIndex],69)=0,"",SUMIFS(T_PlannedOrders[EffectiveQty],T_PlannedOrders[Part Name],$A209,T_PlannedOrders[WeekIndex],69)&amp;" ("&amp;TEXT(SUMPRODUCT(MAX((T_PlannedOrders[Part Name]=$A209)*(T_PlannedOrders[WeekIndex]=69)*(T_PlannedOrders[EffectiveQty]&gt;0)*T_PlannedOrders[Order_Month])),"m月")&amp;"発注)")</f>
        <v/>
      </c>
      <c r="BU221">
        <f>IF(SUMIFS(T_PlannedOrders[EffectiveQty],T_PlannedOrders[Part Name],$A209,T_PlannedOrders[WeekIndex],70)=0,"",SUMIFS(T_PlannedOrders[EffectiveQty],T_PlannedOrders[Part Name],$A209,T_PlannedOrders[WeekIndex],70)&amp;" ("&amp;TEXT(SUMPRODUCT(MAX((T_PlannedOrders[Part Name]=$A209)*(T_PlannedOrders[WeekIndex]=70)*(T_PlannedOrders[EffectiveQty]&gt;0)*T_PlannedOrders[Order_Month])),"m月")&amp;"発注)")</f>
        <v/>
      </c>
      <c r="BV221">
        <f>IF(SUMIFS(T_PlannedOrders[EffectiveQty],T_PlannedOrders[Part Name],$A209,T_PlannedOrders[WeekIndex],71)=0,"",SUMIFS(T_PlannedOrders[EffectiveQty],T_PlannedOrders[Part Name],$A209,T_PlannedOrders[WeekIndex],71)&amp;" ("&amp;TEXT(SUMPRODUCT(MAX((T_PlannedOrders[Part Name]=$A209)*(T_PlannedOrders[WeekIndex]=71)*(T_PlannedOrders[EffectiveQty]&gt;0)*T_PlannedOrders[Order_Month])),"m月")&amp;"発注)")</f>
        <v/>
      </c>
      <c r="BW221">
        <f>IF(SUMIFS(T_PlannedOrders[EffectiveQty],T_PlannedOrders[Part Name],$A209,T_PlannedOrders[WeekIndex],72)=0,"",SUMIFS(T_PlannedOrders[EffectiveQty],T_PlannedOrders[Part Name],$A209,T_PlannedOrders[WeekIndex],72)&amp;" ("&amp;TEXT(SUMPRODUCT(MAX((T_PlannedOrders[Part Name]=$A209)*(T_PlannedOrders[WeekIndex]=72)*(T_PlannedOrders[EffectiveQty]&gt;0)*T_PlannedOrders[Order_Month])),"m月")&amp;"発注)")</f>
        <v/>
      </c>
      <c r="BX221">
        <f>IF(SUMIFS(T_PlannedOrders[EffectiveQty],T_PlannedOrders[Part Name],$A209,T_PlannedOrders[WeekIndex],73)=0,"",SUMIFS(T_PlannedOrders[EffectiveQty],T_PlannedOrders[Part Name],$A209,T_PlannedOrders[WeekIndex],73)&amp;" ("&amp;TEXT(SUMPRODUCT(MAX((T_PlannedOrders[Part Name]=$A209)*(T_PlannedOrders[WeekIndex]=73)*(T_PlannedOrders[EffectiveQty]&gt;0)*T_PlannedOrders[Order_Month])),"m月")&amp;"発注)")</f>
        <v/>
      </c>
      <c r="BY221">
        <f>IF(SUMIFS(T_PlannedOrders[EffectiveQty],T_PlannedOrders[Part Name],$A209,T_PlannedOrders[WeekIndex],74)=0,"",SUMIFS(T_PlannedOrders[EffectiveQty],T_PlannedOrders[Part Name],$A209,T_PlannedOrders[WeekIndex],74)&amp;" ("&amp;TEXT(SUMPRODUCT(MAX((T_PlannedOrders[Part Name]=$A209)*(T_PlannedOrders[WeekIndex]=74)*(T_PlannedOrders[EffectiveQty]&gt;0)*T_PlannedOrders[Order_Month])),"m月")&amp;"発注)")</f>
        <v/>
      </c>
      <c r="BZ221">
        <f>IF(SUMIFS(T_PlannedOrders[EffectiveQty],T_PlannedOrders[Part Name],$A209,T_PlannedOrders[WeekIndex],75)=0,"",SUMIFS(T_PlannedOrders[EffectiveQty],T_PlannedOrders[Part Name],$A209,T_PlannedOrders[WeekIndex],75)&amp;" ("&amp;TEXT(SUMPRODUCT(MAX((T_PlannedOrders[Part Name]=$A209)*(T_PlannedOrders[WeekIndex]=75)*(T_PlannedOrders[EffectiveQty]&gt;0)*T_PlannedOrders[Order_Month])),"m月")&amp;"発注)")</f>
        <v/>
      </c>
      <c r="CA221">
        <f>IF(SUMIFS(T_PlannedOrders[EffectiveQty],T_PlannedOrders[Part Name],$A209,T_PlannedOrders[WeekIndex],76)=0,"",SUMIFS(T_PlannedOrders[EffectiveQty],T_PlannedOrders[Part Name],$A209,T_PlannedOrders[WeekIndex],76)&amp;" ("&amp;TEXT(SUMPRODUCT(MAX((T_PlannedOrders[Part Name]=$A209)*(T_PlannedOrders[WeekIndex]=76)*(T_PlannedOrders[EffectiveQty]&gt;0)*T_PlannedOrders[Order_Month])),"m月")&amp;"発注)")</f>
        <v/>
      </c>
      <c r="CB221">
        <f>IF(SUMIFS(T_PlannedOrders[EffectiveQty],T_PlannedOrders[Part Name],$A209,T_PlannedOrders[WeekIndex],77)=0,"",SUMIFS(T_PlannedOrders[EffectiveQty],T_PlannedOrders[Part Name],$A209,T_PlannedOrders[WeekIndex],77)&amp;" ("&amp;TEXT(SUMPRODUCT(MAX((T_PlannedOrders[Part Name]=$A209)*(T_PlannedOrders[WeekIndex]=77)*(T_PlannedOrders[EffectiveQty]&gt;0)*T_PlannedOrders[Order_Month])),"m月")&amp;"発注)")</f>
        <v/>
      </c>
      <c r="CC221">
        <f>IF(SUMIFS(T_PlannedOrders[EffectiveQty],T_PlannedOrders[Part Name],$A209,T_PlannedOrders[WeekIndex],78)=0,"",SUMIFS(T_PlannedOrders[EffectiveQty],T_PlannedOrders[Part Name],$A209,T_PlannedOrders[WeekIndex],78)&amp;" ("&amp;TEXT(SUMPRODUCT(MAX((T_PlannedOrders[Part Name]=$A209)*(T_PlannedOrders[WeekIndex]=78)*(T_PlannedOrders[EffectiveQty]&gt;0)*T_PlannedOrders[Order_Month])),"m月")&amp;"発注)")</f>
        <v/>
      </c>
      <c r="CD221">
        <f>IF(SUMIFS(T_PlannedOrders[EffectiveQty],T_PlannedOrders[Part Name],$A209,T_PlannedOrders[WeekIndex],79)=0,"",SUMIFS(T_PlannedOrders[EffectiveQty],T_PlannedOrders[Part Name],$A209,T_PlannedOrders[WeekIndex],79)&amp;" ("&amp;TEXT(SUMPRODUCT(MAX((T_PlannedOrders[Part Name]=$A209)*(T_PlannedOrders[WeekIndex]=79)*(T_PlannedOrders[EffectiveQty]&gt;0)*T_PlannedOrders[Order_Month])),"m月")&amp;"発注)")</f>
        <v/>
      </c>
      <c r="CE221">
        <f>IF(SUMIFS(T_PlannedOrders[EffectiveQty],T_PlannedOrders[Part Name],$A209,T_PlannedOrders[WeekIndex],80)=0,"",SUMIFS(T_PlannedOrders[EffectiveQty],T_PlannedOrders[Part Name],$A209,T_PlannedOrders[WeekIndex],80)&amp;" ("&amp;TEXT(SUMPRODUCT(MAX((T_PlannedOrders[Part Name]=$A209)*(T_PlannedOrders[WeekIndex]=80)*(T_PlannedOrders[EffectiveQty]&gt;0)*T_PlannedOrders[Order_Month])),"m月")&amp;"発注)")</f>
        <v/>
      </c>
      <c r="CF221">
        <f>IF(SUMIFS(T_PlannedOrders[EffectiveQty],T_PlannedOrders[Part Name],$A209,T_PlannedOrders[WeekIndex],81)=0,"",SUMIFS(T_PlannedOrders[EffectiveQty],T_PlannedOrders[Part Name],$A209,T_PlannedOrders[WeekIndex],81)&amp;" ("&amp;TEXT(SUMPRODUCT(MAX((T_PlannedOrders[Part Name]=$A209)*(T_PlannedOrders[WeekIndex]=81)*(T_PlannedOrders[EffectiveQty]&gt;0)*T_PlannedOrders[Order_Month])),"m月")&amp;"発注)")</f>
        <v/>
      </c>
      <c r="CG221">
        <f>IF(SUMIFS(T_PlannedOrders[EffectiveQty],T_PlannedOrders[Part Name],$A209,T_PlannedOrders[WeekIndex],82)=0,"",SUMIFS(T_PlannedOrders[EffectiveQty],T_PlannedOrders[Part Name],$A209,T_PlannedOrders[WeekIndex],82)&amp;" ("&amp;TEXT(SUMPRODUCT(MAX((T_PlannedOrders[Part Name]=$A209)*(T_PlannedOrders[WeekIndex]=82)*(T_PlannedOrders[EffectiveQty]&gt;0)*T_PlannedOrders[Order_Month])),"m月")&amp;"発注)")</f>
        <v/>
      </c>
      <c r="CH221">
        <f>IF(SUMIFS(T_PlannedOrders[EffectiveQty],T_PlannedOrders[Part Name],$A209,T_PlannedOrders[WeekIndex],83)=0,"",SUMIFS(T_PlannedOrders[EffectiveQty],T_PlannedOrders[Part Name],$A209,T_PlannedOrders[WeekIndex],83)&amp;" ("&amp;TEXT(SUMPRODUCT(MAX((T_PlannedOrders[Part Name]=$A209)*(T_PlannedOrders[WeekIndex]=83)*(T_PlannedOrders[EffectiveQty]&gt;0)*T_PlannedOrders[Order_Month])),"m月")&amp;"発注)")</f>
        <v/>
      </c>
      <c r="CI221">
        <f>IF(SUMIFS(T_PlannedOrders[EffectiveQty],T_PlannedOrders[Part Name],$A209,T_PlannedOrders[WeekIndex],84)=0,"",SUMIFS(T_PlannedOrders[EffectiveQty],T_PlannedOrders[Part Name],$A209,T_PlannedOrders[WeekIndex],84)&amp;" ("&amp;TEXT(SUMPRODUCT(MAX((T_PlannedOrders[Part Name]=$A209)*(T_PlannedOrders[WeekIndex]=84)*(T_PlannedOrders[EffectiveQty]&gt;0)*T_PlannedOrders[Order_Month])),"m月")&amp;"発注)")</f>
        <v/>
      </c>
      <c r="CJ221">
        <f>IF(SUMIFS(T_PlannedOrders[EffectiveQty],T_PlannedOrders[Part Name],$A209,T_PlannedOrders[WeekIndex],85)=0,"",SUMIFS(T_PlannedOrders[EffectiveQty],T_PlannedOrders[Part Name],$A209,T_PlannedOrders[WeekIndex],85)&amp;" ("&amp;TEXT(SUMPRODUCT(MAX((T_PlannedOrders[Part Name]=$A209)*(T_PlannedOrders[WeekIndex]=85)*(T_PlannedOrders[EffectiveQty]&gt;0)*T_PlannedOrders[Order_Month])),"m月")&amp;"発注)")</f>
        <v/>
      </c>
      <c r="CK221">
        <f>IF(SUMIFS(T_PlannedOrders[EffectiveQty],T_PlannedOrders[Part Name],$A209,T_PlannedOrders[WeekIndex],86)=0,"",SUMIFS(T_PlannedOrders[EffectiveQty],T_PlannedOrders[Part Name],$A209,T_PlannedOrders[WeekIndex],86)&amp;" ("&amp;TEXT(SUMPRODUCT(MAX((T_PlannedOrders[Part Name]=$A209)*(T_PlannedOrders[WeekIndex]=86)*(T_PlannedOrders[EffectiveQty]&gt;0)*T_PlannedOrders[Order_Month])),"m月")&amp;"発注)")</f>
        <v/>
      </c>
      <c r="CL221">
        <f>IF(SUMIFS(T_PlannedOrders[EffectiveQty],T_PlannedOrders[Part Name],$A209,T_PlannedOrders[WeekIndex],87)=0,"",SUMIFS(T_PlannedOrders[EffectiveQty],T_PlannedOrders[Part Name],$A209,T_PlannedOrders[WeekIndex],87)&amp;" ("&amp;TEXT(SUMPRODUCT(MAX((T_PlannedOrders[Part Name]=$A209)*(T_PlannedOrders[WeekIndex]=87)*(T_PlannedOrders[EffectiveQty]&gt;0)*T_PlannedOrders[Order_Month])),"m月")&amp;"発注)")</f>
        <v/>
      </c>
      <c r="CM221">
        <f>IF(SUMIFS(T_PlannedOrders[EffectiveQty],T_PlannedOrders[Part Name],$A209,T_PlannedOrders[WeekIndex],88)=0,"",SUMIFS(T_PlannedOrders[EffectiveQty],T_PlannedOrders[Part Name],$A209,T_PlannedOrders[WeekIndex],88)&amp;" ("&amp;TEXT(SUMPRODUCT(MAX((T_PlannedOrders[Part Name]=$A209)*(T_PlannedOrders[WeekIndex]=88)*(T_PlannedOrders[EffectiveQty]&gt;0)*T_PlannedOrders[Order_Month])),"m月")&amp;"発注)")</f>
        <v/>
      </c>
      <c r="CN221">
        <f>IF(SUMIFS(T_PlannedOrders[EffectiveQty],T_PlannedOrders[Part Name],$A209,T_PlannedOrders[WeekIndex],89)=0,"",SUMIFS(T_PlannedOrders[EffectiveQty],T_PlannedOrders[Part Name],$A209,T_PlannedOrders[WeekIndex],89)&amp;" ("&amp;TEXT(SUMPRODUCT(MAX((T_PlannedOrders[Part Name]=$A209)*(T_PlannedOrders[WeekIndex]=89)*(T_PlannedOrders[EffectiveQty]&gt;0)*T_PlannedOrders[Order_Month])),"m月")&amp;"発注)")</f>
        <v/>
      </c>
      <c r="CO221">
        <f>IF(SUMIFS(T_PlannedOrders[EffectiveQty],T_PlannedOrders[Part Name],$A209,T_PlannedOrders[WeekIndex],90)=0,"",SUMIFS(T_PlannedOrders[EffectiveQty],T_PlannedOrders[Part Name],$A209,T_PlannedOrders[WeekIndex],90)&amp;" ("&amp;TEXT(SUMPRODUCT(MAX((T_PlannedOrders[Part Name]=$A209)*(T_PlannedOrders[WeekIndex]=90)*(T_PlannedOrders[EffectiveQty]&gt;0)*T_PlannedOrders[Order_Month])),"m月")&amp;"発注)")</f>
        <v/>
      </c>
      <c r="CP221">
        <f>IF(SUMIFS(T_PlannedOrders[EffectiveQty],T_PlannedOrders[Part Name],$A209,T_PlannedOrders[WeekIndex],91)=0,"",SUMIFS(T_PlannedOrders[EffectiveQty],T_PlannedOrders[Part Name],$A209,T_PlannedOrders[WeekIndex],91)&amp;" ("&amp;TEXT(SUMPRODUCT(MAX((T_PlannedOrders[Part Name]=$A209)*(T_PlannedOrders[WeekIndex]=91)*(T_PlannedOrders[EffectiveQty]&gt;0)*T_PlannedOrders[Order_Month])),"m月")&amp;"発注)")</f>
        <v/>
      </c>
      <c r="CQ221">
        <f>IF(SUMIFS(T_PlannedOrders[EffectiveQty],T_PlannedOrders[Part Name],$A209,T_PlannedOrders[WeekIndex],92)=0,"",SUMIFS(T_PlannedOrders[EffectiveQty],T_PlannedOrders[Part Name],$A209,T_PlannedOrders[WeekIndex],92)&amp;" ("&amp;TEXT(SUMPRODUCT(MAX((T_PlannedOrders[Part Name]=$A209)*(T_PlannedOrders[WeekIndex]=92)*(T_PlannedOrders[EffectiveQty]&gt;0)*T_PlannedOrders[Order_Month])),"m月")&amp;"発注)")</f>
        <v/>
      </c>
      <c r="CR221">
        <f>IF(SUMIFS(T_PlannedOrders[EffectiveQty],T_PlannedOrders[Part Name],$A209,T_PlannedOrders[WeekIndex],93)=0,"",SUMIFS(T_PlannedOrders[EffectiveQty],T_PlannedOrders[Part Name],$A209,T_PlannedOrders[WeekIndex],93)&amp;" ("&amp;TEXT(SUMPRODUCT(MAX((T_PlannedOrders[Part Name]=$A209)*(T_PlannedOrders[WeekIndex]=93)*(T_PlannedOrders[EffectiveQty]&gt;0)*T_PlannedOrders[Order_Month])),"m月")&amp;"発注)")</f>
        <v/>
      </c>
      <c r="CS221">
        <f>IF(SUMIFS(T_PlannedOrders[EffectiveQty],T_PlannedOrders[Part Name],$A209,T_PlannedOrders[WeekIndex],94)=0,"",SUMIFS(T_PlannedOrders[EffectiveQty],T_PlannedOrders[Part Name],$A209,T_PlannedOrders[WeekIndex],94)&amp;" ("&amp;TEXT(SUMPRODUCT(MAX((T_PlannedOrders[Part Name]=$A209)*(T_PlannedOrders[WeekIndex]=94)*(T_PlannedOrders[EffectiveQty]&gt;0)*T_PlannedOrders[Order_Month])),"m月")&amp;"発注)")</f>
        <v/>
      </c>
      <c r="CT221">
        <f>IF(SUMIFS(T_PlannedOrders[EffectiveQty],T_PlannedOrders[Part Name],$A209,T_PlannedOrders[WeekIndex],95)=0,"",SUMIFS(T_PlannedOrders[EffectiveQty],T_PlannedOrders[Part Name],$A209,T_PlannedOrders[WeekIndex],95)&amp;" ("&amp;TEXT(SUMPRODUCT(MAX((T_PlannedOrders[Part Name]=$A209)*(T_PlannedOrders[WeekIndex]=95)*(T_PlannedOrders[EffectiveQty]&gt;0)*T_PlannedOrders[Order_Month])),"m月")&amp;"発注)")</f>
        <v/>
      </c>
      <c r="CU221">
        <f>IF(SUMIFS(T_PlannedOrders[EffectiveQty],T_PlannedOrders[Part Name],$A209,T_PlannedOrders[WeekIndex],96)=0,"",SUMIFS(T_PlannedOrders[EffectiveQty],T_PlannedOrders[Part Name],$A209,T_PlannedOrders[WeekIndex],96)&amp;" ("&amp;TEXT(SUMPRODUCT(MAX((T_PlannedOrders[Part Name]=$A209)*(T_PlannedOrders[WeekIndex]=96)*(T_PlannedOrders[EffectiveQty]&gt;0)*T_PlannedOrders[Order_Month])),"m月")&amp;"発注)")</f>
        <v/>
      </c>
      <c r="CV221">
        <f>IF(SUMIFS(T_PlannedOrders[EffectiveQty],T_PlannedOrders[Part Name],$A209,T_PlannedOrders[WeekIndex],97)=0,"",SUMIFS(T_PlannedOrders[EffectiveQty],T_PlannedOrders[Part Name],$A209,T_PlannedOrders[WeekIndex],97)&amp;" ("&amp;TEXT(SUMPRODUCT(MAX((T_PlannedOrders[Part Name]=$A209)*(T_PlannedOrders[WeekIndex]=97)*(T_PlannedOrders[EffectiveQty]&gt;0)*T_PlannedOrders[Order_Month])),"m月")&amp;"発注)")</f>
        <v/>
      </c>
      <c r="CW221">
        <f>IF(SUMIFS(T_PlannedOrders[EffectiveQty],T_PlannedOrders[Part Name],$A209,T_PlannedOrders[WeekIndex],98)=0,"",SUMIFS(T_PlannedOrders[EffectiveQty],T_PlannedOrders[Part Name],$A209,T_PlannedOrders[WeekIndex],98)&amp;" ("&amp;TEXT(SUMPRODUCT(MAX((T_PlannedOrders[Part Name]=$A209)*(T_PlannedOrders[WeekIndex]=98)*(T_PlannedOrders[EffectiveQty]&gt;0)*T_PlannedOrders[Order_Month])),"m月")&amp;"発注)")</f>
        <v/>
      </c>
      <c r="CX221">
        <f>IF(SUMIFS(T_PlannedOrders[EffectiveQty],T_PlannedOrders[Part Name],$A209,T_PlannedOrders[WeekIndex],99)=0,"",SUMIFS(T_PlannedOrders[EffectiveQty],T_PlannedOrders[Part Name],$A209,T_PlannedOrders[WeekIndex],99)&amp;" ("&amp;TEXT(SUMPRODUCT(MAX((T_PlannedOrders[Part Name]=$A209)*(T_PlannedOrders[WeekIndex]=99)*(T_PlannedOrders[EffectiveQty]&gt;0)*T_PlannedOrders[Order_Month])),"m月")&amp;"発注)")</f>
        <v/>
      </c>
      <c r="CY221">
        <f>IF(SUMIFS(T_PlannedOrders[EffectiveQty],T_PlannedOrders[Part Name],$A209,T_PlannedOrders[WeekIndex],100)=0,"",SUMIFS(T_PlannedOrders[EffectiveQty],T_PlannedOrders[Part Name],$A209,T_PlannedOrders[WeekIndex],100)&amp;" ("&amp;TEXT(SUMPRODUCT(MAX((T_PlannedOrders[Part Name]=$A209)*(T_PlannedOrders[WeekIndex]=100)*(T_PlannedOrders[EffectiveQty]&gt;0)*T_PlannedOrders[Order_Month])),"m月")&amp;"発注)")</f>
        <v/>
      </c>
      <c r="CZ221">
        <f>IF(SUMIFS(T_PlannedOrders[EffectiveQty],T_PlannedOrders[Part Name],$A209,T_PlannedOrders[WeekIndex],101)=0,"",SUMIFS(T_PlannedOrders[EffectiveQty],T_PlannedOrders[Part Name],$A209,T_PlannedOrders[WeekIndex],101)&amp;" ("&amp;TEXT(SUMPRODUCT(MAX((T_PlannedOrders[Part Name]=$A209)*(T_PlannedOrders[WeekIndex]=101)*(T_PlannedOrders[EffectiveQty]&gt;0)*T_PlannedOrders[Order_Month])),"m月")&amp;"発注)")</f>
        <v/>
      </c>
      <c r="DA221">
        <f>IF(SUMIFS(T_PlannedOrders[EffectiveQty],T_PlannedOrders[Part Name],$A209,T_PlannedOrders[WeekIndex],102)=0,"",SUMIFS(T_PlannedOrders[EffectiveQty],T_PlannedOrders[Part Name],$A209,T_PlannedOrders[WeekIndex],102)&amp;" ("&amp;TEXT(SUMPRODUCT(MAX((T_PlannedOrders[Part Name]=$A209)*(T_PlannedOrders[WeekIndex]=102)*(T_PlannedOrders[EffectiveQty]&gt;0)*T_PlannedOrders[Order_Month])),"m月")&amp;"発注)")</f>
        <v/>
      </c>
      <c r="DB221">
        <f>IF(SUMIFS(T_PlannedOrders[EffectiveQty],T_PlannedOrders[Part Name],$A209,T_PlannedOrders[WeekIndex],103)=0,"",SUMIFS(T_PlannedOrders[EffectiveQty],T_PlannedOrders[Part Name],$A209,T_PlannedOrders[WeekIndex],103)&amp;" ("&amp;TEXT(SUMPRODUCT(MAX((T_PlannedOrders[Part Name]=$A209)*(T_PlannedOrders[WeekIndex]=103)*(T_PlannedOrders[EffectiveQty]&gt;0)*T_PlannedOrders[Order_Month])),"m月")&amp;"発注)")</f>
        <v/>
      </c>
      <c r="DC221">
        <f>IF(SUMIFS(T_PlannedOrders[EffectiveQty],T_PlannedOrders[Part Name],$A209,T_PlannedOrders[WeekIndex],104)=0,"",SUMIFS(T_PlannedOrders[EffectiveQty],T_PlannedOrders[Part Name],$A209,T_PlannedOrders[WeekIndex],104)&amp;" ("&amp;TEXT(SUMPRODUCT(MAX((T_PlannedOrders[Part Name]=$A209)*(T_PlannedOrders[WeekIndex]=104)*(T_PlannedOrders[EffectiveQty]&gt;0)*T_PlannedOrders[Order_Month])),"m月")&amp;"発注)")</f>
        <v/>
      </c>
    </row>
    <row r="222">
      <c r="B222" s="5" t="inlineStr">
        <is>
          <t>合計在庫(週末時点,kg)</t>
        </is>
      </c>
      <c r="D222">
        <f>'Grid_Stock'!B21</f>
        <v/>
      </c>
      <c r="E222">
        <f>'Grid_Stock'!C21</f>
        <v/>
      </c>
      <c r="F222">
        <f>'Grid_Stock'!D21</f>
        <v/>
      </c>
      <c r="G222">
        <f>'Grid_Stock'!E21</f>
        <v/>
      </c>
      <c r="H222">
        <f>'Grid_Stock'!F21</f>
        <v/>
      </c>
      <c r="I222">
        <f>'Grid_Stock'!G21</f>
        <v/>
      </c>
      <c r="J222">
        <f>'Grid_Stock'!H21</f>
        <v/>
      </c>
      <c r="K222">
        <f>'Grid_Stock'!I21</f>
        <v/>
      </c>
      <c r="L222">
        <f>'Grid_Stock'!J21</f>
        <v/>
      </c>
      <c r="M222">
        <f>'Grid_Stock'!K21</f>
        <v/>
      </c>
      <c r="N222">
        <f>'Grid_Stock'!L21</f>
        <v/>
      </c>
      <c r="O222">
        <f>'Grid_Stock'!M21</f>
        <v/>
      </c>
      <c r="P222">
        <f>'Grid_Stock'!N21</f>
        <v/>
      </c>
      <c r="Q222">
        <f>'Grid_Stock'!O21</f>
        <v/>
      </c>
      <c r="R222">
        <f>'Grid_Stock'!P21</f>
        <v/>
      </c>
      <c r="S222">
        <f>'Grid_Stock'!Q21</f>
        <v/>
      </c>
      <c r="T222">
        <f>'Grid_Stock'!R21</f>
        <v/>
      </c>
      <c r="U222">
        <f>'Grid_Stock'!S21</f>
        <v/>
      </c>
      <c r="V222">
        <f>'Grid_Stock'!T21</f>
        <v/>
      </c>
      <c r="W222">
        <f>'Grid_Stock'!U21</f>
        <v/>
      </c>
      <c r="X222">
        <f>'Grid_Stock'!V21</f>
        <v/>
      </c>
      <c r="Y222">
        <f>'Grid_Stock'!W21</f>
        <v/>
      </c>
      <c r="Z222">
        <f>'Grid_Stock'!X21</f>
        <v/>
      </c>
      <c r="AA222">
        <f>'Grid_Stock'!Y21</f>
        <v/>
      </c>
      <c r="AB222">
        <f>'Grid_Stock'!Z21</f>
        <v/>
      </c>
      <c r="AC222">
        <f>'Grid_Stock'!AA21</f>
        <v/>
      </c>
      <c r="AD222">
        <f>'Grid_Stock'!AB21</f>
        <v/>
      </c>
      <c r="AE222">
        <f>'Grid_Stock'!AC21</f>
        <v/>
      </c>
      <c r="AF222">
        <f>'Grid_Stock'!AD21</f>
        <v/>
      </c>
      <c r="AG222">
        <f>'Grid_Stock'!AE21</f>
        <v/>
      </c>
      <c r="AH222">
        <f>'Grid_Stock'!AF21</f>
        <v/>
      </c>
      <c r="AI222">
        <f>'Grid_Stock'!AG21</f>
        <v/>
      </c>
      <c r="AJ222">
        <f>'Grid_Stock'!AH21</f>
        <v/>
      </c>
      <c r="AK222">
        <f>'Grid_Stock'!AI21</f>
        <v/>
      </c>
      <c r="AL222">
        <f>'Grid_Stock'!AJ21</f>
        <v/>
      </c>
      <c r="AM222">
        <f>'Grid_Stock'!AK21</f>
        <v/>
      </c>
      <c r="AN222">
        <f>'Grid_Stock'!AL21</f>
        <v/>
      </c>
      <c r="AO222">
        <f>'Grid_Stock'!AM21</f>
        <v/>
      </c>
      <c r="AP222">
        <f>'Grid_Stock'!AN21</f>
        <v/>
      </c>
      <c r="AQ222">
        <f>'Grid_Stock'!AO21</f>
        <v/>
      </c>
      <c r="AR222">
        <f>'Grid_Stock'!AP21</f>
        <v/>
      </c>
      <c r="AS222">
        <f>'Grid_Stock'!AQ21</f>
        <v/>
      </c>
      <c r="AT222">
        <f>'Grid_Stock'!AR21</f>
        <v/>
      </c>
      <c r="AU222">
        <f>'Grid_Stock'!AS21</f>
        <v/>
      </c>
      <c r="AV222">
        <f>'Grid_Stock'!AT21</f>
        <v/>
      </c>
      <c r="AW222">
        <f>'Grid_Stock'!AU21</f>
        <v/>
      </c>
      <c r="AX222">
        <f>'Grid_Stock'!AV21</f>
        <v/>
      </c>
      <c r="AY222">
        <f>'Grid_Stock'!AW21</f>
        <v/>
      </c>
      <c r="AZ222">
        <f>'Grid_Stock'!AX21</f>
        <v/>
      </c>
      <c r="BA222">
        <f>'Grid_Stock'!AY21</f>
        <v/>
      </c>
      <c r="BB222">
        <f>'Grid_Stock'!AZ21</f>
        <v/>
      </c>
      <c r="BC222">
        <f>'Grid_Stock'!BA21</f>
        <v/>
      </c>
      <c r="BD222">
        <f>'Grid_Stock'!BB21</f>
        <v/>
      </c>
      <c r="BE222">
        <f>'Grid_Stock'!BC21</f>
        <v/>
      </c>
      <c r="BF222">
        <f>'Grid_Stock'!BD21</f>
        <v/>
      </c>
      <c r="BG222">
        <f>'Grid_Stock'!BE21</f>
        <v/>
      </c>
      <c r="BH222">
        <f>'Grid_Stock'!BF21</f>
        <v/>
      </c>
      <c r="BI222">
        <f>'Grid_Stock'!BG21</f>
        <v/>
      </c>
      <c r="BJ222">
        <f>'Grid_Stock'!BH21</f>
        <v/>
      </c>
      <c r="BK222">
        <f>'Grid_Stock'!BI21</f>
        <v/>
      </c>
      <c r="BL222">
        <f>'Grid_Stock'!BJ21</f>
        <v/>
      </c>
      <c r="BM222">
        <f>'Grid_Stock'!BK21</f>
        <v/>
      </c>
      <c r="BN222">
        <f>'Grid_Stock'!BL21</f>
        <v/>
      </c>
      <c r="BO222">
        <f>'Grid_Stock'!BM21</f>
        <v/>
      </c>
      <c r="BP222">
        <f>'Grid_Stock'!BN21</f>
        <v/>
      </c>
      <c r="BQ222">
        <f>'Grid_Stock'!BO21</f>
        <v/>
      </c>
      <c r="BR222">
        <f>'Grid_Stock'!BP21</f>
        <v/>
      </c>
      <c r="BS222">
        <f>'Grid_Stock'!BQ21</f>
        <v/>
      </c>
      <c r="BT222">
        <f>'Grid_Stock'!BR21</f>
        <v/>
      </c>
      <c r="BU222">
        <f>'Grid_Stock'!BS21</f>
        <v/>
      </c>
      <c r="BV222">
        <f>'Grid_Stock'!BT21</f>
        <v/>
      </c>
      <c r="BW222">
        <f>'Grid_Stock'!BU21</f>
        <v/>
      </c>
      <c r="BX222">
        <f>'Grid_Stock'!BV21</f>
        <v/>
      </c>
      <c r="BY222">
        <f>'Grid_Stock'!BW21</f>
        <v/>
      </c>
      <c r="BZ222">
        <f>'Grid_Stock'!BX21</f>
        <v/>
      </c>
      <c r="CA222">
        <f>'Grid_Stock'!BY21</f>
        <v/>
      </c>
      <c r="CB222">
        <f>'Grid_Stock'!BZ21</f>
        <v/>
      </c>
      <c r="CC222">
        <f>'Grid_Stock'!CA21</f>
        <v/>
      </c>
      <c r="CD222">
        <f>'Grid_Stock'!CB21</f>
        <v/>
      </c>
      <c r="CE222">
        <f>'Grid_Stock'!CC21</f>
        <v/>
      </c>
      <c r="CF222">
        <f>'Grid_Stock'!CD21</f>
        <v/>
      </c>
      <c r="CG222">
        <f>'Grid_Stock'!CE21</f>
        <v/>
      </c>
      <c r="CH222">
        <f>'Grid_Stock'!CF21</f>
        <v/>
      </c>
      <c r="CI222">
        <f>'Grid_Stock'!CG21</f>
        <v/>
      </c>
      <c r="CJ222">
        <f>'Grid_Stock'!CH21</f>
        <v/>
      </c>
      <c r="CK222">
        <f>'Grid_Stock'!CI21</f>
        <v/>
      </c>
      <c r="CL222">
        <f>'Grid_Stock'!CJ21</f>
        <v/>
      </c>
      <c r="CM222">
        <f>'Grid_Stock'!CK21</f>
        <v/>
      </c>
      <c r="CN222">
        <f>'Grid_Stock'!CL21</f>
        <v/>
      </c>
      <c r="CO222">
        <f>'Grid_Stock'!CM21</f>
        <v/>
      </c>
      <c r="CP222">
        <f>'Grid_Stock'!CN21</f>
        <v/>
      </c>
      <c r="CQ222">
        <f>'Grid_Stock'!CO21</f>
        <v/>
      </c>
      <c r="CR222">
        <f>'Grid_Stock'!CP21</f>
        <v/>
      </c>
      <c r="CS222">
        <f>'Grid_Stock'!CQ21</f>
        <v/>
      </c>
      <c r="CT222">
        <f>'Grid_Stock'!CR21</f>
        <v/>
      </c>
      <c r="CU222">
        <f>'Grid_Stock'!CS21</f>
        <v/>
      </c>
      <c r="CV222">
        <f>'Grid_Stock'!CT21</f>
        <v/>
      </c>
      <c r="CW222">
        <f>'Grid_Stock'!CU21</f>
        <v/>
      </c>
      <c r="CX222">
        <f>'Grid_Stock'!CV21</f>
        <v/>
      </c>
      <c r="CY222">
        <f>'Grid_Stock'!CW21</f>
        <v/>
      </c>
      <c r="CZ222">
        <f>'Grid_Stock'!CX21</f>
        <v/>
      </c>
      <c r="DA222">
        <f>'Grid_Stock'!CY21</f>
        <v/>
      </c>
      <c r="DB222">
        <f>'Grid_Stock'!CZ21</f>
        <v/>
      </c>
      <c r="DC222">
        <f>'Grid_Stock'!DA21</f>
        <v/>
      </c>
    </row>
    <row r="223">
      <c r="B223" s="23" t="inlineStr">
        <is>
          <t>（発注の目安はDashboardの基準在庫[下限/上限]と色分けを参照）</t>
        </is>
      </c>
    </row>
    <row r="225">
      <c r="A225" s="21" t="inlineStr">
        <is>
          <t>CHEM-1120</t>
        </is>
      </c>
      <c r="B225" s="21" t="inlineStr">
        <is>
          <t>Catapal D</t>
        </is>
      </c>
      <c r="C225" s="22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1" t="n"/>
      <c r="AG225" s="21" t="n"/>
      <c r="AH225" s="21" t="n"/>
      <c r="AI225" s="21" t="n"/>
      <c r="AJ225" s="21" t="n"/>
      <c r="AK225" s="21" t="n"/>
      <c r="AL225" s="21" t="n"/>
      <c r="AM225" s="21" t="n"/>
      <c r="AN225" s="21" t="n"/>
      <c r="AO225" s="21" t="n"/>
      <c r="AP225" s="21" t="n"/>
      <c r="AQ225" s="21" t="n"/>
      <c r="AR225" s="21" t="n"/>
      <c r="AS225" s="21" t="n"/>
      <c r="AT225" s="21" t="n"/>
      <c r="AU225" s="21" t="n"/>
      <c r="AV225" s="21" t="n"/>
      <c r="AW225" s="21" t="n"/>
      <c r="AX225" s="21" t="n"/>
      <c r="AY225" s="21" t="n"/>
      <c r="AZ225" s="21" t="n"/>
      <c r="BA225" s="21" t="n"/>
      <c r="BB225" s="21" t="n"/>
      <c r="BC225" s="21" t="n"/>
      <c r="BD225" s="21" t="n"/>
      <c r="BE225" s="21" t="n"/>
      <c r="BF225" s="21" t="n"/>
      <c r="BG225" s="21" t="n"/>
      <c r="BH225" s="21" t="n"/>
      <c r="BI225" s="21" t="n"/>
      <c r="BJ225" s="21" t="n"/>
      <c r="BK225" s="21" t="n"/>
      <c r="BL225" s="21" t="n"/>
      <c r="BM225" s="21" t="n"/>
      <c r="BN225" s="21" t="n"/>
      <c r="BO225" s="21" t="n"/>
      <c r="BP225" s="21" t="n"/>
      <c r="BQ225" s="21" t="n"/>
      <c r="BR225" s="21" t="n"/>
      <c r="BS225" s="21" t="n"/>
      <c r="BT225" s="21" t="n"/>
      <c r="BU225" s="21" t="n"/>
      <c r="BV225" s="21" t="n"/>
      <c r="BW225" s="21" t="n"/>
      <c r="BX225" s="21" t="n"/>
      <c r="BY225" s="21" t="n"/>
      <c r="BZ225" s="21" t="n"/>
      <c r="CA225" s="21" t="n"/>
      <c r="CB225" s="21" t="n"/>
      <c r="CC225" s="21" t="n"/>
      <c r="CD225" s="21" t="n"/>
      <c r="CE225" s="21" t="n"/>
      <c r="CF225" s="21" t="n"/>
      <c r="CG225" s="21" t="n"/>
      <c r="CH225" s="21" t="n"/>
      <c r="CI225" s="21" t="n"/>
      <c r="CJ225" s="21" t="n"/>
      <c r="CK225" s="21" t="n"/>
      <c r="CL225" s="21" t="n"/>
      <c r="CM225" s="21" t="n"/>
      <c r="CN225" s="21" t="n"/>
      <c r="CO225" s="21" t="n"/>
      <c r="CP225" s="21" t="n"/>
      <c r="CQ225" s="21" t="n"/>
      <c r="CR225" s="21" t="n"/>
      <c r="CS225" s="21" t="n"/>
      <c r="CT225" s="21" t="n"/>
      <c r="CU225" s="21" t="n"/>
      <c r="CV225" s="21" t="n"/>
      <c r="CW225" s="21" t="n"/>
      <c r="CX225" s="21" t="n"/>
      <c r="CY225" s="21" t="n"/>
      <c r="CZ225" s="21" t="n"/>
      <c r="DA225" s="21" t="n"/>
      <c r="DB225" s="21" t="n"/>
      <c r="DC225" s="21" t="n"/>
    </row>
    <row r="226">
      <c r="B226" t="inlineStr">
        <is>
          <t>TSP-049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Name],$A225)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TSP-067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Name],$A225)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TSP-069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Name],$A225)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TSP-104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Name],$A225)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s="5" t="inlineStr">
        <is>
          <t>合計使用量(kg)/週</t>
        </is>
      </c>
      <c r="D234">
        <f>'Grid_Requirement'!B9</f>
        <v/>
      </c>
      <c r="E234">
        <f>'Grid_Requirement'!C9</f>
        <v/>
      </c>
      <c r="F234">
        <f>'Grid_Requirement'!D9</f>
        <v/>
      </c>
      <c r="G234">
        <f>'Grid_Requirement'!E9</f>
        <v/>
      </c>
      <c r="H234">
        <f>'Grid_Requirement'!F9</f>
        <v/>
      </c>
      <c r="I234">
        <f>'Grid_Requirement'!G9</f>
        <v/>
      </c>
      <c r="J234">
        <f>'Grid_Requirement'!H9</f>
        <v/>
      </c>
      <c r="K234">
        <f>'Grid_Requirement'!I9</f>
        <v/>
      </c>
      <c r="L234">
        <f>'Grid_Requirement'!J9</f>
        <v/>
      </c>
      <c r="M234">
        <f>'Grid_Requirement'!K9</f>
        <v/>
      </c>
      <c r="N234">
        <f>'Grid_Requirement'!L9</f>
        <v/>
      </c>
      <c r="O234">
        <f>'Grid_Requirement'!M9</f>
        <v/>
      </c>
      <c r="P234">
        <f>'Grid_Requirement'!N9</f>
        <v/>
      </c>
      <c r="Q234">
        <f>'Grid_Requirement'!O9</f>
        <v/>
      </c>
      <c r="R234">
        <f>'Grid_Requirement'!P9</f>
        <v/>
      </c>
      <c r="S234">
        <f>'Grid_Requirement'!Q9</f>
        <v/>
      </c>
      <c r="T234">
        <f>'Grid_Requirement'!R9</f>
        <v/>
      </c>
      <c r="U234">
        <f>'Grid_Requirement'!S9</f>
        <v/>
      </c>
      <c r="V234">
        <f>'Grid_Requirement'!T9</f>
        <v/>
      </c>
      <c r="W234">
        <f>'Grid_Requirement'!U9</f>
        <v/>
      </c>
      <c r="X234">
        <f>'Grid_Requirement'!V9</f>
        <v/>
      </c>
      <c r="Y234">
        <f>'Grid_Requirement'!W9</f>
        <v/>
      </c>
      <c r="Z234">
        <f>'Grid_Requirement'!X9</f>
        <v/>
      </c>
      <c r="AA234">
        <f>'Grid_Requirement'!Y9</f>
        <v/>
      </c>
      <c r="AB234">
        <f>'Grid_Requirement'!Z9</f>
        <v/>
      </c>
      <c r="AC234">
        <f>'Grid_Requirement'!AA9</f>
        <v/>
      </c>
      <c r="AD234">
        <f>'Grid_Requirement'!AB9</f>
        <v/>
      </c>
      <c r="AE234">
        <f>'Grid_Requirement'!AC9</f>
        <v/>
      </c>
      <c r="AF234">
        <f>'Grid_Requirement'!AD9</f>
        <v/>
      </c>
      <c r="AG234">
        <f>'Grid_Requirement'!AE9</f>
        <v/>
      </c>
      <c r="AH234">
        <f>'Grid_Requirement'!AF9</f>
        <v/>
      </c>
      <c r="AI234">
        <f>'Grid_Requirement'!AG9</f>
        <v/>
      </c>
      <c r="AJ234">
        <f>'Grid_Requirement'!AH9</f>
        <v/>
      </c>
      <c r="AK234">
        <f>'Grid_Requirement'!AI9</f>
        <v/>
      </c>
      <c r="AL234">
        <f>'Grid_Requirement'!AJ9</f>
        <v/>
      </c>
      <c r="AM234">
        <f>'Grid_Requirement'!AK9</f>
        <v/>
      </c>
      <c r="AN234">
        <f>'Grid_Requirement'!AL9</f>
        <v/>
      </c>
      <c r="AO234">
        <f>'Grid_Requirement'!AM9</f>
        <v/>
      </c>
      <c r="AP234">
        <f>'Grid_Requirement'!AN9</f>
        <v/>
      </c>
      <c r="AQ234">
        <f>'Grid_Requirement'!AO9</f>
        <v/>
      </c>
      <c r="AR234">
        <f>'Grid_Requirement'!AP9</f>
        <v/>
      </c>
      <c r="AS234">
        <f>'Grid_Requirement'!AQ9</f>
        <v/>
      </c>
      <c r="AT234">
        <f>'Grid_Requirement'!AR9</f>
        <v/>
      </c>
      <c r="AU234">
        <f>'Grid_Requirement'!AS9</f>
        <v/>
      </c>
      <c r="AV234">
        <f>'Grid_Requirement'!AT9</f>
        <v/>
      </c>
      <c r="AW234">
        <f>'Grid_Requirement'!AU9</f>
        <v/>
      </c>
      <c r="AX234">
        <f>'Grid_Requirement'!AV9</f>
        <v/>
      </c>
      <c r="AY234">
        <f>'Grid_Requirement'!AW9</f>
        <v/>
      </c>
      <c r="AZ234">
        <f>'Grid_Requirement'!AX9</f>
        <v/>
      </c>
      <c r="BA234">
        <f>'Grid_Requirement'!AY9</f>
        <v/>
      </c>
      <c r="BB234">
        <f>'Grid_Requirement'!AZ9</f>
        <v/>
      </c>
      <c r="BC234">
        <f>'Grid_Requirement'!BA9</f>
        <v/>
      </c>
      <c r="BD234">
        <f>'Grid_Requirement'!BB9</f>
        <v/>
      </c>
      <c r="BE234">
        <f>'Grid_Requirement'!BC9</f>
        <v/>
      </c>
      <c r="BF234">
        <f>'Grid_Requirement'!BD9</f>
        <v/>
      </c>
      <c r="BG234">
        <f>'Grid_Requirement'!BE9</f>
        <v/>
      </c>
      <c r="BH234">
        <f>'Grid_Requirement'!BF9</f>
        <v/>
      </c>
      <c r="BI234">
        <f>'Grid_Requirement'!BG9</f>
        <v/>
      </c>
      <c r="BJ234">
        <f>'Grid_Requirement'!BH9</f>
        <v/>
      </c>
      <c r="BK234">
        <f>'Grid_Requirement'!BI9</f>
        <v/>
      </c>
      <c r="BL234">
        <f>'Grid_Requirement'!BJ9</f>
        <v/>
      </c>
      <c r="BM234">
        <f>'Grid_Requirement'!BK9</f>
        <v/>
      </c>
      <c r="BN234">
        <f>'Grid_Requirement'!BL9</f>
        <v/>
      </c>
      <c r="BO234">
        <f>'Grid_Requirement'!BM9</f>
        <v/>
      </c>
      <c r="BP234">
        <f>'Grid_Requirement'!BN9</f>
        <v/>
      </c>
      <c r="BQ234">
        <f>'Grid_Requirement'!BO9</f>
        <v/>
      </c>
      <c r="BR234">
        <f>'Grid_Requirement'!BP9</f>
        <v/>
      </c>
      <c r="BS234">
        <f>'Grid_Requirement'!BQ9</f>
        <v/>
      </c>
      <c r="BT234">
        <f>'Grid_Requirement'!BR9</f>
        <v/>
      </c>
      <c r="BU234">
        <f>'Grid_Requirement'!BS9</f>
        <v/>
      </c>
      <c r="BV234">
        <f>'Grid_Requirement'!BT9</f>
        <v/>
      </c>
      <c r="BW234">
        <f>'Grid_Requirement'!BU9</f>
        <v/>
      </c>
      <c r="BX234">
        <f>'Grid_Requirement'!BV9</f>
        <v/>
      </c>
      <c r="BY234">
        <f>'Grid_Requirement'!BW9</f>
        <v/>
      </c>
      <c r="BZ234">
        <f>'Grid_Requirement'!BX9</f>
        <v/>
      </c>
      <c r="CA234">
        <f>'Grid_Requirement'!BY9</f>
        <v/>
      </c>
      <c r="CB234">
        <f>'Grid_Requirement'!BZ9</f>
        <v/>
      </c>
      <c r="CC234">
        <f>'Grid_Requirement'!CA9</f>
        <v/>
      </c>
      <c r="CD234">
        <f>'Grid_Requirement'!CB9</f>
        <v/>
      </c>
      <c r="CE234">
        <f>'Grid_Requirement'!CC9</f>
        <v/>
      </c>
      <c r="CF234">
        <f>'Grid_Requirement'!CD9</f>
        <v/>
      </c>
      <c r="CG234">
        <f>'Grid_Requirement'!CE9</f>
        <v/>
      </c>
      <c r="CH234">
        <f>'Grid_Requirement'!CF9</f>
        <v/>
      </c>
      <c r="CI234">
        <f>'Grid_Requirement'!CG9</f>
        <v/>
      </c>
      <c r="CJ234">
        <f>'Grid_Requirement'!CH9</f>
        <v/>
      </c>
      <c r="CK234">
        <f>'Grid_Requirement'!CI9</f>
        <v/>
      </c>
      <c r="CL234">
        <f>'Grid_Requirement'!CJ9</f>
        <v/>
      </c>
      <c r="CM234">
        <f>'Grid_Requirement'!CK9</f>
        <v/>
      </c>
      <c r="CN234">
        <f>'Grid_Requirement'!CL9</f>
        <v/>
      </c>
      <c r="CO234">
        <f>'Grid_Requirement'!CM9</f>
        <v/>
      </c>
      <c r="CP234">
        <f>'Grid_Requirement'!CN9</f>
        <v/>
      </c>
      <c r="CQ234">
        <f>'Grid_Requirement'!CO9</f>
        <v/>
      </c>
      <c r="CR234">
        <f>'Grid_Requirement'!CP9</f>
        <v/>
      </c>
      <c r="CS234">
        <f>'Grid_Requirement'!CQ9</f>
        <v/>
      </c>
      <c r="CT234">
        <f>'Grid_Requirement'!CR9</f>
        <v/>
      </c>
      <c r="CU234">
        <f>'Grid_Requirement'!CS9</f>
        <v/>
      </c>
      <c r="CV234">
        <f>'Grid_Requirement'!CT9</f>
        <v/>
      </c>
      <c r="CW234">
        <f>'Grid_Requirement'!CU9</f>
        <v/>
      </c>
      <c r="CX234">
        <f>'Grid_Requirement'!CV9</f>
        <v/>
      </c>
      <c r="CY234">
        <f>'Grid_Requirement'!CW9</f>
        <v/>
      </c>
      <c r="CZ234">
        <f>'Grid_Requirement'!CX9</f>
        <v/>
      </c>
      <c r="DA234">
        <f>'Grid_Requirement'!CY9</f>
        <v/>
      </c>
      <c r="DB234">
        <f>'Grid_Requirement'!CZ9</f>
        <v/>
      </c>
      <c r="DC234">
        <f>'Grid_Requirement'!DA9</f>
        <v/>
      </c>
    </row>
    <row r="235">
      <c r="B235" t="inlineStr">
        <is>
          <t>TTAF在庫(実績,kg)</t>
        </is>
      </c>
      <c r="D235">
        <f>'T_TTAFStock'!B13</f>
        <v/>
      </c>
      <c r="E235">
        <f>'T_TTAFStock'!C13</f>
        <v/>
      </c>
      <c r="F235">
        <f>'T_TTAFStock'!D13</f>
        <v/>
      </c>
      <c r="G235">
        <f>'T_TTAFStock'!E13</f>
        <v/>
      </c>
      <c r="H235">
        <f>'T_TTAFStock'!F13</f>
        <v/>
      </c>
      <c r="I235">
        <f>'T_TTAFStock'!G13</f>
        <v/>
      </c>
      <c r="J235">
        <f>'T_TTAFStock'!H13</f>
        <v/>
      </c>
      <c r="K235">
        <f>'T_TTAFStock'!I13</f>
        <v/>
      </c>
      <c r="L235">
        <f>'T_TTAFStock'!J13</f>
        <v/>
      </c>
      <c r="M235">
        <f>'T_TTAFStock'!K13</f>
        <v/>
      </c>
      <c r="N235">
        <f>'T_TTAFStock'!L13</f>
        <v/>
      </c>
      <c r="O235">
        <f>'T_TTAFStock'!M13</f>
        <v/>
      </c>
      <c r="P235">
        <f>'T_TTAFStock'!N13</f>
        <v/>
      </c>
      <c r="Q235">
        <f>'T_TTAFStock'!O13</f>
        <v/>
      </c>
      <c r="R235">
        <f>'T_TTAFStock'!P13</f>
        <v/>
      </c>
      <c r="S235">
        <f>'T_TTAFStock'!Q13</f>
        <v/>
      </c>
      <c r="T235">
        <f>'T_TTAFStock'!R13</f>
        <v/>
      </c>
      <c r="U235">
        <f>'T_TTAFStock'!S13</f>
        <v/>
      </c>
      <c r="V235">
        <f>'T_TTAFStock'!T13</f>
        <v/>
      </c>
      <c r="W235">
        <f>'T_TTAFStock'!U13</f>
        <v/>
      </c>
      <c r="X235">
        <f>'T_TTAFStock'!V13</f>
        <v/>
      </c>
      <c r="Y235">
        <f>'T_TTAFStock'!W13</f>
        <v/>
      </c>
      <c r="Z235">
        <f>'T_TTAFStock'!X13</f>
        <v/>
      </c>
      <c r="AA235">
        <f>'T_TTAFStock'!Y13</f>
        <v/>
      </c>
      <c r="AB235">
        <f>'T_TTAFStock'!Z13</f>
        <v/>
      </c>
      <c r="AC235">
        <f>'T_TTAFStock'!AA13</f>
        <v/>
      </c>
      <c r="AD235">
        <f>'T_TTAFStock'!AB13</f>
        <v/>
      </c>
      <c r="AE235">
        <f>'T_TTAFStock'!AC13</f>
        <v/>
      </c>
      <c r="AF235">
        <f>'T_TTAFStock'!AD13</f>
        <v/>
      </c>
      <c r="AG235">
        <f>'T_TTAFStock'!AE13</f>
        <v/>
      </c>
      <c r="AH235">
        <f>'T_TTAFStock'!AF13</f>
        <v/>
      </c>
      <c r="AI235">
        <f>'T_TTAFStock'!AG13</f>
        <v/>
      </c>
      <c r="AJ235">
        <f>'T_TTAFStock'!AH13</f>
        <v/>
      </c>
      <c r="AK235">
        <f>'T_TTAFStock'!AI13</f>
        <v/>
      </c>
      <c r="AL235">
        <f>'T_TTAFStock'!AJ13</f>
        <v/>
      </c>
      <c r="AM235">
        <f>'T_TTAFStock'!AK13</f>
        <v/>
      </c>
      <c r="AN235">
        <f>'T_TTAFStock'!AL13</f>
        <v/>
      </c>
      <c r="AO235">
        <f>'T_TTAFStock'!AM13</f>
        <v/>
      </c>
      <c r="AP235">
        <f>'T_TTAFStock'!AN13</f>
        <v/>
      </c>
      <c r="AQ235">
        <f>'T_TTAFStock'!AO13</f>
        <v/>
      </c>
      <c r="AR235">
        <f>'T_TTAFStock'!AP13</f>
        <v/>
      </c>
      <c r="AS235">
        <f>'T_TTAFStock'!AQ13</f>
        <v/>
      </c>
      <c r="AT235">
        <f>'T_TTAFStock'!AR13</f>
        <v/>
      </c>
      <c r="AU235">
        <f>'T_TTAFStock'!AS13</f>
        <v/>
      </c>
      <c r="AV235">
        <f>'T_TTAFStock'!AT13</f>
        <v/>
      </c>
      <c r="AW235">
        <f>'T_TTAFStock'!AU13</f>
        <v/>
      </c>
      <c r="AX235">
        <f>'T_TTAFStock'!AV13</f>
        <v/>
      </c>
      <c r="AY235">
        <f>'T_TTAFStock'!AW13</f>
        <v/>
      </c>
      <c r="AZ235">
        <f>'T_TTAFStock'!AX13</f>
        <v/>
      </c>
      <c r="BA235">
        <f>'T_TTAFStock'!AY13</f>
        <v/>
      </c>
      <c r="BB235">
        <f>'T_TTAFStock'!AZ13</f>
        <v/>
      </c>
      <c r="BC235">
        <f>'T_TTAFStock'!BA13</f>
        <v/>
      </c>
      <c r="BD235">
        <f>'T_TTAFStock'!BB13</f>
        <v/>
      </c>
      <c r="BE235">
        <f>'T_TTAFStock'!BC13</f>
        <v/>
      </c>
      <c r="BF235">
        <f>'T_TTAFStock'!BD13</f>
        <v/>
      </c>
      <c r="BG235">
        <f>'T_TTAFStock'!BE13</f>
        <v/>
      </c>
      <c r="BH235">
        <f>'T_TTAFStock'!BF13</f>
        <v/>
      </c>
      <c r="BI235">
        <f>'T_TTAFStock'!BG13</f>
        <v/>
      </c>
      <c r="BJ235">
        <f>'T_TTAFStock'!BH13</f>
        <v/>
      </c>
      <c r="BK235">
        <f>'T_TTAFStock'!BI13</f>
        <v/>
      </c>
      <c r="BL235">
        <f>'T_TTAFStock'!BJ13</f>
        <v/>
      </c>
      <c r="BM235">
        <f>'T_TTAFStock'!BK13</f>
        <v/>
      </c>
      <c r="BN235">
        <f>'T_TTAFStock'!BL13</f>
        <v/>
      </c>
      <c r="BO235">
        <f>'T_TTAFStock'!BM13</f>
        <v/>
      </c>
      <c r="BP235">
        <f>'T_TTAFStock'!BN13</f>
        <v/>
      </c>
      <c r="BQ235">
        <f>'T_TTAFStock'!BO13</f>
        <v/>
      </c>
      <c r="BR235">
        <f>'T_TTAFStock'!BP13</f>
        <v/>
      </c>
      <c r="BS235">
        <f>'T_TTAFStock'!BQ13</f>
        <v/>
      </c>
      <c r="BT235">
        <f>'T_TTAFStock'!BR13</f>
        <v/>
      </c>
      <c r="BU235">
        <f>'T_TTAFStock'!BS13</f>
        <v/>
      </c>
      <c r="BV235">
        <f>'T_TTAFStock'!BT13</f>
        <v/>
      </c>
      <c r="BW235">
        <f>'T_TTAFStock'!BU13</f>
        <v/>
      </c>
      <c r="BX235">
        <f>'T_TTAFStock'!BV13</f>
        <v/>
      </c>
      <c r="BY235">
        <f>'T_TTAFStock'!BW13</f>
        <v/>
      </c>
      <c r="BZ235">
        <f>'T_TTAFStock'!BX13</f>
        <v/>
      </c>
      <c r="CA235">
        <f>'T_TTAFStock'!BY13</f>
        <v/>
      </c>
      <c r="CB235">
        <f>'T_TTAFStock'!BZ13</f>
        <v/>
      </c>
      <c r="CC235">
        <f>'T_TTAFStock'!CA13</f>
        <v/>
      </c>
      <c r="CD235">
        <f>'T_TTAFStock'!CB13</f>
        <v/>
      </c>
      <c r="CE235">
        <f>'T_TTAFStock'!CC13</f>
        <v/>
      </c>
      <c r="CF235">
        <f>'T_TTAFStock'!CD13</f>
        <v/>
      </c>
      <c r="CG235">
        <f>'T_TTAFStock'!CE13</f>
        <v/>
      </c>
      <c r="CH235">
        <f>'T_TTAFStock'!CF13</f>
        <v/>
      </c>
      <c r="CI235">
        <f>'T_TTAFStock'!CG13</f>
        <v/>
      </c>
      <c r="CJ235">
        <f>'T_TTAFStock'!CH13</f>
        <v/>
      </c>
      <c r="CK235">
        <f>'T_TTAFStock'!CI13</f>
        <v/>
      </c>
      <c r="CL235">
        <f>'T_TTAFStock'!CJ13</f>
        <v/>
      </c>
      <c r="CM235">
        <f>'T_TTAFStock'!CK13</f>
        <v/>
      </c>
      <c r="CN235">
        <f>'T_TTAFStock'!CL13</f>
        <v/>
      </c>
      <c r="CO235">
        <f>'T_TTAFStock'!CM13</f>
        <v/>
      </c>
      <c r="CP235">
        <f>'T_TTAFStock'!CN13</f>
        <v/>
      </c>
      <c r="CQ235">
        <f>'T_TTAFStock'!CO13</f>
        <v/>
      </c>
      <c r="CR235">
        <f>'T_TTAFStock'!CP13</f>
        <v/>
      </c>
      <c r="CS235">
        <f>'T_TTAFStock'!CQ13</f>
        <v/>
      </c>
      <c r="CT235">
        <f>'T_TTAFStock'!CR13</f>
        <v/>
      </c>
      <c r="CU235">
        <f>'T_TTAFStock'!CS13</f>
        <v/>
      </c>
      <c r="CV235">
        <f>'T_TTAFStock'!CT13</f>
        <v/>
      </c>
      <c r="CW235">
        <f>'T_TTAFStock'!CU13</f>
        <v/>
      </c>
      <c r="CX235">
        <f>'T_TTAFStock'!CV13</f>
        <v/>
      </c>
      <c r="CY235">
        <f>'T_TTAFStock'!CW13</f>
        <v/>
      </c>
      <c r="CZ235">
        <f>'T_TTAFStock'!CX13</f>
        <v/>
      </c>
      <c r="DA235">
        <f>'T_TTAFStock'!CY13</f>
        <v/>
      </c>
      <c r="DB235">
        <f>'T_TTAFStock'!CZ13</f>
        <v/>
      </c>
      <c r="DC235">
        <f>'T_TTAFStock'!DA13</f>
        <v/>
      </c>
    </row>
    <row r="236">
      <c r="B236" t="inlineStr">
        <is>
          <t>自社在庫(実績,kg)</t>
        </is>
      </c>
      <c r="D236">
        <f>'T_SelfStock'!B13</f>
        <v/>
      </c>
      <c r="E236">
        <f>'T_SelfStock'!C13</f>
        <v/>
      </c>
      <c r="F236">
        <f>'T_SelfStock'!D13</f>
        <v/>
      </c>
      <c r="G236">
        <f>'T_SelfStock'!E13</f>
        <v/>
      </c>
      <c r="H236">
        <f>'T_SelfStock'!F13</f>
        <v/>
      </c>
      <c r="I236">
        <f>'T_SelfStock'!G13</f>
        <v/>
      </c>
      <c r="J236">
        <f>'T_SelfStock'!H13</f>
        <v/>
      </c>
      <c r="K236">
        <f>'T_SelfStock'!I13</f>
        <v/>
      </c>
      <c r="L236">
        <f>'T_SelfStock'!J13</f>
        <v/>
      </c>
      <c r="M236">
        <f>'T_SelfStock'!K13</f>
        <v/>
      </c>
      <c r="N236">
        <f>'T_SelfStock'!L13</f>
        <v/>
      </c>
      <c r="O236">
        <f>'T_SelfStock'!M13</f>
        <v/>
      </c>
      <c r="P236">
        <f>'T_SelfStock'!N13</f>
        <v/>
      </c>
      <c r="Q236">
        <f>'T_SelfStock'!O13</f>
        <v/>
      </c>
      <c r="R236">
        <f>'T_SelfStock'!P13</f>
        <v/>
      </c>
      <c r="S236">
        <f>'T_SelfStock'!Q13</f>
        <v/>
      </c>
      <c r="T236">
        <f>'T_SelfStock'!R13</f>
        <v/>
      </c>
      <c r="U236">
        <f>'T_SelfStock'!S13</f>
        <v/>
      </c>
      <c r="V236">
        <f>'T_SelfStock'!T13</f>
        <v/>
      </c>
      <c r="W236">
        <f>'T_SelfStock'!U13</f>
        <v/>
      </c>
      <c r="X236">
        <f>'T_SelfStock'!V13</f>
        <v/>
      </c>
      <c r="Y236">
        <f>'T_SelfStock'!W13</f>
        <v/>
      </c>
      <c r="Z236">
        <f>'T_SelfStock'!X13</f>
        <v/>
      </c>
      <c r="AA236">
        <f>'T_SelfStock'!Y13</f>
        <v/>
      </c>
      <c r="AB236">
        <f>'T_SelfStock'!Z13</f>
        <v/>
      </c>
      <c r="AC236">
        <f>'T_SelfStock'!AA13</f>
        <v/>
      </c>
      <c r="AD236">
        <f>'T_SelfStock'!AB13</f>
        <v/>
      </c>
      <c r="AE236">
        <f>'T_SelfStock'!AC13</f>
        <v/>
      </c>
      <c r="AF236">
        <f>'T_SelfStock'!AD13</f>
        <v/>
      </c>
      <c r="AG236">
        <f>'T_SelfStock'!AE13</f>
        <v/>
      </c>
      <c r="AH236">
        <f>'T_SelfStock'!AF13</f>
        <v/>
      </c>
      <c r="AI236">
        <f>'T_SelfStock'!AG13</f>
        <v/>
      </c>
      <c r="AJ236">
        <f>'T_SelfStock'!AH13</f>
        <v/>
      </c>
      <c r="AK236">
        <f>'T_SelfStock'!AI13</f>
        <v/>
      </c>
      <c r="AL236">
        <f>'T_SelfStock'!AJ13</f>
        <v/>
      </c>
      <c r="AM236">
        <f>'T_SelfStock'!AK13</f>
        <v/>
      </c>
      <c r="AN236">
        <f>'T_SelfStock'!AL13</f>
        <v/>
      </c>
      <c r="AO236">
        <f>'T_SelfStock'!AM13</f>
        <v/>
      </c>
      <c r="AP236">
        <f>'T_SelfStock'!AN13</f>
        <v/>
      </c>
      <c r="AQ236">
        <f>'T_SelfStock'!AO13</f>
        <v/>
      </c>
      <c r="AR236">
        <f>'T_SelfStock'!AP13</f>
        <v/>
      </c>
      <c r="AS236">
        <f>'T_SelfStock'!AQ13</f>
        <v/>
      </c>
      <c r="AT236">
        <f>'T_SelfStock'!AR13</f>
        <v/>
      </c>
      <c r="AU236">
        <f>'T_SelfStock'!AS13</f>
        <v/>
      </c>
      <c r="AV236">
        <f>'T_SelfStock'!AT13</f>
        <v/>
      </c>
      <c r="AW236">
        <f>'T_SelfStock'!AU13</f>
        <v/>
      </c>
      <c r="AX236">
        <f>'T_SelfStock'!AV13</f>
        <v/>
      </c>
      <c r="AY236">
        <f>'T_SelfStock'!AW13</f>
        <v/>
      </c>
      <c r="AZ236">
        <f>'T_SelfStock'!AX13</f>
        <v/>
      </c>
      <c r="BA236">
        <f>'T_SelfStock'!AY13</f>
        <v/>
      </c>
      <c r="BB236">
        <f>'T_SelfStock'!AZ13</f>
        <v/>
      </c>
      <c r="BC236">
        <f>'T_SelfStock'!BA13</f>
        <v/>
      </c>
      <c r="BD236">
        <f>'T_SelfStock'!BB13</f>
        <v/>
      </c>
      <c r="BE236">
        <f>'T_SelfStock'!BC13</f>
        <v/>
      </c>
      <c r="BF236">
        <f>'T_SelfStock'!BD13</f>
        <v/>
      </c>
      <c r="BG236">
        <f>'T_SelfStock'!BE13</f>
        <v/>
      </c>
      <c r="BH236">
        <f>'T_SelfStock'!BF13</f>
        <v/>
      </c>
      <c r="BI236">
        <f>'T_SelfStock'!BG13</f>
        <v/>
      </c>
      <c r="BJ236">
        <f>'T_SelfStock'!BH13</f>
        <v/>
      </c>
      <c r="BK236">
        <f>'T_SelfStock'!BI13</f>
        <v/>
      </c>
      <c r="BL236">
        <f>'T_SelfStock'!BJ13</f>
        <v/>
      </c>
      <c r="BM236">
        <f>'T_SelfStock'!BK13</f>
        <v/>
      </c>
      <c r="BN236">
        <f>'T_SelfStock'!BL13</f>
        <v/>
      </c>
      <c r="BO236">
        <f>'T_SelfStock'!BM13</f>
        <v/>
      </c>
      <c r="BP236">
        <f>'T_SelfStock'!BN13</f>
        <v/>
      </c>
      <c r="BQ236">
        <f>'T_SelfStock'!BO13</f>
        <v/>
      </c>
      <c r="BR236">
        <f>'T_SelfStock'!BP13</f>
        <v/>
      </c>
      <c r="BS236">
        <f>'T_SelfStock'!BQ13</f>
        <v/>
      </c>
      <c r="BT236">
        <f>'T_SelfStock'!BR13</f>
        <v/>
      </c>
      <c r="BU236">
        <f>'T_SelfStock'!BS13</f>
        <v/>
      </c>
      <c r="BV236">
        <f>'T_SelfStock'!BT13</f>
        <v/>
      </c>
      <c r="BW236">
        <f>'T_SelfStock'!BU13</f>
        <v/>
      </c>
      <c r="BX236">
        <f>'T_SelfStock'!BV13</f>
        <v/>
      </c>
      <c r="BY236">
        <f>'T_SelfStock'!BW13</f>
        <v/>
      </c>
      <c r="BZ236">
        <f>'T_SelfStock'!BX13</f>
        <v/>
      </c>
      <c r="CA236">
        <f>'T_SelfStock'!BY13</f>
        <v/>
      </c>
      <c r="CB236">
        <f>'T_SelfStock'!BZ13</f>
        <v/>
      </c>
      <c r="CC236">
        <f>'T_SelfStock'!CA13</f>
        <v/>
      </c>
      <c r="CD236">
        <f>'T_SelfStock'!CB13</f>
        <v/>
      </c>
      <c r="CE236">
        <f>'T_SelfStock'!CC13</f>
        <v/>
      </c>
      <c r="CF236">
        <f>'T_SelfStock'!CD13</f>
        <v/>
      </c>
      <c r="CG236">
        <f>'T_SelfStock'!CE13</f>
        <v/>
      </c>
      <c r="CH236">
        <f>'T_SelfStock'!CF13</f>
        <v/>
      </c>
      <c r="CI236">
        <f>'T_SelfStock'!CG13</f>
        <v/>
      </c>
      <c r="CJ236">
        <f>'T_SelfStock'!CH13</f>
        <v/>
      </c>
      <c r="CK236">
        <f>'T_SelfStock'!CI13</f>
        <v/>
      </c>
      <c r="CL236">
        <f>'T_SelfStock'!CJ13</f>
        <v/>
      </c>
      <c r="CM236">
        <f>'T_SelfStock'!CK13</f>
        <v/>
      </c>
      <c r="CN236">
        <f>'T_SelfStock'!CL13</f>
        <v/>
      </c>
      <c r="CO236">
        <f>'T_SelfStock'!CM13</f>
        <v/>
      </c>
      <c r="CP236">
        <f>'T_SelfStock'!CN13</f>
        <v/>
      </c>
      <c r="CQ236">
        <f>'T_SelfStock'!CO13</f>
        <v/>
      </c>
      <c r="CR236">
        <f>'T_SelfStock'!CP13</f>
        <v/>
      </c>
      <c r="CS236">
        <f>'T_SelfStock'!CQ13</f>
        <v/>
      </c>
      <c r="CT236">
        <f>'T_SelfStock'!CR13</f>
        <v/>
      </c>
      <c r="CU236">
        <f>'T_SelfStock'!CS13</f>
        <v/>
      </c>
      <c r="CV236">
        <f>'T_SelfStock'!CT13</f>
        <v/>
      </c>
      <c r="CW236">
        <f>'T_SelfStock'!CU13</f>
        <v/>
      </c>
      <c r="CX236">
        <f>'T_SelfStock'!CV13</f>
        <v/>
      </c>
      <c r="CY236">
        <f>'T_SelfStock'!CW13</f>
        <v/>
      </c>
      <c r="CZ236">
        <f>'T_SelfStock'!CX13</f>
        <v/>
      </c>
      <c r="DA236">
        <f>'T_SelfStock'!CY13</f>
        <v/>
      </c>
      <c r="DB236">
        <f>'T_SelfStock'!CZ13</f>
        <v/>
      </c>
      <c r="DC236">
        <f>'T_SelfStock'!DA13</f>
        <v/>
      </c>
    </row>
    <row r="237">
      <c r="B237" t="inlineStr">
        <is>
          <t>Order(発注予定,kg)</t>
        </is>
      </c>
      <c r="D237">
        <f>IF(SUMIFS(T_PlannedOrders[EffectiveQty],T_PlannedOrders[Part Name],$A225,T_PlannedOrders[WeekIndex],1)=0,"",SUMIFS(T_PlannedOrders[EffectiveQty],T_PlannedOrders[Part Name],$A225,T_PlannedOrders[WeekIndex],1)&amp;" ("&amp;TEXT(SUMPRODUCT(MAX((T_PlannedOrders[Part Name]=$A225)*(T_PlannedOrders[WeekIndex]=1)*(T_PlannedOrders[EffectiveQty]&gt;0)*T_PlannedOrders[Order_Month])),"m月")&amp;"発注)")</f>
        <v/>
      </c>
      <c r="E237">
        <f>IF(SUMIFS(T_PlannedOrders[EffectiveQty],T_PlannedOrders[Part Name],$A225,T_PlannedOrders[WeekIndex],2)=0,"",SUMIFS(T_PlannedOrders[EffectiveQty],T_PlannedOrders[Part Name],$A225,T_PlannedOrders[WeekIndex],2)&amp;" ("&amp;TEXT(SUMPRODUCT(MAX((T_PlannedOrders[Part Name]=$A225)*(T_PlannedOrders[WeekIndex]=2)*(T_PlannedOrders[EffectiveQty]&gt;0)*T_PlannedOrders[Order_Month])),"m月")&amp;"発注)")</f>
        <v/>
      </c>
      <c r="F237">
        <f>IF(SUMIFS(T_PlannedOrders[EffectiveQty],T_PlannedOrders[Part Name],$A225,T_PlannedOrders[WeekIndex],3)=0,"",SUMIFS(T_PlannedOrders[EffectiveQty],T_PlannedOrders[Part Name],$A225,T_PlannedOrders[WeekIndex],3)&amp;" ("&amp;TEXT(SUMPRODUCT(MAX((T_PlannedOrders[Part Name]=$A225)*(T_PlannedOrders[WeekIndex]=3)*(T_PlannedOrders[EffectiveQty]&gt;0)*T_PlannedOrders[Order_Month])),"m月")&amp;"発注)")</f>
        <v/>
      </c>
      <c r="G237">
        <f>IF(SUMIFS(T_PlannedOrders[EffectiveQty],T_PlannedOrders[Part Name],$A225,T_PlannedOrders[WeekIndex],4)=0,"",SUMIFS(T_PlannedOrders[EffectiveQty],T_PlannedOrders[Part Name],$A225,T_PlannedOrders[WeekIndex],4)&amp;" ("&amp;TEXT(SUMPRODUCT(MAX((T_PlannedOrders[Part Name]=$A225)*(T_PlannedOrders[WeekIndex]=4)*(T_PlannedOrders[EffectiveQty]&gt;0)*T_PlannedOrders[Order_Month])),"m月")&amp;"発注)")</f>
        <v/>
      </c>
      <c r="H237">
        <f>IF(SUMIFS(T_PlannedOrders[EffectiveQty],T_PlannedOrders[Part Name],$A225,T_PlannedOrders[WeekIndex],5)=0,"",SUMIFS(T_PlannedOrders[EffectiveQty],T_PlannedOrders[Part Name],$A225,T_PlannedOrders[WeekIndex],5)&amp;" ("&amp;TEXT(SUMPRODUCT(MAX((T_PlannedOrders[Part Name]=$A225)*(T_PlannedOrders[WeekIndex]=5)*(T_PlannedOrders[EffectiveQty]&gt;0)*T_PlannedOrders[Order_Month])),"m月")&amp;"発注)")</f>
        <v/>
      </c>
      <c r="I237">
        <f>IF(SUMIFS(T_PlannedOrders[EffectiveQty],T_PlannedOrders[Part Name],$A225,T_PlannedOrders[WeekIndex],6)=0,"",SUMIFS(T_PlannedOrders[EffectiveQty],T_PlannedOrders[Part Name],$A225,T_PlannedOrders[WeekIndex],6)&amp;" ("&amp;TEXT(SUMPRODUCT(MAX((T_PlannedOrders[Part Name]=$A225)*(T_PlannedOrders[WeekIndex]=6)*(T_PlannedOrders[EffectiveQty]&gt;0)*T_PlannedOrders[Order_Month])),"m月")&amp;"発注)")</f>
        <v/>
      </c>
      <c r="J237">
        <f>IF(SUMIFS(T_PlannedOrders[EffectiveQty],T_PlannedOrders[Part Name],$A225,T_PlannedOrders[WeekIndex],7)=0,"",SUMIFS(T_PlannedOrders[EffectiveQty],T_PlannedOrders[Part Name],$A225,T_PlannedOrders[WeekIndex],7)&amp;" ("&amp;TEXT(SUMPRODUCT(MAX((T_PlannedOrders[Part Name]=$A225)*(T_PlannedOrders[WeekIndex]=7)*(T_PlannedOrders[EffectiveQty]&gt;0)*T_PlannedOrders[Order_Month])),"m月")&amp;"発注)")</f>
        <v/>
      </c>
      <c r="K237">
        <f>IF(SUMIFS(T_PlannedOrders[EffectiveQty],T_PlannedOrders[Part Name],$A225,T_PlannedOrders[WeekIndex],8)=0,"",SUMIFS(T_PlannedOrders[EffectiveQty],T_PlannedOrders[Part Name],$A225,T_PlannedOrders[WeekIndex],8)&amp;" ("&amp;TEXT(SUMPRODUCT(MAX((T_PlannedOrders[Part Name]=$A225)*(T_PlannedOrders[WeekIndex]=8)*(T_PlannedOrders[EffectiveQty]&gt;0)*T_PlannedOrders[Order_Month])),"m月")&amp;"発注)")</f>
        <v/>
      </c>
      <c r="L237">
        <f>IF(SUMIFS(T_PlannedOrders[EffectiveQty],T_PlannedOrders[Part Name],$A225,T_PlannedOrders[WeekIndex],9)=0,"",SUMIFS(T_PlannedOrders[EffectiveQty],T_PlannedOrders[Part Name],$A225,T_PlannedOrders[WeekIndex],9)&amp;" ("&amp;TEXT(SUMPRODUCT(MAX((T_PlannedOrders[Part Name]=$A225)*(T_PlannedOrders[WeekIndex]=9)*(T_PlannedOrders[EffectiveQty]&gt;0)*T_PlannedOrders[Order_Month])),"m月")&amp;"発注)")</f>
        <v/>
      </c>
      <c r="M237">
        <f>IF(SUMIFS(T_PlannedOrders[EffectiveQty],T_PlannedOrders[Part Name],$A225,T_PlannedOrders[WeekIndex],10)=0,"",SUMIFS(T_PlannedOrders[EffectiveQty],T_PlannedOrders[Part Name],$A225,T_PlannedOrders[WeekIndex],10)&amp;" ("&amp;TEXT(SUMPRODUCT(MAX((T_PlannedOrders[Part Name]=$A225)*(T_PlannedOrders[WeekIndex]=10)*(T_PlannedOrders[EffectiveQty]&gt;0)*T_PlannedOrders[Order_Month])),"m月")&amp;"発注)")</f>
        <v/>
      </c>
      <c r="N237">
        <f>IF(SUMIFS(T_PlannedOrders[EffectiveQty],T_PlannedOrders[Part Name],$A225,T_PlannedOrders[WeekIndex],11)=0,"",SUMIFS(T_PlannedOrders[EffectiveQty],T_PlannedOrders[Part Name],$A225,T_PlannedOrders[WeekIndex],11)&amp;" ("&amp;TEXT(SUMPRODUCT(MAX((T_PlannedOrders[Part Name]=$A225)*(T_PlannedOrders[WeekIndex]=11)*(T_PlannedOrders[EffectiveQty]&gt;0)*T_PlannedOrders[Order_Month])),"m月")&amp;"発注)")</f>
        <v/>
      </c>
      <c r="O237">
        <f>IF(SUMIFS(T_PlannedOrders[EffectiveQty],T_PlannedOrders[Part Name],$A225,T_PlannedOrders[WeekIndex],12)=0,"",SUMIFS(T_PlannedOrders[EffectiveQty],T_PlannedOrders[Part Name],$A225,T_PlannedOrders[WeekIndex],12)&amp;" ("&amp;TEXT(SUMPRODUCT(MAX((T_PlannedOrders[Part Name]=$A225)*(T_PlannedOrders[WeekIndex]=12)*(T_PlannedOrders[EffectiveQty]&gt;0)*T_PlannedOrders[Order_Month])),"m月")&amp;"発注)")</f>
        <v/>
      </c>
      <c r="P237">
        <f>IF(SUMIFS(T_PlannedOrders[EffectiveQty],T_PlannedOrders[Part Name],$A225,T_PlannedOrders[WeekIndex],13)=0,"",SUMIFS(T_PlannedOrders[EffectiveQty],T_PlannedOrders[Part Name],$A225,T_PlannedOrders[WeekIndex],13)&amp;" ("&amp;TEXT(SUMPRODUCT(MAX((T_PlannedOrders[Part Name]=$A225)*(T_PlannedOrders[WeekIndex]=13)*(T_PlannedOrders[EffectiveQty]&gt;0)*T_PlannedOrders[Order_Month])),"m月")&amp;"発注)")</f>
        <v/>
      </c>
      <c r="Q237">
        <f>IF(SUMIFS(T_PlannedOrders[EffectiveQty],T_PlannedOrders[Part Name],$A225,T_PlannedOrders[WeekIndex],14)=0,"",SUMIFS(T_PlannedOrders[EffectiveQty],T_PlannedOrders[Part Name],$A225,T_PlannedOrders[WeekIndex],14)&amp;" ("&amp;TEXT(SUMPRODUCT(MAX((T_PlannedOrders[Part Name]=$A225)*(T_PlannedOrders[WeekIndex]=14)*(T_PlannedOrders[EffectiveQty]&gt;0)*T_PlannedOrders[Order_Month])),"m月")&amp;"発注)")</f>
        <v/>
      </c>
      <c r="R237">
        <f>IF(SUMIFS(T_PlannedOrders[EffectiveQty],T_PlannedOrders[Part Name],$A225,T_PlannedOrders[WeekIndex],15)=0,"",SUMIFS(T_PlannedOrders[EffectiveQty],T_PlannedOrders[Part Name],$A225,T_PlannedOrders[WeekIndex],15)&amp;" ("&amp;TEXT(SUMPRODUCT(MAX((T_PlannedOrders[Part Name]=$A225)*(T_PlannedOrders[WeekIndex]=15)*(T_PlannedOrders[EffectiveQty]&gt;0)*T_PlannedOrders[Order_Month])),"m月")&amp;"発注)")</f>
        <v/>
      </c>
      <c r="S237">
        <f>IF(SUMIFS(T_PlannedOrders[EffectiveQty],T_PlannedOrders[Part Name],$A225,T_PlannedOrders[WeekIndex],16)=0,"",SUMIFS(T_PlannedOrders[EffectiveQty],T_PlannedOrders[Part Name],$A225,T_PlannedOrders[WeekIndex],16)&amp;" ("&amp;TEXT(SUMPRODUCT(MAX((T_PlannedOrders[Part Name]=$A225)*(T_PlannedOrders[WeekIndex]=16)*(T_PlannedOrders[EffectiveQty]&gt;0)*T_PlannedOrders[Order_Month])),"m月")&amp;"発注)")</f>
        <v/>
      </c>
      <c r="T237">
        <f>IF(SUMIFS(T_PlannedOrders[EffectiveQty],T_PlannedOrders[Part Name],$A225,T_PlannedOrders[WeekIndex],17)=0,"",SUMIFS(T_PlannedOrders[EffectiveQty],T_PlannedOrders[Part Name],$A225,T_PlannedOrders[WeekIndex],17)&amp;" ("&amp;TEXT(SUMPRODUCT(MAX((T_PlannedOrders[Part Name]=$A225)*(T_PlannedOrders[WeekIndex]=17)*(T_PlannedOrders[EffectiveQty]&gt;0)*T_PlannedOrders[Order_Month])),"m月")&amp;"発注)")</f>
        <v/>
      </c>
      <c r="U237">
        <f>IF(SUMIFS(T_PlannedOrders[EffectiveQty],T_PlannedOrders[Part Name],$A225,T_PlannedOrders[WeekIndex],18)=0,"",SUMIFS(T_PlannedOrders[EffectiveQty],T_PlannedOrders[Part Name],$A225,T_PlannedOrders[WeekIndex],18)&amp;" ("&amp;TEXT(SUMPRODUCT(MAX((T_PlannedOrders[Part Name]=$A225)*(T_PlannedOrders[WeekIndex]=18)*(T_PlannedOrders[EffectiveQty]&gt;0)*T_PlannedOrders[Order_Month])),"m月")&amp;"発注)")</f>
        <v/>
      </c>
      <c r="V237">
        <f>IF(SUMIFS(T_PlannedOrders[EffectiveQty],T_PlannedOrders[Part Name],$A225,T_PlannedOrders[WeekIndex],19)=0,"",SUMIFS(T_PlannedOrders[EffectiveQty],T_PlannedOrders[Part Name],$A225,T_PlannedOrders[WeekIndex],19)&amp;" ("&amp;TEXT(SUMPRODUCT(MAX((T_PlannedOrders[Part Name]=$A225)*(T_PlannedOrders[WeekIndex]=19)*(T_PlannedOrders[EffectiveQty]&gt;0)*T_PlannedOrders[Order_Month])),"m月")&amp;"発注)")</f>
        <v/>
      </c>
      <c r="W237">
        <f>IF(SUMIFS(T_PlannedOrders[EffectiveQty],T_PlannedOrders[Part Name],$A225,T_PlannedOrders[WeekIndex],20)=0,"",SUMIFS(T_PlannedOrders[EffectiveQty],T_PlannedOrders[Part Name],$A225,T_PlannedOrders[WeekIndex],20)&amp;" ("&amp;TEXT(SUMPRODUCT(MAX((T_PlannedOrders[Part Name]=$A225)*(T_PlannedOrders[WeekIndex]=20)*(T_PlannedOrders[EffectiveQty]&gt;0)*T_PlannedOrders[Order_Month])),"m月")&amp;"発注)")</f>
        <v/>
      </c>
      <c r="X237">
        <f>IF(SUMIFS(T_PlannedOrders[EffectiveQty],T_PlannedOrders[Part Name],$A225,T_PlannedOrders[WeekIndex],21)=0,"",SUMIFS(T_PlannedOrders[EffectiveQty],T_PlannedOrders[Part Name],$A225,T_PlannedOrders[WeekIndex],21)&amp;" ("&amp;TEXT(SUMPRODUCT(MAX((T_PlannedOrders[Part Name]=$A225)*(T_PlannedOrders[WeekIndex]=21)*(T_PlannedOrders[EffectiveQty]&gt;0)*T_PlannedOrders[Order_Month])),"m月")&amp;"発注)")</f>
        <v/>
      </c>
      <c r="Y237">
        <f>IF(SUMIFS(T_PlannedOrders[EffectiveQty],T_PlannedOrders[Part Name],$A225,T_PlannedOrders[WeekIndex],22)=0,"",SUMIFS(T_PlannedOrders[EffectiveQty],T_PlannedOrders[Part Name],$A225,T_PlannedOrders[WeekIndex],22)&amp;" ("&amp;TEXT(SUMPRODUCT(MAX((T_PlannedOrders[Part Name]=$A225)*(T_PlannedOrders[WeekIndex]=22)*(T_PlannedOrders[EffectiveQty]&gt;0)*T_PlannedOrders[Order_Month])),"m月")&amp;"発注)")</f>
        <v/>
      </c>
      <c r="Z237">
        <f>IF(SUMIFS(T_PlannedOrders[EffectiveQty],T_PlannedOrders[Part Name],$A225,T_PlannedOrders[WeekIndex],23)=0,"",SUMIFS(T_PlannedOrders[EffectiveQty],T_PlannedOrders[Part Name],$A225,T_PlannedOrders[WeekIndex],23)&amp;" ("&amp;TEXT(SUMPRODUCT(MAX((T_PlannedOrders[Part Name]=$A225)*(T_PlannedOrders[WeekIndex]=23)*(T_PlannedOrders[EffectiveQty]&gt;0)*T_PlannedOrders[Order_Month])),"m月")&amp;"発注)")</f>
        <v/>
      </c>
      <c r="AA237">
        <f>IF(SUMIFS(T_PlannedOrders[EffectiveQty],T_PlannedOrders[Part Name],$A225,T_PlannedOrders[WeekIndex],24)=0,"",SUMIFS(T_PlannedOrders[EffectiveQty],T_PlannedOrders[Part Name],$A225,T_PlannedOrders[WeekIndex],24)&amp;" ("&amp;TEXT(SUMPRODUCT(MAX((T_PlannedOrders[Part Name]=$A225)*(T_PlannedOrders[WeekIndex]=24)*(T_PlannedOrders[EffectiveQty]&gt;0)*T_PlannedOrders[Order_Month])),"m月")&amp;"発注)")</f>
        <v/>
      </c>
      <c r="AB237">
        <f>IF(SUMIFS(T_PlannedOrders[EffectiveQty],T_PlannedOrders[Part Name],$A225,T_PlannedOrders[WeekIndex],25)=0,"",SUMIFS(T_PlannedOrders[EffectiveQty],T_PlannedOrders[Part Name],$A225,T_PlannedOrders[WeekIndex],25)&amp;" ("&amp;TEXT(SUMPRODUCT(MAX((T_PlannedOrders[Part Name]=$A225)*(T_PlannedOrders[WeekIndex]=25)*(T_PlannedOrders[EffectiveQty]&gt;0)*T_PlannedOrders[Order_Month])),"m月")&amp;"発注)")</f>
        <v/>
      </c>
      <c r="AC237">
        <f>IF(SUMIFS(T_PlannedOrders[EffectiveQty],T_PlannedOrders[Part Name],$A225,T_PlannedOrders[WeekIndex],26)=0,"",SUMIFS(T_PlannedOrders[EffectiveQty],T_PlannedOrders[Part Name],$A225,T_PlannedOrders[WeekIndex],26)&amp;" ("&amp;TEXT(SUMPRODUCT(MAX((T_PlannedOrders[Part Name]=$A225)*(T_PlannedOrders[WeekIndex]=26)*(T_PlannedOrders[EffectiveQty]&gt;0)*T_PlannedOrders[Order_Month])),"m月")&amp;"発注)")</f>
        <v/>
      </c>
      <c r="AD237">
        <f>IF(SUMIFS(T_PlannedOrders[EffectiveQty],T_PlannedOrders[Part Name],$A225,T_PlannedOrders[WeekIndex],27)=0,"",SUMIFS(T_PlannedOrders[EffectiveQty],T_PlannedOrders[Part Name],$A225,T_PlannedOrders[WeekIndex],27)&amp;" ("&amp;TEXT(SUMPRODUCT(MAX((T_PlannedOrders[Part Name]=$A225)*(T_PlannedOrders[WeekIndex]=27)*(T_PlannedOrders[EffectiveQty]&gt;0)*T_PlannedOrders[Order_Month])),"m月")&amp;"発注)")</f>
        <v/>
      </c>
      <c r="AE237">
        <f>IF(SUMIFS(T_PlannedOrders[EffectiveQty],T_PlannedOrders[Part Name],$A225,T_PlannedOrders[WeekIndex],28)=0,"",SUMIFS(T_PlannedOrders[EffectiveQty],T_PlannedOrders[Part Name],$A225,T_PlannedOrders[WeekIndex],28)&amp;" ("&amp;TEXT(SUMPRODUCT(MAX((T_PlannedOrders[Part Name]=$A225)*(T_PlannedOrders[WeekIndex]=28)*(T_PlannedOrders[EffectiveQty]&gt;0)*T_PlannedOrders[Order_Month])),"m月")&amp;"発注)")</f>
        <v/>
      </c>
      <c r="AF237">
        <f>IF(SUMIFS(T_PlannedOrders[EffectiveQty],T_PlannedOrders[Part Name],$A225,T_PlannedOrders[WeekIndex],29)=0,"",SUMIFS(T_PlannedOrders[EffectiveQty],T_PlannedOrders[Part Name],$A225,T_PlannedOrders[WeekIndex],29)&amp;" ("&amp;TEXT(SUMPRODUCT(MAX((T_PlannedOrders[Part Name]=$A225)*(T_PlannedOrders[WeekIndex]=29)*(T_PlannedOrders[EffectiveQty]&gt;0)*T_PlannedOrders[Order_Month])),"m月")&amp;"発注)")</f>
        <v/>
      </c>
      <c r="AG237">
        <f>IF(SUMIFS(T_PlannedOrders[EffectiveQty],T_PlannedOrders[Part Name],$A225,T_PlannedOrders[WeekIndex],30)=0,"",SUMIFS(T_PlannedOrders[EffectiveQty],T_PlannedOrders[Part Name],$A225,T_PlannedOrders[WeekIndex],30)&amp;" ("&amp;TEXT(SUMPRODUCT(MAX((T_PlannedOrders[Part Name]=$A225)*(T_PlannedOrders[WeekIndex]=30)*(T_PlannedOrders[EffectiveQty]&gt;0)*T_PlannedOrders[Order_Month])),"m月")&amp;"発注)")</f>
        <v/>
      </c>
      <c r="AH237">
        <f>IF(SUMIFS(T_PlannedOrders[EffectiveQty],T_PlannedOrders[Part Name],$A225,T_PlannedOrders[WeekIndex],31)=0,"",SUMIFS(T_PlannedOrders[EffectiveQty],T_PlannedOrders[Part Name],$A225,T_PlannedOrders[WeekIndex],31)&amp;" ("&amp;TEXT(SUMPRODUCT(MAX((T_PlannedOrders[Part Name]=$A225)*(T_PlannedOrders[WeekIndex]=31)*(T_PlannedOrders[EffectiveQty]&gt;0)*T_PlannedOrders[Order_Month])),"m月")&amp;"発注)")</f>
        <v/>
      </c>
      <c r="AI237">
        <f>IF(SUMIFS(T_PlannedOrders[EffectiveQty],T_PlannedOrders[Part Name],$A225,T_PlannedOrders[WeekIndex],32)=0,"",SUMIFS(T_PlannedOrders[EffectiveQty],T_PlannedOrders[Part Name],$A225,T_PlannedOrders[WeekIndex],32)&amp;" ("&amp;TEXT(SUMPRODUCT(MAX((T_PlannedOrders[Part Name]=$A225)*(T_PlannedOrders[WeekIndex]=32)*(T_PlannedOrders[EffectiveQty]&gt;0)*T_PlannedOrders[Order_Month])),"m月")&amp;"発注)")</f>
        <v/>
      </c>
      <c r="AJ237">
        <f>IF(SUMIFS(T_PlannedOrders[EffectiveQty],T_PlannedOrders[Part Name],$A225,T_PlannedOrders[WeekIndex],33)=0,"",SUMIFS(T_PlannedOrders[EffectiveQty],T_PlannedOrders[Part Name],$A225,T_PlannedOrders[WeekIndex],33)&amp;" ("&amp;TEXT(SUMPRODUCT(MAX((T_PlannedOrders[Part Name]=$A225)*(T_PlannedOrders[WeekIndex]=33)*(T_PlannedOrders[EffectiveQty]&gt;0)*T_PlannedOrders[Order_Month])),"m月")&amp;"発注)")</f>
        <v/>
      </c>
      <c r="AK237">
        <f>IF(SUMIFS(T_PlannedOrders[EffectiveQty],T_PlannedOrders[Part Name],$A225,T_PlannedOrders[WeekIndex],34)=0,"",SUMIFS(T_PlannedOrders[EffectiveQty],T_PlannedOrders[Part Name],$A225,T_PlannedOrders[WeekIndex],34)&amp;" ("&amp;TEXT(SUMPRODUCT(MAX((T_PlannedOrders[Part Name]=$A225)*(T_PlannedOrders[WeekIndex]=34)*(T_PlannedOrders[EffectiveQty]&gt;0)*T_PlannedOrders[Order_Month])),"m月")&amp;"発注)")</f>
        <v/>
      </c>
      <c r="AL237">
        <f>IF(SUMIFS(T_PlannedOrders[EffectiveQty],T_PlannedOrders[Part Name],$A225,T_PlannedOrders[WeekIndex],35)=0,"",SUMIFS(T_PlannedOrders[EffectiveQty],T_PlannedOrders[Part Name],$A225,T_PlannedOrders[WeekIndex],35)&amp;" ("&amp;TEXT(SUMPRODUCT(MAX((T_PlannedOrders[Part Name]=$A225)*(T_PlannedOrders[WeekIndex]=35)*(T_PlannedOrders[EffectiveQty]&gt;0)*T_PlannedOrders[Order_Month])),"m月")&amp;"発注)")</f>
        <v/>
      </c>
      <c r="AM237">
        <f>IF(SUMIFS(T_PlannedOrders[EffectiveQty],T_PlannedOrders[Part Name],$A225,T_PlannedOrders[WeekIndex],36)=0,"",SUMIFS(T_PlannedOrders[EffectiveQty],T_PlannedOrders[Part Name],$A225,T_PlannedOrders[WeekIndex],36)&amp;" ("&amp;TEXT(SUMPRODUCT(MAX((T_PlannedOrders[Part Name]=$A225)*(T_PlannedOrders[WeekIndex]=36)*(T_PlannedOrders[EffectiveQty]&gt;0)*T_PlannedOrders[Order_Month])),"m月")&amp;"発注)")</f>
        <v/>
      </c>
      <c r="AN237">
        <f>IF(SUMIFS(T_PlannedOrders[EffectiveQty],T_PlannedOrders[Part Name],$A225,T_PlannedOrders[WeekIndex],37)=0,"",SUMIFS(T_PlannedOrders[EffectiveQty],T_PlannedOrders[Part Name],$A225,T_PlannedOrders[WeekIndex],37)&amp;" ("&amp;TEXT(SUMPRODUCT(MAX((T_PlannedOrders[Part Name]=$A225)*(T_PlannedOrders[WeekIndex]=37)*(T_PlannedOrders[EffectiveQty]&gt;0)*T_PlannedOrders[Order_Month])),"m月")&amp;"発注)")</f>
        <v/>
      </c>
      <c r="AO237">
        <f>IF(SUMIFS(T_PlannedOrders[EffectiveQty],T_PlannedOrders[Part Name],$A225,T_PlannedOrders[WeekIndex],38)=0,"",SUMIFS(T_PlannedOrders[EffectiveQty],T_PlannedOrders[Part Name],$A225,T_PlannedOrders[WeekIndex],38)&amp;" ("&amp;TEXT(SUMPRODUCT(MAX((T_PlannedOrders[Part Name]=$A225)*(T_PlannedOrders[WeekIndex]=38)*(T_PlannedOrders[EffectiveQty]&gt;0)*T_PlannedOrders[Order_Month])),"m月")&amp;"発注)")</f>
        <v/>
      </c>
      <c r="AP237">
        <f>IF(SUMIFS(T_PlannedOrders[EffectiveQty],T_PlannedOrders[Part Name],$A225,T_PlannedOrders[WeekIndex],39)=0,"",SUMIFS(T_PlannedOrders[EffectiveQty],T_PlannedOrders[Part Name],$A225,T_PlannedOrders[WeekIndex],39)&amp;" ("&amp;TEXT(SUMPRODUCT(MAX((T_PlannedOrders[Part Name]=$A225)*(T_PlannedOrders[WeekIndex]=39)*(T_PlannedOrders[EffectiveQty]&gt;0)*T_PlannedOrders[Order_Month])),"m月")&amp;"発注)")</f>
        <v/>
      </c>
      <c r="AQ237">
        <f>IF(SUMIFS(T_PlannedOrders[EffectiveQty],T_PlannedOrders[Part Name],$A225,T_PlannedOrders[WeekIndex],40)=0,"",SUMIFS(T_PlannedOrders[EffectiveQty],T_PlannedOrders[Part Name],$A225,T_PlannedOrders[WeekIndex],40)&amp;" ("&amp;TEXT(SUMPRODUCT(MAX((T_PlannedOrders[Part Name]=$A225)*(T_PlannedOrders[WeekIndex]=40)*(T_PlannedOrders[EffectiveQty]&gt;0)*T_PlannedOrders[Order_Month])),"m月")&amp;"発注)")</f>
        <v/>
      </c>
      <c r="AR237">
        <f>IF(SUMIFS(T_PlannedOrders[EffectiveQty],T_PlannedOrders[Part Name],$A225,T_PlannedOrders[WeekIndex],41)=0,"",SUMIFS(T_PlannedOrders[EffectiveQty],T_PlannedOrders[Part Name],$A225,T_PlannedOrders[WeekIndex],41)&amp;" ("&amp;TEXT(SUMPRODUCT(MAX((T_PlannedOrders[Part Name]=$A225)*(T_PlannedOrders[WeekIndex]=41)*(T_PlannedOrders[EffectiveQty]&gt;0)*T_PlannedOrders[Order_Month])),"m月")&amp;"発注)")</f>
        <v/>
      </c>
      <c r="AS237">
        <f>IF(SUMIFS(T_PlannedOrders[EffectiveQty],T_PlannedOrders[Part Name],$A225,T_PlannedOrders[WeekIndex],42)=0,"",SUMIFS(T_PlannedOrders[EffectiveQty],T_PlannedOrders[Part Name],$A225,T_PlannedOrders[WeekIndex],42)&amp;" ("&amp;TEXT(SUMPRODUCT(MAX((T_PlannedOrders[Part Name]=$A225)*(T_PlannedOrders[WeekIndex]=42)*(T_PlannedOrders[EffectiveQty]&gt;0)*T_PlannedOrders[Order_Month])),"m月")&amp;"発注)")</f>
        <v/>
      </c>
      <c r="AT237">
        <f>IF(SUMIFS(T_PlannedOrders[EffectiveQty],T_PlannedOrders[Part Name],$A225,T_PlannedOrders[WeekIndex],43)=0,"",SUMIFS(T_PlannedOrders[EffectiveQty],T_PlannedOrders[Part Name],$A225,T_PlannedOrders[WeekIndex],43)&amp;" ("&amp;TEXT(SUMPRODUCT(MAX((T_PlannedOrders[Part Name]=$A225)*(T_PlannedOrders[WeekIndex]=43)*(T_PlannedOrders[EffectiveQty]&gt;0)*T_PlannedOrders[Order_Month])),"m月")&amp;"発注)")</f>
        <v/>
      </c>
      <c r="AU237">
        <f>IF(SUMIFS(T_PlannedOrders[EffectiveQty],T_PlannedOrders[Part Name],$A225,T_PlannedOrders[WeekIndex],44)=0,"",SUMIFS(T_PlannedOrders[EffectiveQty],T_PlannedOrders[Part Name],$A225,T_PlannedOrders[WeekIndex],44)&amp;" ("&amp;TEXT(SUMPRODUCT(MAX((T_PlannedOrders[Part Name]=$A225)*(T_PlannedOrders[WeekIndex]=44)*(T_PlannedOrders[EffectiveQty]&gt;0)*T_PlannedOrders[Order_Month])),"m月")&amp;"発注)")</f>
        <v/>
      </c>
      <c r="AV237">
        <f>IF(SUMIFS(T_PlannedOrders[EffectiveQty],T_PlannedOrders[Part Name],$A225,T_PlannedOrders[WeekIndex],45)=0,"",SUMIFS(T_PlannedOrders[EffectiveQty],T_PlannedOrders[Part Name],$A225,T_PlannedOrders[WeekIndex],45)&amp;" ("&amp;TEXT(SUMPRODUCT(MAX((T_PlannedOrders[Part Name]=$A225)*(T_PlannedOrders[WeekIndex]=45)*(T_PlannedOrders[EffectiveQty]&gt;0)*T_PlannedOrders[Order_Month])),"m月")&amp;"発注)")</f>
        <v/>
      </c>
      <c r="AW237">
        <f>IF(SUMIFS(T_PlannedOrders[EffectiveQty],T_PlannedOrders[Part Name],$A225,T_PlannedOrders[WeekIndex],46)=0,"",SUMIFS(T_PlannedOrders[EffectiveQty],T_PlannedOrders[Part Name],$A225,T_PlannedOrders[WeekIndex],46)&amp;" ("&amp;TEXT(SUMPRODUCT(MAX((T_PlannedOrders[Part Name]=$A225)*(T_PlannedOrders[WeekIndex]=46)*(T_PlannedOrders[EffectiveQty]&gt;0)*T_PlannedOrders[Order_Month])),"m月")&amp;"発注)")</f>
        <v/>
      </c>
      <c r="AX237">
        <f>IF(SUMIFS(T_PlannedOrders[EffectiveQty],T_PlannedOrders[Part Name],$A225,T_PlannedOrders[WeekIndex],47)=0,"",SUMIFS(T_PlannedOrders[EffectiveQty],T_PlannedOrders[Part Name],$A225,T_PlannedOrders[WeekIndex],47)&amp;" ("&amp;TEXT(SUMPRODUCT(MAX((T_PlannedOrders[Part Name]=$A225)*(T_PlannedOrders[WeekIndex]=47)*(T_PlannedOrders[EffectiveQty]&gt;0)*T_PlannedOrders[Order_Month])),"m月")&amp;"発注)")</f>
        <v/>
      </c>
      <c r="AY237">
        <f>IF(SUMIFS(T_PlannedOrders[EffectiveQty],T_PlannedOrders[Part Name],$A225,T_PlannedOrders[WeekIndex],48)=0,"",SUMIFS(T_PlannedOrders[EffectiveQty],T_PlannedOrders[Part Name],$A225,T_PlannedOrders[WeekIndex],48)&amp;" ("&amp;TEXT(SUMPRODUCT(MAX((T_PlannedOrders[Part Name]=$A225)*(T_PlannedOrders[WeekIndex]=48)*(T_PlannedOrders[EffectiveQty]&gt;0)*T_PlannedOrders[Order_Month])),"m月")&amp;"発注)")</f>
        <v/>
      </c>
      <c r="AZ237">
        <f>IF(SUMIFS(T_PlannedOrders[EffectiveQty],T_PlannedOrders[Part Name],$A225,T_PlannedOrders[WeekIndex],49)=0,"",SUMIFS(T_PlannedOrders[EffectiveQty],T_PlannedOrders[Part Name],$A225,T_PlannedOrders[WeekIndex],49)&amp;" ("&amp;TEXT(SUMPRODUCT(MAX((T_PlannedOrders[Part Name]=$A225)*(T_PlannedOrders[WeekIndex]=49)*(T_PlannedOrders[EffectiveQty]&gt;0)*T_PlannedOrders[Order_Month])),"m月")&amp;"発注)")</f>
        <v/>
      </c>
      <c r="BA237">
        <f>IF(SUMIFS(T_PlannedOrders[EffectiveQty],T_PlannedOrders[Part Name],$A225,T_PlannedOrders[WeekIndex],50)=0,"",SUMIFS(T_PlannedOrders[EffectiveQty],T_PlannedOrders[Part Name],$A225,T_PlannedOrders[WeekIndex],50)&amp;" ("&amp;TEXT(SUMPRODUCT(MAX((T_PlannedOrders[Part Name]=$A225)*(T_PlannedOrders[WeekIndex]=50)*(T_PlannedOrders[EffectiveQty]&gt;0)*T_PlannedOrders[Order_Month])),"m月")&amp;"発注)")</f>
        <v/>
      </c>
      <c r="BB237">
        <f>IF(SUMIFS(T_PlannedOrders[EffectiveQty],T_PlannedOrders[Part Name],$A225,T_PlannedOrders[WeekIndex],51)=0,"",SUMIFS(T_PlannedOrders[EffectiveQty],T_PlannedOrders[Part Name],$A225,T_PlannedOrders[WeekIndex],51)&amp;" ("&amp;TEXT(SUMPRODUCT(MAX((T_PlannedOrders[Part Name]=$A225)*(T_PlannedOrders[WeekIndex]=51)*(T_PlannedOrders[EffectiveQty]&gt;0)*T_PlannedOrders[Order_Month])),"m月")&amp;"発注)")</f>
        <v/>
      </c>
      <c r="BC237">
        <f>IF(SUMIFS(T_PlannedOrders[EffectiveQty],T_PlannedOrders[Part Name],$A225,T_PlannedOrders[WeekIndex],52)=0,"",SUMIFS(T_PlannedOrders[EffectiveQty],T_PlannedOrders[Part Name],$A225,T_PlannedOrders[WeekIndex],52)&amp;" ("&amp;TEXT(SUMPRODUCT(MAX((T_PlannedOrders[Part Name]=$A225)*(T_PlannedOrders[WeekIndex]=52)*(T_PlannedOrders[EffectiveQty]&gt;0)*T_PlannedOrders[Order_Month])),"m月")&amp;"発注)")</f>
        <v/>
      </c>
      <c r="BD237">
        <f>IF(SUMIFS(T_PlannedOrders[EffectiveQty],T_PlannedOrders[Part Name],$A225,T_PlannedOrders[WeekIndex],53)=0,"",SUMIFS(T_PlannedOrders[EffectiveQty],T_PlannedOrders[Part Name],$A225,T_PlannedOrders[WeekIndex],53)&amp;" ("&amp;TEXT(SUMPRODUCT(MAX((T_PlannedOrders[Part Name]=$A225)*(T_PlannedOrders[WeekIndex]=53)*(T_PlannedOrders[EffectiveQty]&gt;0)*T_PlannedOrders[Order_Month])),"m月")&amp;"発注)")</f>
        <v/>
      </c>
      <c r="BE237">
        <f>IF(SUMIFS(T_PlannedOrders[EffectiveQty],T_PlannedOrders[Part Name],$A225,T_PlannedOrders[WeekIndex],54)=0,"",SUMIFS(T_PlannedOrders[EffectiveQty],T_PlannedOrders[Part Name],$A225,T_PlannedOrders[WeekIndex],54)&amp;" ("&amp;TEXT(SUMPRODUCT(MAX((T_PlannedOrders[Part Name]=$A225)*(T_PlannedOrders[WeekIndex]=54)*(T_PlannedOrders[EffectiveQty]&gt;0)*T_PlannedOrders[Order_Month])),"m月")&amp;"発注)")</f>
        <v/>
      </c>
      <c r="BF237">
        <f>IF(SUMIFS(T_PlannedOrders[EffectiveQty],T_PlannedOrders[Part Name],$A225,T_PlannedOrders[WeekIndex],55)=0,"",SUMIFS(T_PlannedOrders[EffectiveQty],T_PlannedOrders[Part Name],$A225,T_PlannedOrders[WeekIndex],55)&amp;" ("&amp;TEXT(SUMPRODUCT(MAX((T_PlannedOrders[Part Name]=$A225)*(T_PlannedOrders[WeekIndex]=55)*(T_PlannedOrders[EffectiveQty]&gt;0)*T_PlannedOrders[Order_Month])),"m月")&amp;"発注)")</f>
        <v/>
      </c>
      <c r="BG237">
        <f>IF(SUMIFS(T_PlannedOrders[EffectiveQty],T_PlannedOrders[Part Name],$A225,T_PlannedOrders[WeekIndex],56)=0,"",SUMIFS(T_PlannedOrders[EffectiveQty],T_PlannedOrders[Part Name],$A225,T_PlannedOrders[WeekIndex],56)&amp;" ("&amp;TEXT(SUMPRODUCT(MAX((T_PlannedOrders[Part Name]=$A225)*(T_PlannedOrders[WeekIndex]=56)*(T_PlannedOrders[EffectiveQty]&gt;0)*T_PlannedOrders[Order_Month])),"m月")&amp;"発注)")</f>
        <v/>
      </c>
      <c r="BH237">
        <f>IF(SUMIFS(T_PlannedOrders[EffectiveQty],T_PlannedOrders[Part Name],$A225,T_PlannedOrders[WeekIndex],57)=0,"",SUMIFS(T_PlannedOrders[EffectiveQty],T_PlannedOrders[Part Name],$A225,T_PlannedOrders[WeekIndex],57)&amp;" ("&amp;TEXT(SUMPRODUCT(MAX((T_PlannedOrders[Part Name]=$A225)*(T_PlannedOrders[WeekIndex]=57)*(T_PlannedOrders[EffectiveQty]&gt;0)*T_PlannedOrders[Order_Month])),"m月")&amp;"発注)")</f>
        <v/>
      </c>
      <c r="BI237">
        <f>IF(SUMIFS(T_PlannedOrders[EffectiveQty],T_PlannedOrders[Part Name],$A225,T_PlannedOrders[WeekIndex],58)=0,"",SUMIFS(T_PlannedOrders[EffectiveQty],T_PlannedOrders[Part Name],$A225,T_PlannedOrders[WeekIndex],58)&amp;" ("&amp;TEXT(SUMPRODUCT(MAX((T_PlannedOrders[Part Name]=$A225)*(T_PlannedOrders[WeekIndex]=58)*(T_PlannedOrders[EffectiveQty]&gt;0)*T_PlannedOrders[Order_Month])),"m月")&amp;"発注)")</f>
        <v/>
      </c>
      <c r="BJ237">
        <f>IF(SUMIFS(T_PlannedOrders[EffectiveQty],T_PlannedOrders[Part Name],$A225,T_PlannedOrders[WeekIndex],59)=0,"",SUMIFS(T_PlannedOrders[EffectiveQty],T_PlannedOrders[Part Name],$A225,T_PlannedOrders[WeekIndex],59)&amp;" ("&amp;TEXT(SUMPRODUCT(MAX((T_PlannedOrders[Part Name]=$A225)*(T_PlannedOrders[WeekIndex]=59)*(T_PlannedOrders[EffectiveQty]&gt;0)*T_PlannedOrders[Order_Month])),"m月")&amp;"発注)")</f>
        <v/>
      </c>
      <c r="BK237">
        <f>IF(SUMIFS(T_PlannedOrders[EffectiveQty],T_PlannedOrders[Part Name],$A225,T_PlannedOrders[WeekIndex],60)=0,"",SUMIFS(T_PlannedOrders[EffectiveQty],T_PlannedOrders[Part Name],$A225,T_PlannedOrders[WeekIndex],60)&amp;" ("&amp;TEXT(SUMPRODUCT(MAX((T_PlannedOrders[Part Name]=$A225)*(T_PlannedOrders[WeekIndex]=60)*(T_PlannedOrders[EffectiveQty]&gt;0)*T_PlannedOrders[Order_Month])),"m月")&amp;"発注)")</f>
        <v/>
      </c>
      <c r="BL237">
        <f>IF(SUMIFS(T_PlannedOrders[EffectiveQty],T_PlannedOrders[Part Name],$A225,T_PlannedOrders[WeekIndex],61)=0,"",SUMIFS(T_PlannedOrders[EffectiveQty],T_PlannedOrders[Part Name],$A225,T_PlannedOrders[WeekIndex],61)&amp;" ("&amp;TEXT(SUMPRODUCT(MAX((T_PlannedOrders[Part Name]=$A225)*(T_PlannedOrders[WeekIndex]=61)*(T_PlannedOrders[EffectiveQty]&gt;0)*T_PlannedOrders[Order_Month])),"m月")&amp;"発注)")</f>
        <v/>
      </c>
      <c r="BM237">
        <f>IF(SUMIFS(T_PlannedOrders[EffectiveQty],T_PlannedOrders[Part Name],$A225,T_PlannedOrders[WeekIndex],62)=0,"",SUMIFS(T_PlannedOrders[EffectiveQty],T_PlannedOrders[Part Name],$A225,T_PlannedOrders[WeekIndex],62)&amp;" ("&amp;TEXT(SUMPRODUCT(MAX((T_PlannedOrders[Part Name]=$A225)*(T_PlannedOrders[WeekIndex]=62)*(T_PlannedOrders[EffectiveQty]&gt;0)*T_PlannedOrders[Order_Month])),"m月")&amp;"発注)")</f>
        <v/>
      </c>
      <c r="BN237">
        <f>IF(SUMIFS(T_PlannedOrders[EffectiveQty],T_PlannedOrders[Part Name],$A225,T_PlannedOrders[WeekIndex],63)=0,"",SUMIFS(T_PlannedOrders[EffectiveQty],T_PlannedOrders[Part Name],$A225,T_PlannedOrders[WeekIndex],63)&amp;" ("&amp;TEXT(SUMPRODUCT(MAX((T_PlannedOrders[Part Name]=$A225)*(T_PlannedOrders[WeekIndex]=63)*(T_PlannedOrders[EffectiveQty]&gt;0)*T_PlannedOrders[Order_Month])),"m月")&amp;"発注)")</f>
        <v/>
      </c>
      <c r="BO237">
        <f>IF(SUMIFS(T_PlannedOrders[EffectiveQty],T_PlannedOrders[Part Name],$A225,T_PlannedOrders[WeekIndex],64)=0,"",SUMIFS(T_PlannedOrders[EffectiveQty],T_PlannedOrders[Part Name],$A225,T_PlannedOrders[WeekIndex],64)&amp;" ("&amp;TEXT(SUMPRODUCT(MAX((T_PlannedOrders[Part Name]=$A225)*(T_PlannedOrders[WeekIndex]=64)*(T_PlannedOrders[EffectiveQty]&gt;0)*T_PlannedOrders[Order_Month])),"m月")&amp;"発注)")</f>
        <v/>
      </c>
      <c r="BP237">
        <f>IF(SUMIFS(T_PlannedOrders[EffectiveQty],T_PlannedOrders[Part Name],$A225,T_PlannedOrders[WeekIndex],65)=0,"",SUMIFS(T_PlannedOrders[EffectiveQty],T_PlannedOrders[Part Name],$A225,T_PlannedOrders[WeekIndex],65)&amp;" ("&amp;TEXT(SUMPRODUCT(MAX((T_PlannedOrders[Part Name]=$A225)*(T_PlannedOrders[WeekIndex]=65)*(T_PlannedOrders[EffectiveQty]&gt;0)*T_PlannedOrders[Order_Month])),"m月")&amp;"発注)")</f>
        <v/>
      </c>
      <c r="BQ237">
        <f>IF(SUMIFS(T_PlannedOrders[EffectiveQty],T_PlannedOrders[Part Name],$A225,T_PlannedOrders[WeekIndex],66)=0,"",SUMIFS(T_PlannedOrders[EffectiveQty],T_PlannedOrders[Part Name],$A225,T_PlannedOrders[WeekIndex],66)&amp;" ("&amp;TEXT(SUMPRODUCT(MAX((T_PlannedOrders[Part Name]=$A225)*(T_PlannedOrders[WeekIndex]=66)*(T_PlannedOrders[EffectiveQty]&gt;0)*T_PlannedOrders[Order_Month])),"m月")&amp;"発注)")</f>
        <v/>
      </c>
      <c r="BR237">
        <f>IF(SUMIFS(T_PlannedOrders[EffectiveQty],T_PlannedOrders[Part Name],$A225,T_PlannedOrders[WeekIndex],67)=0,"",SUMIFS(T_PlannedOrders[EffectiveQty],T_PlannedOrders[Part Name],$A225,T_PlannedOrders[WeekIndex],67)&amp;" ("&amp;TEXT(SUMPRODUCT(MAX((T_PlannedOrders[Part Name]=$A225)*(T_PlannedOrders[WeekIndex]=67)*(T_PlannedOrders[EffectiveQty]&gt;0)*T_PlannedOrders[Order_Month])),"m月")&amp;"発注)")</f>
        <v/>
      </c>
      <c r="BS237">
        <f>IF(SUMIFS(T_PlannedOrders[EffectiveQty],T_PlannedOrders[Part Name],$A225,T_PlannedOrders[WeekIndex],68)=0,"",SUMIFS(T_PlannedOrders[EffectiveQty],T_PlannedOrders[Part Name],$A225,T_PlannedOrders[WeekIndex],68)&amp;" ("&amp;TEXT(SUMPRODUCT(MAX((T_PlannedOrders[Part Name]=$A225)*(T_PlannedOrders[WeekIndex]=68)*(T_PlannedOrders[EffectiveQty]&gt;0)*T_PlannedOrders[Order_Month])),"m月")&amp;"発注)")</f>
        <v/>
      </c>
      <c r="BT237">
        <f>IF(SUMIFS(T_PlannedOrders[EffectiveQty],T_PlannedOrders[Part Name],$A225,T_PlannedOrders[WeekIndex],69)=0,"",SUMIFS(T_PlannedOrders[EffectiveQty],T_PlannedOrders[Part Name],$A225,T_PlannedOrders[WeekIndex],69)&amp;" ("&amp;TEXT(SUMPRODUCT(MAX((T_PlannedOrders[Part Name]=$A225)*(T_PlannedOrders[WeekIndex]=69)*(T_PlannedOrders[EffectiveQty]&gt;0)*T_PlannedOrders[Order_Month])),"m月")&amp;"発注)")</f>
        <v/>
      </c>
      <c r="BU237">
        <f>IF(SUMIFS(T_PlannedOrders[EffectiveQty],T_PlannedOrders[Part Name],$A225,T_PlannedOrders[WeekIndex],70)=0,"",SUMIFS(T_PlannedOrders[EffectiveQty],T_PlannedOrders[Part Name],$A225,T_PlannedOrders[WeekIndex],70)&amp;" ("&amp;TEXT(SUMPRODUCT(MAX((T_PlannedOrders[Part Name]=$A225)*(T_PlannedOrders[WeekIndex]=70)*(T_PlannedOrders[EffectiveQty]&gt;0)*T_PlannedOrders[Order_Month])),"m月")&amp;"発注)")</f>
        <v/>
      </c>
      <c r="BV237">
        <f>IF(SUMIFS(T_PlannedOrders[EffectiveQty],T_PlannedOrders[Part Name],$A225,T_PlannedOrders[WeekIndex],71)=0,"",SUMIFS(T_PlannedOrders[EffectiveQty],T_PlannedOrders[Part Name],$A225,T_PlannedOrders[WeekIndex],71)&amp;" ("&amp;TEXT(SUMPRODUCT(MAX((T_PlannedOrders[Part Name]=$A225)*(T_PlannedOrders[WeekIndex]=71)*(T_PlannedOrders[EffectiveQty]&gt;0)*T_PlannedOrders[Order_Month])),"m月")&amp;"発注)")</f>
        <v/>
      </c>
      <c r="BW237">
        <f>IF(SUMIFS(T_PlannedOrders[EffectiveQty],T_PlannedOrders[Part Name],$A225,T_PlannedOrders[WeekIndex],72)=0,"",SUMIFS(T_PlannedOrders[EffectiveQty],T_PlannedOrders[Part Name],$A225,T_PlannedOrders[WeekIndex],72)&amp;" ("&amp;TEXT(SUMPRODUCT(MAX((T_PlannedOrders[Part Name]=$A225)*(T_PlannedOrders[WeekIndex]=72)*(T_PlannedOrders[EffectiveQty]&gt;0)*T_PlannedOrders[Order_Month])),"m月")&amp;"発注)")</f>
        <v/>
      </c>
      <c r="BX237">
        <f>IF(SUMIFS(T_PlannedOrders[EffectiveQty],T_PlannedOrders[Part Name],$A225,T_PlannedOrders[WeekIndex],73)=0,"",SUMIFS(T_PlannedOrders[EffectiveQty],T_PlannedOrders[Part Name],$A225,T_PlannedOrders[WeekIndex],73)&amp;" ("&amp;TEXT(SUMPRODUCT(MAX((T_PlannedOrders[Part Name]=$A225)*(T_PlannedOrders[WeekIndex]=73)*(T_PlannedOrders[EffectiveQty]&gt;0)*T_PlannedOrders[Order_Month])),"m月")&amp;"発注)")</f>
        <v/>
      </c>
      <c r="BY237">
        <f>IF(SUMIFS(T_PlannedOrders[EffectiveQty],T_PlannedOrders[Part Name],$A225,T_PlannedOrders[WeekIndex],74)=0,"",SUMIFS(T_PlannedOrders[EffectiveQty],T_PlannedOrders[Part Name],$A225,T_PlannedOrders[WeekIndex],74)&amp;" ("&amp;TEXT(SUMPRODUCT(MAX((T_PlannedOrders[Part Name]=$A225)*(T_PlannedOrders[WeekIndex]=74)*(T_PlannedOrders[EffectiveQty]&gt;0)*T_PlannedOrders[Order_Month])),"m月")&amp;"発注)")</f>
        <v/>
      </c>
      <c r="BZ237">
        <f>IF(SUMIFS(T_PlannedOrders[EffectiveQty],T_PlannedOrders[Part Name],$A225,T_PlannedOrders[WeekIndex],75)=0,"",SUMIFS(T_PlannedOrders[EffectiveQty],T_PlannedOrders[Part Name],$A225,T_PlannedOrders[WeekIndex],75)&amp;" ("&amp;TEXT(SUMPRODUCT(MAX((T_PlannedOrders[Part Name]=$A225)*(T_PlannedOrders[WeekIndex]=75)*(T_PlannedOrders[EffectiveQty]&gt;0)*T_PlannedOrders[Order_Month])),"m月")&amp;"発注)")</f>
        <v/>
      </c>
      <c r="CA237">
        <f>IF(SUMIFS(T_PlannedOrders[EffectiveQty],T_PlannedOrders[Part Name],$A225,T_PlannedOrders[WeekIndex],76)=0,"",SUMIFS(T_PlannedOrders[EffectiveQty],T_PlannedOrders[Part Name],$A225,T_PlannedOrders[WeekIndex],76)&amp;" ("&amp;TEXT(SUMPRODUCT(MAX((T_PlannedOrders[Part Name]=$A225)*(T_PlannedOrders[WeekIndex]=76)*(T_PlannedOrders[EffectiveQty]&gt;0)*T_PlannedOrders[Order_Month])),"m月")&amp;"発注)")</f>
        <v/>
      </c>
      <c r="CB237">
        <f>IF(SUMIFS(T_PlannedOrders[EffectiveQty],T_PlannedOrders[Part Name],$A225,T_PlannedOrders[WeekIndex],77)=0,"",SUMIFS(T_PlannedOrders[EffectiveQty],T_PlannedOrders[Part Name],$A225,T_PlannedOrders[WeekIndex],77)&amp;" ("&amp;TEXT(SUMPRODUCT(MAX((T_PlannedOrders[Part Name]=$A225)*(T_PlannedOrders[WeekIndex]=77)*(T_PlannedOrders[EffectiveQty]&gt;0)*T_PlannedOrders[Order_Month])),"m月")&amp;"発注)")</f>
        <v/>
      </c>
      <c r="CC237">
        <f>IF(SUMIFS(T_PlannedOrders[EffectiveQty],T_PlannedOrders[Part Name],$A225,T_PlannedOrders[WeekIndex],78)=0,"",SUMIFS(T_PlannedOrders[EffectiveQty],T_PlannedOrders[Part Name],$A225,T_PlannedOrders[WeekIndex],78)&amp;" ("&amp;TEXT(SUMPRODUCT(MAX((T_PlannedOrders[Part Name]=$A225)*(T_PlannedOrders[WeekIndex]=78)*(T_PlannedOrders[EffectiveQty]&gt;0)*T_PlannedOrders[Order_Month])),"m月")&amp;"発注)")</f>
        <v/>
      </c>
      <c r="CD237">
        <f>IF(SUMIFS(T_PlannedOrders[EffectiveQty],T_PlannedOrders[Part Name],$A225,T_PlannedOrders[WeekIndex],79)=0,"",SUMIFS(T_PlannedOrders[EffectiveQty],T_PlannedOrders[Part Name],$A225,T_PlannedOrders[WeekIndex],79)&amp;" ("&amp;TEXT(SUMPRODUCT(MAX((T_PlannedOrders[Part Name]=$A225)*(T_PlannedOrders[WeekIndex]=79)*(T_PlannedOrders[EffectiveQty]&gt;0)*T_PlannedOrders[Order_Month])),"m月")&amp;"発注)")</f>
        <v/>
      </c>
      <c r="CE237">
        <f>IF(SUMIFS(T_PlannedOrders[EffectiveQty],T_PlannedOrders[Part Name],$A225,T_PlannedOrders[WeekIndex],80)=0,"",SUMIFS(T_PlannedOrders[EffectiveQty],T_PlannedOrders[Part Name],$A225,T_PlannedOrders[WeekIndex],80)&amp;" ("&amp;TEXT(SUMPRODUCT(MAX((T_PlannedOrders[Part Name]=$A225)*(T_PlannedOrders[WeekIndex]=80)*(T_PlannedOrders[EffectiveQty]&gt;0)*T_PlannedOrders[Order_Month])),"m月")&amp;"発注)")</f>
        <v/>
      </c>
      <c r="CF237">
        <f>IF(SUMIFS(T_PlannedOrders[EffectiveQty],T_PlannedOrders[Part Name],$A225,T_PlannedOrders[WeekIndex],81)=0,"",SUMIFS(T_PlannedOrders[EffectiveQty],T_PlannedOrders[Part Name],$A225,T_PlannedOrders[WeekIndex],81)&amp;" ("&amp;TEXT(SUMPRODUCT(MAX((T_PlannedOrders[Part Name]=$A225)*(T_PlannedOrders[WeekIndex]=81)*(T_PlannedOrders[EffectiveQty]&gt;0)*T_PlannedOrders[Order_Month])),"m月")&amp;"発注)")</f>
        <v/>
      </c>
      <c r="CG237">
        <f>IF(SUMIFS(T_PlannedOrders[EffectiveQty],T_PlannedOrders[Part Name],$A225,T_PlannedOrders[WeekIndex],82)=0,"",SUMIFS(T_PlannedOrders[EffectiveQty],T_PlannedOrders[Part Name],$A225,T_PlannedOrders[WeekIndex],82)&amp;" ("&amp;TEXT(SUMPRODUCT(MAX((T_PlannedOrders[Part Name]=$A225)*(T_PlannedOrders[WeekIndex]=82)*(T_PlannedOrders[EffectiveQty]&gt;0)*T_PlannedOrders[Order_Month])),"m月")&amp;"発注)")</f>
        <v/>
      </c>
      <c r="CH237">
        <f>IF(SUMIFS(T_PlannedOrders[EffectiveQty],T_PlannedOrders[Part Name],$A225,T_PlannedOrders[WeekIndex],83)=0,"",SUMIFS(T_PlannedOrders[EffectiveQty],T_PlannedOrders[Part Name],$A225,T_PlannedOrders[WeekIndex],83)&amp;" ("&amp;TEXT(SUMPRODUCT(MAX((T_PlannedOrders[Part Name]=$A225)*(T_PlannedOrders[WeekIndex]=83)*(T_PlannedOrders[EffectiveQty]&gt;0)*T_PlannedOrders[Order_Month])),"m月")&amp;"発注)")</f>
        <v/>
      </c>
      <c r="CI237">
        <f>IF(SUMIFS(T_PlannedOrders[EffectiveQty],T_PlannedOrders[Part Name],$A225,T_PlannedOrders[WeekIndex],84)=0,"",SUMIFS(T_PlannedOrders[EffectiveQty],T_PlannedOrders[Part Name],$A225,T_PlannedOrders[WeekIndex],84)&amp;" ("&amp;TEXT(SUMPRODUCT(MAX((T_PlannedOrders[Part Name]=$A225)*(T_PlannedOrders[WeekIndex]=84)*(T_PlannedOrders[EffectiveQty]&gt;0)*T_PlannedOrders[Order_Month])),"m月")&amp;"発注)")</f>
        <v/>
      </c>
      <c r="CJ237">
        <f>IF(SUMIFS(T_PlannedOrders[EffectiveQty],T_PlannedOrders[Part Name],$A225,T_PlannedOrders[WeekIndex],85)=0,"",SUMIFS(T_PlannedOrders[EffectiveQty],T_PlannedOrders[Part Name],$A225,T_PlannedOrders[WeekIndex],85)&amp;" ("&amp;TEXT(SUMPRODUCT(MAX((T_PlannedOrders[Part Name]=$A225)*(T_PlannedOrders[WeekIndex]=85)*(T_PlannedOrders[EffectiveQty]&gt;0)*T_PlannedOrders[Order_Month])),"m月")&amp;"発注)")</f>
        <v/>
      </c>
      <c r="CK237">
        <f>IF(SUMIFS(T_PlannedOrders[EffectiveQty],T_PlannedOrders[Part Name],$A225,T_PlannedOrders[WeekIndex],86)=0,"",SUMIFS(T_PlannedOrders[EffectiveQty],T_PlannedOrders[Part Name],$A225,T_PlannedOrders[WeekIndex],86)&amp;" ("&amp;TEXT(SUMPRODUCT(MAX((T_PlannedOrders[Part Name]=$A225)*(T_PlannedOrders[WeekIndex]=86)*(T_PlannedOrders[EffectiveQty]&gt;0)*T_PlannedOrders[Order_Month])),"m月")&amp;"発注)")</f>
        <v/>
      </c>
      <c r="CL237">
        <f>IF(SUMIFS(T_PlannedOrders[EffectiveQty],T_PlannedOrders[Part Name],$A225,T_PlannedOrders[WeekIndex],87)=0,"",SUMIFS(T_PlannedOrders[EffectiveQty],T_PlannedOrders[Part Name],$A225,T_PlannedOrders[WeekIndex],87)&amp;" ("&amp;TEXT(SUMPRODUCT(MAX((T_PlannedOrders[Part Name]=$A225)*(T_PlannedOrders[WeekIndex]=87)*(T_PlannedOrders[EffectiveQty]&gt;0)*T_PlannedOrders[Order_Month])),"m月")&amp;"発注)")</f>
        <v/>
      </c>
      <c r="CM237">
        <f>IF(SUMIFS(T_PlannedOrders[EffectiveQty],T_PlannedOrders[Part Name],$A225,T_PlannedOrders[WeekIndex],88)=0,"",SUMIFS(T_PlannedOrders[EffectiveQty],T_PlannedOrders[Part Name],$A225,T_PlannedOrders[WeekIndex],88)&amp;" ("&amp;TEXT(SUMPRODUCT(MAX((T_PlannedOrders[Part Name]=$A225)*(T_PlannedOrders[WeekIndex]=88)*(T_PlannedOrders[EffectiveQty]&gt;0)*T_PlannedOrders[Order_Month])),"m月")&amp;"発注)")</f>
        <v/>
      </c>
      <c r="CN237">
        <f>IF(SUMIFS(T_PlannedOrders[EffectiveQty],T_PlannedOrders[Part Name],$A225,T_PlannedOrders[WeekIndex],89)=0,"",SUMIFS(T_PlannedOrders[EffectiveQty],T_PlannedOrders[Part Name],$A225,T_PlannedOrders[WeekIndex],89)&amp;" ("&amp;TEXT(SUMPRODUCT(MAX((T_PlannedOrders[Part Name]=$A225)*(T_PlannedOrders[WeekIndex]=89)*(T_PlannedOrders[EffectiveQty]&gt;0)*T_PlannedOrders[Order_Month])),"m月")&amp;"発注)")</f>
        <v/>
      </c>
      <c r="CO237">
        <f>IF(SUMIFS(T_PlannedOrders[EffectiveQty],T_PlannedOrders[Part Name],$A225,T_PlannedOrders[WeekIndex],90)=0,"",SUMIFS(T_PlannedOrders[EffectiveQty],T_PlannedOrders[Part Name],$A225,T_PlannedOrders[WeekIndex],90)&amp;" ("&amp;TEXT(SUMPRODUCT(MAX((T_PlannedOrders[Part Name]=$A225)*(T_PlannedOrders[WeekIndex]=90)*(T_PlannedOrders[EffectiveQty]&gt;0)*T_PlannedOrders[Order_Month])),"m月")&amp;"発注)")</f>
        <v/>
      </c>
      <c r="CP237">
        <f>IF(SUMIFS(T_PlannedOrders[EffectiveQty],T_PlannedOrders[Part Name],$A225,T_PlannedOrders[WeekIndex],91)=0,"",SUMIFS(T_PlannedOrders[EffectiveQty],T_PlannedOrders[Part Name],$A225,T_PlannedOrders[WeekIndex],91)&amp;" ("&amp;TEXT(SUMPRODUCT(MAX((T_PlannedOrders[Part Name]=$A225)*(T_PlannedOrders[WeekIndex]=91)*(T_PlannedOrders[EffectiveQty]&gt;0)*T_PlannedOrders[Order_Month])),"m月")&amp;"発注)")</f>
        <v/>
      </c>
      <c r="CQ237">
        <f>IF(SUMIFS(T_PlannedOrders[EffectiveQty],T_PlannedOrders[Part Name],$A225,T_PlannedOrders[WeekIndex],92)=0,"",SUMIFS(T_PlannedOrders[EffectiveQty],T_PlannedOrders[Part Name],$A225,T_PlannedOrders[WeekIndex],92)&amp;" ("&amp;TEXT(SUMPRODUCT(MAX((T_PlannedOrders[Part Name]=$A225)*(T_PlannedOrders[WeekIndex]=92)*(T_PlannedOrders[EffectiveQty]&gt;0)*T_PlannedOrders[Order_Month])),"m月")&amp;"発注)")</f>
        <v/>
      </c>
      <c r="CR237">
        <f>IF(SUMIFS(T_PlannedOrders[EffectiveQty],T_PlannedOrders[Part Name],$A225,T_PlannedOrders[WeekIndex],93)=0,"",SUMIFS(T_PlannedOrders[EffectiveQty],T_PlannedOrders[Part Name],$A225,T_PlannedOrders[WeekIndex],93)&amp;" ("&amp;TEXT(SUMPRODUCT(MAX((T_PlannedOrders[Part Name]=$A225)*(T_PlannedOrders[WeekIndex]=93)*(T_PlannedOrders[EffectiveQty]&gt;0)*T_PlannedOrders[Order_Month])),"m月")&amp;"発注)")</f>
        <v/>
      </c>
      <c r="CS237">
        <f>IF(SUMIFS(T_PlannedOrders[EffectiveQty],T_PlannedOrders[Part Name],$A225,T_PlannedOrders[WeekIndex],94)=0,"",SUMIFS(T_PlannedOrders[EffectiveQty],T_PlannedOrders[Part Name],$A225,T_PlannedOrders[WeekIndex],94)&amp;" ("&amp;TEXT(SUMPRODUCT(MAX((T_PlannedOrders[Part Name]=$A225)*(T_PlannedOrders[WeekIndex]=94)*(T_PlannedOrders[EffectiveQty]&gt;0)*T_PlannedOrders[Order_Month])),"m月")&amp;"発注)")</f>
        <v/>
      </c>
      <c r="CT237">
        <f>IF(SUMIFS(T_PlannedOrders[EffectiveQty],T_PlannedOrders[Part Name],$A225,T_PlannedOrders[WeekIndex],95)=0,"",SUMIFS(T_PlannedOrders[EffectiveQty],T_PlannedOrders[Part Name],$A225,T_PlannedOrders[WeekIndex],95)&amp;" ("&amp;TEXT(SUMPRODUCT(MAX((T_PlannedOrders[Part Name]=$A225)*(T_PlannedOrders[WeekIndex]=95)*(T_PlannedOrders[EffectiveQty]&gt;0)*T_PlannedOrders[Order_Month])),"m月")&amp;"発注)")</f>
        <v/>
      </c>
      <c r="CU237">
        <f>IF(SUMIFS(T_PlannedOrders[EffectiveQty],T_PlannedOrders[Part Name],$A225,T_PlannedOrders[WeekIndex],96)=0,"",SUMIFS(T_PlannedOrders[EffectiveQty],T_PlannedOrders[Part Name],$A225,T_PlannedOrders[WeekIndex],96)&amp;" ("&amp;TEXT(SUMPRODUCT(MAX((T_PlannedOrders[Part Name]=$A225)*(T_PlannedOrders[WeekIndex]=96)*(T_PlannedOrders[EffectiveQty]&gt;0)*T_PlannedOrders[Order_Month])),"m月")&amp;"発注)")</f>
        <v/>
      </c>
      <c r="CV237">
        <f>IF(SUMIFS(T_PlannedOrders[EffectiveQty],T_PlannedOrders[Part Name],$A225,T_PlannedOrders[WeekIndex],97)=0,"",SUMIFS(T_PlannedOrders[EffectiveQty],T_PlannedOrders[Part Name],$A225,T_PlannedOrders[WeekIndex],97)&amp;" ("&amp;TEXT(SUMPRODUCT(MAX((T_PlannedOrders[Part Name]=$A225)*(T_PlannedOrders[WeekIndex]=97)*(T_PlannedOrders[EffectiveQty]&gt;0)*T_PlannedOrders[Order_Month])),"m月")&amp;"発注)")</f>
        <v/>
      </c>
      <c r="CW237">
        <f>IF(SUMIFS(T_PlannedOrders[EffectiveQty],T_PlannedOrders[Part Name],$A225,T_PlannedOrders[WeekIndex],98)=0,"",SUMIFS(T_PlannedOrders[EffectiveQty],T_PlannedOrders[Part Name],$A225,T_PlannedOrders[WeekIndex],98)&amp;" ("&amp;TEXT(SUMPRODUCT(MAX((T_PlannedOrders[Part Name]=$A225)*(T_PlannedOrders[WeekIndex]=98)*(T_PlannedOrders[EffectiveQty]&gt;0)*T_PlannedOrders[Order_Month])),"m月")&amp;"発注)")</f>
        <v/>
      </c>
      <c r="CX237">
        <f>IF(SUMIFS(T_PlannedOrders[EffectiveQty],T_PlannedOrders[Part Name],$A225,T_PlannedOrders[WeekIndex],99)=0,"",SUMIFS(T_PlannedOrders[EffectiveQty],T_PlannedOrders[Part Name],$A225,T_PlannedOrders[WeekIndex],99)&amp;" ("&amp;TEXT(SUMPRODUCT(MAX((T_PlannedOrders[Part Name]=$A225)*(T_PlannedOrders[WeekIndex]=99)*(T_PlannedOrders[EffectiveQty]&gt;0)*T_PlannedOrders[Order_Month])),"m月")&amp;"発注)")</f>
        <v/>
      </c>
      <c r="CY237">
        <f>IF(SUMIFS(T_PlannedOrders[EffectiveQty],T_PlannedOrders[Part Name],$A225,T_PlannedOrders[WeekIndex],100)=0,"",SUMIFS(T_PlannedOrders[EffectiveQty],T_PlannedOrders[Part Name],$A225,T_PlannedOrders[WeekIndex],100)&amp;" ("&amp;TEXT(SUMPRODUCT(MAX((T_PlannedOrders[Part Name]=$A225)*(T_PlannedOrders[WeekIndex]=100)*(T_PlannedOrders[EffectiveQty]&gt;0)*T_PlannedOrders[Order_Month])),"m月")&amp;"発注)")</f>
        <v/>
      </c>
      <c r="CZ237">
        <f>IF(SUMIFS(T_PlannedOrders[EffectiveQty],T_PlannedOrders[Part Name],$A225,T_PlannedOrders[WeekIndex],101)=0,"",SUMIFS(T_PlannedOrders[EffectiveQty],T_PlannedOrders[Part Name],$A225,T_PlannedOrders[WeekIndex],101)&amp;" ("&amp;TEXT(SUMPRODUCT(MAX((T_PlannedOrders[Part Name]=$A225)*(T_PlannedOrders[WeekIndex]=101)*(T_PlannedOrders[EffectiveQty]&gt;0)*T_PlannedOrders[Order_Month])),"m月")&amp;"発注)")</f>
        <v/>
      </c>
      <c r="DA237">
        <f>IF(SUMIFS(T_PlannedOrders[EffectiveQty],T_PlannedOrders[Part Name],$A225,T_PlannedOrders[WeekIndex],102)=0,"",SUMIFS(T_PlannedOrders[EffectiveQty],T_PlannedOrders[Part Name],$A225,T_PlannedOrders[WeekIndex],102)&amp;" ("&amp;TEXT(SUMPRODUCT(MAX((T_PlannedOrders[Part Name]=$A225)*(T_PlannedOrders[WeekIndex]=102)*(T_PlannedOrders[EffectiveQty]&gt;0)*T_PlannedOrders[Order_Month])),"m月")&amp;"発注)")</f>
        <v/>
      </c>
      <c r="DB237">
        <f>IF(SUMIFS(T_PlannedOrders[EffectiveQty],T_PlannedOrders[Part Name],$A225,T_PlannedOrders[WeekIndex],103)=0,"",SUMIFS(T_PlannedOrders[EffectiveQty],T_PlannedOrders[Part Name],$A225,T_PlannedOrders[WeekIndex],103)&amp;" ("&amp;TEXT(SUMPRODUCT(MAX((T_PlannedOrders[Part Name]=$A225)*(T_PlannedOrders[WeekIndex]=103)*(T_PlannedOrders[EffectiveQty]&gt;0)*T_PlannedOrders[Order_Month])),"m月")&amp;"発注)")</f>
        <v/>
      </c>
      <c r="DC237">
        <f>IF(SUMIFS(T_PlannedOrders[EffectiveQty],T_PlannedOrders[Part Name],$A225,T_PlannedOrders[WeekIndex],104)=0,"",SUMIFS(T_PlannedOrders[EffectiveQty],T_PlannedOrders[Part Name],$A225,T_PlannedOrders[WeekIndex],104)&amp;" ("&amp;TEXT(SUMPRODUCT(MAX((T_PlannedOrders[Part Name]=$A225)*(T_PlannedOrders[WeekIndex]=104)*(T_PlannedOrders[EffectiveQty]&gt;0)*T_PlannedOrders[Order_Month])),"m月")&amp;"発注)")</f>
        <v/>
      </c>
    </row>
    <row r="238">
      <c r="B238" s="5" t="inlineStr">
        <is>
          <t>合計在庫(週末時点,kg)</t>
        </is>
      </c>
      <c r="D238">
        <f>'Grid_Stock'!B9</f>
        <v/>
      </c>
      <c r="E238">
        <f>'Grid_Stock'!C9</f>
        <v/>
      </c>
      <c r="F238">
        <f>'Grid_Stock'!D9</f>
        <v/>
      </c>
      <c r="G238">
        <f>'Grid_Stock'!E9</f>
        <v/>
      </c>
      <c r="H238">
        <f>'Grid_Stock'!F9</f>
        <v/>
      </c>
      <c r="I238">
        <f>'Grid_Stock'!G9</f>
        <v/>
      </c>
      <c r="J238">
        <f>'Grid_Stock'!H9</f>
        <v/>
      </c>
      <c r="K238">
        <f>'Grid_Stock'!I9</f>
        <v/>
      </c>
      <c r="L238">
        <f>'Grid_Stock'!J9</f>
        <v/>
      </c>
      <c r="M238">
        <f>'Grid_Stock'!K9</f>
        <v/>
      </c>
      <c r="N238">
        <f>'Grid_Stock'!L9</f>
        <v/>
      </c>
      <c r="O238">
        <f>'Grid_Stock'!M9</f>
        <v/>
      </c>
      <c r="P238">
        <f>'Grid_Stock'!N9</f>
        <v/>
      </c>
      <c r="Q238">
        <f>'Grid_Stock'!O9</f>
        <v/>
      </c>
      <c r="R238">
        <f>'Grid_Stock'!P9</f>
        <v/>
      </c>
      <c r="S238">
        <f>'Grid_Stock'!Q9</f>
        <v/>
      </c>
      <c r="T238">
        <f>'Grid_Stock'!R9</f>
        <v/>
      </c>
      <c r="U238">
        <f>'Grid_Stock'!S9</f>
        <v/>
      </c>
      <c r="V238">
        <f>'Grid_Stock'!T9</f>
        <v/>
      </c>
      <c r="W238">
        <f>'Grid_Stock'!U9</f>
        <v/>
      </c>
      <c r="X238">
        <f>'Grid_Stock'!V9</f>
        <v/>
      </c>
      <c r="Y238">
        <f>'Grid_Stock'!W9</f>
        <v/>
      </c>
      <c r="Z238">
        <f>'Grid_Stock'!X9</f>
        <v/>
      </c>
      <c r="AA238">
        <f>'Grid_Stock'!Y9</f>
        <v/>
      </c>
      <c r="AB238">
        <f>'Grid_Stock'!Z9</f>
        <v/>
      </c>
      <c r="AC238">
        <f>'Grid_Stock'!AA9</f>
        <v/>
      </c>
      <c r="AD238">
        <f>'Grid_Stock'!AB9</f>
        <v/>
      </c>
      <c r="AE238">
        <f>'Grid_Stock'!AC9</f>
        <v/>
      </c>
      <c r="AF238">
        <f>'Grid_Stock'!AD9</f>
        <v/>
      </c>
      <c r="AG238">
        <f>'Grid_Stock'!AE9</f>
        <v/>
      </c>
      <c r="AH238">
        <f>'Grid_Stock'!AF9</f>
        <v/>
      </c>
      <c r="AI238">
        <f>'Grid_Stock'!AG9</f>
        <v/>
      </c>
      <c r="AJ238">
        <f>'Grid_Stock'!AH9</f>
        <v/>
      </c>
      <c r="AK238">
        <f>'Grid_Stock'!AI9</f>
        <v/>
      </c>
      <c r="AL238">
        <f>'Grid_Stock'!AJ9</f>
        <v/>
      </c>
      <c r="AM238">
        <f>'Grid_Stock'!AK9</f>
        <v/>
      </c>
      <c r="AN238">
        <f>'Grid_Stock'!AL9</f>
        <v/>
      </c>
      <c r="AO238">
        <f>'Grid_Stock'!AM9</f>
        <v/>
      </c>
      <c r="AP238">
        <f>'Grid_Stock'!AN9</f>
        <v/>
      </c>
      <c r="AQ238">
        <f>'Grid_Stock'!AO9</f>
        <v/>
      </c>
      <c r="AR238">
        <f>'Grid_Stock'!AP9</f>
        <v/>
      </c>
      <c r="AS238">
        <f>'Grid_Stock'!AQ9</f>
        <v/>
      </c>
      <c r="AT238">
        <f>'Grid_Stock'!AR9</f>
        <v/>
      </c>
      <c r="AU238">
        <f>'Grid_Stock'!AS9</f>
        <v/>
      </c>
      <c r="AV238">
        <f>'Grid_Stock'!AT9</f>
        <v/>
      </c>
      <c r="AW238">
        <f>'Grid_Stock'!AU9</f>
        <v/>
      </c>
      <c r="AX238">
        <f>'Grid_Stock'!AV9</f>
        <v/>
      </c>
      <c r="AY238">
        <f>'Grid_Stock'!AW9</f>
        <v/>
      </c>
      <c r="AZ238">
        <f>'Grid_Stock'!AX9</f>
        <v/>
      </c>
      <c r="BA238">
        <f>'Grid_Stock'!AY9</f>
        <v/>
      </c>
      <c r="BB238">
        <f>'Grid_Stock'!AZ9</f>
        <v/>
      </c>
      <c r="BC238">
        <f>'Grid_Stock'!BA9</f>
        <v/>
      </c>
      <c r="BD238">
        <f>'Grid_Stock'!BB9</f>
        <v/>
      </c>
      <c r="BE238">
        <f>'Grid_Stock'!BC9</f>
        <v/>
      </c>
      <c r="BF238">
        <f>'Grid_Stock'!BD9</f>
        <v/>
      </c>
      <c r="BG238">
        <f>'Grid_Stock'!BE9</f>
        <v/>
      </c>
      <c r="BH238">
        <f>'Grid_Stock'!BF9</f>
        <v/>
      </c>
      <c r="BI238">
        <f>'Grid_Stock'!BG9</f>
        <v/>
      </c>
      <c r="BJ238">
        <f>'Grid_Stock'!BH9</f>
        <v/>
      </c>
      <c r="BK238">
        <f>'Grid_Stock'!BI9</f>
        <v/>
      </c>
      <c r="BL238">
        <f>'Grid_Stock'!BJ9</f>
        <v/>
      </c>
      <c r="BM238">
        <f>'Grid_Stock'!BK9</f>
        <v/>
      </c>
      <c r="BN238">
        <f>'Grid_Stock'!BL9</f>
        <v/>
      </c>
      <c r="BO238">
        <f>'Grid_Stock'!BM9</f>
        <v/>
      </c>
      <c r="BP238">
        <f>'Grid_Stock'!BN9</f>
        <v/>
      </c>
      <c r="BQ238">
        <f>'Grid_Stock'!BO9</f>
        <v/>
      </c>
      <c r="BR238">
        <f>'Grid_Stock'!BP9</f>
        <v/>
      </c>
      <c r="BS238">
        <f>'Grid_Stock'!BQ9</f>
        <v/>
      </c>
      <c r="BT238">
        <f>'Grid_Stock'!BR9</f>
        <v/>
      </c>
      <c r="BU238">
        <f>'Grid_Stock'!BS9</f>
        <v/>
      </c>
      <c r="BV238">
        <f>'Grid_Stock'!BT9</f>
        <v/>
      </c>
      <c r="BW238">
        <f>'Grid_Stock'!BU9</f>
        <v/>
      </c>
      <c r="BX238">
        <f>'Grid_Stock'!BV9</f>
        <v/>
      </c>
      <c r="BY238">
        <f>'Grid_Stock'!BW9</f>
        <v/>
      </c>
      <c r="BZ238">
        <f>'Grid_Stock'!BX9</f>
        <v/>
      </c>
      <c r="CA238">
        <f>'Grid_Stock'!BY9</f>
        <v/>
      </c>
      <c r="CB238">
        <f>'Grid_Stock'!BZ9</f>
        <v/>
      </c>
      <c r="CC238">
        <f>'Grid_Stock'!CA9</f>
        <v/>
      </c>
      <c r="CD238">
        <f>'Grid_Stock'!CB9</f>
        <v/>
      </c>
      <c r="CE238">
        <f>'Grid_Stock'!CC9</f>
        <v/>
      </c>
      <c r="CF238">
        <f>'Grid_Stock'!CD9</f>
        <v/>
      </c>
      <c r="CG238">
        <f>'Grid_Stock'!CE9</f>
        <v/>
      </c>
      <c r="CH238">
        <f>'Grid_Stock'!CF9</f>
        <v/>
      </c>
      <c r="CI238">
        <f>'Grid_Stock'!CG9</f>
        <v/>
      </c>
      <c r="CJ238">
        <f>'Grid_Stock'!CH9</f>
        <v/>
      </c>
      <c r="CK238">
        <f>'Grid_Stock'!CI9</f>
        <v/>
      </c>
      <c r="CL238">
        <f>'Grid_Stock'!CJ9</f>
        <v/>
      </c>
      <c r="CM238">
        <f>'Grid_Stock'!CK9</f>
        <v/>
      </c>
      <c r="CN238">
        <f>'Grid_Stock'!CL9</f>
        <v/>
      </c>
      <c r="CO238">
        <f>'Grid_Stock'!CM9</f>
        <v/>
      </c>
      <c r="CP238">
        <f>'Grid_Stock'!CN9</f>
        <v/>
      </c>
      <c r="CQ238">
        <f>'Grid_Stock'!CO9</f>
        <v/>
      </c>
      <c r="CR238">
        <f>'Grid_Stock'!CP9</f>
        <v/>
      </c>
      <c r="CS238">
        <f>'Grid_Stock'!CQ9</f>
        <v/>
      </c>
      <c r="CT238">
        <f>'Grid_Stock'!CR9</f>
        <v/>
      </c>
      <c r="CU238">
        <f>'Grid_Stock'!CS9</f>
        <v/>
      </c>
      <c r="CV238">
        <f>'Grid_Stock'!CT9</f>
        <v/>
      </c>
      <c r="CW238">
        <f>'Grid_Stock'!CU9</f>
        <v/>
      </c>
      <c r="CX238">
        <f>'Grid_Stock'!CV9</f>
        <v/>
      </c>
      <c r="CY238">
        <f>'Grid_Stock'!CW9</f>
        <v/>
      </c>
      <c r="CZ238">
        <f>'Grid_Stock'!CX9</f>
        <v/>
      </c>
      <c r="DA238">
        <f>'Grid_Stock'!CY9</f>
        <v/>
      </c>
      <c r="DB238">
        <f>'Grid_Stock'!CZ9</f>
        <v/>
      </c>
      <c r="DC238">
        <f>'Grid_Stock'!DA9</f>
        <v/>
      </c>
    </row>
    <row r="239">
      <c r="B239" s="23" t="inlineStr">
        <is>
          <t>（発注の目安はDashboardの基準在庫[下限/上限]と色分けを参照）</t>
        </is>
      </c>
    </row>
    <row r="241">
      <c r="A241" s="21" t="inlineStr">
        <is>
          <t>CHEM-1250</t>
        </is>
      </c>
      <c r="B241" s="21" t="inlineStr">
        <is>
          <t>Barium Sulfate [B-55]</t>
        </is>
      </c>
      <c r="C241" s="22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21" t="n"/>
      <c r="AC241" s="21" t="n"/>
      <c r="AD241" s="21" t="n"/>
      <c r="AE241" s="21" t="n"/>
      <c r="AF241" s="21" t="n"/>
      <c r="AG241" s="21" t="n"/>
      <c r="AH241" s="21" t="n"/>
      <c r="AI241" s="21" t="n"/>
      <c r="AJ241" s="21" t="n"/>
      <c r="AK241" s="21" t="n"/>
      <c r="AL241" s="21" t="n"/>
      <c r="AM241" s="21" t="n"/>
      <c r="AN241" s="21" t="n"/>
      <c r="AO241" s="21" t="n"/>
      <c r="AP241" s="21" t="n"/>
      <c r="AQ241" s="21" t="n"/>
      <c r="AR241" s="21" t="n"/>
      <c r="AS241" s="21" t="n"/>
      <c r="AT241" s="21" t="n"/>
      <c r="AU241" s="21" t="n"/>
      <c r="AV241" s="21" t="n"/>
      <c r="AW241" s="21" t="n"/>
      <c r="AX241" s="21" t="n"/>
      <c r="AY241" s="21" t="n"/>
      <c r="AZ241" s="21" t="n"/>
      <c r="BA241" s="21" t="n"/>
      <c r="BB241" s="21" t="n"/>
      <c r="BC241" s="21" t="n"/>
      <c r="BD241" s="21" t="n"/>
      <c r="BE241" s="21" t="n"/>
      <c r="BF241" s="21" t="n"/>
      <c r="BG241" s="21" t="n"/>
      <c r="BH241" s="21" t="n"/>
      <c r="BI241" s="21" t="n"/>
      <c r="BJ241" s="21" t="n"/>
      <c r="BK241" s="21" t="n"/>
      <c r="BL241" s="21" t="n"/>
      <c r="BM241" s="21" t="n"/>
      <c r="BN241" s="21" t="n"/>
      <c r="BO241" s="21" t="n"/>
      <c r="BP241" s="21" t="n"/>
      <c r="BQ241" s="21" t="n"/>
      <c r="BR241" s="21" t="n"/>
      <c r="BS241" s="21" t="n"/>
      <c r="BT241" s="21" t="n"/>
      <c r="BU241" s="21" t="n"/>
      <c r="BV241" s="21" t="n"/>
      <c r="BW241" s="21" t="n"/>
      <c r="BX241" s="21" t="n"/>
      <c r="BY241" s="21" t="n"/>
      <c r="BZ241" s="21" t="n"/>
      <c r="CA241" s="21" t="n"/>
      <c r="CB241" s="21" t="n"/>
      <c r="CC241" s="21" t="n"/>
      <c r="CD241" s="21" t="n"/>
      <c r="CE241" s="21" t="n"/>
      <c r="CF241" s="21" t="n"/>
      <c r="CG241" s="21" t="n"/>
      <c r="CH241" s="21" t="n"/>
      <c r="CI241" s="21" t="n"/>
      <c r="CJ241" s="21" t="n"/>
      <c r="CK241" s="21" t="n"/>
      <c r="CL241" s="21" t="n"/>
      <c r="CM241" s="21" t="n"/>
      <c r="CN241" s="21" t="n"/>
      <c r="CO241" s="21" t="n"/>
      <c r="CP241" s="21" t="n"/>
      <c r="CQ241" s="21" t="n"/>
      <c r="CR241" s="21" t="n"/>
      <c r="CS241" s="21" t="n"/>
      <c r="CT241" s="21" t="n"/>
      <c r="CU241" s="21" t="n"/>
      <c r="CV241" s="21" t="n"/>
      <c r="CW241" s="21" t="n"/>
      <c r="CX241" s="21" t="n"/>
      <c r="CY241" s="21" t="n"/>
      <c r="CZ241" s="21" t="n"/>
      <c r="DA241" s="21" t="n"/>
      <c r="DB241" s="21" t="n"/>
      <c r="DC241" s="21" t="n"/>
    </row>
    <row r="242">
      <c r="B242" t="inlineStr">
        <is>
          <t>TSP-049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Name],$A241)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TSP-067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Name],$A241)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TSP-069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Name],$A241)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TSP-104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Name],$A241)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TSP-199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Name],$A241)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TSP-205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Name],$A241)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TSP-656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Name],$A241)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Name],$A241)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TSP-669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Name],$A241)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TSP-670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Name],$A241)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TSP-966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Name],$A241)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s="5" t="inlineStr">
        <is>
          <t>合計使用量(kg)/週</t>
        </is>
      </c>
      <c r="D264">
        <f>'Grid_Requirement'!B7</f>
        <v/>
      </c>
      <c r="E264">
        <f>'Grid_Requirement'!C7</f>
        <v/>
      </c>
      <c r="F264">
        <f>'Grid_Requirement'!D7</f>
        <v/>
      </c>
      <c r="G264">
        <f>'Grid_Requirement'!E7</f>
        <v/>
      </c>
      <c r="H264">
        <f>'Grid_Requirement'!F7</f>
        <v/>
      </c>
      <c r="I264">
        <f>'Grid_Requirement'!G7</f>
        <v/>
      </c>
      <c r="J264">
        <f>'Grid_Requirement'!H7</f>
        <v/>
      </c>
      <c r="K264">
        <f>'Grid_Requirement'!I7</f>
        <v/>
      </c>
      <c r="L264">
        <f>'Grid_Requirement'!J7</f>
        <v/>
      </c>
      <c r="M264">
        <f>'Grid_Requirement'!K7</f>
        <v/>
      </c>
      <c r="N264">
        <f>'Grid_Requirement'!L7</f>
        <v/>
      </c>
      <c r="O264">
        <f>'Grid_Requirement'!M7</f>
        <v/>
      </c>
      <c r="P264">
        <f>'Grid_Requirement'!N7</f>
        <v/>
      </c>
      <c r="Q264">
        <f>'Grid_Requirement'!O7</f>
        <v/>
      </c>
      <c r="R264">
        <f>'Grid_Requirement'!P7</f>
        <v/>
      </c>
      <c r="S264">
        <f>'Grid_Requirement'!Q7</f>
        <v/>
      </c>
      <c r="T264">
        <f>'Grid_Requirement'!R7</f>
        <v/>
      </c>
      <c r="U264">
        <f>'Grid_Requirement'!S7</f>
        <v/>
      </c>
      <c r="V264">
        <f>'Grid_Requirement'!T7</f>
        <v/>
      </c>
      <c r="W264">
        <f>'Grid_Requirement'!U7</f>
        <v/>
      </c>
      <c r="X264">
        <f>'Grid_Requirement'!V7</f>
        <v/>
      </c>
      <c r="Y264">
        <f>'Grid_Requirement'!W7</f>
        <v/>
      </c>
      <c r="Z264">
        <f>'Grid_Requirement'!X7</f>
        <v/>
      </c>
      <c r="AA264">
        <f>'Grid_Requirement'!Y7</f>
        <v/>
      </c>
      <c r="AB264">
        <f>'Grid_Requirement'!Z7</f>
        <v/>
      </c>
      <c r="AC264">
        <f>'Grid_Requirement'!AA7</f>
        <v/>
      </c>
      <c r="AD264">
        <f>'Grid_Requirement'!AB7</f>
        <v/>
      </c>
      <c r="AE264">
        <f>'Grid_Requirement'!AC7</f>
        <v/>
      </c>
      <c r="AF264">
        <f>'Grid_Requirement'!AD7</f>
        <v/>
      </c>
      <c r="AG264">
        <f>'Grid_Requirement'!AE7</f>
        <v/>
      </c>
      <c r="AH264">
        <f>'Grid_Requirement'!AF7</f>
        <v/>
      </c>
      <c r="AI264">
        <f>'Grid_Requirement'!AG7</f>
        <v/>
      </c>
      <c r="AJ264">
        <f>'Grid_Requirement'!AH7</f>
        <v/>
      </c>
      <c r="AK264">
        <f>'Grid_Requirement'!AI7</f>
        <v/>
      </c>
      <c r="AL264">
        <f>'Grid_Requirement'!AJ7</f>
        <v/>
      </c>
      <c r="AM264">
        <f>'Grid_Requirement'!AK7</f>
        <v/>
      </c>
      <c r="AN264">
        <f>'Grid_Requirement'!AL7</f>
        <v/>
      </c>
      <c r="AO264">
        <f>'Grid_Requirement'!AM7</f>
        <v/>
      </c>
      <c r="AP264">
        <f>'Grid_Requirement'!AN7</f>
        <v/>
      </c>
      <c r="AQ264">
        <f>'Grid_Requirement'!AO7</f>
        <v/>
      </c>
      <c r="AR264">
        <f>'Grid_Requirement'!AP7</f>
        <v/>
      </c>
      <c r="AS264">
        <f>'Grid_Requirement'!AQ7</f>
        <v/>
      </c>
      <c r="AT264">
        <f>'Grid_Requirement'!AR7</f>
        <v/>
      </c>
      <c r="AU264">
        <f>'Grid_Requirement'!AS7</f>
        <v/>
      </c>
      <c r="AV264">
        <f>'Grid_Requirement'!AT7</f>
        <v/>
      </c>
      <c r="AW264">
        <f>'Grid_Requirement'!AU7</f>
        <v/>
      </c>
      <c r="AX264">
        <f>'Grid_Requirement'!AV7</f>
        <v/>
      </c>
      <c r="AY264">
        <f>'Grid_Requirement'!AW7</f>
        <v/>
      </c>
      <c r="AZ264">
        <f>'Grid_Requirement'!AX7</f>
        <v/>
      </c>
      <c r="BA264">
        <f>'Grid_Requirement'!AY7</f>
        <v/>
      </c>
      <c r="BB264">
        <f>'Grid_Requirement'!AZ7</f>
        <v/>
      </c>
      <c r="BC264">
        <f>'Grid_Requirement'!BA7</f>
        <v/>
      </c>
      <c r="BD264">
        <f>'Grid_Requirement'!BB7</f>
        <v/>
      </c>
      <c r="BE264">
        <f>'Grid_Requirement'!BC7</f>
        <v/>
      </c>
      <c r="BF264">
        <f>'Grid_Requirement'!BD7</f>
        <v/>
      </c>
      <c r="BG264">
        <f>'Grid_Requirement'!BE7</f>
        <v/>
      </c>
      <c r="BH264">
        <f>'Grid_Requirement'!BF7</f>
        <v/>
      </c>
      <c r="BI264">
        <f>'Grid_Requirement'!BG7</f>
        <v/>
      </c>
      <c r="BJ264">
        <f>'Grid_Requirement'!BH7</f>
        <v/>
      </c>
      <c r="BK264">
        <f>'Grid_Requirement'!BI7</f>
        <v/>
      </c>
      <c r="BL264">
        <f>'Grid_Requirement'!BJ7</f>
        <v/>
      </c>
      <c r="BM264">
        <f>'Grid_Requirement'!BK7</f>
        <v/>
      </c>
      <c r="BN264">
        <f>'Grid_Requirement'!BL7</f>
        <v/>
      </c>
      <c r="BO264">
        <f>'Grid_Requirement'!BM7</f>
        <v/>
      </c>
      <c r="BP264">
        <f>'Grid_Requirement'!BN7</f>
        <v/>
      </c>
      <c r="BQ264">
        <f>'Grid_Requirement'!BO7</f>
        <v/>
      </c>
      <c r="BR264">
        <f>'Grid_Requirement'!BP7</f>
        <v/>
      </c>
      <c r="BS264">
        <f>'Grid_Requirement'!BQ7</f>
        <v/>
      </c>
      <c r="BT264">
        <f>'Grid_Requirement'!BR7</f>
        <v/>
      </c>
      <c r="BU264">
        <f>'Grid_Requirement'!BS7</f>
        <v/>
      </c>
      <c r="BV264">
        <f>'Grid_Requirement'!BT7</f>
        <v/>
      </c>
      <c r="BW264">
        <f>'Grid_Requirement'!BU7</f>
        <v/>
      </c>
      <c r="BX264">
        <f>'Grid_Requirement'!BV7</f>
        <v/>
      </c>
      <c r="BY264">
        <f>'Grid_Requirement'!BW7</f>
        <v/>
      </c>
      <c r="BZ264">
        <f>'Grid_Requirement'!BX7</f>
        <v/>
      </c>
      <c r="CA264">
        <f>'Grid_Requirement'!BY7</f>
        <v/>
      </c>
      <c r="CB264">
        <f>'Grid_Requirement'!BZ7</f>
        <v/>
      </c>
      <c r="CC264">
        <f>'Grid_Requirement'!CA7</f>
        <v/>
      </c>
      <c r="CD264">
        <f>'Grid_Requirement'!CB7</f>
        <v/>
      </c>
      <c r="CE264">
        <f>'Grid_Requirement'!CC7</f>
        <v/>
      </c>
      <c r="CF264">
        <f>'Grid_Requirement'!CD7</f>
        <v/>
      </c>
      <c r="CG264">
        <f>'Grid_Requirement'!CE7</f>
        <v/>
      </c>
      <c r="CH264">
        <f>'Grid_Requirement'!CF7</f>
        <v/>
      </c>
      <c r="CI264">
        <f>'Grid_Requirement'!CG7</f>
        <v/>
      </c>
      <c r="CJ264">
        <f>'Grid_Requirement'!CH7</f>
        <v/>
      </c>
      <c r="CK264">
        <f>'Grid_Requirement'!CI7</f>
        <v/>
      </c>
      <c r="CL264">
        <f>'Grid_Requirement'!CJ7</f>
        <v/>
      </c>
      <c r="CM264">
        <f>'Grid_Requirement'!CK7</f>
        <v/>
      </c>
      <c r="CN264">
        <f>'Grid_Requirement'!CL7</f>
        <v/>
      </c>
      <c r="CO264">
        <f>'Grid_Requirement'!CM7</f>
        <v/>
      </c>
      <c r="CP264">
        <f>'Grid_Requirement'!CN7</f>
        <v/>
      </c>
      <c r="CQ264">
        <f>'Grid_Requirement'!CO7</f>
        <v/>
      </c>
      <c r="CR264">
        <f>'Grid_Requirement'!CP7</f>
        <v/>
      </c>
      <c r="CS264">
        <f>'Grid_Requirement'!CQ7</f>
        <v/>
      </c>
      <c r="CT264">
        <f>'Grid_Requirement'!CR7</f>
        <v/>
      </c>
      <c r="CU264">
        <f>'Grid_Requirement'!CS7</f>
        <v/>
      </c>
      <c r="CV264">
        <f>'Grid_Requirement'!CT7</f>
        <v/>
      </c>
      <c r="CW264">
        <f>'Grid_Requirement'!CU7</f>
        <v/>
      </c>
      <c r="CX264">
        <f>'Grid_Requirement'!CV7</f>
        <v/>
      </c>
      <c r="CY264">
        <f>'Grid_Requirement'!CW7</f>
        <v/>
      </c>
      <c r="CZ264">
        <f>'Grid_Requirement'!CX7</f>
        <v/>
      </c>
      <c r="DA264">
        <f>'Grid_Requirement'!CY7</f>
        <v/>
      </c>
      <c r="DB264">
        <f>'Grid_Requirement'!CZ7</f>
        <v/>
      </c>
      <c r="DC264">
        <f>'Grid_Requirement'!DA7</f>
        <v/>
      </c>
    </row>
    <row r="265">
      <c r="B265" t="inlineStr">
        <is>
          <t>TTAF在庫(実績,kg)</t>
        </is>
      </c>
      <c r="D265">
        <f>'T_TTAFStock'!B11</f>
        <v/>
      </c>
      <c r="E265">
        <f>'T_TTAFStock'!C11</f>
        <v/>
      </c>
      <c r="F265">
        <f>'T_TTAFStock'!D11</f>
        <v/>
      </c>
      <c r="G265">
        <f>'T_TTAFStock'!E11</f>
        <v/>
      </c>
      <c r="H265">
        <f>'T_TTAFStock'!F11</f>
        <v/>
      </c>
      <c r="I265">
        <f>'T_TTAFStock'!G11</f>
        <v/>
      </c>
      <c r="J265">
        <f>'T_TTAFStock'!H11</f>
        <v/>
      </c>
      <c r="K265">
        <f>'T_TTAFStock'!I11</f>
        <v/>
      </c>
      <c r="L265">
        <f>'T_TTAFStock'!J11</f>
        <v/>
      </c>
      <c r="M265">
        <f>'T_TTAFStock'!K11</f>
        <v/>
      </c>
      <c r="N265">
        <f>'T_TTAFStock'!L11</f>
        <v/>
      </c>
      <c r="O265">
        <f>'T_TTAFStock'!M11</f>
        <v/>
      </c>
      <c r="P265">
        <f>'T_TTAFStock'!N11</f>
        <v/>
      </c>
      <c r="Q265">
        <f>'T_TTAFStock'!O11</f>
        <v/>
      </c>
      <c r="R265">
        <f>'T_TTAFStock'!P11</f>
        <v/>
      </c>
      <c r="S265">
        <f>'T_TTAFStock'!Q11</f>
        <v/>
      </c>
      <c r="T265">
        <f>'T_TTAFStock'!R11</f>
        <v/>
      </c>
      <c r="U265">
        <f>'T_TTAFStock'!S11</f>
        <v/>
      </c>
      <c r="V265">
        <f>'T_TTAFStock'!T11</f>
        <v/>
      </c>
      <c r="W265">
        <f>'T_TTAFStock'!U11</f>
        <v/>
      </c>
      <c r="X265">
        <f>'T_TTAFStock'!V11</f>
        <v/>
      </c>
      <c r="Y265">
        <f>'T_TTAFStock'!W11</f>
        <v/>
      </c>
      <c r="Z265">
        <f>'T_TTAFStock'!X11</f>
        <v/>
      </c>
      <c r="AA265">
        <f>'T_TTAFStock'!Y11</f>
        <v/>
      </c>
      <c r="AB265">
        <f>'T_TTAFStock'!Z11</f>
        <v/>
      </c>
      <c r="AC265">
        <f>'T_TTAFStock'!AA11</f>
        <v/>
      </c>
      <c r="AD265">
        <f>'T_TTAFStock'!AB11</f>
        <v/>
      </c>
      <c r="AE265">
        <f>'T_TTAFStock'!AC11</f>
        <v/>
      </c>
      <c r="AF265">
        <f>'T_TTAFStock'!AD11</f>
        <v/>
      </c>
      <c r="AG265">
        <f>'T_TTAFStock'!AE11</f>
        <v/>
      </c>
      <c r="AH265">
        <f>'T_TTAFStock'!AF11</f>
        <v/>
      </c>
      <c r="AI265">
        <f>'T_TTAFStock'!AG11</f>
        <v/>
      </c>
      <c r="AJ265">
        <f>'T_TTAFStock'!AH11</f>
        <v/>
      </c>
      <c r="AK265">
        <f>'T_TTAFStock'!AI11</f>
        <v/>
      </c>
      <c r="AL265">
        <f>'T_TTAFStock'!AJ11</f>
        <v/>
      </c>
      <c r="AM265">
        <f>'T_TTAFStock'!AK11</f>
        <v/>
      </c>
      <c r="AN265">
        <f>'T_TTAFStock'!AL11</f>
        <v/>
      </c>
      <c r="AO265">
        <f>'T_TTAFStock'!AM11</f>
        <v/>
      </c>
      <c r="AP265">
        <f>'T_TTAFStock'!AN11</f>
        <v/>
      </c>
      <c r="AQ265">
        <f>'T_TTAFStock'!AO11</f>
        <v/>
      </c>
      <c r="AR265">
        <f>'T_TTAFStock'!AP11</f>
        <v/>
      </c>
      <c r="AS265">
        <f>'T_TTAFStock'!AQ11</f>
        <v/>
      </c>
      <c r="AT265">
        <f>'T_TTAFStock'!AR11</f>
        <v/>
      </c>
      <c r="AU265">
        <f>'T_TTAFStock'!AS11</f>
        <v/>
      </c>
      <c r="AV265">
        <f>'T_TTAFStock'!AT11</f>
        <v/>
      </c>
      <c r="AW265">
        <f>'T_TTAFStock'!AU11</f>
        <v/>
      </c>
      <c r="AX265">
        <f>'T_TTAFStock'!AV11</f>
        <v/>
      </c>
      <c r="AY265">
        <f>'T_TTAFStock'!AW11</f>
        <v/>
      </c>
      <c r="AZ265">
        <f>'T_TTAFStock'!AX11</f>
        <v/>
      </c>
      <c r="BA265">
        <f>'T_TTAFStock'!AY11</f>
        <v/>
      </c>
      <c r="BB265">
        <f>'T_TTAFStock'!AZ11</f>
        <v/>
      </c>
      <c r="BC265">
        <f>'T_TTAFStock'!BA11</f>
        <v/>
      </c>
      <c r="BD265">
        <f>'T_TTAFStock'!BB11</f>
        <v/>
      </c>
      <c r="BE265">
        <f>'T_TTAFStock'!BC11</f>
        <v/>
      </c>
      <c r="BF265">
        <f>'T_TTAFStock'!BD11</f>
        <v/>
      </c>
      <c r="BG265">
        <f>'T_TTAFStock'!BE11</f>
        <v/>
      </c>
      <c r="BH265">
        <f>'T_TTAFStock'!BF11</f>
        <v/>
      </c>
      <c r="BI265">
        <f>'T_TTAFStock'!BG11</f>
        <v/>
      </c>
      <c r="BJ265">
        <f>'T_TTAFStock'!BH11</f>
        <v/>
      </c>
      <c r="BK265">
        <f>'T_TTAFStock'!BI11</f>
        <v/>
      </c>
      <c r="BL265">
        <f>'T_TTAFStock'!BJ11</f>
        <v/>
      </c>
      <c r="BM265">
        <f>'T_TTAFStock'!BK11</f>
        <v/>
      </c>
      <c r="BN265">
        <f>'T_TTAFStock'!BL11</f>
        <v/>
      </c>
      <c r="BO265">
        <f>'T_TTAFStock'!BM11</f>
        <v/>
      </c>
      <c r="BP265">
        <f>'T_TTAFStock'!BN11</f>
        <v/>
      </c>
      <c r="BQ265">
        <f>'T_TTAFStock'!BO11</f>
        <v/>
      </c>
      <c r="BR265">
        <f>'T_TTAFStock'!BP11</f>
        <v/>
      </c>
      <c r="BS265">
        <f>'T_TTAFStock'!BQ11</f>
        <v/>
      </c>
      <c r="BT265">
        <f>'T_TTAFStock'!BR11</f>
        <v/>
      </c>
      <c r="BU265">
        <f>'T_TTAFStock'!BS11</f>
        <v/>
      </c>
      <c r="BV265">
        <f>'T_TTAFStock'!BT11</f>
        <v/>
      </c>
      <c r="BW265">
        <f>'T_TTAFStock'!BU11</f>
        <v/>
      </c>
      <c r="BX265">
        <f>'T_TTAFStock'!BV11</f>
        <v/>
      </c>
      <c r="BY265">
        <f>'T_TTAFStock'!BW11</f>
        <v/>
      </c>
      <c r="BZ265">
        <f>'T_TTAFStock'!BX11</f>
        <v/>
      </c>
      <c r="CA265">
        <f>'T_TTAFStock'!BY11</f>
        <v/>
      </c>
      <c r="CB265">
        <f>'T_TTAFStock'!BZ11</f>
        <v/>
      </c>
      <c r="CC265">
        <f>'T_TTAFStock'!CA11</f>
        <v/>
      </c>
      <c r="CD265">
        <f>'T_TTAFStock'!CB11</f>
        <v/>
      </c>
      <c r="CE265">
        <f>'T_TTAFStock'!CC11</f>
        <v/>
      </c>
      <c r="CF265">
        <f>'T_TTAFStock'!CD11</f>
        <v/>
      </c>
      <c r="CG265">
        <f>'T_TTAFStock'!CE11</f>
        <v/>
      </c>
      <c r="CH265">
        <f>'T_TTAFStock'!CF11</f>
        <v/>
      </c>
      <c r="CI265">
        <f>'T_TTAFStock'!CG11</f>
        <v/>
      </c>
      <c r="CJ265">
        <f>'T_TTAFStock'!CH11</f>
        <v/>
      </c>
      <c r="CK265">
        <f>'T_TTAFStock'!CI11</f>
        <v/>
      </c>
      <c r="CL265">
        <f>'T_TTAFStock'!CJ11</f>
        <v/>
      </c>
      <c r="CM265">
        <f>'T_TTAFStock'!CK11</f>
        <v/>
      </c>
      <c r="CN265">
        <f>'T_TTAFStock'!CL11</f>
        <v/>
      </c>
      <c r="CO265">
        <f>'T_TTAFStock'!CM11</f>
        <v/>
      </c>
      <c r="CP265">
        <f>'T_TTAFStock'!CN11</f>
        <v/>
      </c>
      <c r="CQ265">
        <f>'T_TTAFStock'!CO11</f>
        <v/>
      </c>
      <c r="CR265">
        <f>'T_TTAFStock'!CP11</f>
        <v/>
      </c>
      <c r="CS265">
        <f>'T_TTAFStock'!CQ11</f>
        <v/>
      </c>
      <c r="CT265">
        <f>'T_TTAFStock'!CR11</f>
        <v/>
      </c>
      <c r="CU265">
        <f>'T_TTAFStock'!CS11</f>
        <v/>
      </c>
      <c r="CV265">
        <f>'T_TTAFStock'!CT11</f>
        <v/>
      </c>
      <c r="CW265">
        <f>'T_TTAFStock'!CU11</f>
        <v/>
      </c>
      <c r="CX265">
        <f>'T_TTAFStock'!CV11</f>
        <v/>
      </c>
      <c r="CY265">
        <f>'T_TTAFStock'!CW11</f>
        <v/>
      </c>
      <c r="CZ265">
        <f>'T_TTAFStock'!CX11</f>
        <v/>
      </c>
      <c r="DA265">
        <f>'T_TTAFStock'!CY11</f>
        <v/>
      </c>
      <c r="DB265">
        <f>'T_TTAFStock'!CZ11</f>
        <v/>
      </c>
      <c r="DC265">
        <f>'T_TTAFStock'!DA11</f>
        <v/>
      </c>
    </row>
    <row r="266">
      <c r="B266" t="inlineStr">
        <is>
          <t>自社在庫(実績,kg)</t>
        </is>
      </c>
      <c r="D266">
        <f>'T_SelfStock'!B11</f>
        <v/>
      </c>
      <c r="E266">
        <f>'T_SelfStock'!C11</f>
        <v/>
      </c>
      <c r="F266">
        <f>'T_SelfStock'!D11</f>
        <v/>
      </c>
      <c r="G266">
        <f>'T_SelfStock'!E11</f>
        <v/>
      </c>
      <c r="H266">
        <f>'T_SelfStock'!F11</f>
        <v/>
      </c>
      <c r="I266">
        <f>'T_SelfStock'!G11</f>
        <v/>
      </c>
      <c r="J266">
        <f>'T_SelfStock'!H11</f>
        <v/>
      </c>
      <c r="K266">
        <f>'T_SelfStock'!I11</f>
        <v/>
      </c>
      <c r="L266">
        <f>'T_SelfStock'!J11</f>
        <v/>
      </c>
      <c r="M266">
        <f>'T_SelfStock'!K11</f>
        <v/>
      </c>
      <c r="N266">
        <f>'T_SelfStock'!L11</f>
        <v/>
      </c>
      <c r="O266">
        <f>'T_SelfStock'!M11</f>
        <v/>
      </c>
      <c r="P266">
        <f>'T_SelfStock'!N11</f>
        <v/>
      </c>
      <c r="Q266">
        <f>'T_SelfStock'!O11</f>
        <v/>
      </c>
      <c r="R266">
        <f>'T_SelfStock'!P11</f>
        <v/>
      </c>
      <c r="S266">
        <f>'T_SelfStock'!Q11</f>
        <v/>
      </c>
      <c r="T266">
        <f>'T_SelfStock'!R11</f>
        <v/>
      </c>
      <c r="U266">
        <f>'T_SelfStock'!S11</f>
        <v/>
      </c>
      <c r="V266">
        <f>'T_SelfStock'!T11</f>
        <v/>
      </c>
      <c r="W266">
        <f>'T_SelfStock'!U11</f>
        <v/>
      </c>
      <c r="X266">
        <f>'T_SelfStock'!V11</f>
        <v/>
      </c>
      <c r="Y266">
        <f>'T_SelfStock'!W11</f>
        <v/>
      </c>
      <c r="Z266">
        <f>'T_SelfStock'!X11</f>
        <v/>
      </c>
      <c r="AA266">
        <f>'T_SelfStock'!Y11</f>
        <v/>
      </c>
      <c r="AB266">
        <f>'T_SelfStock'!Z11</f>
        <v/>
      </c>
      <c r="AC266">
        <f>'T_SelfStock'!AA11</f>
        <v/>
      </c>
      <c r="AD266">
        <f>'T_SelfStock'!AB11</f>
        <v/>
      </c>
      <c r="AE266">
        <f>'T_SelfStock'!AC11</f>
        <v/>
      </c>
      <c r="AF266">
        <f>'T_SelfStock'!AD11</f>
        <v/>
      </c>
      <c r="AG266">
        <f>'T_SelfStock'!AE11</f>
        <v/>
      </c>
      <c r="AH266">
        <f>'T_SelfStock'!AF11</f>
        <v/>
      </c>
      <c r="AI266">
        <f>'T_SelfStock'!AG11</f>
        <v/>
      </c>
      <c r="AJ266">
        <f>'T_SelfStock'!AH11</f>
        <v/>
      </c>
      <c r="AK266">
        <f>'T_SelfStock'!AI11</f>
        <v/>
      </c>
      <c r="AL266">
        <f>'T_SelfStock'!AJ11</f>
        <v/>
      </c>
      <c r="AM266">
        <f>'T_SelfStock'!AK11</f>
        <v/>
      </c>
      <c r="AN266">
        <f>'T_SelfStock'!AL11</f>
        <v/>
      </c>
      <c r="AO266">
        <f>'T_SelfStock'!AM11</f>
        <v/>
      </c>
      <c r="AP266">
        <f>'T_SelfStock'!AN11</f>
        <v/>
      </c>
      <c r="AQ266">
        <f>'T_SelfStock'!AO11</f>
        <v/>
      </c>
      <c r="AR266">
        <f>'T_SelfStock'!AP11</f>
        <v/>
      </c>
      <c r="AS266">
        <f>'T_SelfStock'!AQ11</f>
        <v/>
      </c>
      <c r="AT266">
        <f>'T_SelfStock'!AR11</f>
        <v/>
      </c>
      <c r="AU266">
        <f>'T_SelfStock'!AS11</f>
        <v/>
      </c>
      <c r="AV266">
        <f>'T_SelfStock'!AT11</f>
        <v/>
      </c>
      <c r="AW266">
        <f>'T_SelfStock'!AU11</f>
        <v/>
      </c>
      <c r="AX266">
        <f>'T_SelfStock'!AV11</f>
        <v/>
      </c>
      <c r="AY266">
        <f>'T_SelfStock'!AW11</f>
        <v/>
      </c>
      <c r="AZ266">
        <f>'T_SelfStock'!AX11</f>
        <v/>
      </c>
      <c r="BA266">
        <f>'T_SelfStock'!AY11</f>
        <v/>
      </c>
      <c r="BB266">
        <f>'T_SelfStock'!AZ11</f>
        <v/>
      </c>
      <c r="BC266">
        <f>'T_SelfStock'!BA11</f>
        <v/>
      </c>
      <c r="BD266">
        <f>'T_SelfStock'!BB11</f>
        <v/>
      </c>
      <c r="BE266">
        <f>'T_SelfStock'!BC11</f>
        <v/>
      </c>
      <c r="BF266">
        <f>'T_SelfStock'!BD11</f>
        <v/>
      </c>
      <c r="BG266">
        <f>'T_SelfStock'!BE11</f>
        <v/>
      </c>
      <c r="BH266">
        <f>'T_SelfStock'!BF11</f>
        <v/>
      </c>
      <c r="BI266">
        <f>'T_SelfStock'!BG11</f>
        <v/>
      </c>
      <c r="BJ266">
        <f>'T_SelfStock'!BH11</f>
        <v/>
      </c>
      <c r="BK266">
        <f>'T_SelfStock'!BI11</f>
        <v/>
      </c>
      <c r="BL266">
        <f>'T_SelfStock'!BJ11</f>
        <v/>
      </c>
      <c r="BM266">
        <f>'T_SelfStock'!BK11</f>
        <v/>
      </c>
      <c r="BN266">
        <f>'T_SelfStock'!BL11</f>
        <v/>
      </c>
      <c r="BO266">
        <f>'T_SelfStock'!BM11</f>
        <v/>
      </c>
      <c r="BP266">
        <f>'T_SelfStock'!BN11</f>
        <v/>
      </c>
      <c r="BQ266">
        <f>'T_SelfStock'!BO11</f>
        <v/>
      </c>
      <c r="BR266">
        <f>'T_SelfStock'!BP11</f>
        <v/>
      </c>
      <c r="BS266">
        <f>'T_SelfStock'!BQ11</f>
        <v/>
      </c>
      <c r="BT266">
        <f>'T_SelfStock'!BR11</f>
        <v/>
      </c>
      <c r="BU266">
        <f>'T_SelfStock'!BS11</f>
        <v/>
      </c>
      <c r="BV266">
        <f>'T_SelfStock'!BT11</f>
        <v/>
      </c>
      <c r="BW266">
        <f>'T_SelfStock'!BU11</f>
        <v/>
      </c>
      <c r="BX266">
        <f>'T_SelfStock'!BV11</f>
        <v/>
      </c>
      <c r="BY266">
        <f>'T_SelfStock'!BW11</f>
        <v/>
      </c>
      <c r="BZ266">
        <f>'T_SelfStock'!BX11</f>
        <v/>
      </c>
      <c r="CA266">
        <f>'T_SelfStock'!BY11</f>
        <v/>
      </c>
      <c r="CB266">
        <f>'T_SelfStock'!BZ11</f>
        <v/>
      </c>
      <c r="CC266">
        <f>'T_SelfStock'!CA11</f>
        <v/>
      </c>
      <c r="CD266">
        <f>'T_SelfStock'!CB11</f>
        <v/>
      </c>
      <c r="CE266">
        <f>'T_SelfStock'!CC11</f>
        <v/>
      </c>
      <c r="CF266">
        <f>'T_SelfStock'!CD11</f>
        <v/>
      </c>
      <c r="CG266">
        <f>'T_SelfStock'!CE11</f>
        <v/>
      </c>
      <c r="CH266">
        <f>'T_SelfStock'!CF11</f>
        <v/>
      </c>
      <c r="CI266">
        <f>'T_SelfStock'!CG11</f>
        <v/>
      </c>
      <c r="CJ266">
        <f>'T_SelfStock'!CH11</f>
        <v/>
      </c>
      <c r="CK266">
        <f>'T_SelfStock'!CI11</f>
        <v/>
      </c>
      <c r="CL266">
        <f>'T_SelfStock'!CJ11</f>
        <v/>
      </c>
      <c r="CM266">
        <f>'T_SelfStock'!CK11</f>
        <v/>
      </c>
      <c r="CN266">
        <f>'T_SelfStock'!CL11</f>
        <v/>
      </c>
      <c r="CO266">
        <f>'T_SelfStock'!CM11</f>
        <v/>
      </c>
      <c r="CP266">
        <f>'T_SelfStock'!CN11</f>
        <v/>
      </c>
      <c r="CQ266">
        <f>'T_SelfStock'!CO11</f>
        <v/>
      </c>
      <c r="CR266">
        <f>'T_SelfStock'!CP11</f>
        <v/>
      </c>
      <c r="CS266">
        <f>'T_SelfStock'!CQ11</f>
        <v/>
      </c>
      <c r="CT266">
        <f>'T_SelfStock'!CR11</f>
        <v/>
      </c>
      <c r="CU266">
        <f>'T_SelfStock'!CS11</f>
        <v/>
      </c>
      <c r="CV266">
        <f>'T_SelfStock'!CT11</f>
        <v/>
      </c>
      <c r="CW266">
        <f>'T_SelfStock'!CU11</f>
        <v/>
      </c>
      <c r="CX266">
        <f>'T_SelfStock'!CV11</f>
        <v/>
      </c>
      <c r="CY266">
        <f>'T_SelfStock'!CW11</f>
        <v/>
      </c>
      <c r="CZ266">
        <f>'T_SelfStock'!CX11</f>
        <v/>
      </c>
      <c r="DA266">
        <f>'T_SelfStock'!CY11</f>
        <v/>
      </c>
      <c r="DB266">
        <f>'T_SelfStock'!CZ11</f>
        <v/>
      </c>
      <c r="DC266">
        <f>'T_SelfStock'!DA11</f>
        <v/>
      </c>
    </row>
    <row r="267">
      <c r="B267" t="inlineStr">
        <is>
          <t>Order(発注予定,kg)</t>
        </is>
      </c>
      <c r="D267">
        <f>IF(SUMIFS(T_PlannedOrders[EffectiveQty],T_PlannedOrders[Part Name],$A241,T_PlannedOrders[WeekIndex],1)=0,"",SUMIFS(T_PlannedOrders[EffectiveQty],T_PlannedOrders[Part Name],$A241,T_PlannedOrders[WeekIndex],1)&amp;" ("&amp;TEXT(SUMPRODUCT(MAX((T_PlannedOrders[Part Name]=$A241)*(T_PlannedOrders[WeekIndex]=1)*(T_PlannedOrders[EffectiveQty]&gt;0)*T_PlannedOrders[Order_Month])),"m月")&amp;"発注)")</f>
        <v/>
      </c>
      <c r="E267">
        <f>IF(SUMIFS(T_PlannedOrders[EffectiveQty],T_PlannedOrders[Part Name],$A241,T_PlannedOrders[WeekIndex],2)=0,"",SUMIFS(T_PlannedOrders[EffectiveQty],T_PlannedOrders[Part Name],$A241,T_PlannedOrders[WeekIndex],2)&amp;" ("&amp;TEXT(SUMPRODUCT(MAX((T_PlannedOrders[Part Name]=$A241)*(T_PlannedOrders[WeekIndex]=2)*(T_PlannedOrders[EffectiveQty]&gt;0)*T_PlannedOrders[Order_Month])),"m月")&amp;"発注)")</f>
        <v/>
      </c>
      <c r="F267">
        <f>IF(SUMIFS(T_PlannedOrders[EffectiveQty],T_PlannedOrders[Part Name],$A241,T_PlannedOrders[WeekIndex],3)=0,"",SUMIFS(T_PlannedOrders[EffectiveQty],T_PlannedOrders[Part Name],$A241,T_PlannedOrders[WeekIndex],3)&amp;" ("&amp;TEXT(SUMPRODUCT(MAX((T_PlannedOrders[Part Name]=$A241)*(T_PlannedOrders[WeekIndex]=3)*(T_PlannedOrders[EffectiveQty]&gt;0)*T_PlannedOrders[Order_Month])),"m月")&amp;"発注)")</f>
        <v/>
      </c>
      <c r="G267">
        <f>IF(SUMIFS(T_PlannedOrders[EffectiveQty],T_PlannedOrders[Part Name],$A241,T_PlannedOrders[WeekIndex],4)=0,"",SUMIFS(T_PlannedOrders[EffectiveQty],T_PlannedOrders[Part Name],$A241,T_PlannedOrders[WeekIndex],4)&amp;" ("&amp;TEXT(SUMPRODUCT(MAX((T_PlannedOrders[Part Name]=$A241)*(T_PlannedOrders[WeekIndex]=4)*(T_PlannedOrders[EffectiveQty]&gt;0)*T_PlannedOrders[Order_Month])),"m月")&amp;"発注)")</f>
        <v/>
      </c>
      <c r="H267">
        <f>IF(SUMIFS(T_PlannedOrders[EffectiveQty],T_PlannedOrders[Part Name],$A241,T_PlannedOrders[WeekIndex],5)=0,"",SUMIFS(T_PlannedOrders[EffectiveQty],T_PlannedOrders[Part Name],$A241,T_PlannedOrders[WeekIndex],5)&amp;" ("&amp;TEXT(SUMPRODUCT(MAX((T_PlannedOrders[Part Name]=$A241)*(T_PlannedOrders[WeekIndex]=5)*(T_PlannedOrders[EffectiveQty]&gt;0)*T_PlannedOrders[Order_Month])),"m月")&amp;"発注)")</f>
        <v/>
      </c>
      <c r="I267">
        <f>IF(SUMIFS(T_PlannedOrders[EffectiveQty],T_PlannedOrders[Part Name],$A241,T_PlannedOrders[WeekIndex],6)=0,"",SUMIFS(T_PlannedOrders[EffectiveQty],T_PlannedOrders[Part Name],$A241,T_PlannedOrders[WeekIndex],6)&amp;" ("&amp;TEXT(SUMPRODUCT(MAX((T_PlannedOrders[Part Name]=$A241)*(T_PlannedOrders[WeekIndex]=6)*(T_PlannedOrders[EffectiveQty]&gt;0)*T_PlannedOrders[Order_Month])),"m月")&amp;"発注)")</f>
        <v/>
      </c>
      <c r="J267">
        <f>IF(SUMIFS(T_PlannedOrders[EffectiveQty],T_PlannedOrders[Part Name],$A241,T_PlannedOrders[WeekIndex],7)=0,"",SUMIFS(T_PlannedOrders[EffectiveQty],T_PlannedOrders[Part Name],$A241,T_PlannedOrders[WeekIndex],7)&amp;" ("&amp;TEXT(SUMPRODUCT(MAX((T_PlannedOrders[Part Name]=$A241)*(T_PlannedOrders[WeekIndex]=7)*(T_PlannedOrders[EffectiveQty]&gt;0)*T_PlannedOrders[Order_Month])),"m月")&amp;"発注)")</f>
        <v/>
      </c>
      <c r="K267">
        <f>IF(SUMIFS(T_PlannedOrders[EffectiveQty],T_PlannedOrders[Part Name],$A241,T_PlannedOrders[WeekIndex],8)=0,"",SUMIFS(T_PlannedOrders[EffectiveQty],T_PlannedOrders[Part Name],$A241,T_PlannedOrders[WeekIndex],8)&amp;" ("&amp;TEXT(SUMPRODUCT(MAX((T_PlannedOrders[Part Name]=$A241)*(T_PlannedOrders[WeekIndex]=8)*(T_PlannedOrders[EffectiveQty]&gt;0)*T_PlannedOrders[Order_Month])),"m月")&amp;"発注)")</f>
        <v/>
      </c>
      <c r="L267">
        <f>IF(SUMIFS(T_PlannedOrders[EffectiveQty],T_PlannedOrders[Part Name],$A241,T_PlannedOrders[WeekIndex],9)=0,"",SUMIFS(T_PlannedOrders[EffectiveQty],T_PlannedOrders[Part Name],$A241,T_PlannedOrders[WeekIndex],9)&amp;" ("&amp;TEXT(SUMPRODUCT(MAX((T_PlannedOrders[Part Name]=$A241)*(T_PlannedOrders[WeekIndex]=9)*(T_PlannedOrders[EffectiveQty]&gt;0)*T_PlannedOrders[Order_Month])),"m月")&amp;"発注)")</f>
        <v/>
      </c>
      <c r="M267">
        <f>IF(SUMIFS(T_PlannedOrders[EffectiveQty],T_PlannedOrders[Part Name],$A241,T_PlannedOrders[WeekIndex],10)=0,"",SUMIFS(T_PlannedOrders[EffectiveQty],T_PlannedOrders[Part Name],$A241,T_PlannedOrders[WeekIndex],10)&amp;" ("&amp;TEXT(SUMPRODUCT(MAX((T_PlannedOrders[Part Name]=$A241)*(T_PlannedOrders[WeekIndex]=10)*(T_PlannedOrders[EffectiveQty]&gt;0)*T_PlannedOrders[Order_Month])),"m月")&amp;"発注)")</f>
        <v/>
      </c>
      <c r="N267">
        <f>IF(SUMIFS(T_PlannedOrders[EffectiveQty],T_PlannedOrders[Part Name],$A241,T_PlannedOrders[WeekIndex],11)=0,"",SUMIFS(T_PlannedOrders[EffectiveQty],T_PlannedOrders[Part Name],$A241,T_PlannedOrders[WeekIndex],11)&amp;" ("&amp;TEXT(SUMPRODUCT(MAX((T_PlannedOrders[Part Name]=$A241)*(T_PlannedOrders[WeekIndex]=11)*(T_PlannedOrders[EffectiveQty]&gt;0)*T_PlannedOrders[Order_Month])),"m月")&amp;"発注)")</f>
        <v/>
      </c>
      <c r="O267">
        <f>IF(SUMIFS(T_PlannedOrders[EffectiveQty],T_PlannedOrders[Part Name],$A241,T_PlannedOrders[WeekIndex],12)=0,"",SUMIFS(T_PlannedOrders[EffectiveQty],T_PlannedOrders[Part Name],$A241,T_PlannedOrders[WeekIndex],12)&amp;" ("&amp;TEXT(SUMPRODUCT(MAX((T_PlannedOrders[Part Name]=$A241)*(T_PlannedOrders[WeekIndex]=12)*(T_PlannedOrders[EffectiveQty]&gt;0)*T_PlannedOrders[Order_Month])),"m月")&amp;"発注)")</f>
        <v/>
      </c>
      <c r="P267">
        <f>IF(SUMIFS(T_PlannedOrders[EffectiveQty],T_PlannedOrders[Part Name],$A241,T_PlannedOrders[WeekIndex],13)=0,"",SUMIFS(T_PlannedOrders[EffectiveQty],T_PlannedOrders[Part Name],$A241,T_PlannedOrders[WeekIndex],13)&amp;" ("&amp;TEXT(SUMPRODUCT(MAX((T_PlannedOrders[Part Name]=$A241)*(T_PlannedOrders[WeekIndex]=13)*(T_PlannedOrders[EffectiveQty]&gt;0)*T_PlannedOrders[Order_Month])),"m月")&amp;"発注)")</f>
        <v/>
      </c>
      <c r="Q267">
        <f>IF(SUMIFS(T_PlannedOrders[EffectiveQty],T_PlannedOrders[Part Name],$A241,T_PlannedOrders[WeekIndex],14)=0,"",SUMIFS(T_PlannedOrders[EffectiveQty],T_PlannedOrders[Part Name],$A241,T_PlannedOrders[WeekIndex],14)&amp;" ("&amp;TEXT(SUMPRODUCT(MAX((T_PlannedOrders[Part Name]=$A241)*(T_PlannedOrders[WeekIndex]=14)*(T_PlannedOrders[EffectiveQty]&gt;0)*T_PlannedOrders[Order_Month])),"m月")&amp;"発注)")</f>
        <v/>
      </c>
      <c r="R267">
        <f>IF(SUMIFS(T_PlannedOrders[EffectiveQty],T_PlannedOrders[Part Name],$A241,T_PlannedOrders[WeekIndex],15)=0,"",SUMIFS(T_PlannedOrders[EffectiveQty],T_PlannedOrders[Part Name],$A241,T_PlannedOrders[WeekIndex],15)&amp;" ("&amp;TEXT(SUMPRODUCT(MAX((T_PlannedOrders[Part Name]=$A241)*(T_PlannedOrders[WeekIndex]=15)*(T_PlannedOrders[EffectiveQty]&gt;0)*T_PlannedOrders[Order_Month])),"m月")&amp;"発注)")</f>
        <v/>
      </c>
      <c r="S267">
        <f>IF(SUMIFS(T_PlannedOrders[EffectiveQty],T_PlannedOrders[Part Name],$A241,T_PlannedOrders[WeekIndex],16)=0,"",SUMIFS(T_PlannedOrders[EffectiveQty],T_PlannedOrders[Part Name],$A241,T_PlannedOrders[WeekIndex],16)&amp;" ("&amp;TEXT(SUMPRODUCT(MAX((T_PlannedOrders[Part Name]=$A241)*(T_PlannedOrders[WeekIndex]=16)*(T_PlannedOrders[EffectiveQty]&gt;0)*T_PlannedOrders[Order_Month])),"m月")&amp;"発注)")</f>
        <v/>
      </c>
      <c r="T267">
        <f>IF(SUMIFS(T_PlannedOrders[EffectiveQty],T_PlannedOrders[Part Name],$A241,T_PlannedOrders[WeekIndex],17)=0,"",SUMIFS(T_PlannedOrders[EffectiveQty],T_PlannedOrders[Part Name],$A241,T_PlannedOrders[WeekIndex],17)&amp;" ("&amp;TEXT(SUMPRODUCT(MAX((T_PlannedOrders[Part Name]=$A241)*(T_PlannedOrders[WeekIndex]=17)*(T_PlannedOrders[EffectiveQty]&gt;0)*T_PlannedOrders[Order_Month])),"m月")&amp;"発注)")</f>
        <v/>
      </c>
      <c r="U267">
        <f>IF(SUMIFS(T_PlannedOrders[EffectiveQty],T_PlannedOrders[Part Name],$A241,T_PlannedOrders[WeekIndex],18)=0,"",SUMIFS(T_PlannedOrders[EffectiveQty],T_PlannedOrders[Part Name],$A241,T_PlannedOrders[WeekIndex],18)&amp;" ("&amp;TEXT(SUMPRODUCT(MAX((T_PlannedOrders[Part Name]=$A241)*(T_PlannedOrders[WeekIndex]=18)*(T_PlannedOrders[EffectiveQty]&gt;0)*T_PlannedOrders[Order_Month])),"m月")&amp;"発注)")</f>
        <v/>
      </c>
      <c r="V267">
        <f>IF(SUMIFS(T_PlannedOrders[EffectiveQty],T_PlannedOrders[Part Name],$A241,T_PlannedOrders[WeekIndex],19)=0,"",SUMIFS(T_PlannedOrders[EffectiveQty],T_PlannedOrders[Part Name],$A241,T_PlannedOrders[WeekIndex],19)&amp;" ("&amp;TEXT(SUMPRODUCT(MAX((T_PlannedOrders[Part Name]=$A241)*(T_PlannedOrders[WeekIndex]=19)*(T_PlannedOrders[EffectiveQty]&gt;0)*T_PlannedOrders[Order_Month])),"m月")&amp;"発注)")</f>
        <v/>
      </c>
      <c r="W267">
        <f>IF(SUMIFS(T_PlannedOrders[EffectiveQty],T_PlannedOrders[Part Name],$A241,T_PlannedOrders[WeekIndex],20)=0,"",SUMIFS(T_PlannedOrders[EffectiveQty],T_PlannedOrders[Part Name],$A241,T_PlannedOrders[WeekIndex],20)&amp;" ("&amp;TEXT(SUMPRODUCT(MAX((T_PlannedOrders[Part Name]=$A241)*(T_PlannedOrders[WeekIndex]=20)*(T_PlannedOrders[EffectiveQty]&gt;0)*T_PlannedOrders[Order_Month])),"m月")&amp;"発注)")</f>
        <v/>
      </c>
      <c r="X267">
        <f>IF(SUMIFS(T_PlannedOrders[EffectiveQty],T_PlannedOrders[Part Name],$A241,T_PlannedOrders[WeekIndex],21)=0,"",SUMIFS(T_PlannedOrders[EffectiveQty],T_PlannedOrders[Part Name],$A241,T_PlannedOrders[WeekIndex],21)&amp;" ("&amp;TEXT(SUMPRODUCT(MAX((T_PlannedOrders[Part Name]=$A241)*(T_PlannedOrders[WeekIndex]=21)*(T_PlannedOrders[EffectiveQty]&gt;0)*T_PlannedOrders[Order_Month])),"m月")&amp;"発注)")</f>
        <v/>
      </c>
      <c r="Y267">
        <f>IF(SUMIFS(T_PlannedOrders[EffectiveQty],T_PlannedOrders[Part Name],$A241,T_PlannedOrders[WeekIndex],22)=0,"",SUMIFS(T_PlannedOrders[EffectiveQty],T_PlannedOrders[Part Name],$A241,T_PlannedOrders[WeekIndex],22)&amp;" ("&amp;TEXT(SUMPRODUCT(MAX((T_PlannedOrders[Part Name]=$A241)*(T_PlannedOrders[WeekIndex]=22)*(T_PlannedOrders[EffectiveQty]&gt;0)*T_PlannedOrders[Order_Month])),"m月")&amp;"発注)")</f>
        <v/>
      </c>
      <c r="Z267">
        <f>IF(SUMIFS(T_PlannedOrders[EffectiveQty],T_PlannedOrders[Part Name],$A241,T_PlannedOrders[WeekIndex],23)=0,"",SUMIFS(T_PlannedOrders[EffectiveQty],T_PlannedOrders[Part Name],$A241,T_PlannedOrders[WeekIndex],23)&amp;" ("&amp;TEXT(SUMPRODUCT(MAX((T_PlannedOrders[Part Name]=$A241)*(T_PlannedOrders[WeekIndex]=23)*(T_PlannedOrders[EffectiveQty]&gt;0)*T_PlannedOrders[Order_Month])),"m月")&amp;"発注)")</f>
        <v/>
      </c>
      <c r="AA267">
        <f>IF(SUMIFS(T_PlannedOrders[EffectiveQty],T_PlannedOrders[Part Name],$A241,T_PlannedOrders[WeekIndex],24)=0,"",SUMIFS(T_PlannedOrders[EffectiveQty],T_PlannedOrders[Part Name],$A241,T_PlannedOrders[WeekIndex],24)&amp;" ("&amp;TEXT(SUMPRODUCT(MAX((T_PlannedOrders[Part Name]=$A241)*(T_PlannedOrders[WeekIndex]=24)*(T_PlannedOrders[EffectiveQty]&gt;0)*T_PlannedOrders[Order_Month])),"m月")&amp;"発注)")</f>
        <v/>
      </c>
      <c r="AB267">
        <f>IF(SUMIFS(T_PlannedOrders[EffectiveQty],T_PlannedOrders[Part Name],$A241,T_PlannedOrders[WeekIndex],25)=0,"",SUMIFS(T_PlannedOrders[EffectiveQty],T_PlannedOrders[Part Name],$A241,T_PlannedOrders[WeekIndex],25)&amp;" ("&amp;TEXT(SUMPRODUCT(MAX((T_PlannedOrders[Part Name]=$A241)*(T_PlannedOrders[WeekIndex]=25)*(T_PlannedOrders[EffectiveQty]&gt;0)*T_PlannedOrders[Order_Month])),"m月")&amp;"発注)")</f>
        <v/>
      </c>
      <c r="AC267">
        <f>IF(SUMIFS(T_PlannedOrders[EffectiveQty],T_PlannedOrders[Part Name],$A241,T_PlannedOrders[WeekIndex],26)=0,"",SUMIFS(T_PlannedOrders[EffectiveQty],T_PlannedOrders[Part Name],$A241,T_PlannedOrders[WeekIndex],26)&amp;" ("&amp;TEXT(SUMPRODUCT(MAX((T_PlannedOrders[Part Name]=$A241)*(T_PlannedOrders[WeekIndex]=26)*(T_PlannedOrders[EffectiveQty]&gt;0)*T_PlannedOrders[Order_Month])),"m月")&amp;"発注)")</f>
        <v/>
      </c>
      <c r="AD267">
        <f>IF(SUMIFS(T_PlannedOrders[EffectiveQty],T_PlannedOrders[Part Name],$A241,T_PlannedOrders[WeekIndex],27)=0,"",SUMIFS(T_PlannedOrders[EffectiveQty],T_PlannedOrders[Part Name],$A241,T_PlannedOrders[WeekIndex],27)&amp;" ("&amp;TEXT(SUMPRODUCT(MAX((T_PlannedOrders[Part Name]=$A241)*(T_PlannedOrders[WeekIndex]=27)*(T_PlannedOrders[EffectiveQty]&gt;0)*T_PlannedOrders[Order_Month])),"m月")&amp;"発注)")</f>
        <v/>
      </c>
      <c r="AE267">
        <f>IF(SUMIFS(T_PlannedOrders[EffectiveQty],T_PlannedOrders[Part Name],$A241,T_PlannedOrders[WeekIndex],28)=0,"",SUMIFS(T_PlannedOrders[EffectiveQty],T_PlannedOrders[Part Name],$A241,T_PlannedOrders[WeekIndex],28)&amp;" ("&amp;TEXT(SUMPRODUCT(MAX((T_PlannedOrders[Part Name]=$A241)*(T_PlannedOrders[WeekIndex]=28)*(T_PlannedOrders[EffectiveQty]&gt;0)*T_PlannedOrders[Order_Month])),"m月")&amp;"発注)")</f>
        <v/>
      </c>
      <c r="AF267">
        <f>IF(SUMIFS(T_PlannedOrders[EffectiveQty],T_PlannedOrders[Part Name],$A241,T_PlannedOrders[WeekIndex],29)=0,"",SUMIFS(T_PlannedOrders[EffectiveQty],T_PlannedOrders[Part Name],$A241,T_PlannedOrders[WeekIndex],29)&amp;" ("&amp;TEXT(SUMPRODUCT(MAX((T_PlannedOrders[Part Name]=$A241)*(T_PlannedOrders[WeekIndex]=29)*(T_PlannedOrders[EffectiveQty]&gt;0)*T_PlannedOrders[Order_Month])),"m月")&amp;"発注)")</f>
        <v/>
      </c>
      <c r="AG267">
        <f>IF(SUMIFS(T_PlannedOrders[EffectiveQty],T_PlannedOrders[Part Name],$A241,T_PlannedOrders[WeekIndex],30)=0,"",SUMIFS(T_PlannedOrders[EffectiveQty],T_PlannedOrders[Part Name],$A241,T_PlannedOrders[WeekIndex],30)&amp;" ("&amp;TEXT(SUMPRODUCT(MAX((T_PlannedOrders[Part Name]=$A241)*(T_PlannedOrders[WeekIndex]=30)*(T_PlannedOrders[EffectiveQty]&gt;0)*T_PlannedOrders[Order_Month])),"m月")&amp;"発注)")</f>
        <v/>
      </c>
      <c r="AH267">
        <f>IF(SUMIFS(T_PlannedOrders[EffectiveQty],T_PlannedOrders[Part Name],$A241,T_PlannedOrders[WeekIndex],31)=0,"",SUMIFS(T_PlannedOrders[EffectiveQty],T_PlannedOrders[Part Name],$A241,T_PlannedOrders[WeekIndex],31)&amp;" ("&amp;TEXT(SUMPRODUCT(MAX((T_PlannedOrders[Part Name]=$A241)*(T_PlannedOrders[WeekIndex]=31)*(T_PlannedOrders[EffectiveQty]&gt;0)*T_PlannedOrders[Order_Month])),"m月")&amp;"発注)")</f>
        <v/>
      </c>
      <c r="AI267">
        <f>IF(SUMIFS(T_PlannedOrders[EffectiveQty],T_PlannedOrders[Part Name],$A241,T_PlannedOrders[WeekIndex],32)=0,"",SUMIFS(T_PlannedOrders[EffectiveQty],T_PlannedOrders[Part Name],$A241,T_PlannedOrders[WeekIndex],32)&amp;" ("&amp;TEXT(SUMPRODUCT(MAX((T_PlannedOrders[Part Name]=$A241)*(T_PlannedOrders[WeekIndex]=32)*(T_PlannedOrders[EffectiveQty]&gt;0)*T_PlannedOrders[Order_Month])),"m月")&amp;"発注)")</f>
        <v/>
      </c>
      <c r="AJ267">
        <f>IF(SUMIFS(T_PlannedOrders[EffectiveQty],T_PlannedOrders[Part Name],$A241,T_PlannedOrders[WeekIndex],33)=0,"",SUMIFS(T_PlannedOrders[EffectiveQty],T_PlannedOrders[Part Name],$A241,T_PlannedOrders[WeekIndex],33)&amp;" ("&amp;TEXT(SUMPRODUCT(MAX((T_PlannedOrders[Part Name]=$A241)*(T_PlannedOrders[WeekIndex]=33)*(T_PlannedOrders[EffectiveQty]&gt;0)*T_PlannedOrders[Order_Month])),"m月")&amp;"発注)")</f>
        <v/>
      </c>
      <c r="AK267">
        <f>IF(SUMIFS(T_PlannedOrders[EffectiveQty],T_PlannedOrders[Part Name],$A241,T_PlannedOrders[WeekIndex],34)=0,"",SUMIFS(T_PlannedOrders[EffectiveQty],T_PlannedOrders[Part Name],$A241,T_PlannedOrders[WeekIndex],34)&amp;" ("&amp;TEXT(SUMPRODUCT(MAX((T_PlannedOrders[Part Name]=$A241)*(T_PlannedOrders[WeekIndex]=34)*(T_PlannedOrders[EffectiveQty]&gt;0)*T_PlannedOrders[Order_Month])),"m月")&amp;"発注)")</f>
        <v/>
      </c>
      <c r="AL267">
        <f>IF(SUMIFS(T_PlannedOrders[EffectiveQty],T_PlannedOrders[Part Name],$A241,T_PlannedOrders[WeekIndex],35)=0,"",SUMIFS(T_PlannedOrders[EffectiveQty],T_PlannedOrders[Part Name],$A241,T_PlannedOrders[WeekIndex],35)&amp;" ("&amp;TEXT(SUMPRODUCT(MAX((T_PlannedOrders[Part Name]=$A241)*(T_PlannedOrders[WeekIndex]=35)*(T_PlannedOrders[EffectiveQty]&gt;0)*T_PlannedOrders[Order_Month])),"m月")&amp;"発注)")</f>
        <v/>
      </c>
      <c r="AM267">
        <f>IF(SUMIFS(T_PlannedOrders[EffectiveQty],T_PlannedOrders[Part Name],$A241,T_PlannedOrders[WeekIndex],36)=0,"",SUMIFS(T_PlannedOrders[EffectiveQty],T_PlannedOrders[Part Name],$A241,T_PlannedOrders[WeekIndex],36)&amp;" ("&amp;TEXT(SUMPRODUCT(MAX((T_PlannedOrders[Part Name]=$A241)*(T_PlannedOrders[WeekIndex]=36)*(T_PlannedOrders[EffectiveQty]&gt;0)*T_PlannedOrders[Order_Month])),"m月")&amp;"発注)")</f>
        <v/>
      </c>
      <c r="AN267">
        <f>IF(SUMIFS(T_PlannedOrders[EffectiveQty],T_PlannedOrders[Part Name],$A241,T_PlannedOrders[WeekIndex],37)=0,"",SUMIFS(T_PlannedOrders[EffectiveQty],T_PlannedOrders[Part Name],$A241,T_PlannedOrders[WeekIndex],37)&amp;" ("&amp;TEXT(SUMPRODUCT(MAX((T_PlannedOrders[Part Name]=$A241)*(T_PlannedOrders[WeekIndex]=37)*(T_PlannedOrders[EffectiveQty]&gt;0)*T_PlannedOrders[Order_Month])),"m月")&amp;"発注)")</f>
        <v/>
      </c>
      <c r="AO267">
        <f>IF(SUMIFS(T_PlannedOrders[EffectiveQty],T_PlannedOrders[Part Name],$A241,T_PlannedOrders[WeekIndex],38)=0,"",SUMIFS(T_PlannedOrders[EffectiveQty],T_PlannedOrders[Part Name],$A241,T_PlannedOrders[WeekIndex],38)&amp;" ("&amp;TEXT(SUMPRODUCT(MAX((T_PlannedOrders[Part Name]=$A241)*(T_PlannedOrders[WeekIndex]=38)*(T_PlannedOrders[EffectiveQty]&gt;0)*T_PlannedOrders[Order_Month])),"m月")&amp;"発注)")</f>
        <v/>
      </c>
      <c r="AP267">
        <f>IF(SUMIFS(T_PlannedOrders[EffectiveQty],T_PlannedOrders[Part Name],$A241,T_PlannedOrders[WeekIndex],39)=0,"",SUMIFS(T_PlannedOrders[EffectiveQty],T_PlannedOrders[Part Name],$A241,T_PlannedOrders[WeekIndex],39)&amp;" ("&amp;TEXT(SUMPRODUCT(MAX((T_PlannedOrders[Part Name]=$A241)*(T_PlannedOrders[WeekIndex]=39)*(T_PlannedOrders[EffectiveQty]&gt;0)*T_PlannedOrders[Order_Month])),"m月")&amp;"発注)")</f>
        <v/>
      </c>
      <c r="AQ267">
        <f>IF(SUMIFS(T_PlannedOrders[EffectiveQty],T_PlannedOrders[Part Name],$A241,T_PlannedOrders[WeekIndex],40)=0,"",SUMIFS(T_PlannedOrders[EffectiveQty],T_PlannedOrders[Part Name],$A241,T_PlannedOrders[WeekIndex],40)&amp;" ("&amp;TEXT(SUMPRODUCT(MAX((T_PlannedOrders[Part Name]=$A241)*(T_PlannedOrders[WeekIndex]=40)*(T_PlannedOrders[EffectiveQty]&gt;0)*T_PlannedOrders[Order_Month])),"m月")&amp;"発注)")</f>
        <v/>
      </c>
      <c r="AR267">
        <f>IF(SUMIFS(T_PlannedOrders[EffectiveQty],T_PlannedOrders[Part Name],$A241,T_PlannedOrders[WeekIndex],41)=0,"",SUMIFS(T_PlannedOrders[EffectiveQty],T_PlannedOrders[Part Name],$A241,T_PlannedOrders[WeekIndex],41)&amp;" ("&amp;TEXT(SUMPRODUCT(MAX((T_PlannedOrders[Part Name]=$A241)*(T_PlannedOrders[WeekIndex]=41)*(T_PlannedOrders[EffectiveQty]&gt;0)*T_PlannedOrders[Order_Month])),"m月")&amp;"発注)")</f>
        <v/>
      </c>
      <c r="AS267">
        <f>IF(SUMIFS(T_PlannedOrders[EffectiveQty],T_PlannedOrders[Part Name],$A241,T_PlannedOrders[WeekIndex],42)=0,"",SUMIFS(T_PlannedOrders[EffectiveQty],T_PlannedOrders[Part Name],$A241,T_PlannedOrders[WeekIndex],42)&amp;" ("&amp;TEXT(SUMPRODUCT(MAX((T_PlannedOrders[Part Name]=$A241)*(T_PlannedOrders[WeekIndex]=42)*(T_PlannedOrders[EffectiveQty]&gt;0)*T_PlannedOrders[Order_Month])),"m月")&amp;"発注)")</f>
        <v/>
      </c>
      <c r="AT267">
        <f>IF(SUMIFS(T_PlannedOrders[EffectiveQty],T_PlannedOrders[Part Name],$A241,T_PlannedOrders[WeekIndex],43)=0,"",SUMIFS(T_PlannedOrders[EffectiveQty],T_PlannedOrders[Part Name],$A241,T_PlannedOrders[WeekIndex],43)&amp;" ("&amp;TEXT(SUMPRODUCT(MAX((T_PlannedOrders[Part Name]=$A241)*(T_PlannedOrders[WeekIndex]=43)*(T_PlannedOrders[EffectiveQty]&gt;0)*T_PlannedOrders[Order_Month])),"m月")&amp;"発注)")</f>
        <v/>
      </c>
      <c r="AU267">
        <f>IF(SUMIFS(T_PlannedOrders[EffectiveQty],T_PlannedOrders[Part Name],$A241,T_PlannedOrders[WeekIndex],44)=0,"",SUMIFS(T_PlannedOrders[EffectiveQty],T_PlannedOrders[Part Name],$A241,T_PlannedOrders[WeekIndex],44)&amp;" ("&amp;TEXT(SUMPRODUCT(MAX((T_PlannedOrders[Part Name]=$A241)*(T_PlannedOrders[WeekIndex]=44)*(T_PlannedOrders[EffectiveQty]&gt;0)*T_PlannedOrders[Order_Month])),"m月")&amp;"発注)")</f>
        <v/>
      </c>
      <c r="AV267">
        <f>IF(SUMIFS(T_PlannedOrders[EffectiveQty],T_PlannedOrders[Part Name],$A241,T_PlannedOrders[WeekIndex],45)=0,"",SUMIFS(T_PlannedOrders[EffectiveQty],T_PlannedOrders[Part Name],$A241,T_PlannedOrders[WeekIndex],45)&amp;" ("&amp;TEXT(SUMPRODUCT(MAX((T_PlannedOrders[Part Name]=$A241)*(T_PlannedOrders[WeekIndex]=45)*(T_PlannedOrders[EffectiveQty]&gt;0)*T_PlannedOrders[Order_Month])),"m月")&amp;"発注)")</f>
        <v/>
      </c>
      <c r="AW267">
        <f>IF(SUMIFS(T_PlannedOrders[EffectiveQty],T_PlannedOrders[Part Name],$A241,T_PlannedOrders[WeekIndex],46)=0,"",SUMIFS(T_PlannedOrders[EffectiveQty],T_PlannedOrders[Part Name],$A241,T_PlannedOrders[WeekIndex],46)&amp;" ("&amp;TEXT(SUMPRODUCT(MAX((T_PlannedOrders[Part Name]=$A241)*(T_PlannedOrders[WeekIndex]=46)*(T_PlannedOrders[EffectiveQty]&gt;0)*T_PlannedOrders[Order_Month])),"m月")&amp;"発注)")</f>
        <v/>
      </c>
      <c r="AX267">
        <f>IF(SUMIFS(T_PlannedOrders[EffectiveQty],T_PlannedOrders[Part Name],$A241,T_PlannedOrders[WeekIndex],47)=0,"",SUMIFS(T_PlannedOrders[EffectiveQty],T_PlannedOrders[Part Name],$A241,T_PlannedOrders[WeekIndex],47)&amp;" ("&amp;TEXT(SUMPRODUCT(MAX((T_PlannedOrders[Part Name]=$A241)*(T_PlannedOrders[WeekIndex]=47)*(T_PlannedOrders[EffectiveQty]&gt;0)*T_PlannedOrders[Order_Month])),"m月")&amp;"発注)")</f>
        <v/>
      </c>
      <c r="AY267">
        <f>IF(SUMIFS(T_PlannedOrders[EffectiveQty],T_PlannedOrders[Part Name],$A241,T_PlannedOrders[WeekIndex],48)=0,"",SUMIFS(T_PlannedOrders[EffectiveQty],T_PlannedOrders[Part Name],$A241,T_PlannedOrders[WeekIndex],48)&amp;" ("&amp;TEXT(SUMPRODUCT(MAX((T_PlannedOrders[Part Name]=$A241)*(T_PlannedOrders[WeekIndex]=48)*(T_PlannedOrders[EffectiveQty]&gt;0)*T_PlannedOrders[Order_Month])),"m月")&amp;"発注)")</f>
        <v/>
      </c>
      <c r="AZ267">
        <f>IF(SUMIFS(T_PlannedOrders[EffectiveQty],T_PlannedOrders[Part Name],$A241,T_PlannedOrders[WeekIndex],49)=0,"",SUMIFS(T_PlannedOrders[EffectiveQty],T_PlannedOrders[Part Name],$A241,T_PlannedOrders[WeekIndex],49)&amp;" ("&amp;TEXT(SUMPRODUCT(MAX((T_PlannedOrders[Part Name]=$A241)*(T_PlannedOrders[WeekIndex]=49)*(T_PlannedOrders[EffectiveQty]&gt;0)*T_PlannedOrders[Order_Month])),"m月")&amp;"発注)")</f>
        <v/>
      </c>
      <c r="BA267">
        <f>IF(SUMIFS(T_PlannedOrders[EffectiveQty],T_PlannedOrders[Part Name],$A241,T_PlannedOrders[WeekIndex],50)=0,"",SUMIFS(T_PlannedOrders[EffectiveQty],T_PlannedOrders[Part Name],$A241,T_PlannedOrders[WeekIndex],50)&amp;" ("&amp;TEXT(SUMPRODUCT(MAX((T_PlannedOrders[Part Name]=$A241)*(T_PlannedOrders[WeekIndex]=50)*(T_PlannedOrders[EffectiveQty]&gt;0)*T_PlannedOrders[Order_Month])),"m月")&amp;"発注)")</f>
        <v/>
      </c>
      <c r="BB267">
        <f>IF(SUMIFS(T_PlannedOrders[EffectiveQty],T_PlannedOrders[Part Name],$A241,T_PlannedOrders[WeekIndex],51)=0,"",SUMIFS(T_PlannedOrders[EffectiveQty],T_PlannedOrders[Part Name],$A241,T_PlannedOrders[WeekIndex],51)&amp;" ("&amp;TEXT(SUMPRODUCT(MAX((T_PlannedOrders[Part Name]=$A241)*(T_PlannedOrders[WeekIndex]=51)*(T_PlannedOrders[EffectiveQty]&gt;0)*T_PlannedOrders[Order_Month])),"m月")&amp;"発注)")</f>
        <v/>
      </c>
      <c r="BC267">
        <f>IF(SUMIFS(T_PlannedOrders[EffectiveQty],T_PlannedOrders[Part Name],$A241,T_PlannedOrders[WeekIndex],52)=0,"",SUMIFS(T_PlannedOrders[EffectiveQty],T_PlannedOrders[Part Name],$A241,T_PlannedOrders[WeekIndex],52)&amp;" ("&amp;TEXT(SUMPRODUCT(MAX((T_PlannedOrders[Part Name]=$A241)*(T_PlannedOrders[WeekIndex]=52)*(T_PlannedOrders[EffectiveQty]&gt;0)*T_PlannedOrders[Order_Month])),"m月")&amp;"発注)")</f>
        <v/>
      </c>
      <c r="BD267">
        <f>IF(SUMIFS(T_PlannedOrders[EffectiveQty],T_PlannedOrders[Part Name],$A241,T_PlannedOrders[WeekIndex],53)=0,"",SUMIFS(T_PlannedOrders[EffectiveQty],T_PlannedOrders[Part Name],$A241,T_PlannedOrders[WeekIndex],53)&amp;" ("&amp;TEXT(SUMPRODUCT(MAX((T_PlannedOrders[Part Name]=$A241)*(T_PlannedOrders[WeekIndex]=53)*(T_PlannedOrders[EffectiveQty]&gt;0)*T_PlannedOrders[Order_Month])),"m月")&amp;"発注)")</f>
        <v/>
      </c>
      <c r="BE267">
        <f>IF(SUMIFS(T_PlannedOrders[EffectiveQty],T_PlannedOrders[Part Name],$A241,T_PlannedOrders[WeekIndex],54)=0,"",SUMIFS(T_PlannedOrders[EffectiveQty],T_PlannedOrders[Part Name],$A241,T_PlannedOrders[WeekIndex],54)&amp;" ("&amp;TEXT(SUMPRODUCT(MAX((T_PlannedOrders[Part Name]=$A241)*(T_PlannedOrders[WeekIndex]=54)*(T_PlannedOrders[EffectiveQty]&gt;0)*T_PlannedOrders[Order_Month])),"m月")&amp;"発注)")</f>
        <v/>
      </c>
      <c r="BF267">
        <f>IF(SUMIFS(T_PlannedOrders[EffectiveQty],T_PlannedOrders[Part Name],$A241,T_PlannedOrders[WeekIndex],55)=0,"",SUMIFS(T_PlannedOrders[EffectiveQty],T_PlannedOrders[Part Name],$A241,T_PlannedOrders[WeekIndex],55)&amp;" ("&amp;TEXT(SUMPRODUCT(MAX((T_PlannedOrders[Part Name]=$A241)*(T_PlannedOrders[WeekIndex]=55)*(T_PlannedOrders[EffectiveQty]&gt;0)*T_PlannedOrders[Order_Month])),"m月")&amp;"発注)")</f>
        <v/>
      </c>
      <c r="BG267">
        <f>IF(SUMIFS(T_PlannedOrders[EffectiveQty],T_PlannedOrders[Part Name],$A241,T_PlannedOrders[WeekIndex],56)=0,"",SUMIFS(T_PlannedOrders[EffectiveQty],T_PlannedOrders[Part Name],$A241,T_PlannedOrders[WeekIndex],56)&amp;" ("&amp;TEXT(SUMPRODUCT(MAX((T_PlannedOrders[Part Name]=$A241)*(T_PlannedOrders[WeekIndex]=56)*(T_PlannedOrders[EffectiveQty]&gt;0)*T_PlannedOrders[Order_Month])),"m月")&amp;"発注)")</f>
        <v/>
      </c>
      <c r="BH267">
        <f>IF(SUMIFS(T_PlannedOrders[EffectiveQty],T_PlannedOrders[Part Name],$A241,T_PlannedOrders[WeekIndex],57)=0,"",SUMIFS(T_PlannedOrders[EffectiveQty],T_PlannedOrders[Part Name],$A241,T_PlannedOrders[WeekIndex],57)&amp;" ("&amp;TEXT(SUMPRODUCT(MAX((T_PlannedOrders[Part Name]=$A241)*(T_PlannedOrders[WeekIndex]=57)*(T_PlannedOrders[EffectiveQty]&gt;0)*T_PlannedOrders[Order_Month])),"m月")&amp;"発注)")</f>
        <v/>
      </c>
      <c r="BI267">
        <f>IF(SUMIFS(T_PlannedOrders[EffectiveQty],T_PlannedOrders[Part Name],$A241,T_PlannedOrders[WeekIndex],58)=0,"",SUMIFS(T_PlannedOrders[EffectiveQty],T_PlannedOrders[Part Name],$A241,T_PlannedOrders[WeekIndex],58)&amp;" ("&amp;TEXT(SUMPRODUCT(MAX((T_PlannedOrders[Part Name]=$A241)*(T_PlannedOrders[WeekIndex]=58)*(T_PlannedOrders[EffectiveQty]&gt;0)*T_PlannedOrders[Order_Month])),"m月")&amp;"発注)")</f>
        <v/>
      </c>
      <c r="BJ267">
        <f>IF(SUMIFS(T_PlannedOrders[EffectiveQty],T_PlannedOrders[Part Name],$A241,T_PlannedOrders[WeekIndex],59)=0,"",SUMIFS(T_PlannedOrders[EffectiveQty],T_PlannedOrders[Part Name],$A241,T_PlannedOrders[WeekIndex],59)&amp;" ("&amp;TEXT(SUMPRODUCT(MAX((T_PlannedOrders[Part Name]=$A241)*(T_PlannedOrders[WeekIndex]=59)*(T_PlannedOrders[EffectiveQty]&gt;0)*T_PlannedOrders[Order_Month])),"m月")&amp;"発注)")</f>
        <v/>
      </c>
      <c r="BK267">
        <f>IF(SUMIFS(T_PlannedOrders[EffectiveQty],T_PlannedOrders[Part Name],$A241,T_PlannedOrders[WeekIndex],60)=0,"",SUMIFS(T_PlannedOrders[EffectiveQty],T_PlannedOrders[Part Name],$A241,T_PlannedOrders[WeekIndex],60)&amp;" ("&amp;TEXT(SUMPRODUCT(MAX((T_PlannedOrders[Part Name]=$A241)*(T_PlannedOrders[WeekIndex]=60)*(T_PlannedOrders[EffectiveQty]&gt;0)*T_PlannedOrders[Order_Month])),"m月")&amp;"発注)")</f>
        <v/>
      </c>
      <c r="BL267">
        <f>IF(SUMIFS(T_PlannedOrders[EffectiveQty],T_PlannedOrders[Part Name],$A241,T_PlannedOrders[WeekIndex],61)=0,"",SUMIFS(T_PlannedOrders[EffectiveQty],T_PlannedOrders[Part Name],$A241,T_PlannedOrders[WeekIndex],61)&amp;" ("&amp;TEXT(SUMPRODUCT(MAX((T_PlannedOrders[Part Name]=$A241)*(T_PlannedOrders[WeekIndex]=61)*(T_PlannedOrders[EffectiveQty]&gt;0)*T_PlannedOrders[Order_Month])),"m月")&amp;"発注)")</f>
        <v/>
      </c>
      <c r="BM267">
        <f>IF(SUMIFS(T_PlannedOrders[EffectiveQty],T_PlannedOrders[Part Name],$A241,T_PlannedOrders[WeekIndex],62)=0,"",SUMIFS(T_PlannedOrders[EffectiveQty],T_PlannedOrders[Part Name],$A241,T_PlannedOrders[WeekIndex],62)&amp;" ("&amp;TEXT(SUMPRODUCT(MAX((T_PlannedOrders[Part Name]=$A241)*(T_PlannedOrders[WeekIndex]=62)*(T_PlannedOrders[EffectiveQty]&gt;0)*T_PlannedOrders[Order_Month])),"m月")&amp;"発注)")</f>
        <v/>
      </c>
      <c r="BN267">
        <f>IF(SUMIFS(T_PlannedOrders[EffectiveQty],T_PlannedOrders[Part Name],$A241,T_PlannedOrders[WeekIndex],63)=0,"",SUMIFS(T_PlannedOrders[EffectiveQty],T_PlannedOrders[Part Name],$A241,T_PlannedOrders[WeekIndex],63)&amp;" ("&amp;TEXT(SUMPRODUCT(MAX((T_PlannedOrders[Part Name]=$A241)*(T_PlannedOrders[WeekIndex]=63)*(T_PlannedOrders[EffectiveQty]&gt;0)*T_PlannedOrders[Order_Month])),"m月")&amp;"発注)")</f>
        <v/>
      </c>
      <c r="BO267">
        <f>IF(SUMIFS(T_PlannedOrders[EffectiveQty],T_PlannedOrders[Part Name],$A241,T_PlannedOrders[WeekIndex],64)=0,"",SUMIFS(T_PlannedOrders[EffectiveQty],T_PlannedOrders[Part Name],$A241,T_PlannedOrders[WeekIndex],64)&amp;" ("&amp;TEXT(SUMPRODUCT(MAX((T_PlannedOrders[Part Name]=$A241)*(T_PlannedOrders[WeekIndex]=64)*(T_PlannedOrders[EffectiveQty]&gt;0)*T_PlannedOrders[Order_Month])),"m月")&amp;"発注)")</f>
        <v/>
      </c>
      <c r="BP267">
        <f>IF(SUMIFS(T_PlannedOrders[EffectiveQty],T_PlannedOrders[Part Name],$A241,T_PlannedOrders[WeekIndex],65)=0,"",SUMIFS(T_PlannedOrders[EffectiveQty],T_PlannedOrders[Part Name],$A241,T_PlannedOrders[WeekIndex],65)&amp;" ("&amp;TEXT(SUMPRODUCT(MAX((T_PlannedOrders[Part Name]=$A241)*(T_PlannedOrders[WeekIndex]=65)*(T_PlannedOrders[EffectiveQty]&gt;0)*T_PlannedOrders[Order_Month])),"m月")&amp;"発注)")</f>
        <v/>
      </c>
      <c r="BQ267">
        <f>IF(SUMIFS(T_PlannedOrders[EffectiveQty],T_PlannedOrders[Part Name],$A241,T_PlannedOrders[WeekIndex],66)=0,"",SUMIFS(T_PlannedOrders[EffectiveQty],T_PlannedOrders[Part Name],$A241,T_PlannedOrders[WeekIndex],66)&amp;" ("&amp;TEXT(SUMPRODUCT(MAX((T_PlannedOrders[Part Name]=$A241)*(T_PlannedOrders[WeekIndex]=66)*(T_PlannedOrders[EffectiveQty]&gt;0)*T_PlannedOrders[Order_Month])),"m月")&amp;"発注)")</f>
        <v/>
      </c>
      <c r="BR267">
        <f>IF(SUMIFS(T_PlannedOrders[EffectiveQty],T_PlannedOrders[Part Name],$A241,T_PlannedOrders[WeekIndex],67)=0,"",SUMIFS(T_PlannedOrders[EffectiveQty],T_PlannedOrders[Part Name],$A241,T_PlannedOrders[WeekIndex],67)&amp;" ("&amp;TEXT(SUMPRODUCT(MAX((T_PlannedOrders[Part Name]=$A241)*(T_PlannedOrders[WeekIndex]=67)*(T_PlannedOrders[EffectiveQty]&gt;0)*T_PlannedOrders[Order_Month])),"m月")&amp;"発注)")</f>
        <v/>
      </c>
      <c r="BS267">
        <f>IF(SUMIFS(T_PlannedOrders[EffectiveQty],T_PlannedOrders[Part Name],$A241,T_PlannedOrders[WeekIndex],68)=0,"",SUMIFS(T_PlannedOrders[EffectiveQty],T_PlannedOrders[Part Name],$A241,T_PlannedOrders[WeekIndex],68)&amp;" ("&amp;TEXT(SUMPRODUCT(MAX((T_PlannedOrders[Part Name]=$A241)*(T_PlannedOrders[WeekIndex]=68)*(T_PlannedOrders[EffectiveQty]&gt;0)*T_PlannedOrders[Order_Month])),"m月")&amp;"発注)")</f>
        <v/>
      </c>
      <c r="BT267">
        <f>IF(SUMIFS(T_PlannedOrders[EffectiveQty],T_PlannedOrders[Part Name],$A241,T_PlannedOrders[WeekIndex],69)=0,"",SUMIFS(T_PlannedOrders[EffectiveQty],T_PlannedOrders[Part Name],$A241,T_PlannedOrders[WeekIndex],69)&amp;" ("&amp;TEXT(SUMPRODUCT(MAX((T_PlannedOrders[Part Name]=$A241)*(T_PlannedOrders[WeekIndex]=69)*(T_PlannedOrders[EffectiveQty]&gt;0)*T_PlannedOrders[Order_Month])),"m月")&amp;"発注)")</f>
        <v/>
      </c>
      <c r="BU267">
        <f>IF(SUMIFS(T_PlannedOrders[EffectiveQty],T_PlannedOrders[Part Name],$A241,T_PlannedOrders[WeekIndex],70)=0,"",SUMIFS(T_PlannedOrders[EffectiveQty],T_PlannedOrders[Part Name],$A241,T_PlannedOrders[WeekIndex],70)&amp;" ("&amp;TEXT(SUMPRODUCT(MAX((T_PlannedOrders[Part Name]=$A241)*(T_PlannedOrders[WeekIndex]=70)*(T_PlannedOrders[EffectiveQty]&gt;0)*T_PlannedOrders[Order_Month])),"m月")&amp;"発注)")</f>
        <v/>
      </c>
      <c r="BV267">
        <f>IF(SUMIFS(T_PlannedOrders[EffectiveQty],T_PlannedOrders[Part Name],$A241,T_PlannedOrders[WeekIndex],71)=0,"",SUMIFS(T_PlannedOrders[EffectiveQty],T_PlannedOrders[Part Name],$A241,T_PlannedOrders[WeekIndex],71)&amp;" ("&amp;TEXT(SUMPRODUCT(MAX((T_PlannedOrders[Part Name]=$A241)*(T_PlannedOrders[WeekIndex]=71)*(T_PlannedOrders[EffectiveQty]&gt;0)*T_PlannedOrders[Order_Month])),"m月")&amp;"発注)")</f>
        <v/>
      </c>
      <c r="BW267">
        <f>IF(SUMIFS(T_PlannedOrders[EffectiveQty],T_PlannedOrders[Part Name],$A241,T_PlannedOrders[WeekIndex],72)=0,"",SUMIFS(T_PlannedOrders[EffectiveQty],T_PlannedOrders[Part Name],$A241,T_PlannedOrders[WeekIndex],72)&amp;" ("&amp;TEXT(SUMPRODUCT(MAX((T_PlannedOrders[Part Name]=$A241)*(T_PlannedOrders[WeekIndex]=72)*(T_PlannedOrders[EffectiveQty]&gt;0)*T_PlannedOrders[Order_Month])),"m月")&amp;"発注)")</f>
        <v/>
      </c>
      <c r="BX267">
        <f>IF(SUMIFS(T_PlannedOrders[EffectiveQty],T_PlannedOrders[Part Name],$A241,T_PlannedOrders[WeekIndex],73)=0,"",SUMIFS(T_PlannedOrders[EffectiveQty],T_PlannedOrders[Part Name],$A241,T_PlannedOrders[WeekIndex],73)&amp;" ("&amp;TEXT(SUMPRODUCT(MAX((T_PlannedOrders[Part Name]=$A241)*(T_PlannedOrders[WeekIndex]=73)*(T_PlannedOrders[EffectiveQty]&gt;0)*T_PlannedOrders[Order_Month])),"m月")&amp;"発注)")</f>
        <v/>
      </c>
      <c r="BY267">
        <f>IF(SUMIFS(T_PlannedOrders[EffectiveQty],T_PlannedOrders[Part Name],$A241,T_PlannedOrders[WeekIndex],74)=0,"",SUMIFS(T_PlannedOrders[EffectiveQty],T_PlannedOrders[Part Name],$A241,T_PlannedOrders[WeekIndex],74)&amp;" ("&amp;TEXT(SUMPRODUCT(MAX((T_PlannedOrders[Part Name]=$A241)*(T_PlannedOrders[WeekIndex]=74)*(T_PlannedOrders[EffectiveQty]&gt;0)*T_PlannedOrders[Order_Month])),"m月")&amp;"発注)")</f>
        <v/>
      </c>
      <c r="BZ267">
        <f>IF(SUMIFS(T_PlannedOrders[EffectiveQty],T_PlannedOrders[Part Name],$A241,T_PlannedOrders[WeekIndex],75)=0,"",SUMIFS(T_PlannedOrders[EffectiveQty],T_PlannedOrders[Part Name],$A241,T_PlannedOrders[WeekIndex],75)&amp;" ("&amp;TEXT(SUMPRODUCT(MAX((T_PlannedOrders[Part Name]=$A241)*(T_PlannedOrders[WeekIndex]=75)*(T_PlannedOrders[EffectiveQty]&gt;0)*T_PlannedOrders[Order_Month])),"m月")&amp;"発注)")</f>
        <v/>
      </c>
      <c r="CA267">
        <f>IF(SUMIFS(T_PlannedOrders[EffectiveQty],T_PlannedOrders[Part Name],$A241,T_PlannedOrders[WeekIndex],76)=0,"",SUMIFS(T_PlannedOrders[EffectiveQty],T_PlannedOrders[Part Name],$A241,T_PlannedOrders[WeekIndex],76)&amp;" ("&amp;TEXT(SUMPRODUCT(MAX((T_PlannedOrders[Part Name]=$A241)*(T_PlannedOrders[WeekIndex]=76)*(T_PlannedOrders[EffectiveQty]&gt;0)*T_PlannedOrders[Order_Month])),"m月")&amp;"発注)")</f>
        <v/>
      </c>
      <c r="CB267">
        <f>IF(SUMIFS(T_PlannedOrders[EffectiveQty],T_PlannedOrders[Part Name],$A241,T_PlannedOrders[WeekIndex],77)=0,"",SUMIFS(T_PlannedOrders[EffectiveQty],T_PlannedOrders[Part Name],$A241,T_PlannedOrders[WeekIndex],77)&amp;" ("&amp;TEXT(SUMPRODUCT(MAX((T_PlannedOrders[Part Name]=$A241)*(T_PlannedOrders[WeekIndex]=77)*(T_PlannedOrders[EffectiveQty]&gt;0)*T_PlannedOrders[Order_Month])),"m月")&amp;"発注)")</f>
        <v/>
      </c>
      <c r="CC267">
        <f>IF(SUMIFS(T_PlannedOrders[EffectiveQty],T_PlannedOrders[Part Name],$A241,T_PlannedOrders[WeekIndex],78)=0,"",SUMIFS(T_PlannedOrders[EffectiveQty],T_PlannedOrders[Part Name],$A241,T_PlannedOrders[WeekIndex],78)&amp;" ("&amp;TEXT(SUMPRODUCT(MAX((T_PlannedOrders[Part Name]=$A241)*(T_PlannedOrders[WeekIndex]=78)*(T_PlannedOrders[EffectiveQty]&gt;0)*T_PlannedOrders[Order_Month])),"m月")&amp;"発注)")</f>
        <v/>
      </c>
      <c r="CD267">
        <f>IF(SUMIFS(T_PlannedOrders[EffectiveQty],T_PlannedOrders[Part Name],$A241,T_PlannedOrders[WeekIndex],79)=0,"",SUMIFS(T_PlannedOrders[EffectiveQty],T_PlannedOrders[Part Name],$A241,T_PlannedOrders[WeekIndex],79)&amp;" ("&amp;TEXT(SUMPRODUCT(MAX((T_PlannedOrders[Part Name]=$A241)*(T_PlannedOrders[WeekIndex]=79)*(T_PlannedOrders[EffectiveQty]&gt;0)*T_PlannedOrders[Order_Month])),"m月")&amp;"発注)")</f>
        <v/>
      </c>
      <c r="CE267">
        <f>IF(SUMIFS(T_PlannedOrders[EffectiveQty],T_PlannedOrders[Part Name],$A241,T_PlannedOrders[WeekIndex],80)=0,"",SUMIFS(T_PlannedOrders[EffectiveQty],T_PlannedOrders[Part Name],$A241,T_PlannedOrders[WeekIndex],80)&amp;" ("&amp;TEXT(SUMPRODUCT(MAX((T_PlannedOrders[Part Name]=$A241)*(T_PlannedOrders[WeekIndex]=80)*(T_PlannedOrders[EffectiveQty]&gt;0)*T_PlannedOrders[Order_Month])),"m月")&amp;"発注)")</f>
        <v/>
      </c>
      <c r="CF267">
        <f>IF(SUMIFS(T_PlannedOrders[EffectiveQty],T_PlannedOrders[Part Name],$A241,T_PlannedOrders[WeekIndex],81)=0,"",SUMIFS(T_PlannedOrders[EffectiveQty],T_PlannedOrders[Part Name],$A241,T_PlannedOrders[WeekIndex],81)&amp;" ("&amp;TEXT(SUMPRODUCT(MAX((T_PlannedOrders[Part Name]=$A241)*(T_PlannedOrders[WeekIndex]=81)*(T_PlannedOrders[EffectiveQty]&gt;0)*T_PlannedOrders[Order_Month])),"m月")&amp;"発注)")</f>
        <v/>
      </c>
      <c r="CG267">
        <f>IF(SUMIFS(T_PlannedOrders[EffectiveQty],T_PlannedOrders[Part Name],$A241,T_PlannedOrders[WeekIndex],82)=0,"",SUMIFS(T_PlannedOrders[EffectiveQty],T_PlannedOrders[Part Name],$A241,T_PlannedOrders[WeekIndex],82)&amp;" ("&amp;TEXT(SUMPRODUCT(MAX((T_PlannedOrders[Part Name]=$A241)*(T_PlannedOrders[WeekIndex]=82)*(T_PlannedOrders[EffectiveQty]&gt;0)*T_PlannedOrders[Order_Month])),"m月")&amp;"発注)")</f>
        <v/>
      </c>
      <c r="CH267">
        <f>IF(SUMIFS(T_PlannedOrders[EffectiveQty],T_PlannedOrders[Part Name],$A241,T_PlannedOrders[WeekIndex],83)=0,"",SUMIFS(T_PlannedOrders[EffectiveQty],T_PlannedOrders[Part Name],$A241,T_PlannedOrders[WeekIndex],83)&amp;" ("&amp;TEXT(SUMPRODUCT(MAX((T_PlannedOrders[Part Name]=$A241)*(T_PlannedOrders[WeekIndex]=83)*(T_PlannedOrders[EffectiveQty]&gt;0)*T_PlannedOrders[Order_Month])),"m月")&amp;"発注)")</f>
        <v/>
      </c>
      <c r="CI267">
        <f>IF(SUMIFS(T_PlannedOrders[EffectiveQty],T_PlannedOrders[Part Name],$A241,T_PlannedOrders[WeekIndex],84)=0,"",SUMIFS(T_PlannedOrders[EffectiveQty],T_PlannedOrders[Part Name],$A241,T_PlannedOrders[WeekIndex],84)&amp;" ("&amp;TEXT(SUMPRODUCT(MAX((T_PlannedOrders[Part Name]=$A241)*(T_PlannedOrders[WeekIndex]=84)*(T_PlannedOrders[EffectiveQty]&gt;0)*T_PlannedOrders[Order_Month])),"m月")&amp;"発注)")</f>
        <v/>
      </c>
      <c r="CJ267">
        <f>IF(SUMIFS(T_PlannedOrders[EffectiveQty],T_PlannedOrders[Part Name],$A241,T_PlannedOrders[WeekIndex],85)=0,"",SUMIFS(T_PlannedOrders[EffectiveQty],T_PlannedOrders[Part Name],$A241,T_PlannedOrders[WeekIndex],85)&amp;" ("&amp;TEXT(SUMPRODUCT(MAX((T_PlannedOrders[Part Name]=$A241)*(T_PlannedOrders[WeekIndex]=85)*(T_PlannedOrders[EffectiveQty]&gt;0)*T_PlannedOrders[Order_Month])),"m月")&amp;"発注)")</f>
        <v/>
      </c>
      <c r="CK267">
        <f>IF(SUMIFS(T_PlannedOrders[EffectiveQty],T_PlannedOrders[Part Name],$A241,T_PlannedOrders[WeekIndex],86)=0,"",SUMIFS(T_PlannedOrders[EffectiveQty],T_PlannedOrders[Part Name],$A241,T_PlannedOrders[WeekIndex],86)&amp;" ("&amp;TEXT(SUMPRODUCT(MAX((T_PlannedOrders[Part Name]=$A241)*(T_PlannedOrders[WeekIndex]=86)*(T_PlannedOrders[EffectiveQty]&gt;0)*T_PlannedOrders[Order_Month])),"m月")&amp;"発注)")</f>
        <v/>
      </c>
      <c r="CL267">
        <f>IF(SUMIFS(T_PlannedOrders[EffectiveQty],T_PlannedOrders[Part Name],$A241,T_PlannedOrders[WeekIndex],87)=0,"",SUMIFS(T_PlannedOrders[EffectiveQty],T_PlannedOrders[Part Name],$A241,T_PlannedOrders[WeekIndex],87)&amp;" ("&amp;TEXT(SUMPRODUCT(MAX((T_PlannedOrders[Part Name]=$A241)*(T_PlannedOrders[WeekIndex]=87)*(T_PlannedOrders[EffectiveQty]&gt;0)*T_PlannedOrders[Order_Month])),"m月")&amp;"発注)")</f>
        <v/>
      </c>
      <c r="CM267">
        <f>IF(SUMIFS(T_PlannedOrders[EffectiveQty],T_PlannedOrders[Part Name],$A241,T_PlannedOrders[WeekIndex],88)=0,"",SUMIFS(T_PlannedOrders[EffectiveQty],T_PlannedOrders[Part Name],$A241,T_PlannedOrders[WeekIndex],88)&amp;" ("&amp;TEXT(SUMPRODUCT(MAX((T_PlannedOrders[Part Name]=$A241)*(T_PlannedOrders[WeekIndex]=88)*(T_PlannedOrders[EffectiveQty]&gt;0)*T_PlannedOrders[Order_Month])),"m月")&amp;"発注)")</f>
        <v/>
      </c>
      <c r="CN267">
        <f>IF(SUMIFS(T_PlannedOrders[EffectiveQty],T_PlannedOrders[Part Name],$A241,T_PlannedOrders[WeekIndex],89)=0,"",SUMIFS(T_PlannedOrders[EffectiveQty],T_PlannedOrders[Part Name],$A241,T_PlannedOrders[WeekIndex],89)&amp;" ("&amp;TEXT(SUMPRODUCT(MAX((T_PlannedOrders[Part Name]=$A241)*(T_PlannedOrders[WeekIndex]=89)*(T_PlannedOrders[EffectiveQty]&gt;0)*T_PlannedOrders[Order_Month])),"m月")&amp;"発注)")</f>
        <v/>
      </c>
      <c r="CO267">
        <f>IF(SUMIFS(T_PlannedOrders[EffectiveQty],T_PlannedOrders[Part Name],$A241,T_PlannedOrders[WeekIndex],90)=0,"",SUMIFS(T_PlannedOrders[EffectiveQty],T_PlannedOrders[Part Name],$A241,T_PlannedOrders[WeekIndex],90)&amp;" ("&amp;TEXT(SUMPRODUCT(MAX((T_PlannedOrders[Part Name]=$A241)*(T_PlannedOrders[WeekIndex]=90)*(T_PlannedOrders[EffectiveQty]&gt;0)*T_PlannedOrders[Order_Month])),"m月")&amp;"発注)")</f>
        <v/>
      </c>
      <c r="CP267">
        <f>IF(SUMIFS(T_PlannedOrders[EffectiveQty],T_PlannedOrders[Part Name],$A241,T_PlannedOrders[WeekIndex],91)=0,"",SUMIFS(T_PlannedOrders[EffectiveQty],T_PlannedOrders[Part Name],$A241,T_PlannedOrders[WeekIndex],91)&amp;" ("&amp;TEXT(SUMPRODUCT(MAX((T_PlannedOrders[Part Name]=$A241)*(T_PlannedOrders[WeekIndex]=91)*(T_PlannedOrders[EffectiveQty]&gt;0)*T_PlannedOrders[Order_Month])),"m月")&amp;"発注)")</f>
        <v/>
      </c>
      <c r="CQ267">
        <f>IF(SUMIFS(T_PlannedOrders[EffectiveQty],T_PlannedOrders[Part Name],$A241,T_PlannedOrders[WeekIndex],92)=0,"",SUMIFS(T_PlannedOrders[EffectiveQty],T_PlannedOrders[Part Name],$A241,T_PlannedOrders[WeekIndex],92)&amp;" ("&amp;TEXT(SUMPRODUCT(MAX((T_PlannedOrders[Part Name]=$A241)*(T_PlannedOrders[WeekIndex]=92)*(T_PlannedOrders[EffectiveQty]&gt;0)*T_PlannedOrders[Order_Month])),"m月")&amp;"発注)")</f>
        <v/>
      </c>
      <c r="CR267">
        <f>IF(SUMIFS(T_PlannedOrders[EffectiveQty],T_PlannedOrders[Part Name],$A241,T_PlannedOrders[WeekIndex],93)=0,"",SUMIFS(T_PlannedOrders[EffectiveQty],T_PlannedOrders[Part Name],$A241,T_PlannedOrders[WeekIndex],93)&amp;" ("&amp;TEXT(SUMPRODUCT(MAX((T_PlannedOrders[Part Name]=$A241)*(T_PlannedOrders[WeekIndex]=93)*(T_PlannedOrders[EffectiveQty]&gt;0)*T_PlannedOrders[Order_Month])),"m月")&amp;"発注)")</f>
        <v/>
      </c>
      <c r="CS267">
        <f>IF(SUMIFS(T_PlannedOrders[EffectiveQty],T_PlannedOrders[Part Name],$A241,T_PlannedOrders[WeekIndex],94)=0,"",SUMIFS(T_PlannedOrders[EffectiveQty],T_PlannedOrders[Part Name],$A241,T_PlannedOrders[WeekIndex],94)&amp;" ("&amp;TEXT(SUMPRODUCT(MAX((T_PlannedOrders[Part Name]=$A241)*(T_PlannedOrders[WeekIndex]=94)*(T_PlannedOrders[EffectiveQty]&gt;0)*T_PlannedOrders[Order_Month])),"m月")&amp;"発注)")</f>
        <v/>
      </c>
      <c r="CT267">
        <f>IF(SUMIFS(T_PlannedOrders[EffectiveQty],T_PlannedOrders[Part Name],$A241,T_PlannedOrders[WeekIndex],95)=0,"",SUMIFS(T_PlannedOrders[EffectiveQty],T_PlannedOrders[Part Name],$A241,T_PlannedOrders[WeekIndex],95)&amp;" ("&amp;TEXT(SUMPRODUCT(MAX((T_PlannedOrders[Part Name]=$A241)*(T_PlannedOrders[WeekIndex]=95)*(T_PlannedOrders[EffectiveQty]&gt;0)*T_PlannedOrders[Order_Month])),"m月")&amp;"発注)")</f>
        <v/>
      </c>
      <c r="CU267">
        <f>IF(SUMIFS(T_PlannedOrders[EffectiveQty],T_PlannedOrders[Part Name],$A241,T_PlannedOrders[WeekIndex],96)=0,"",SUMIFS(T_PlannedOrders[EffectiveQty],T_PlannedOrders[Part Name],$A241,T_PlannedOrders[WeekIndex],96)&amp;" ("&amp;TEXT(SUMPRODUCT(MAX((T_PlannedOrders[Part Name]=$A241)*(T_PlannedOrders[WeekIndex]=96)*(T_PlannedOrders[EffectiveQty]&gt;0)*T_PlannedOrders[Order_Month])),"m月")&amp;"発注)")</f>
        <v/>
      </c>
      <c r="CV267">
        <f>IF(SUMIFS(T_PlannedOrders[EffectiveQty],T_PlannedOrders[Part Name],$A241,T_PlannedOrders[WeekIndex],97)=0,"",SUMIFS(T_PlannedOrders[EffectiveQty],T_PlannedOrders[Part Name],$A241,T_PlannedOrders[WeekIndex],97)&amp;" ("&amp;TEXT(SUMPRODUCT(MAX((T_PlannedOrders[Part Name]=$A241)*(T_PlannedOrders[WeekIndex]=97)*(T_PlannedOrders[EffectiveQty]&gt;0)*T_PlannedOrders[Order_Month])),"m月")&amp;"発注)")</f>
        <v/>
      </c>
      <c r="CW267">
        <f>IF(SUMIFS(T_PlannedOrders[EffectiveQty],T_PlannedOrders[Part Name],$A241,T_PlannedOrders[WeekIndex],98)=0,"",SUMIFS(T_PlannedOrders[EffectiveQty],T_PlannedOrders[Part Name],$A241,T_PlannedOrders[WeekIndex],98)&amp;" ("&amp;TEXT(SUMPRODUCT(MAX((T_PlannedOrders[Part Name]=$A241)*(T_PlannedOrders[WeekIndex]=98)*(T_PlannedOrders[EffectiveQty]&gt;0)*T_PlannedOrders[Order_Month])),"m月")&amp;"発注)")</f>
        <v/>
      </c>
      <c r="CX267">
        <f>IF(SUMIFS(T_PlannedOrders[EffectiveQty],T_PlannedOrders[Part Name],$A241,T_PlannedOrders[WeekIndex],99)=0,"",SUMIFS(T_PlannedOrders[EffectiveQty],T_PlannedOrders[Part Name],$A241,T_PlannedOrders[WeekIndex],99)&amp;" ("&amp;TEXT(SUMPRODUCT(MAX((T_PlannedOrders[Part Name]=$A241)*(T_PlannedOrders[WeekIndex]=99)*(T_PlannedOrders[EffectiveQty]&gt;0)*T_PlannedOrders[Order_Month])),"m月")&amp;"発注)")</f>
        <v/>
      </c>
      <c r="CY267">
        <f>IF(SUMIFS(T_PlannedOrders[EffectiveQty],T_PlannedOrders[Part Name],$A241,T_PlannedOrders[WeekIndex],100)=0,"",SUMIFS(T_PlannedOrders[EffectiveQty],T_PlannedOrders[Part Name],$A241,T_PlannedOrders[WeekIndex],100)&amp;" ("&amp;TEXT(SUMPRODUCT(MAX((T_PlannedOrders[Part Name]=$A241)*(T_PlannedOrders[WeekIndex]=100)*(T_PlannedOrders[EffectiveQty]&gt;0)*T_PlannedOrders[Order_Month])),"m月")&amp;"発注)")</f>
        <v/>
      </c>
      <c r="CZ267">
        <f>IF(SUMIFS(T_PlannedOrders[EffectiveQty],T_PlannedOrders[Part Name],$A241,T_PlannedOrders[WeekIndex],101)=0,"",SUMIFS(T_PlannedOrders[EffectiveQty],T_PlannedOrders[Part Name],$A241,T_PlannedOrders[WeekIndex],101)&amp;" ("&amp;TEXT(SUMPRODUCT(MAX((T_PlannedOrders[Part Name]=$A241)*(T_PlannedOrders[WeekIndex]=101)*(T_PlannedOrders[EffectiveQty]&gt;0)*T_PlannedOrders[Order_Month])),"m月")&amp;"発注)")</f>
        <v/>
      </c>
      <c r="DA267">
        <f>IF(SUMIFS(T_PlannedOrders[EffectiveQty],T_PlannedOrders[Part Name],$A241,T_PlannedOrders[WeekIndex],102)=0,"",SUMIFS(T_PlannedOrders[EffectiveQty],T_PlannedOrders[Part Name],$A241,T_PlannedOrders[WeekIndex],102)&amp;" ("&amp;TEXT(SUMPRODUCT(MAX((T_PlannedOrders[Part Name]=$A241)*(T_PlannedOrders[WeekIndex]=102)*(T_PlannedOrders[EffectiveQty]&gt;0)*T_PlannedOrders[Order_Month])),"m月")&amp;"発注)")</f>
        <v/>
      </c>
      <c r="DB267">
        <f>IF(SUMIFS(T_PlannedOrders[EffectiveQty],T_PlannedOrders[Part Name],$A241,T_PlannedOrders[WeekIndex],103)=0,"",SUMIFS(T_PlannedOrders[EffectiveQty],T_PlannedOrders[Part Name],$A241,T_PlannedOrders[WeekIndex],103)&amp;" ("&amp;TEXT(SUMPRODUCT(MAX((T_PlannedOrders[Part Name]=$A241)*(T_PlannedOrders[WeekIndex]=103)*(T_PlannedOrders[EffectiveQty]&gt;0)*T_PlannedOrders[Order_Month])),"m月")&amp;"発注)")</f>
        <v/>
      </c>
      <c r="DC267">
        <f>IF(SUMIFS(T_PlannedOrders[EffectiveQty],T_PlannedOrders[Part Name],$A241,T_PlannedOrders[WeekIndex],104)=0,"",SUMIFS(T_PlannedOrders[EffectiveQty],T_PlannedOrders[Part Name],$A241,T_PlannedOrders[WeekIndex],104)&amp;" ("&amp;TEXT(SUMPRODUCT(MAX((T_PlannedOrders[Part Name]=$A241)*(T_PlannedOrders[WeekIndex]=104)*(T_PlannedOrders[EffectiveQty]&gt;0)*T_PlannedOrders[Order_Month])),"m月")&amp;"発注)")</f>
        <v/>
      </c>
    </row>
    <row r="268">
      <c r="B268" s="5" t="inlineStr">
        <is>
          <t>合計在庫(週末時点,kg)</t>
        </is>
      </c>
      <c r="D268">
        <f>'Grid_Stock'!B7</f>
        <v/>
      </c>
      <c r="E268">
        <f>'Grid_Stock'!C7</f>
        <v/>
      </c>
      <c r="F268">
        <f>'Grid_Stock'!D7</f>
        <v/>
      </c>
      <c r="G268">
        <f>'Grid_Stock'!E7</f>
        <v/>
      </c>
      <c r="H268">
        <f>'Grid_Stock'!F7</f>
        <v/>
      </c>
      <c r="I268">
        <f>'Grid_Stock'!G7</f>
        <v/>
      </c>
      <c r="J268">
        <f>'Grid_Stock'!H7</f>
        <v/>
      </c>
      <c r="K268">
        <f>'Grid_Stock'!I7</f>
        <v/>
      </c>
      <c r="L268">
        <f>'Grid_Stock'!J7</f>
        <v/>
      </c>
      <c r="M268">
        <f>'Grid_Stock'!K7</f>
        <v/>
      </c>
      <c r="N268">
        <f>'Grid_Stock'!L7</f>
        <v/>
      </c>
      <c r="O268">
        <f>'Grid_Stock'!M7</f>
        <v/>
      </c>
      <c r="P268">
        <f>'Grid_Stock'!N7</f>
        <v/>
      </c>
      <c r="Q268">
        <f>'Grid_Stock'!O7</f>
        <v/>
      </c>
      <c r="R268">
        <f>'Grid_Stock'!P7</f>
        <v/>
      </c>
      <c r="S268">
        <f>'Grid_Stock'!Q7</f>
        <v/>
      </c>
      <c r="T268">
        <f>'Grid_Stock'!R7</f>
        <v/>
      </c>
      <c r="U268">
        <f>'Grid_Stock'!S7</f>
        <v/>
      </c>
      <c r="V268">
        <f>'Grid_Stock'!T7</f>
        <v/>
      </c>
      <c r="W268">
        <f>'Grid_Stock'!U7</f>
        <v/>
      </c>
      <c r="X268">
        <f>'Grid_Stock'!V7</f>
        <v/>
      </c>
      <c r="Y268">
        <f>'Grid_Stock'!W7</f>
        <v/>
      </c>
      <c r="Z268">
        <f>'Grid_Stock'!X7</f>
        <v/>
      </c>
      <c r="AA268">
        <f>'Grid_Stock'!Y7</f>
        <v/>
      </c>
      <c r="AB268">
        <f>'Grid_Stock'!Z7</f>
        <v/>
      </c>
      <c r="AC268">
        <f>'Grid_Stock'!AA7</f>
        <v/>
      </c>
      <c r="AD268">
        <f>'Grid_Stock'!AB7</f>
        <v/>
      </c>
      <c r="AE268">
        <f>'Grid_Stock'!AC7</f>
        <v/>
      </c>
      <c r="AF268">
        <f>'Grid_Stock'!AD7</f>
        <v/>
      </c>
      <c r="AG268">
        <f>'Grid_Stock'!AE7</f>
        <v/>
      </c>
      <c r="AH268">
        <f>'Grid_Stock'!AF7</f>
        <v/>
      </c>
      <c r="AI268">
        <f>'Grid_Stock'!AG7</f>
        <v/>
      </c>
      <c r="AJ268">
        <f>'Grid_Stock'!AH7</f>
        <v/>
      </c>
      <c r="AK268">
        <f>'Grid_Stock'!AI7</f>
        <v/>
      </c>
      <c r="AL268">
        <f>'Grid_Stock'!AJ7</f>
        <v/>
      </c>
      <c r="AM268">
        <f>'Grid_Stock'!AK7</f>
        <v/>
      </c>
      <c r="AN268">
        <f>'Grid_Stock'!AL7</f>
        <v/>
      </c>
      <c r="AO268">
        <f>'Grid_Stock'!AM7</f>
        <v/>
      </c>
      <c r="AP268">
        <f>'Grid_Stock'!AN7</f>
        <v/>
      </c>
      <c r="AQ268">
        <f>'Grid_Stock'!AO7</f>
        <v/>
      </c>
      <c r="AR268">
        <f>'Grid_Stock'!AP7</f>
        <v/>
      </c>
      <c r="AS268">
        <f>'Grid_Stock'!AQ7</f>
        <v/>
      </c>
      <c r="AT268">
        <f>'Grid_Stock'!AR7</f>
        <v/>
      </c>
      <c r="AU268">
        <f>'Grid_Stock'!AS7</f>
        <v/>
      </c>
      <c r="AV268">
        <f>'Grid_Stock'!AT7</f>
        <v/>
      </c>
      <c r="AW268">
        <f>'Grid_Stock'!AU7</f>
        <v/>
      </c>
      <c r="AX268">
        <f>'Grid_Stock'!AV7</f>
        <v/>
      </c>
      <c r="AY268">
        <f>'Grid_Stock'!AW7</f>
        <v/>
      </c>
      <c r="AZ268">
        <f>'Grid_Stock'!AX7</f>
        <v/>
      </c>
      <c r="BA268">
        <f>'Grid_Stock'!AY7</f>
        <v/>
      </c>
      <c r="BB268">
        <f>'Grid_Stock'!AZ7</f>
        <v/>
      </c>
      <c r="BC268">
        <f>'Grid_Stock'!BA7</f>
        <v/>
      </c>
      <c r="BD268">
        <f>'Grid_Stock'!BB7</f>
        <v/>
      </c>
      <c r="BE268">
        <f>'Grid_Stock'!BC7</f>
        <v/>
      </c>
      <c r="BF268">
        <f>'Grid_Stock'!BD7</f>
        <v/>
      </c>
      <c r="BG268">
        <f>'Grid_Stock'!BE7</f>
        <v/>
      </c>
      <c r="BH268">
        <f>'Grid_Stock'!BF7</f>
        <v/>
      </c>
      <c r="BI268">
        <f>'Grid_Stock'!BG7</f>
        <v/>
      </c>
      <c r="BJ268">
        <f>'Grid_Stock'!BH7</f>
        <v/>
      </c>
      <c r="BK268">
        <f>'Grid_Stock'!BI7</f>
        <v/>
      </c>
      <c r="BL268">
        <f>'Grid_Stock'!BJ7</f>
        <v/>
      </c>
      <c r="BM268">
        <f>'Grid_Stock'!BK7</f>
        <v/>
      </c>
      <c r="BN268">
        <f>'Grid_Stock'!BL7</f>
        <v/>
      </c>
      <c r="BO268">
        <f>'Grid_Stock'!BM7</f>
        <v/>
      </c>
      <c r="BP268">
        <f>'Grid_Stock'!BN7</f>
        <v/>
      </c>
      <c r="BQ268">
        <f>'Grid_Stock'!BO7</f>
        <v/>
      </c>
      <c r="BR268">
        <f>'Grid_Stock'!BP7</f>
        <v/>
      </c>
      <c r="BS268">
        <f>'Grid_Stock'!BQ7</f>
        <v/>
      </c>
      <c r="BT268">
        <f>'Grid_Stock'!BR7</f>
        <v/>
      </c>
      <c r="BU268">
        <f>'Grid_Stock'!BS7</f>
        <v/>
      </c>
      <c r="BV268">
        <f>'Grid_Stock'!BT7</f>
        <v/>
      </c>
      <c r="BW268">
        <f>'Grid_Stock'!BU7</f>
        <v/>
      </c>
      <c r="BX268">
        <f>'Grid_Stock'!BV7</f>
        <v/>
      </c>
      <c r="BY268">
        <f>'Grid_Stock'!BW7</f>
        <v/>
      </c>
      <c r="BZ268">
        <f>'Grid_Stock'!BX7</f>
        <v/>
      </c>
      <c r="CA268">
        <f>'Grid_Stock'!BY7</f>
        <v/>
      </c>
      <c r="CB268">
        <f>'Grid_Stock'!BZ7</f>
        <v/>
      </c>
      <c r="CC268">
        <f>'Grid_Stock'!CA7</f>
        <v/>
      </c>
      <c r="CD268">
        <f>'Grid_Stock'!CB7</f>
        <v/>
      </c>
      <c r="CE268">
        <f>'Grid_Stock'!CC7</f>
        <v/>
      </c>
      <c r="CF268">
        <f>'Grid_Stock'!CD7</f>
        <v/>
      </c>
      <c r="CG268">
        <f>'Grid_Stock'!CE7</f>
        <v/>
      </c>
      <c r="CH268">
        <f>'Grid_Stock'!CF7</f>
        <v/>
      </c>
      <c r="CI268">
        <f>'Grid_Stock'!CG7</f>
        <v/>
      </c>
      <c r="CJ268">
        <f>'Grid_Stock'!CH7</f>
        <v/>
      </c>
      <c r="CK268">
        <f>'Grid_Stock'!CI7</f>
        <v/>
      </c>
      <c r="CL268">
        <f>'Grid_Stock'!CJ7</f>
        <v/>
      </c>
      <c r="CM268">
        <f>'Grid_Stock'!CK7</f>
        <v/>
      </c>
      <c r="CN268">
        <f>'Grid_Stock'!CL7</f>
        <v/>
      </c>
      <c r="CO268">
        <f>'Grid_Stock'!CM7</f>
        <v/>
      </c>
      <c r="CP268">
        <f>'Grid_Stock'!CN7</f>
        <v/>
      </c>
      <c r="CQ268">
        <f>'Grid_Stock'!CO7</f>
        <v/>
      </c>
      <c r="CR268">
        <f>'Grid_Stock'!CP7</f>
        <v/>
      </c>
      <c r="CS268">
        <f>'Grid_Stock'!CQ7</f>
        <v/>
      </c>
      <c r="CT268">
        <f>'Grid_Stock'!CR7</f>
        <v/>
      </c>
      <c r="CU268">
        <f>'Grid_Stock'!CS7</f>
        <v/>
      </c>
      <c r="CV268">
        <f>'Grid_Stock'!CT7</f>
        <v/>
      </c>
      <c r="CW268">
        <f>'Grid_Stock'!CU7</f>
        <v/>
      </c>
      <c r="CX268">
        <f>'Grid_Stock'!CV7</f>
        <v/>
      </c>
      <c r="CY268">
        <f>'Grid_Stock'!CW7</f>
        <v/>
      </c>
      <c r="CZ268">
        <f>'Grid_Stock'!CX7</f>
        <v/>
      </c>
      <c r="DA268">
        <f>'Grid_Stock'!CY7</f>
        <v/>
      </c>
      <c r="DB268">
        <f>'Grid_Stock'!CZ7</f>
        <v/>
      </c>
      <c r="DC268">
        <f>'Grid_Stock'!DA7</f>
        <v/>
      </c>
    </row>
    <row r="269">
      <c r="B269" s="23" t="inlineStr">
        <is>
          <t>（発注の目安はDashboardの基準在庫[下限/上限]と色分けを参照）</t>
        </is>
      </c>
    </row>
    <row r="271">
      <c r="A271" s="21" t="inlineStr">
        <is>
          <t>CHEM-1420</t>
        </is>
      </c>
      <c r="B271" s="21" t="inlineStr">
        <is>
          <t>HEC SE900</t>
        </is>
      </c>
      <c r="C271" s="22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21" t="n"/>
      <c r="AC271" s="21" t="n"/>
      <c r="AD271" s="21" t="n"/>
      <c r="AE271" s="21" t="n"/>
      <c r="AF271" s="21" t="n"/>
      <c r="AG271" s="21" t="n"/>
      <c r="AH271" s="21" t="n"/>
      <c r="AI271" s="21" t="n"/>
      <c r="AJ271" s="21" t="n"/>
      <c r="AK271" s="21" t="n"/>
      <c r="AL271" s="21" t="n"/>
      <c r="AM271" s="21" t="n"/>
      <c r="AN271" s="21" t="n"/>
      <c r="AO271" s="21" t="n"/>
      <c r="AP271" s="21" t="n"/>
      <c r="AQ271" s="21" t="n"/>
      <c r="AR271" s="21" t="n"/>
      <c r="AS271" s="21" t="n"/>
      <c r="AT271" s="21" t="n"/>
      <c r="AU271" s="21" t="n"/>
      <c r="AV271" s="21" t="n"/>
      <c r="AW271" s="21" t="n"/>
      <c r="AX271" s="21" t="n"/>
      <c r="AY271" s="21" t="n"/>
      <c r="AZ271" s="21" t="n"/>
      <c r="BA271" s="21" t="n"/>
      <c r="BB271" s="21" t="n"/>
      <c r="BC271" s="21" t="n"/>
      <c r="BD271" s="21" t="n"/>
      <c r="BE271" s="21" t="n"/>
      <c r="BF271" s="21" t="n"/>
      <c r="BG271" s="21" t="n"/>
      <c r="BH271" s="21" t="n"/>
      <c r="BI271" s="21" t="n"/>
      <c r="BJ271" s="21" t="n"/>
      <c r="BK271" s="21" t="n"/>
      <c r="BL271" s="21" t="n"/>
      <c r="BM271" s="21" t="n"/>
      <c r="BN271" s="21" t="n"/>
      <c r="BO271" s="21" t="n"/>
      <c r="BP271" s="21" t="n"/>
      <c r="BQ271" s="21" t="n"/>
      <c r="BR271" s="21" t="n"/>
      <c r="BS271" s="21" t="n"/>
      <c r="BT271" s="21" t="n"/>
      <c r="BU271" s="21" t="n"/>
      <c r="BV271" s="21" t="n"/>
      <c r="BW271" s="21" t="n"/>
      <c r="BX271" s="21" t="n"/>
      <c r="BY271" s="21" t="n"/>
      <c r="BZ271" s="21" t="n"/>
      <c r="CA271" s="21" t="n"/>
      <c r="CB271" s="21" t="n"/>
      <c r="CC271" s="21" t="n"/>
      <c r="CD271" s="21" t="n"/>
      <c r="CE271" s="21" t="n"/>
      <c r="CF271" s="21" t="n"/>
      <c r="CG271" s="21" t="n"/>
      <c r="CH271" s="21" t="n"/>
      <c r="CI271" s="21" t="n"/>
      <c r="CJ271" s="21" t="n"/>
      <c r="CK271" s="21" t="n"/>
      <c r="CL271" s="21" t="n"/>
      <c r="CM271" s="21" t="n"/>
      <c r="CN271" s="21" t="n"/>
      <c r="CO271" s="21" t="n"/>
      <c r="CP271" s="21" t="n"/>
      <c r="CQ271" s="21" t="n"/>
      <c r="CR271" s="21" t="n"/>
      <c r="CS271" s="21" t="n"/>
      <c r="CT271" s="21" t="n"/>
      <c r="CU271" s="21" t="n"/>
      <c r="CV271" s="21" t="n"/>
      <c r="CW271" s="21" t="n"/>
      <c r="CX271" s="21" t="n"/>
      <c r="CY271" s="21" t="n"/>
      <c r="CZ271" s="21" t="n"/>
      <c r="DA271" s="21" t="n"/>
      <c r="DB271" s="21" t="n"/>
      <c r="DC271" s="21" t="n"/>
    </row>
    <row r="272">
      <c r="B272" t="inlineStr">
        <is>
          <t>TSP-049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12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Name],$A271)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TSP-050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12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Name],$A271)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TSP-067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12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Name],$A271)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TSP-069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Name],$A271)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TSP-078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Name],$A271)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TSP-080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Name],$A271)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TSP-104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Name],$A271)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TSP-105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12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Name],$A271)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TSP-1388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12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Name],$A271)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TSP-1444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12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Name],$A271)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TSP-1445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12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Name],$A271)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TSP-1446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Name],$A271)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TSP-1448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Name],$A271)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Name],$A271)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TSP-1499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Name],$A271)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TSP-1555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Name],$A271)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TSP-1558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Name],$A271)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TSP-1559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Name],$A271)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TSP-199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Name],$A271)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TSP-205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Name],$A271)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TSP-206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Name],$A271)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TSP-224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Name],$A271)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TSP-225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12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Name],$A271)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TSP-360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12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Name],$A271)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TSP-367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12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Name],$A271)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TSP-369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12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Name],$A271)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TSP-402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Name],$A271)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TSP-403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Name],$A271)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TSP-404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Name],$A271)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TSP-405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Name],$A271)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TSP-544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Name],$A271)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TSP-558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Name],$A271)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TSP-618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Name],$A271)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TSP-620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Name],$A271)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TSP-623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Name],$A271)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TSP-655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Name],$A271)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t="inlineStr">
        <is>
          <t>TSP-656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Name],$A271)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TSP-668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Name],$A271)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TSP-669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Name],$A271)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TSP-670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Name],$A271)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TSP-710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Name],$A271)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TSP-828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Name],$A271)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TSP-903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Name],$A271)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TSP-924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Name],$A271)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TSP-925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Name],$A271)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TSP-927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Name],$A271)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t="inlineStr">
        <is>
          <t>TSP-928</t>
        </is>
      </c>
      <c r="C364" t="inlineStr">
        <is>
          <t>No. of batches</t>
        </is>
      </c>
      <c r="D364">
        <f>IFERROR(INDEX(PP_Grid[#Data],$DD364,2),0)</f>
        <v/>
      </c>
      <c r="E364">
        <f>IFERROR(INDEX(PP_Grid[#Data],$DD364,3),0)</f>
        <v/>
      </c>
      <c r="F364">
        <f>IFERROR(INDEX(PP_Grid[#Data],$DD364,4),0)</f>
        <v/>
      </c>
      <c r="G364">
        <f>IFERROR(INDEX(PP_Grid[#Data],$DD364,5),0)</f>
        <v/>
      </c>
      <c r="H364">
        <f>IFERROR(INDEX(PP_Grid[#Data],$DD364,6),0)</f>
        <v/>
      </c>
      <c r="I364">
        <f>IFERROR(INDEX(PP_Grid[#Data],$DD364,7),0)</f>
        <v/>
      </c>
      <c r="J364">
        <f>IFERROR(INDEX(PP_Grid[#Data],$DD364,8),0)</f>
        <v/>
      </c>
      <c r="K364">
        <f>IFERROR(INDEX(PP_Grid[#Data],$DD364,9),0)</f>
        <v/>
      </c>
      <c r="L364">
        <f>IFERROR(INDEX(PP_Grid[#Data],$DD364,10),0)</f>
        <v/>
      </c>
      <c r="M364">
        <f>IFERROR(INDEX(PP_Grid[#Data],$DD364,11),0)</f>
        <v/>
      </c>
      <c r="N364">
        <f>IFERROR(INDEX(PP_Grid[#Data],$DD364,12),0)</f>
        <v/>
      </c>
      <c r="O364">
        <f>IFERROR(INDEX(PP_Grid[#Data],$DD364,13),0)</f>
        <v/>
      </c>
      <c r="P364">
        <f>IFERROR(INDEX(PP_Grid[#Data],$DD364,14),0)</f>
        <v/>
      </c>
      <c r="Q364">
        <f>IFERROR(INDEX(PP_Grid[#Data],$DD364,15),0)</f>
        <v/>
      </c>
      <c r="R364">
        <f>IFERROR(INDEX(PP_Grid[#Data],$DD364,16),0)</f>
        <v/>
      </c>
      <c r="S364">
        <f>IFERROR(INDEX(PP_Grid[#Data],$DD364,17),0)</f>
        <v/>
      </c>
      <c r="T364">
        <f>IFERROR(INDEX(PP_Grid[#Data],$DD364,18),0)</f>
        <v/>
      </c>
      <c r="U364">
        <f>IFERROR(INDEX(PP_Grid[#Data],$DD364,19),0)</f>
        <v/>
      </c>
      <c r="V364">
        <f>IFERROR(INDEX(PP_Grid[#Data],$DD364,20),0)</f>
        <v/>
      </c>
      <c r="W364">
        <f>IFERROR(INDEX(PP_Grid[#Data],$DD364,21),0)</f>
        <v/>
      </c>
      <c r="X364">
        <f>IFERROR(INDEX(PP_Grid[#Data],$DD364,22),0)</f>
        <v/>
      </c>
      <c r="Y364">
        <f>IFERROR(INDEX(PP_Grid[#Data],$DD364,23),0)</f>
        <v/>
      </c>
      <c r="Z364">
        <f>IFERROR(INDEX(PP_Grid[#Data],$DD364,24),0)</f>
        <v/>
      </c>
      <c r="AA364">
        <f>IFERROR(INDEX(PP_Grid[#Data],$DD364,25),0)</f>
        <v/>
      </c>
      <c r="AB364">
        <f>IFERROR(INDEX(PP_Grid[#Data],$DD364,26),0)</f>
        <v/>
      </c>
      <c r="AC364">
        <f>IFERROR(INDEX(PP_Grid[#Data],$DD364,27),0)</f>
        <v/>
      </c>
      <c r="AD364">
        <f>IFERROR(INDEX(PP_Grid[#Data],$DD364,28),0)</f>
        <v/>
      </c>
      <c r="AE364">
        <f>IFERROR(INDEX(PP_Grid[#Data],$DD364,29),0)</f>
        <v/>
      </c>
      <c r="AF364">
        <f>IFERROR(INDEX(PP_Grid[#Data],$DD364,30),0)</f>
        <v/>
      </c>
      <c r="AG364">
        <f>IFERROR(INDEX(PP_Grid[#Data],$DD364,31),0)</f>
        <v/>
      </c>
      <c r="AH364">
        <f>IFERROR(INDEX(PP_Grid[#Data],$DD364,32),0)</f>
        <v/>
      </c>
      <c r="AI364">
        <f>IFERROR(INDEX(PP_Grid[#Data],$DD364,33),0)</f>
        <v/>
      </c>
      <c r="AJ364">
        <f>IFERROR(INDEX(PP_Grid[#Data],$DD364,34),0)</f>
        <v/>
      </c>
      <c r="AK364">
        <f>IFERROR(INDEX(PP_Grid[#Data],$DD364,35),0)</f>
        <v/>
      </c>
      <c r="AL364">
        <f>IFERROR(INDEX(PP_Grid[#Data],$DD364,36),0)</f>
        <v/>
      </c>
      <c r="AM364">
        <f>IFERROR(INDEX(PP_Grid[#Data],$DD364,37),0)</f>
        <v/>
      </c>
      <c r="AN364">
        <f>IFERROR(INDEX(PP_Grid[#Data],$DD364,38),0)</f>
        <v/>
      </c>
      <c r="AO364">
        <f>IFERROR(INDEX(PP_Grid[#Data],$DD364,39),0)</f>
        <v/>
      </c>
      <c r="AP364">
        <f>IFERROR(INDEX(PP_Grid[#Data],$DD364,40),0)</f>
        <v/>
      </c>
      <c r="AQ364">
        <f>IFERROR(INDEX(PP_Grid[#Data],$DD364,41),0)</f>
        <v/>
      </c>
      <c r="AR364">
        <f>IFERROR(INDEX(PP_Grid[#Data],$DD364,42),0)</f>
        <v/>
      </c>
      <c r="AS364">
        <f>IFERROR(INDEX(PP_Grid[#Data],$DD364,43),0)</f>
        <v/>
      </c>
      <c r="AT364">
        <f>IFERROR(INDEX(PP_Grid[#Data],$DD364,44),0)</f>
        <v/>
      </c>
      <c r="AU364">
        <f>IFERROR(INDEX(PP_Grid[#Data],$DD364,45),0)</f>
        <v/>
      </c>
      <c r="AV364">
        <f>IFERROR(INDEX(PP_Grid[#Data],$DD364,46),0)</f>
        <v/>
      </c>
      <c r="AW364">
        <f>IFERROR(INDEX(PP_Grid[#Data],$DD364,47),0)</f>
        <v/>
      </c>
      <c r="AX364">
        <f>IFERROR(INDEX(PP_Grid[#Data],$DD364,48),0)</f>
        <v/>
      </c>
      <c r="AY364">
        <f>IFERROR(INDEX(PP_Grid[#Data],$DD364,49),0)</f>
        <v/>
      </c>
      <c r="AZ364">
        <f>IFERROR(INDEX(PP_Grid[#Data],$DD364,50),0)</f>
        <v/>
      </c>
      <c r="BA364">
        <f>IFERROR(INDEX(PP_Grid[#Data],$DD364,51),0)</f>
        <v/>
      </c>
      <c r="BB364">
        <f>IFERROR(INDEX(PP_Grid[#Data],$DD364,52),0)</f>
        <v/>
      </c>
      <c r="BC364">
        <f>IFERROR(INDEX(PP_Grid[#Data],$DD364,53),0)</f>
        <v/>
      </c>
      <c r="BD364">
        <f>IFERROR(INDEX(PP_Grid[#Data],$DD364,54),0)</f>
        <v/>
      </c>
      <c r="BE364">
        <f>IFERROR(INDEX(PP_Grid[#Data],$DD364,55),0)</f>
        <v/>
      </c>
      <c r="BF364">
        <f>IFERROR(INDEX(PP_Grid[#Data],$DD364,56),0)</f>
        <v/>
      </c>
      <c r="BG364">
        <f>IFERROR(INDEX(PP_Grid[#Data],$DD364,57),0)</f>
        <v/>
      </c>
      <c r="BH364">
        <f>IFERROR(INDEX(PP_Grid[#Data],$DD364,58),0)</f>
        <v/>
      </c>
      <c r="BI364">
        <f>IFERROR(INDEX(PP_Grid[#Data],$DD364,59),0)</f>
        <v/>
      </c>
      <c r="BJ364">
        <f>IFERROR(INDEX(PP_Grid[#Data],$DD364,60),0)</f>
        <v/>
      </c>
      <c r="BK364">
        <f>IFERROR(INDEX(PP_Grid[#Data],$DD364,61),0)</f>
        <v/>
      </c>
      <c r="BL364">
        <f>IFERROR(INDEX(PP_Grid[#Data],$DD364,62),0)</f>
        <v/>
      </c>
      <c r="BM364">
        <f>IFERROR(INDEX(PP_Grid[#Data],$DD364,63),0)</f>
        <v/>
      </c>
      <c r="BN364">
        <f>IFERROR(INDEX(PP_Grid[#Data],$DD364,64),0)</f>
        <v/>
      </c>
      <c r="BO364">
        <f>IFERROR(INDEX(PP_Grid[#Data],$DD364,65),0)</f>
        <v/>
      </c>
      <c r="BP364">
        <f>IFERROR(INDEX(PP_Grid[#Data],$DD364,66),0)</f>
        <v/>
      </c>
      <c r="BQ364">
        <f>IFERROR(INDEX(PP_Grid[#Data],$DD364,67),0)</f>
        <v/>
      </c>
      <c r="BR364">
        <f>IFERROR(INDEX(PP_Grid[#Data],$DD364,68),0)</f>
        <v/>
      </c>
      <c r="BS364">
        <f>IFERROR(INDEX(PP_Grid[#Data],$DD364,69),0)</f>
        <v/>
      </c>
      <c r="BT364">
        <f>IFERROR(INDEX(PP_Grid[#Data],$DD364,70),0)</f>
        <v/>
      </c>
      <c r="BU364">
        <f>IFERROR(INDEX(PP_Grid[#Data],$DD364,71),0)</f>
        <v/>
      </c>
      <c r="BV364">
        <f>IFERROR(INDEX(PP_Grid[#Data],$DD364,72),0)</f>
        <v/>
      </c>
      <c r="BW364">
        <f>IFERROR(INDEX(PP_Grid[#Data],$DD364,73),0)</f>
        <v/>
      </c>
      <c r="BX364">
        <f>IFERROR(INDEX(PP_Grid[#Data],$DD364,74),0)</f>
        <v/>
      </c>
      <c r="BY364">
        <f>IFERROR(INDEX(PP_Grid[#Data],$DD364,75),0)</f>
        <v/>
      </c>
      <c r="BZ364">
        <f>IFERROR(INDEX(PP_Grid[#Data],$DD364,76),0)</f>
        <v/>
      </c>
      <c r="CA364">
        <f>IFERROR(INDEX(PP_Grid[#Data],$DD364,77),0)</f>
        <v/>
      </c>
      <c r="CB364">
        <f>IFERROR(INDEX(PP_Grid[#Data],$DD364,78),0)</f>
        <v/>
      </c>
      <c r="CC364">
        <f>IFERROR(INDEX(PP_Grid[#Data],$DD364,79),0)</f>
        <v/>
      </c>
      <c r="CD364">
        <f>IFERROR(INDEX(PP_Grid[#Data],$DD364,80),0)</f>
        <v/>
      </c>
      <c r="CE364">
        <f>IFERROR(INDEX(PP_Grid[#Data],$DD364,81),0)</f>
        <v/>
      </c>
      <c r="CF364">
        <f>IFERROR(INDEX(PP_Grid[#Data],$DD364,82),0)</f>
        <v/>
      </c>
      <c r="CG364">
        <f>IFERROR(INDEX(PP_Grid[#Data],$DD364,83),0)</f>
        <v/>
      </c>
      <c r="CH364">
        <f>IFERROR(INDEX(PP_Grid[#Data],$DD364,84),0)</f>
        <v/>
      </c>
      <c r="CI364">
        <f>IFERROR(INDEX(PP_Grid[#Data],$DD364,85),0)</f>
        <v/>
      </c>
      <c r="CJ364">
        <f>IFERROR(INDEX(PP_Grid[#Data],$DD364,86),0)</f>
        <v/>
      </c>
      <c r="CK364">
        <f>IFERROR(INDEX(PP_Grid[#Data],$DD364,87),0)</f>
        <v/>
      </c>
      <c r="CL364">
        <f>IFERROR(INDEX(PP_Grid[#Data],$DD364,88),0)</f>
        <v/>
      </c>
      <c r="CM364">
        <f>IFERROR(INDEX(PP_Grid[#Data],$DD364,89),0)</f>
        <v/>
      </c>
      <c r="CN364">
        <f>IFERROR(INDEX(PP_Grid[#Data],$DD364,90),0)</f>
        <v/>
      </c>
      <c r="CO364">
        <f>IFERROR(INDEX(PP_Grid[#Data],$DD364,91),0)</f>
        <v/>
      </c>
      <c r="CP364">
        <f>IFERROR(INDEX(PP_Grid[#Data],$DD364,92),0)</f>
        <v/>
      </c>
      <c r="CQ364">
        <f>IFERROR(INDEX(PP_Grid[#Data],$DD364,93),0)</f>
        <v/>
      </c>
      <c r="CR364">
        <f>IFERROR(INDEX(PP_Grid[#Data],$DD364,94),0)</f>
        <v/>
      </c>
      <c r="CS364">
        <f>IFERROR(INDEX(PP_Grid[#Data],$DD364,95),0)</f>
        <v/>
      </c>
      <c r="CT364">
        <f>IFERROR(INDEX(PP_Grid[#Data],$DD364,96),0)</f>
        <v/>
      </c>
      <c r="CU364">
        <f>IFERROR(INDEX(PP_Grid[#Data],$DD364,97),0)</f>
        <v/>
      </c>
      <c r="CV364">
        <f>IFERROR(INDEX(PP_Grid[#Data],$DD364,98),0)</f>
        <v/>
      </c>
      <c r="CW364">
        <f>IFERROR(INDEX(PP_Grid[#Data],$DD364,99),0)</f>
        <v/>
      </c>
      <c r="CX364">
        <f>IFERROR(INDEX(PP_Grid[#Data],$DD364,100),0)</f>
        <v/>
      </c>
      <c r="CY364">
        <f>IFERROR(INDEX(PP_Grid[#Data],$DD364,101),0)</f>
        <v/>
      </c>
      <c r="CZ364">
        <f>IFERROR(INDEX(PP_Grid[#Data],$DD364,102),0)</f>
        <v/>
      </c>
      <c r="DA364">
        <f>IFERROR(INDEX(PP_Grid[#Data],$DD364,103),0)</f>
        <v/>
      </c>
      <c r="DB364">
        <f>IFERROR(INDEX(PP_Grid[#Data],$DD364,104),0)</f>
        <v/>
      </c>
      <c r="DC364">
        <f>IFERROR(INDEX(PP_Grid[#Data],$DD364,105),0)</f>
        <v/>
      </c>
      <c r="DD364" s="12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SUMIFS(M_BOM[RM_Qty_Per_Batch],M_BOM[Intermediate],$B364,M_BOM[Part Name],$A271)</f>
        <v/>
      </c>
      <c r="D365">
        <f>$C365*D364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</row>
    <row r="366">
      <c r="B366" t="inlineStr">
        <is>
          <t>TSP-929</t>
        </is>
      </c>
      <c r="C366" t="inlineStr">
        <is>
          <t>No. of batches</t>
        </is>
      </c>
      <c r="D366">
        <f>IFERROR(INDEX(PP_Grid[#Data],$DD366,2),0)</f>
        <v/>
      </c>
      <c r="E366">
        <f>IFERROR(INDEX(PP_Grid[#Data],$DD366,3),0)</f>
        <v/>
      </c>
      <c r="F366">
        <f>IFERROR(INDEX(PP_Grid[#Data],$DD366,4),0)</f>
        <v/>
      </c>
      <c r="G366">
        <f>IFERROR(INDEX(PP_Grid[#Data],$DD366,5),0)</f>
        <v/>
      </c>
      <c r="H366">
        <f>IFERROR(INDEX(PP_Grid[#Data],$DD366,6),0)</f>
        <v/>
      </c>
      <c r="I366">
        <f>IFERROR(INDEX(PP_Grid[#Data],$DD366,7),0)</f>
        <v/>
      </c>
      <c r="J366">
        <f>IFERROR(INDEX(PP_Grid[#Data],$DD366,8),0)</f>
        <v/>
      </c>
      <c r="K366">
        <f>IFERROR(INDEX(PP_Grid[#Data],$DD366,9),0)</f>
        <v/>
      </c>
      <c r="L366">
        <f>IFERROR(INDEX(PP_Grid[#Data],$DD366,10),0)</f>
        <v/>
      </c>
      <c r="M366">
        <f>IFERROR(INDEX(PP_Grid[#Data],$DD366,11),0)</f>
        <v/>
      </c>
      <c r="N366">
        <f>IFERROR(INDEX(PP_Grid[#Data],$DD366,12),0)</f>
        <v/>
      </c>
      <c r="O366">
        <f>IFERROR(INDEX(PP_Grid[#Data],$DD366,13),0)</f>
        <v/>
      </c>
      <c r="P366">
        <f>IFERROR(INDEX(PP_Grid[#Data],$DD366,14),0)</f>
        <v/>
      </c>
      <c r="Q366">
        <f>IFERROR(INDEX(PP_Grid[#Data],$DD366,15),0)</f>
        <v/>
      </c>
      <c r="R366">
        <f>IFERROR(INDEX(PP_Grid[#Data],$DD366,16),0)</f>
        <v/>
      </c>
      <c r="S366">
        <f>IFERROR(INDEX(PP_Grid[#Data],$DD366,17),0)</f>
        <v/>
      </c>
      <c r="T366">
        <f>IFERROR(INDEX(PP_Grid[#Data],$DD366,18),0)</f>
        <v/>
      </c>
      <c r="U366">
        <f>IFERROR(INDEX(PP_Grid[#Data],$DD366,19),0)</f>
        <v/>
      </c>
      <c r="V366">
        <f>IFERROR(INDEX(PP_Grid[#Data],$DD366,20),0)</f>
        <v/>
      </c>
      <c r="W366">
        <f>IFERROR(INDEX(PP_Grid[#Data],$DD366,21),0)</f>
        <v/>
      </c>
      <c r="X366">
        <f>IFERROR(INDEX(PP_Grid[#Data],$DD366,22),0)</f>
        <v/>
      </c>
      <c r="Y366">
        <f>IFERROR(INDEX(PP_Grid[#Data],$DD366,23),0)</f>
        <v/>
      </c>
      <c r="Z366">
        <f>IFERROR(INDEX(PP_Grid[#Data],$DD366,24),0)</f>
        <v/>
      </c>
      <c r="AA366">
        <f>IFERROR(INDEX(PP_Grid[#Data],$DD366,25),0)</f>
        <v/>
      </c>
      <c r="AB366">
        <f>IFERROR(INDEX(PP_Grid[#Data],$DD366,26),0)</f>
        <v/>
      </c>
      <c r="AC366">
        <f>IFERROR(INDEX(PP_Grid[#Data],$DD366,27),0)</f>
        <v/>
      </c>
      <c r="AD366">
        <f>IFERROR(INDEX(PP_Grid[#Data],$DD366,28),0)</f>
        <v/>
      </c>
      <c r="AE366">
        <f>IFERROR(INDEX(PP_Grid[#Data],$DD366,29),0)</f>
        <v/>
      </c>
      <c r="AF366">
        <f>IFERROR(INDEX(PP_Grid[#Data],$DD366,30),0)</f>
        <v/>
      </c>
      <c r="AG366">
        <f>IFERROR(INDEX(PP_Grid[#Data],$DD366,31),0)</f>
        <v/>
      </c>
      <c r="AH366">
        <f>IFERROR(INDEX(PP_Grid[#Data],$DD366,32),0)</f>
        <v/>
      </c>
      <c r="AI366">
        <f>IFERROR(INDEX(PP_Grid[#Data],$DD366,33),0)</f>
        <v/>
      </c>
      <c r="AJ366">
        <f>IFERROR(INDEX(PP_Grid[#Data],$DD366,34),0)</f>
        <v/>
      </c>
      <c r="AK366">
        <f>IFERROR(INDEX(PP_Grid[#Data],$DD366,35),0)</f>
        <v/>
      </c>
      <c r="AL366">
        <f>IFERROR(INDEX(PP_Grid[#Data],$DD366,36),0)</f>
        <v/>
      </c>
      <c r="AM366">
        <f>IFERROR(INDEX(PP_Grid[#Data],$DD366,37),0)</f>
        <v/>
      </c>
      <c r="AN366">
        <f>IFERROR(INDEX(PP_Grid[#Data],$DD366,38),0)</f>
        <v/>
      </c>
      <c r="AO366">
        <f>IFERROR(INDEX(PP_Grid[#Data],$DD366,39),0)</f>
        <v/>
      </c>
      <c r="AP366">
        <f>IFERROR(INDEX(PP_Grid[#Data],$DD366,40),0)</f>
        <v/>
      </c>
      <c r="AQ366">
        <f>IFERROR(INDEX(PP_Grid[#Data],$DD366,41),0)</f>
        <v/>
      </c>
      <c r="AR366">
        <f>IFERROR(INDEX(PP_Grid[#Data],$DD366,42),0)</f>
        <v/>
      </c>
      <c r="AS366">
        <f>IFERROR(INDEX(PP_Grid[#Data],$DD366,43),0)</f>
        <v/>
      </c>
      <c r="AT366">
        <f>IFERROR(INDEX(PP_Grid[#Data],$DD366,44),0)</f>
        <v/>
      </c>
      <c r="AU366">
        <f>IFERROR(INDEX(PP_Grid[#Data],$DD366,45),0)</f>
        <v/>
      </c>
      <c r="AV366">
        <f>IFERROR(INDEX(PP_Grid[#Data],$DD366,46),0)</f>
        <v/>
      </c>
      <c r="AW366">
        <f>IFERROR(INDEX(PP_Grid[#Data],$DD366,47),0)</f>
        <v/>
      </c>
      <c r="AX366">
        <f>IFERROR(INDEX(PP_Grid[#Data],$DD366,48),0)</f>
        <v/>
      </c>
      <c r="AY366">
        <f>IFERROR(INDEX(PP_Grid[#Data],$DD366,49),0)</f>
        <v/>
      </c>
      <c r="AZ366">
        <f>IFERROR(INDEX(PP_Grid[#Data],$DD366,50),0)</f>
        <v/>
      </c>
      <c r="BA366">
        <f>IFERROR(INDEX(PP_Grid[#Data],$DD366,51),0)</f>
        <v/>
      </c>
      <c r="BB366">
        <f>IFERROR(INDEX(PP_Grid[#Data],$DD366,52),0)</f>
        <v/>
      </c>
      <c r="BC366">
        <f>IFERROR(INDEX(PP_Grid[#Data],$DD366,53),0)</f>
        <v/>
      </c>
      <c r="BD366">
        <f>IFERROR(INDEX(PP_Grid[#Data],$DD366,54),0)</f>
        <v/>
      </c>
      <c r="BE366">
        <f>IFERROR(INDEX(PP_Grid[#Data],$DD366,55),0)</f>
        <v/>
      </c>
      <c r="BF366">
        <f>IFERROR(INDEX(PP_Grid[#Data],$DD366,56),0)</f>
        <v/>
      </c>
      <c r="BG366">
        <f>IFERROR(INDEX(PP_Grid[#Data],$DD366,57),0)</f>
        <v/>
      </c>
      <c r="BH366">
        <f>IFERROR(INDEX(PP_Grid[#Data],$DD366,58),0)</f>
        <v/>
      </c>
      <c r="BI366">
        <f>IFERROR(INDEX(PP_Grid[#Data],$DD366,59),0)</f>
        <v/>
      </c>
      <c r="BJ366">
        <f>IFERROR(INDEX(PP_Grid[#Data],$DD366,60),0)</f>
        <v/>
      </c>
      <c r="BK366">
        <f>IFERROR(INDEX(PP_Grid[#Data],$DD366,61),0)</f>
        <v/>
      </c>
      <c r="BL366">
        <f>IFERROR(INDEX(PP_Grid[#Data],$DD366,62),0)</f>
        <v/>
      </c>
      <c r="BM366">
        <f>IFERROR(INDEX(PP_Grid[#Data],$DD366,63),0)</f>
        <v/>
      </c>
      <c r="BN366">
        <f>IFERROR(INDEX(PP_Grid[#Data],$DD366,64),0)</f>
        <v/>
      </c>
      <c r="BO366">
        <f>IFERROR(INDEX(PP_Grid[#Data],$DD366,65),0)</f>
        <v/>
      </c>
      <c r="BP366">
        <f>IFERROR(INDEX(PP_Grid[#Data],$DD366,66),0)</f>
        <v/>
      </c>
      <c r="BQ366">
        <f>IFERROR(INDEX(PP_Grid[#Data],$DD366,67),0)</f>
        <v/>
      </c>
      <c r="BR366">
        <f>IFERROR(INDEX(PP_Grid[#Data],$DD366,68),0)</f>
        <v/>
      </c>
      <c r="BS366">
        <f>IFERROR(INDEX(PP_Grid[#Data],$DD366,69),0)</f>
        <v/>
      </c>
      <c r="BT366">
        <f>IFERROR(INDEX(PP_Grid[#Data],$DD366,70),0)</f>
        <v/>
      </c>
      <c r="BU366">
        <f>IFERROR(INDEX(PP_Grid[#Data],$DD366,71),0)</f>
        <v/>
      </c>
      <c r="BV366">
        <f>IFERROR(INDEX(PP_Grid[#Data],$DD366,72),0)</f>
        <v/>
      </c>
      <c r="BW366">
        <f>IFERROR(INDEX(PP_Grid[#Data],$DD366,73),0)</f>
        <v/>
      </c>
      <c r="BX366">
        <f>IFERROR(INDEX(PP_Grid[#Data],$DD366,74),0)</f>
        <v/>
      </c>
      <c r="BY366">
        <f>IFERROR(INDEX(PP_Grid[#Data],$DD366,75),0)</f>
        <v/>
      </c>
      <c r="BZ366">
        <f>IFERROR(INDEX(PP_Grid[#Data],$DD366,76),0)</f>
        <v/>
      </c>
      <c r="CA366">
        <f>IFERROR(INDEX(PP_Grid[#Data],$DD366,77),0)</f>
        <v/>
      </c>
      <c r="CB366">
        <f>IFERROR(INDEX(PP_Grid[#Data],$DD366,78),0)</f>
        <v/>
      </c>
      <c r="CC366">
        <f>IFERROR(INDEX(PP_Grid[#Data],$DD366,79),0)</f>
        <v/>
      </c>
      <c r="CD366">
        <f>IFERROR(INDEX(PP_Grid[#Data],$DD366,80),0)</f>
        <v/>
      </c>
      <c r="CE366">
        <f>IFERROR(INDEX(PP_Grid[#Data],$DD366,81),0)</f>
        <v/>
      </c>
      <c r="CF366">
        <f>IFERROR(INDEX(PP_Grid[#Data],$DD366,82),0)</f>
        <v/>
      </c>
      <c r="CG366">
        <f>IFERROR(INDEX(PP_Grid[#Data],$DD366,83),0)</f>
        <v/>
      </c>
      <c r="CH366">
        <f>IFERROR(INDEX(PP_Grid[#Data],$DD366,84),0)</f>
        <v/>
      </c>
      <c r="CI366">
        <f>IFERROR(INDEX(PP_Grid[#Data],$DD366,85),0)</f>
        <v/>
      </c>
      <c r="CJ366">
        <f>IFERROR(INDEX(PP_Grid[#Data],$DD366,86),0)</f>
        <v/>
      </c>
      <c r="CK366">
        <f>IFERROR(INDEX(PP_Grid[#Data],$DD366,87),0)</f>
        <v/>
      </c>
      <c r="CL366">
        <f>IFERROR(INDEX(PP_Grid[#Data],$DD366,88),0)</f>
        <v/>
      </c>
      <c r="CM366">
        <f>IFERROR(INDEX(PP_Grid[#Data],$DD366,89),0)</f>
        <v/>
      </c>
      <c r="CN366">
        <f>IFERROR(INDEX(PP_Grid[#Data],$DD366,90),0)</f>
        <v/>
      </c>
      <c r="CO366">
        <f>IFERROR(INDEX(PP_Grid[#Data],$DD366,91),0)</f>
        <v/>
      </c>
      <c r="CP366">
        <f>IFERROR(INDEX(PP_Grid[#Data],$DD366,92),0)</f>
        <v/>
      </c>
      <c r="CQ366">
        <f>IFERROR(INDEX(PP_Grid[#Data],$DD366,93),0)</f>
        <v/>
      </c>
      <c r="CR366">
        <f>IFERROR(INDEX(PP_Grid[#Data],$DD366,94),0)</f>
        <v/>
      </c>
      <c r="CS366">
        <f>IFERROR(INDEX(PP_Grid[#Data],$DD366,95),0)</f>
        <v/>
      </c>
      <c r="CT366">
        <f>IFERROR(INDEX(PP_Grid[#Data],$DD366,96),0)</f>
        <v/>
      </c>
      <c r="CU366">
        <f>IFERROR(INDEX(PP_Grid[#Data],$DD366,97),0)</f>
        <v/>
      </c>
      <c r="CV366">
        <f>IFERROR(INDEX(PP_Grid[#Data],$DD366,98),0)</f>
        <v/>
      </c>
      <c r="CW366">
        <f>IFERROR(INDEX(PP_Grid[#Data],$DD366,99),0)</f>
        <v/>
      </c>
      <c r="CX366">
        <f>IFERROR(INDEX(PP_Grid[#Data],$DD366,100),0)</f>
        <v/>
      </c>
      <c r="CY366">
        <f>IFERROR(INDEX(PP_Grid[#Data],$DD366,101),0)</f>
        <v/>
      </c>
      <c r="CZ366">
        <f>IFERROR(INDEX(PP_Grid[#Data],$DD366,102),0)</f>
        <v/>
      </c>
      <c r="DA366">
        <f>IFERROR(INDEX(PP_Grid[#Data],$DD366,103),0)</f>
        <v/>
      </c>
      <c r="DB366">
        <f>IFERROR(INDEX(PP_Grid[#Data],$DD366,104),0)</f>
        <v/>
      </c>
      <c r="DC366">
        <f>IFERROR(INDEX(PP_Grid[#Data],$DD366,105),0)</f>
        <v/>
      </c>
      <c r="DD366" s="12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SUMIFS(M_BOM[RM_Qty_Per_Batch],M_BOM[Intermediate],$B366,M_BOM[Part Name],$A271)</f>
        <v/>
      </c>
      <c r="D367">
        <f>$C367*D366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</row>
    <row r="368">
      <c r="B368" t="inlineStr">
        <is>
          <t>TSP-930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Name],$A271)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TSP-934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Name],$A271)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TSP-935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Name],$A271)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TSP-936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Name],$A271)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t="inlineStr">
        <is>
          <t>TSP-937</t>
        </is>
      </c>
      <c r="C376" t="inlineStr">
        <is>
          <t>No. of batches</t>
        </is>
      </c>
      <c r="D376">
        <f>IFERROR(INDEX(PP_Grid[#Data],$DD376,2),0)</f>
        <v/>
      </c>
      <c r="E376">
        <f>IFERROR(INDEX(PP_Grid[#Data],$DD376,3),0)</f>
        <v/>
      </c>
      <c r="F376">
        <f>IFERROR(INDEX(PP_Grid[#Data],$DD376,4),0)</f>
        <v/>
      </c>
      <c r="G376">
        <f>IFERROR(INDEX(PP_Grid[#Data],$DD376,5),0)</f>
        <v/>
      </c>
      <c r="H376">
        <f>IFERROR(INDEX(PP_Grid[#Data],$DD376,6),0)</f>
        <v/>
      </c>
      <c r="I376">
        <f>IFERROR(INDEX(PP_Grid[#Data],$DD376,7),0)</f>
        <v/>
      </c>
      <c r="J376">
        <f>IFERROR(INDEX(PP_Grid[#Data],$DD376,8),0)</f>
        <v/>
      </c>
      <c r="K376">
        <f>IFERROR(INDEX(PP_Grid[#Data],$DD376,9),0)</f>
        <v/>
      </c>
      <c r="L376">
        <f>IFERROR(INDEX(PP_Grid[#Data],$DD376,10),0)</f>
        <v/>
      </c>
      <c r="M376">
        <f>IFERROR(INDEX(PP_Grid[#Data],$DD376,11),0)</f>
        <v/>
      </c>
      <c r="N376">
        <f>IFERROR(INDEX(PP_Grid[#Data],$DD376,12),0)</f>
        <v/>
      </c>
      <c r="O376">
        <f>IFERROR(INDEX(PP_Grid[#Data],$DD376,13),0)</f>
        <v/>
      </c>
      <c r="P376">
        <f>IFERROR(INDEX(PP_Grid[#Data],$DD376,14),0)</f>
        <v/>
      </c>
      <c r="Q376">
        <f>IFERROR(INDEX(PP_Grid[#Data],$DD376,15),0)</f>
        <v/>
      </c>
      <c r="R376">
        <f>IFERROR(INDEX(PP_Grid[#Data],$DD376,16),0)</f>
        <v/>
      </c>
      <c r="S376">
        <f>IFERROR(INDEX(PP_Grid[#Data],$DD376,17),0)</f>
        <v/>
      </c>
      <c r="T376">
        <f>IFERROR(INDEX(PP_Grid[#Data],$DD376,18),0)</f>
        <v/>
      </c>
      <c r="U376">
        <f>IFERROR(INDEX(PP_Grid[#Data],$DD376,19),0)</f>
        <v/>
      </c>
      <c r="V376">
        <f>IFERROR(INDEX(PP_Grid[#Data],$DD376,20),0)</f>
        <v/>
      </c>
      <c r="W376">
        <f>IFERROR(INDEX(PP_Grid[#Data],$DD376,21),0)</f>
        <v/>
      </c>
      <c r="X376">
        <f>IFERROR(INDEX(PP_Grid[#Data],$DD376,22),0)</f>
        <v/>
      </c>
      <c r="Y376">
        <f>IFERROR(INDEX(PP_Grid[#Data],$DD376,23),0)</f>
        <v/>
      </c>
      <c r="Z376">
        <f>IFERROR(INDEX(PP_Grid[#Data],$DD376,24),0)</f>
        <v/>
      </c>
      <c r="AA376">
        <f>IFERROR(INDEX(PP_Grid[#Data],$DD376,25),0)</f>
        <v/>
      </c>
      <c r="AB376">
        <f>IFERROR(INDEX(PP_Grid[#Data],$DD376,26),0)</f>
        <v/>
      </c>
      <c r="AC376">
        <f>IFERROR(INDEX(PP_Grid[#Data],$DD376,27),0)</f>
        <v/>
      </c>
      <c r="AD376">
        <f>IFERROR(INDEX(PP_Grid[#Data],$DD376,28),0)</f>
        <v/>
      </c>
      <c r="AE376">
        <f>IFERROR(INDEX(PP_Grid[#Data],$DD376,29),0)</f>
        <v/>
      </c>
      <c r="AF376">
        <f>IFERROR(INDEX(PP_Grid[#Data],$DD376,30),0)</f>
        <v/>
      </c>
      <c r="AG376">
        <f>IFERROR(INDEX(PP_Grid[#Data],$DD376,31),0)</f>
        <v/>
      </c>
      <c r="AH376">
        <f>IFERROR(INDEX(PP_Grid[#Data],$DD376,32),0)</f>
        <v/>
      </c>
      <c r="AI376">
        <f>IFERROR(INDEX(PP_Grid[#Data],$DD376,33),0)</f>
        <v/>
      </c>
      <c r="AJ376">
        <f>IFERROR(INDEX(PP_Grid[#Data],$DD376,34),0)</f>
        <v/>
      </c>
      <c r="AK376">
        <f>IFERROR(INDEX(PP_Grid[#Data],$DD376,35),0)</f>
        <v/>
      </c>
      <c r="AL376">
        <f>IFERROR(INDEX(PP_Grid[#Data],$DD376,36),0)</f>
        <v/>
      </c>
      <c r="AM376">
        <f>IFERROR(INDEX(PP_Grid[#Data],$DD376,37),0)</f>
        <v/>
      </c>
      <c r="AN376">
        <f>IFERROR(INDEX(PP_Grid[#Data],$DD376,38),0)</f>
        <v/>
      </c>
      <c r="AO376">
        <f>IFERROR(INDEX(PP_Grid[#Data],$DD376,39),0)</f>
        <v/>
      </c>
      <c r="AP376">
        <f>IFERROR(INDEX(PP_Grid[#Data],$DD376,40),0)</f>
        <v/>
      </c>
      <c r="AQ376">
        <f>IFERROR(INDEX(PP_Grid[#Data],$DD376,41),0)</f>
        <v/>
      </c>
      <c r="AR376">
        <f>IFERROR(INDEX(PP_Grid[#Data],$DD376,42),0)</f>
        <v/>
      </c>
      <c r="AS376">
        <f>IFERROR(INDEX(PP_Grid[#Data],$DD376,43),0)</f>
        <v/>
      </c>
      <c r="AT376">
        <f>IFERROR(INDEX(PP_Grid[#Data],$DD376,44),0)</f>
        <v/>
      </c>
      <c r="AU376">
        <f>IFERROR(INDEX(PP_Grid[#Data],$DD376,45),0)</f>
        <v/>
      </c>
      <c r="AV376">
        <f>IFERROR(INDEX(PP_Grid[#Data],$DD376,46),0)</f>
        <v/>
      </c>
      <c r="AW376">
        <f>IFERROR(INDEX(PP_Grid[#Data],$DD376,47),0)</f>
        <v/>
      </c>
      <c r="AX376">
        <f>IFERROR(INDEX(PP_Grid[#Data],$DD376,48),0)</f>
        <v/>
      </c>
      <c r="AY376">
        <f>IFERROR(INDEX(PP_Grid[#Data],$DD376,49),0)</f>
        <v/>
      </c>
      <c r="AZ376">
        <f>IFERROR(INDEX(PP_Grid[#Data],$DD376,50),0)</f>
        <v/>
      </c>
      <c r="BA376">
        <f>IFERROR(INDEX(PP_Grid[#Data],$DD376,51),0)</f>
        <v/>
      </c>
      <c r="BB376">
        <f>IFERROR(INDEX(PP_Grid[#Data],$DD376,52),0)</f>
        <v/>
      </c>
      <c r="BC376">
        <f>IFERROR(INDEX(PP_Grid[#Data],$DD376,53),0)</f>
        <v/>
      </c>
      <c r="BD376">
        <f>IFERROR(INDEX(PP_Grid[#Data],$DD376,54),0)</f>
        <v/>
      </c>
      <c r="BE376">
        <f>IFERROR(INDEX(PP_Grid[#Data],$DD376,55),0)</f>
        <v/>
      </c>
      <c r="BF376">
        <f>IFERROR(INDEX(PP_Grid[#Data],$DD376,56),0)</f>
        <v/>
      </c>
      <c r="BG376">
        <f>IFERROR(INDEX(PP_Grid[#Data],$DD376,57),0)</f>
        <v/>
      </c>
      <c r="BH376">
        <f>IFERROR(INDEX(PP_Grid[#Data],$DD376,58),0)</f>
        <v/>
      </c>
      <c r="BI376">
        <f>IFERROR(INDEX(PP_Grid[#Data],$DD376,59),0)</f>
        <v/>
      </c>
      <c r="BJ376">
        <f>IFERROR(INDEX(PP_Grid[#Data],$DD376,60),0)</f>
        <v/>
      </c>
      <c r="BK376">
        <f>IFERROR(INDEX(PP_Grid[#Data],$DD376,61),0)</f>
        <v/>
      </c>
      <c r="BL376">
        <f>IFERROR(INDEX(PP_Grid[#Data],$DD376,62),0)</f>
        <v/>
      </c>
      <c r="BM376">
        <f>IFERROR(INDEX(PP_Grid[#Data],$DD376,63),0)</f>
        <v/>
      </c>
      <c r="BN376">
        <f>IFERROR(INDEX(PP_Grid[#Data],$DD376,64),0)</f>
        <v/>
      </c>
      <c r="BO376">
        <f>IFERROR(INDEX(PP_Grid[#Data],$DD376,65),0)</f>
        <v/>
      </c>
      <c r="BP376">
        <f>IFERROR(INDEX(PP_Grid[#Data],$DD376,66),0)</f>
        <v/>
      </c>
      <c r="BQ376">
        <f>IFERROR(INDEX(PP_Grid[#Data],$DD376,67),0)</f>
        <v/>
      </c>
      <c r="BR376">
        <f>IFERROR(INDEX(PP_Grid[#Data],$DD376,68),0)</f>
        <v/>
      </c>
      <c r="BS376">
        <f>IFERROR(INDEX(PP_Grid[#Data],$DD376,69),0)</f>
        <v/>
      </c>
      <c r="BT376">
        <f>IFERROR(INDEX(PP_Grid[#Data],$DD376,70),0)</f>
        <v/>
      </c>
      <c r="BU376">
        <f>IFERROR(INDEX(PP_Grid[#Data],$DD376,71),0)</f>
        <v/>
      </c>
      <c r="BV376">
        <f>IFERROR(INDEX(PP_Grid[#Data],$DD376,72),0)</f>
        <v/>
      </c>
      <c r="BW376">
        <f>IFERROR(INDEX(PP_Grid[#Data],$DD376,73),0)</f>
        <v/>
      </c>
      <c r="BX376">
        <f>IFERROR(INDEX(PP_Grid[#Data],$DD376,74),0)</f>
        <v/>
      </c>
      <c r="BY376">
        <f>IFERROR(INDEX(PP_Grid[#Data],$DD376,75),0)</f>
        <v/>
      </c>
      <c r="BZ376">
        <f>IFERROR(INDEX(PP_Grid[#Data],$DD376,76),0)</f>
        <v/>
      </c>
      <c r="CA376">
        <f>IFERROR(INDEX(PP_Grid[#Data],$DD376,77),0)</f>
        <v/>
      </c>
      <c r="CB376">
        <f>IFERROR(INDEX(PP_Grid[#Data],$DD376,78),0)</f>
        <v/>
      </c>
      <c r="CC376">
        <f>IFERROR(INDEX(PP_Grid[#Data],$DD376,79),0)</f>
        <v/>
      </c>
      <c r="CD376">
        <f>IFERROR(INDEX(PP_Grid[#Data],$DD376,80),0)</f>
        <v/>
      </c>
      <c r="CE376">
        <f>IFERROR(INDEX(PP_Grid[#Data],$DD376,81),0)</f>
        <v/>
      </c>
      <c r="CF376">
        <f>IFERROR(INDEX(PP_Grid[#Data],$DD376,82),0)</f>
        <v/>
      </c>
      <c r="CG376">
        <f>IFERROR(INDEX(PP_Grid[#Data],$DD376,83),0)</f>
        <v/>
      </c>
      <c r="CH376">
        <f>IFERROR(INDEX(PP_Grid[#Data],$DD376,84),0)</f>
        <v/>
      </c>
      <c r="CI376">
        <f>IFERROR(INDEX(PP_Grid[#Data],$DD376,85),0)</f>
        <v/>
      </c>
      <c r="CJ376">
        <f>IFERROR(INDEX(PP_Grid[#Data],$DD376,86),0)</f>
        <v/>
      </c>
      <c r="CK376">
        <f>IFERROR(INDEX(PP_Grid[#Data],$DD376,87),0)</f>
        <v/>
      </c>
      <c r="CL376">
        <f>IFERROR(INDEX(PP_Grid[#Data],$DD376,88),0)</f>
        <v/>
      </c>
      <c r="CM376">
        <f>IFERROR(INDEX(PP_Grid[#Data],$DD376,89),0)</f>
        <v/>
      </c>
      <c r="CN376">
        <f>IFERROR(INDEX(PP_Grid[#Data],$DD376,90),0)</f>
        <v/>
      </c>
      <c r="CO376">
        <f>IFERROR(INDEX(PP_Grid[#Data],$DD376,91),0)</f>
        <v/>
      </c>
      <c r="CP376">
        <f>IFERROR(INDEX(PP_Grid[#Data],$DD376,92),0)</f>
        <v/>
      </c>
      <c r="CQ376">
        <f>IFERROR(INDEX(PP_Grid[#Data],$DD376,93),0)</f>
        <v/>
      </c>
      <c r="CR376">
        <f>IFERROR(INDEX(PP_Grid[#Data],$DD376,94),0)</f>
        <v/>
      </c>
      <c r="CS376">
        <f>IFERROR(INDEX(PP_Grid[#Data],$DD376,95),0)</f>
        <v/>
      </c>
      <c r="CT376">
        <f>IFERROR(INDEX(PP_Grid[#Data],$DD376,96),0)</f>
        <v/>
      </c>
      <c r="CU376">
        <f>IFERROR(INDEX(PP_Grid[#Data],$DD376,97),0)</f>
        <v/>
      </c>
      <c r="CV376">
        <f>IFERROR(INDEX(PP_Grid[#Data],$DD376,98),0)</f>
        <v/>
      </c>
      <c r="CW376">
        <f>IFERROR(INDEX(PP_Grid[#Data],$DD376,99),0)</f>
        <v/>
      </c>
      <c r="CX376">
        <f>IFERROR(INDEX(PP_Grid[#Data],$DD376,100),0)</f>
        <v/>
      </c>
      <c r="CY376">
        <f>IFERROR(INDEX(PP_Grid[#Data],$DD376,101),0)</f>
        <v/>
      </c>
      <c r="CZ376">
        <f>IFERROR(INDEX(PP_Grid[#Data],$DD376,102),0)</f>
        <v/>
      </c>
      <c r="DA376">
        <f>IFERROR(INDEX(PP_Grid[#Data],$DD376,103),0)</f>
        <v/>
      </c>
      <c r="DB376">
        <f>IFERROR(INDEX(PP_Grid[#Data],$DD376,104),0)</f>
        <v/>
      </c>
      <c r="DC376">
        <f>IFERROR(INDEX(PP_Grid[#Data],$DD376,105),0)</f>
        <v/>
      </c>
      <c r="DD376" s="12">
        <f>IFERROR(MATCH($B376,PP_Grid[Intermediate],0),99999)</f>
        <v/>
      </c>
    </row>
    <row r="377">
      <c r="B377" t="inlineStr">
        <is>
          <t>使用量(kg)</t>
        </is>
      </c>
      <c r="C377">
        <f>SUMIFS(M_BOM[RM_Qty_Per_Batch],M_BOM[Intermediate],$B376,M_BOM[Part Name],$A271)</f>
        <v/>
      </c>
      <c r="D377">
        <f>$C377*D376</f>
        <v/>
      </c>
      <c r="E377">
        <f>$C377*E376</f>
        <v/>
      </c>
      <c r="F377">
        <f>$C377*F376</f>
        <v/>
      </c>
      <c r="G377">
        <f>$C377*G376</f>
        <v/>
      </c>
      <c r="H377">
        <f>$C377*H376</f>
        <v/>
      </c>
      <c r="I377">
        <f>$C377*I376</f>
        <v/>
      </c>
      <c r="J377">
        <f>$C377*J376</f>
        <v/>
      </c>
      <c r="K377">
        <f>$C377*K376</f>
        <v/>
      </c>
      <c r="L377">
        <f>$C377*L376</f>
        <v/>
      </c>
      <c r="M377">
        <f>$C377*M376</f>
        <v/>
      </c>
      <c r="N377">
        <f>$C377*N376</f>
        <v/>
      </c>
      <c r="O377">
        <f>$C377*O376</f>
        <v/>
      </c>
      <c r="P377">
        <f>$C377*P376</f>
        <v/>
      </c>
      <c r="Q377">
        <f>$C377*Q376</f>
        <v/>
      </c>
      <c r="R377">
        <f>$C377*R376</f>
        <v/>
      </c>
      <c r="S377">
        <f>$C377*S376</f>
        <v/>
      </c>
      <c r="T377">
        <f>$C377*T376</f>
        <v/>
      </c>
      <c r="U377">
        <f>$C377*U376</f>
        <v/>
      </c>
      <c r="V377">
        <f>$C377*V376</f>
        <v/>
      </c>
      <c r="W377">
        <f>$C377*W376</f>
        <v/>
      </c>
      <c r="X377">
        <f>$C377*X376</f>
        <v/>
      </c>
      <c r="Y377">
        <f>$C377*Y376</f>
        <v/>
      </c>
      <c r="Z377">
        <f>$C377*Z376</f>
        <v/>
      </c>
      <c r="AA377">
        <f>$C377*AA376</f>
        <v/>
      </c>
      <c r="AB377">
        <f>$C377*AB376</f>
        <v/>
      </c>
      <c r="AC377">
        <f>$C377*AC376</f>
        <v/>
      </c>
      <c r="AD377">
        <f>$C377*AD376</f>
        <v/>
      </c>
      <c r="AE377">
        <f>$C377*AE376</f>
        <v/>
      </c>
      <c r="AF377">
        <f>$C377*AF376</f>
        <v/>
      </c>
      <c r="AG377">
        <f>$C377*AG376</f>
        <v/>
      </c>
      <c r="AH377">
        <f>$C377*AH376</f>
        <v/>
      </c>
      <c r="AI377">
        <f>$C377*AI376</f>
        <v/>
      </c>
      <c r="AJ377">
        <f>$C377*AJ376</f>
        <v/>
      </c>
      <c r="AK377">
        <f>$C377*AK376</f>
        <v/>
      </c>
      <c r="AL377">
        <f>$C377*AL376</f>
        <v/>
      </c>
      <c r="AM377">
        <f>$C377*AM376</f>
        <v/>
      </c>
      <c r="AN377">
        <f>$C377*AN376</f>
        <v/>
      </c>
      <c r="AO377">
        <f>$C377*AO376</f>
        <v/>
      </c>
      <c r="AP377">
        <f>$C377*AP376</f>
        <v/>
      </c>
      <c r="AQ377">
        <f>$C377*AQ376</f>
        <v/>
      </c>
      <c r="AR377">
        <f>$C377*AR376</f>
        <v/>
      </c>
      <c r="AS377">
        <f>$C377*AS376</f>
        <v/>
      </c>
      <c r="AT377">
        <f>$C377*AT376</f>
        <v/>
      </c>
      <c r="AU377">
        <f>$C377*AU376</f>
        <v/>
      </c>
      <c r="AV377">
        <f>$C377*AV376</f>
        <v/>
      </c>
      <c r="AW377">
        <f>$C377*AW376</f>
        <v/>
      </c>
      <c r="AX377">
        <f>$C377*AX376</f>
        <v/>
      </c>
      <c r="AY377">
        <f>$C377*AY376</f>
        <v/>
      </c>
      <c r="AZ377">
        <f>$C377*AZ376</f>
        <v/>
      </c>
      <c r="BA377">
        <f>$C377*BA376</f>
        <v/>
      </c>
      <c r="BB377">
        <f>$C377*BB376</f>
        <v/>
      </c>
      <c r="BC377">
        <f>$C377*BC376</f>
        <v/>
      </c>
      <c r="BD377">
        <f>$C377*BD376</f>
        <v/>
      </c>
      <c r="BE377">
        <f>$C377*BE376</f>
        <v/>
      </c>
      <c r="BF377">
        <f>$C377*BF376</f>
        <v/>
      </c>
      <c r="BG377">
        <f>$C377*BG376</f>
        <v/>
      </c>
      <c r="BH377">
        <f>$C377*BH376</f>
        <v/>
      </c>
      <c r="BI377">
        <f>$C377*BI376</f>
        <v/>
      </c>
      <c r="BJ377">
        <f>$C377*BJ376</f>
        <v/>
      </c>
      <c r="BK377">
        <f>$C377*BK376</f>
        <v/>
      </c>
      <c r="BL377">
        <f>$C377*BL376</f>
        <v/>
      </c>
      <c r="BM377">
        <f>$C377*BM376</f>
        <v/>
      </c>
      <c r="BN377">
        <f>$C377*BN376</f>
        <v/>
      </c>
      <c r="BO377">
        <f>$C377*BO376</f>
        <v/>
      </c>
      <c r="BP377">
        <f>$C377*BP376</f>
        <v/>
      </c>
      <c r="BQ377">
        <f>$C377*BQ376</f>
        <v/>
      </c>
      <c r="BR377">
        <f>$C377*BR376</f>
        <v/>
      </c>
      <c r="BS377">
        <f>$C377*BS376</f>
        <v/>
      </c>
      <c r="BT377">
        <f>$C377*BT376</f>
        <v/>
      </c>
      <c r="BU377">
        <f>$C377*BU376</f>
        <v/>
      </c>
      <c r="BV377">
        <f>$C377*BV376</f>
        <v/>
      </c>
      <c r="BW377">
        <f>$C377*BW376</f>
        <v/>
      </c>
      <c r="BX377">
        <f>$C377*BX376</f>
        <v/>
      </c>
      <c r="BY377">
        <f>$C377*BY376</f>
        <v/>
      </c>
      <c r="BZ377">
        <f>$C377*BZ376</f>
        <v/>
      </c>
      <c r="CA377">
        <f>$C377*CA376</f>
        <v/>
      </c>
      <c r="CB377">
        <f>$C377*CB376</f>
        <v/>
      </c>
      <c r="CC377">
        <f>$C377*CC376</f>
        <v/>
      </c>
      <c r="CD377">
        <f>$C377*CD376</f>
        <v/>
      </c>
      <c r="CE377">
        <f>$C377*CE376</f>
        <v/>
      </c>
      <c r="CF377">
        <f>$C377*CF376</f>
        <v/>
      </c>
      <c r="CG377">
        <f>$C377*CG376</f>
        <v/>
      </c>
      <c r="CH377">
        <f>$C377*CH376</f>
        <v/>
      </c>
      <c r="CI377">
        <f>$C377*CI376</f>
        <v/>
      </c>
      <c r="CJ377">
        <f>$C377*CJ376</f>
        <v/>
      </c>
      <c r="CK377">
        <f>$C377*CK376</f>
        <v/>
      </c>
      <c r="CL377">
        <f>$C377*CL376</f>
        <v/>
      </c>
      <c r="CM377">
        <f>$C377*CM376</f>
        <v/>
      </c>
      <c r="CN377">
        <f>$C377*CN376</f>
        <v/>
      </c>
      <c r="CO377">
        <f>$C377*CO376</f>
        <v/>
      </c>
      <c r="CP377">
        <f>$C377*CP376</f>
        <v/>
      </c>
      <c r="CQ377">
        <f>$C377*CQ376</f>
        <v/>
      </c>
      <c r="CR377">
        <f>$C377*CR376</f>
        <v/>
      </c>
      <c r="CS377">
        <f>$C377*CS376</f>
        <v/>
      </c>
      <c r="CT377">
        <f>$C377*CT376</f>
        <v/>
      </c>
      <c r="CU377">
        <f>$C377*CU376</f>
        <v/>
      </c>
      <c r="CV377">
        <f>$C377*CV376</f>
        <v/>
      </c>
      <c r="CW377">
        <f>$C377*CW376</f>
        <v/>
      </c>
      <c r="CX377">
        <f>$C377*CX376</f>
        <v/>
      </c>
      <c r="CY377">
        <f>$C377*CY376</f>
        <v/>
      </c>
      <c r="CZ377">
        <f>$C377*CZ376</f>
        <v/>
      </c>
      <c r="DA377">
        <f>$C377*DA376</f>
        <v/>
      </c>
      <c r="DB377">
        <f>$C377*DB376</f>
        <v/>
      </c>
      <c r="DC377">
        <f>$C377*DC376</f>
        <v/>
      </c>
    </row>
    <row r="378">
      <c r="B378" t="inlineStr">
        <is>
          <t>TSP-959</t>
        </is>
      </c>
      <c r="C378" t="inlineStr">
        <is>
          <t>No. of batches</t>
        </is>
      </c>
      <c r="D378">
        <f>IFERROR(INDEX(PP_Grid[#Data],$DD378,2),0)</f>
        <v/>
      </c>
      <c r="E378">
        <f>IFERROR(INDEX(PP_Grid[#Data],$DD378,3),0)</f>
        <v/>
      </c>
      <c r="F378">
        <f>IFERROR(INDEX(PP_Grid[#Data],$DD378,4),0)</f>
        <v/>
      </c>
      <c r="G378">
        <f>IFERROR(INDEX(PP_Grid[#Data],$DD378,5),0)</f>
        <v/>
      </c>
      <c r="H378">
        <f>IFERROR(INDEX(PP_Grid[#Data],$DD378,6),0)</f>
        <v/>
      </c>
      <c r="I378">
        <f>IFERROR(INDEX(PP_Grid[#Data],$DD378,7),0)</f>
        <v/>
      </c>
      <c r="J378">
        <f>IFERROR(INDEX(PP_Grid[#Data],$DD378,8),0)</f>
        <v/>
      </c>
      <c r="K378">
        <f>IFERROR(INDEX(PP_Grid[#Data],$DD378,9),0)</f>
        <v/>
      </c>
      <c r="L378">
        <f>IFERROR(INDEX(PP_Grid[#Data],$DD378,10),0)</f>
        <v/>
      </c>
      <c r="M378">
        <f>IFERROR(INDEX(PP_Grid[#Data],$DD378,11),0)</f>
        <v/>
      </c>
      <c r="N378">
        <f>IFERROR(INDEX(PP_Grid[#Data],$DD378,12),0)</f>
        <v/>
      </c>
      <c r="O378">
        <f>IFERROR(INDEX(PP_Grid[#Data],$DD378,13),0)</f>
        <v/>
      </c>
      <c r="P378">
        <f>IFERROR(INDEX(PP_Grid[#Data],$DD378,14),0)</f>
        <v/>
      </c>
      <c r="Q378">
        <f>IFERROR(INDEX(PP_Grid[#Data],$DD378,15),0)</f>
        <v/>
      </c>
      <c r="R378">
        <f>IFERROR(INDEX(PP_Grid[#Data],$DD378,16),0)</f>
        <v/>
      </c>
      <c r="S378">
        <f>IFERROR(INDEX(PP_Grid[#Data],$DD378,17),0)</f>
        <v/>
      </c>
      <c r="T378">
        <f>IFERROR(INDEX(PP_Grid[#Data],$DD378,18),0)</f>
        <v/>
      </c>
      <c r="U378">
        <f>IFERROR(INDEX(PP_Grid[#Data],$DD378,19),0)</f>
        <v/>
      </c>
      <c r="V378">
        <f>IFERROR(INDEX(PP_Grid[#Data],$DD378,20),0)</f>
        <v/>
      </c>
      <c r="W378">
        <f>IFERROR(INDEX(PP_Grid[#Data],$DD378,21),0)</f>
        <v/>
      </c>
      <c r="X378">
        <f>IFERROR(INDEX(PP_Grid[#Data],$DD378,22),0)</f>
        <v/>
      </c>
      <c r="Y378">
        <f>IFERROR(INDEX(PP_Grid[#Data],$DD378,23),0)</f>
        <v/>
      </c>
      <c r="Z378">
        <f>IFERROR(INDEX(PP_Grid[#Data],$DD378,24),0)</f>
        <v/>
      </c>
      <c r="AA378">
        <f>IFERROR(INDEX(PP_Grid[#Data],$DD378,25),0)</f>
        <v/>
      </c>
      <c r="AB378">
        <f>IFERROR(INDEX(PP_Grid[#Data],$DD378,26),0)</f>
        <v/>
      </c>
      <c r="AC378">
        <f>IFERROR(INDEX(PP_Grid[#Data],$DD378,27),0)</f>
        <v/>
      </c>
      <c r="AD378">
        <f>IFERROR(INDEX(PP_Grid[#Data],$DD378,28),0)</f>
        <v/>
      </c>
      <c r="AE378">
        <f>IFERROR(INDEX(PP_Grid[#Data],$DD378,29),0)</f>
        <v/>
      </c>
      <c r="AF378">
        <f>IFERROR(INDEX(PP_Grid[#Data],$DD378,30),0)</f>
        <v/>
      </c>
      <c r="AG378">
        <f>IFERROR(INDEX(PP_Grid[#Data],$DD378,31),0)</f>
        <v/>
      </c>
      <c r="AH378">
        <f>IFERROR(INDEX(PP_Grid[#Data],$DD378,32),0)</f>
        <v/>
      </c>
      <c r="AI378">
        <f>IFERROR(INDEX(PP_Grid[#Data],$DD378,33),0)</f>
        <v/>
      </c>
      <c r="AJ378">
        <f>IFERROR(INDEX(PP_Grid[#Data],$DD378,34),0)</f>
        <v/>
      </c>
      <c r="AK378">
        <f>IFERROR(INDEX(PP_Grid[#Data],$DD378,35),0)</f>
        <v/>
      </c>
      <c r="AL378">
        <f>IFERROR(INDEX(PP_Grid[#Data],$DD378,36),0)</f>
        <v/>
      </c>
      <c r="AM378">
        <f>IFERROR(INDEX(PP_Grid[#Data],$DD378,37),0)</f>
        <v/>
      </c>
      <c r="AN378">
        <f>IFERROR(INDEX(PP_Grid[#Data],$DD378,38),0)</f>
        <v/>
      </c>
      <c r="AO378">
        <f>IFERROR(INDEX(PP_Grid[#Data],$DD378,39),0)</f>
        <v/>
      </c>
      <c r="AP378">
        <f>IFERROR(INDEX(PP_Grid[#Data],$DD378,40),0)</f>
        <v/>
      </c>
      <c r="AQ378">
        <f>IFERROR(INDEX(PP_Grid[#Data],$DD378,41),0)</f>
        <v/>
      </c>
      <c r="AR378">
        <f>IFERROR(INDEX(PP_Grid[#Data],$DD378,42),0)</f>
        <v/>
      </c>
      <c r="AS378">
        <f>IFERROR(INDEX(PP_Grid[#Data],$DD378,43),0)</f>
        <v/>
      </c>
      <c r="AT378">
        <f>IFERROR(INDEX(PP_Grid[#Data],$DD378,44),0)</f>
        <v/>
      </c>
      <c r="AU378">
        <f>IFERROR(INDEX(PP_Grid[#Data],$DD378,45),0)</f>
        <v/>
      </c>
      <c r="AV378">
        <f>IFERROR(INDEX(PP_Grid[#Data],$DD378,46),0)</f>
        <v/>
      </c>
      <c r="AW378">
        <f>IFERROR(INDEX(PP_Grid[#Data],$DD378,47),0)</f>
        <v/>
      </c>
      <c r="AX378">
        <f>IFERROR(INDEX(PP_Grid[#Data],$DD378,48),0)</f>
        <v/>
      </c>
      <c r="AY378">
        <f>IFERROR(INDEX(PP_Grid[#Data],$DD378,49),0)</f>
        <v/>
      </c>
      <c r="AZ378">
        <f>IFERROR(INDEX(PP_Grid[#Data],$DD378,50),0)</f>
        <v/>
      </c>
      <c r="BA378">
        <f>IFERROR(INDEX(PP_Grid[#Data],$DD378,51),0)</f>
        <v/>
      </c>
      <c r="BB378">
        <f>IFERROR(INDEX(PP_Grid[#Data],$DD378,52),0)</f>
        <v/>
      </c>
      <c r="BC378">
        <f>IFERROR(INDEX(PP_Grid[#Data],$DD378,53),0)</f>
        <v/>
      </c>
      <c r="BD378">
        <f>IFERROR(INDEX(PP_Grid[#Data],$DD378,54),0)</f>
        <v/>
      </c>
      <c r="BE378">
        <f>IFERROR(INDEX(PP_Grid[#Data],$DD378,55),0)</f>
        <v/>
      </c>
      <c r="BF378">
        <f>IFERROR(INDEX(PP_Grid[#Data],$DD378,56),0)</f>
        <v/>
      </c>
      <c r="BG378">
        <f>IFERROR(INDEX(PP_Grid[#Data],$DD378,57),0)</f>
        <v/>
      </c>
      <c r="BH378">
        <f>IFERROR(INDEX(PP_Grid[#Data],$DD378,58),0)</f>
        <v/>
      </c>
      <c r="BI378">
        <f>IFERROR(INDEX(PP_Grid[#Data],$DD378,59),0)</f>
        <v/>
      </c>
      <c r="BJ378">
        <f>IFERROR(INDEX(PP_Grid[#Data],$DD378,60),0)</f>
        <v/>
      </c>
      <c r="BK378">
        <f>IFERROR(INDEX(PP_Grid[#Data],$DD378,61),0)</f>
        <v/>
      </c>
      <c r="BL378">
        <f>IFERROR(INDEX(PP_Grid[#Data],$DD378,62),0)</f>
        <v/>
      </c>
      <c r="BM378">
        <f>IFERROR(INDEX(PP_Grid[#Data],$DD378,63),0)</f>
        <v/>
      </c>
      <c r="BN378">
        <f>IFERROR(INDEX(PP_Grid[#Data],$DD378,64),0)</f>
        <v/>
      </c>
      <c r="BO378">
        <f>IFERROR(INDEX(PP_Grid[#Data],$DD378,65),0)</f>
        <v/>
      </c>
      <c r="BP378">
        <f>IFERROR(INDEX(PP_Grid[#Data],$DD378,66),0)</f>
        <v/>
      </c>
      <c r="BQ378">
        <f>IFERROR(INDEX(PP_Grid[#Data],$DD378,67),0)</f>
        <v/>
      </c>
      <c r="BR378">
        <f>IFERROR(INDEX(PP_Grid[#Data],$DD378,68),0)</f>
        <v/>
      </c>
      <c r="BS378">
        <f>IFERROR(INDEX(PP_Grid[#Data],$DD378,69),0)</f>
        <v/>
      </c>
      <c r="BT378">
        <f>IFERROR(INDEX(PP_Grid[#Data],$DD378,70),0)</f>
        <v/>
      </c>
      <c r="BU378">
        <f>IFERROR(INDEX(PP_Grid[#Data],$DD378,71),0)</f>
        <v/>
      </c>
      <c r="BV378">
        <f>IFERROR(INDEX(PP_Grid[#Data],$DD378,72),0)</f>
        <v/>
      </c>
      <c r="BW378">
        <f>IFERROR(INDEX(PP_Grid[#Data],$DD378,73),0)</f>
        <v/>
      </c>
      <c r="BX378">
        <f>IFERROR(INDEX(PP_Grid[#Data],$DD378,74),0)</f>
        <v/>
      </c>
      <c r="BY378">
        <f>IFERROR(INDEX(PP_Grid[#Data],$DD378,75),0)</f>
        <v/>
      </c>
      <c r="BZ378">
        <f>IFERROR(INDEX(PP_Grid[#Data],$DD378,76),0)</f>
        <v/>
      </c>
      <c r="CA378">
        <f>IFERROR(INDEX(PP_Grid[#Data],$DD378,77),0)</f>
        <v/>
      </c>
      <c r="CB378">
        <f>IFERROR(INDEX(PP_Grid[#Data],$DD378,78),0)</f>
        <v/>
      </c>
      <c r="CC378">
        <f>IFERROR(INDEX(PP_Grid[#Data],$DD378,79),0)</f>
        <v/>
      </c>
      <c r="CD378">
        <f>IFERROR(INDEX(PP_Grid[#Data],$DD378,80),0)</f>
        <v/>
      </c>
      <c r="CE378">
        <f>IFERROR(INDEX(PP_Grid[#Data],$DD378,81),0)</f>
        <v/>
      </c>
      <c r="CF378">
        <f>IFERROR(INDEX(PP_Grid[#Data],$DD378,82),0)</f>
        <v/>
      </c>
      <c r="CG378">
        <f>IFERROR(INDEX(PP_Grid[#Data],$DD378,83),0)</f>
        <v/>
      </c>
      <c r="CH378">
        <f>IFERROR(INDEX(PP_Grid[#Data],$DD378,84),0)</f>
        <v/>
      </c>
      <c r="CI378">
        <f>IFERROR(INDEX(PP_Grid[#Data],$DD378,85),0)</f>
        <v/>
      </c>
      <c r="CJ378">
        <f>IFERROR(INDEX(PP_Grid[#Data],$DD378,86),0)</f>
        <v/>
      </c>
      <c r="CK378">
        <f>IFERROR(INDEX(PP_Grid[#Data],$DD378,87),0)</f>
        <v/>
      </c>
      <c r="CL378">
        <f>IFERROR(INDEX(PP_Grid[#Data],$DD378,88),0)</f>
        <v/>
      </c>
      <c r="CM378">
        <f>IFERROR(INDEX(PP_Grid[#Data],$DD378,89),0)</f>
        <v/>
      </c>
      <c r="CN378">
        <f>IFERROR(INDEX(PP_Grid[#Data],$DD378,90),0)</f>
        <v/>
      </c>
      <c r="CO378">
        <f>IFERROR(INDEX(PP_Grid[#Data],$DD378,91),0)</f>
        <v/>
      </c>
      <c r="CP378">
        <f>IFERROR(INDEX(PP_Grid[#Data],$DD378,92),0)</f>
        <v/>
      </c>
      <c r="CQ378">
        <f>IFERROR(INDEX(PP_Grid[#Data],$DD378,93),0)</f>
        <v/>
      </c>
      <c r="CR378">
        <f>IFERROR(INDEX(PP_Grid[#Data],$DD378,94),0)</f>
        <v/>
      </c>
      <c r="CS378">
        <f>IFERROR(INDEX(PP_Grid[#Data],$DD378,95),0)</f>
        <v/>
      </c>
      <c r="CT378">
        <f>IFERROR(INDEX(PP_Grid[#Data],$DD378,96),0)</f>
        <v/>
      </c>
      <c r="CU378">
        <f>IFERROR(INDEX(PP_Grid[#Data],$DD378,97),0)</f>
        <v/>
      </c>
      <c r="CV378">
        <f>IFERROR(INDEX(PP_Grid[#Data],$DD378,98),0)</f>
        <v/>
      </c>
      <c r="CW378">
        <f>IFERROR(INDEX(PP_Grid[#Data],$DD378,99),0)</f>
        <v/>
      </c>
      <c r="CX378">
        <f>IFERROR(INDEX(PP_Grid[#Data],$DD378,100),0)</f>
        <v/>
      </c>
      <c r="CY378">
        <f>IFERROR(INDEX(PP_Grid[#Data],$DD378,101),0)</f>
        <v/>
      </c>
      <c r="CZ378">
        <f>IFERROR(INDEX(PP_Grid[#Data],$DD378,102),0)</f>
        <v/>
      </c>
      <c r="DA378">
        <f>IFERROR(INDEX(PP_Grid[#Data],$DD378,103),0)</f>
        <v/>
      </c>
      <c r="DB378">
        <f>IFERROR(INDEX(PP_Grid[#Data],$DD378,104),0)</f>
        <v/>
      </c>
      <c r="DC378">
        <f>IFERROR(INDEX(PP_Grid[#Data],$DD378,105),0)</f>
        <v/>
      </c>
      <c r="DD378" s="12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SUMIFS(M_BOM[RM_Qty_Per_Batch],M_BOM[Intermediate],$B378,M_BOM[Part Name],$A271)</f>
        <v/>
      </c>
      <c r="D379">
        <f>$C379*D378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</row>
    <row r="380">
      <c r="B380" t="inlineStr">
        <is>
          <t>TSP-966</t>
        </is>
      </c>
      <c r="C380" t="inlineStr">
        <is>
          <t>No. of batches</t>
        </is>
      </c>
      <c r="D380">
        <f>IFERROR(INDEX(PP_Grid[#Data],$DD380,2),0)</f>
        <v/>
      </c>
      <c r="E380">
        <f>IFERROR(INDEX(PP_Grid[#Data],$DD380,3),0)</f>
        <v/>
      </c>
      <c r="F380">
        <f>IFERROR(INDEX(PP_Grid[#Data],$DD380,4),0)</f>
        <v/>
      </c>
      <c r="G380">
        <f>IFERROR(INDEX(PP_Grid[#Data],$DD380,5),0)</f>
        <v/>
      </c>
      <c r="H380">
        <f>IFERROR(INDEX(PP_Grid[#Data],$DD380,6),0)</f>
        <v/>
      </c>
      <c r="I380">
        <f>IFERROR(INDEX(PP_Grid[#Data],$DD380,7),0)</f>
        <v/>
      </c>
      <c r="J380">
        <f>IFERROR(INDEX(PP_Grid[#Data],$DD380,8),0)</f>
        <v/>
      </c>
      <c r="K380">
        <f>IFERROR(INDEX(PP_Grid[#Data],$DD380,9),0)</f>
        <v/>
      </c>
      <c r="L380">
        <f>IFERROR(INDEX(PP_Grid[#Data],$DD380,10),0)</f>
        <v/>
      </c>
      <c r="M380">
        <f>IFERROR(INDEX(PP_Grid[#Data],$DD380,11),0)</f>
        <v/>
      </c>
      <c r="N380">
        <f>IFERROR(INDEX(PP_Grid[#Data],$DD380,12),0)</f>
        <v/>
      </c>
      <c r="O380">
        <f>IFERROR(INDEX(PP_Grid[#Data],$DD380,13),0)</f>
        <v/>
      </c>
      <c r="P380">
        <f>IFERROR(INDEX(PP_Grid[#Data],$DD380,14),0)</f>
        <v/>
      </c>
      <c r="Q380">
        <f>IFERROR(INDEX(PP_Grid[#Data],$DD380,15),0)</f>
        <v/>
      </c>
      <c r="R380">
        <f>IFERROR(INDEX(PP_Grid[#Data],$DD380,16),0)</f>
        <v/>
      </c>
      <c r="S380">
        <f>IFERROR(INDEX(PP_Grid[#Data],$DD380,17),0)</f>
        <v/>
      </c>
      <c r="T380">
        <f>IFERROR(INDEX(PP_Grid[#Data],$DD380,18),0)</f>
        <v/>
      </c>
      <c r="U380">
        <f>IFERROR(INDEX(PP_Grid[#Data],$DD380,19),0)</f>
        <v/>
      </c>
      <c r="V380">
        <f>IFERROR(INDEX(PP_Grid[#Data],$DD380,20),0)</f>
        <v/>
      </c>
      <c r="W380">
        <f>IFERROR(INDEX(PP_Grid[#Data],$DD380,21),0)</f>
        <v/>
      </c>
      <c r="X380">
        <f>IFERROR(INDEX(PP_Grid[#Data],$DD380,22),0)</f>
        <v/>
      </c>
      <c r="Y380">
        <f>IFERROR(INDEX(PP_Grid[#Data],$DD380,23),0)</f>
        <v/>
      </c>
      <c r="Z380">
        <f>IFERROR(INDEX(PP_Grid[#Data],$DD380,24),0)</f>
        <v/>
      </c>
      <c r="AA380">
        <f>IFERROR(INDEX(PP_Grid[#Data],$DD380,25),0)</f>
        <v/>
      </c>
      <c r="AB380">
        <f>IFERROR(INDEX(PP_Grid[#Data],$DD380,26),0)</f>
        <v/>
      </c>
      <c r="AC380">
        <f>IFERROR(INDEX(PP_Grid[#Data],$DD380,27),0)</f>
        <v/>
      </c>
      <c r="AD380">
        <f>IFERROR(INDEX(PP_Grid[#Data],$DD380,28),0)</f>
        <v/>
      </c>
      <c r="AE380">
        <f>IFERROR(INDEX(PP_Grid[#Data],$DD380,29),0)</f>
        <v/>
      </c>
      <c r="AF380">
        <f>IFERROR(INDEX(PP_Grid[#Data],$DD380,30),0)</f>
        <v/>
      </c>
      <c r="AG380">
        <f>IFERROR(INDEX(PP_Grid[#Data],$DD380,31),0)</f>
        <v/>
      </c>
      <c r="AH380">
        <f>IFERROR(INDEX(PP_Grid[#Data],$DD380,32),0)</f>
        <v/>
      </c>
      <c r="AI380">
        <f>IFERROR(INDEX(PP_Grid[#Data],$DD380,33),0)</f>
        <v/>
      </c>
      <c r="AJ380">
        <f>IFERROR(INDEX(PP_Grid[#Data],$DD380,34),0)</f>
        <v/>
      </c>
      <c r="AK380">
        <f>IFERROR(INDEX(PP_Grid[#Data],$DD380,35),0)</f>
        <v/>
      </c>
      <c r="AL380">
        <f>IFERROR(INDEX(PP_Grid[#Data],$DD380,36),0)</f>
        <v/>
      </c>
      <c r="AM380">
        <f>IFERROR(INDEX(PP_Grid[#Data],$DD380,37),0)</f>
        <v/>
      </c>
      <c r="AN380">
        <f>IFERROR(INDEX(PP_Grid[#Data],$DD380,38),0)</f>
        <v/>
      </c>
      <c r="AO380">
        <f>IFERROR(INDEX(PP_Grid[#Data],$DD380,39),0)</f>
        <v/>
      </c>
      <c r="AP380">
        <f>IFERROR(INDEX(PP_Grid[#Data],$DD380,40),0)</f>
        <v/>
      </c>
      <c r="AQ380">
        <f>IFERROR(INDEX(PP_Grid[#Data],$DD380,41),0)</f>
        <v/>
      </c>
      <c r="AR380">
        <f>IFERROR(INDEX(PP_Grid[#Data],$DD380,42),0)</f>
        <v/>
      </c>
      <c r="AS380">
        <f>IFERROR(INDEX(PP_Grid[#Data],$DD380,43),0)</f>
        <v/>
      </c>
      <c r="AT380">
        <f>IFERROR(INDEX(PP_Grid[#Data],$DD380,44),0)</f>
        <v/>
      </c>
      <c r="AU380">
        <f>IFERROR(INDEX(PP_Grid[#Data],$DD380,45),0)</f>
        <v/>
      </c>
      <c r="AV380">
        <f>IFERROR(INDEX(PP_Grid[#Data],$DD380,46),0)</f>
        <v/>
      </c>
      <c r="AW380">
        <f>IFERROR(INDEX(PP_Grid[#Data],$DD380,47),0)</f>
        <v/>
      </c>
      <c r="AX380">
        <f>IFERROR(INDEX(PP_Grid[#Data],$DD380,48),0)</f>
        <v/>
      </c>
      <c r="AY380">
        <f>IFERROR(INDEX(PP_Grid[#Data],$DD380,49),0)</f>
        <v/>
      </c>
      <c r="AZ380">
        <f>IFERROR(INDEX(PP_Grid[#Data],$DD380,50),0)</f>
        <v/>
      </c>
      <c r="BA380">
        <f>IFERROR(INDEX(PP_Grid[#Data],$DD380,51),0)</f>
        <v/>
      </c>
      <c r="BB380">
        <f>IFERROR(INDEX(PP_Grid[#Data],$DD380,52),0)</f>
        <v/>
      </c>
      <c r="BC380">
        <f>IFERROR(INDEX(PP_Grid[#Data],$DD380,53),0)</f>
        <v/>
      </c>
      <c r="BD380">
        <f>IFERROR(INDEX(PP_Grid[#Data],$DD380,54),0)</f>
        <v/>
      </c>
      <c r="BE380">
        <f>IFERROR(INDEX(PP_Grid[#Data],$DD380,55),0)</f>
        <v/>
      </c>
      <c r="BF380">
        <f>IFERROR(INDEX(PP_Grid[#Data],$DD380,56),0)</f>
        <v/>
      </c>
      <c r="BG380">
        <f>IFERROR(INDEX(PP_Grid[#Data],$DD380,57),0)</f>
        <v/>
      </c>
      <c r="BH380">
        <f>IFERROR(INDEX(PP_Grid[#Data],$DD380,58),0)</f>
        <v/>
      </c>
      <c r="BI380">
        <f>IFERROR(INDEX(PP_Grid[#Data],$DD380,59),0)</f>
        <v/>
      </c>
      <c r="BJ380">
        <f>IFERROR(INDEX(PP_Grid[#Data],$DD380,60),0)</f>
        <v/>
      </c>
      <c r="BK380">
        <f>IFERROR(INDEX(PP_Grid[#Data],$DD380,61),0)</f>
        <v/>
      </c>
      <c r="BL380">
        <f>IFERROR(INDEX(PP_Grid[#Data],$DD380,62),0)</f>
        <v/>
      </c>
      <c r="BM380">
        <f>IFERROR(INDEX(PP_Grid[#Data],$DD380,63),0)</f>
        <v/>
      </c>
      <c r="BN380">
        <f>IFERROR(INDEX(PP_Grid[#Data],$DD380,64),0)</f>
        <v/>
      </c>
      <c r="BO380">
        <f>IFERROR(INDEX(PP_Grid[#Data],$DD380,65),0)</f>
        <v/>
      </c>
      <c r="BP380">
        <f>IFERROR(INDEX(PP_Grid[#Data],$DD380,66),0)</f>
        <v/>
      </c>
      <c r="BQ380">
        <f>IFERROR(INDEX(PP_Grid[#Data],$DD380,67),0)</f>
        <v/>
      </c>
      <c r="BR380">
        <f>IFERROR(INDEX(PP_Grid[#Data],$DD380,68),0)</f>
        <v/>
      </c>
      <c r="BS380">
        <f>IFERROR(INDEX(PP_Grid[#Data],$DD380,69),0)</f>
        <v/>
      </c>
      <c r="BT380">
        <f>IFERROR(INDEX(PP_Grid[#Data],$DD380,70),0)</f>
        <v/>
      </c>
      <c r="BU380">
        <f>IFERROR(INDEX(PP_Grid[#Data],$DD380,71),0)</f>
        <v/>
      </c>
      <c r="BV380">
        <f>IFERROR(INDEX(PP_Grid[#Data],$DD380,72),0)</f>
        <v/>
      </c>
      <c r="BW380">
        <f>IFERROR(INDEX(PP_Grid[#Data],$DD380,73),0)</f>
        <v/>
      </c>
      <c r="BX380">
        <f>IFERROR(INDEX(PP_Grid[#Data],$DD380,74),0)</f>
        <v/>
      </c>
      <c r="BY380">
        <f>IFERROR(INDEX(PP_Grid[#Data],$DD380,75),0)</f>
        <v/>
      </c>
      <c r="BZ380">
        <f>IFERROR(INDEX(PP_Grid[#Data],$DD380,76),0)</f>
        <v/>
      </c>
      <c r="CA380">
        <f>IFERROR(INDEX(PP_Grid[#Data],$DD380,77),0)</f>
        <v/>
      </c>
      <c r="CB380">
        <f>IFERROR(INDEX(PP_Grid[#Data],$DD380,78),0)</f>
        <v/>
      </c>
      <c r="CC380">
        <f>IFERROR(INDEX(PP_Grid[#Data],$DD380,79),0)</f>
        <v/>
      </c>
      <c r="CD380">
        <f>IFERROR(INDEX(PP_Grid[#Data],$DD380,80),0)</f>
        <v/>
      </c>
      <c r="CE380">
        <f>IFERROR(INDEX(PP_Grid[#Data],$DD380,81),0)</f>
        <v/>
      </c>
      <c r="CF380">
        <f>IFERROR(INDEX(PP_Grid[#Data],$DD380,82),0)</f>
        <v/>
      </c>
      <c r="CG380">
        <f>IFERROR(INDEX(PP_Grid[#Data],$DD380,83),0)</f>
        <v/>
      </c>
      <c r="CH380">
        <f>IFERROR(INDEX(PP_Grid[#Data],$DD380,84),0)</f>
        <v/>
      </c>
      <c r="CI380">
        <f>IFERROR(INDEX(PP_Grid[#Data],$DD380,85),0)</f>
        <v/>
      </c>
      <c r="CJ380">
        <f>IFERROR(INDEX(PP_Grid[#Data],$DD380,86),0)</f>
        <v/>
      </c>
      <c r="CK380">
        <f>IFERROR(INDEX(PP_Grid[#Data],$DD380,87),0)</f>
        <v/>
      </c>
      <c r="CL380">
        <f>IFERROR(INDEX(PP_Grid[#Data],$DD380,88),0)</f>
        <v/>
      </c>
      <c r="CM380">
        <f>IFERROR(INDEX(PP_Grid[#Data],$DD380,89),0)</f>
        <v/>
      </c>
      <c r="CN380">
        <f>IFERROR(INDEX(PP_Grid[#Data],$DD380,90),0)</f>
        <v/>
      </c>
      <c r="CO380">
        <f>IFERROR(INDEX(PP_Grid[#Data],$DD380,91),0)</f>
        <v/>
      </c>
      <c r="CP380">
        <f>IFERROR(INDEX(PP_Grid[#Data],$DD380,92),0)</f>
        <v/>
      </c>
      <c r="CQ380">
        <f>IFERROR(INDEX(PP_Grid[#Data],$DD380,93),0)</f>
        <v/>
      </c>
      <c r="CR380">
        <f>IFERROR(INDEX(PP_Grid[#Data],$DD380,94),0)</f>
        <v/>
      </c>
      <c r="CS380">
        <f>IFERROR(INDEX(PP_Grid[#Data],$DD380,95),0)</f>
        <v/>
      </c>
      <c r="CT380">
        <f>IFERROR(INDEX(PP_Grid[#Data],$DD380,96),0)</f>
        <v/>
      </c>
      <c r="CU380">
        <f>IFERROR(INDEX(PP_Grid[#Data],$DD380,97),0)</f>
        <v/>
      </c>
      <c r="CV380">
        <f>IFERROR(INDEX(PP_Grid[#Data],$DD380,98),0)</f>
        <v/>
      </c>
      <c r="CW380">
        <f>IFERROR(INDEX(PP_Grid[#Data],$DD380,99),0)</f>
        <v/>
      </c>
      <c r="CX380">
        <f>IFERROR(INDEX(PP_Grid[#Data],$DD380,100),0)</f>
        <v/>
      </c>
      <c r="CY380">
        <f>IFERROR(INDEX(PP_Grid[#Data],$DD380,101),0)</f>
        <v/>
      </c>
      <c r="CZ380">
        <f>IFERROR(INDEX(PP_Grid[#Data],$DD380,102),0)</f>
        <v/>
      </c>
      <c r="DA380">
        <f>IFERROR(INDEX(PP_Grid[#Data],$DD380,103),0)</f>
        <v/>
      </c>
      <c r="DB380">
        <f>IFERROR(INDEX(PP_Grid[#Data],$DD380,104),0)</f>
        <v/>
      </c>
      <c r="DC380">
        <f>IFERROR(INDEX(PP_Grid[#Data],$DD380,105),0)</f>
        <v/>
      </c>
      <c r="DD380" s="12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SUMIFS(M_BOM[RM_Qty_Per_Batch],M_BOM[Intermediate],$B380,M_BOM[Part Name],$A271)</f>
        <v/>
      </c>
      <c r="D381">
        <f>$C381*D380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</row>
    <row r="382">
      <c r="B382" t="inlineStr">
        <is>
          <t>TVS-267</t>
        </is>
      </c>
      <c r="C382" t="inlineStr">
        <is>
          <t>No. of batches</t>
        </is>
      </c>
      <c r="D382">
        <f>IFERROR(INDEX(PP_Grid[#Data],$DD382,2),0)</f>
        <v/>
      </c>
      <c r="E382">
        <f>IFERROR(INDEX(PP_Grid[#Data],$DD382,3),0)</f>
        <v/>
      </c>
      <c r="F382">
        <f>IFERROR(INDEX(PP_Grid[#Data],$DD382,4),0)</f>
        <v/>
      </c>
      <c r="G382">
        <f>IFERROR(INDEX(PP_Grid[#Data],$DD382,5),0)</f>
        <v/>
      </c>
      <c r="H382">
        <f>IFERROR(INDEX(PP_Grid[#Data],$DD382,6),0)</f>
        <v/>
      </c>
      <c r="I382">
        <f>IFERROR(INDEX(PP_Grid[#Data],$DD382,7),0)</f>
        <v/>
      </c>
      <c r="J382">
        <f>IFERROR(INDEX(PP_Grid[#Data],$DD382,8),0)</f>
        <v/>
      </c>
      <c r="K382">
        <f>IFERROR(INDEX(PP_Grid[#Data],$DD382,9),0)</f>
        <v/>
      </c>
      <c r="L382">
        <f>IFERROR(INDEX(PP_Grid[#Data],$DD382,10),0)</f>
        <v/>
      </c>
      <c r="M382">
        <f>IFERROR(INDEX(PP_Grid[#Data],$DD382,11),0)</f>
        <v/>
      </c>
      <c r="N382">
        <f>IFERROR(INDEX(PP_Grid[#Data],$DD382,12),0)</f>
        <v/>
      </c>
      <c r="O382">
        <f>IFERROR(INDEX(PP_Grid[#Data],$DD382,13),0)</f>
        <v/>
      </c>
      <c r="P382">
        <f>IFERROR(INDEX(PP_Grid[#Data],$DD382,14),0)</f>
        <v/>
      </c>
      <c r="Q382">
        <f>IFERROR(INDEX(PP_Grid[#Data],$DD382,15),0)</f>
        <v/>
      </c>
      <c r="R382">
        <f>IFERROR(INDEX(PP_Grid[#Data],$DD382,16),0)</f>
        <v/>
      </c>
      <c r="S382">
        <f>IFERROR(INDEX(PP_Grid[#Data],$DD382,17),0)</f>
        <v/>
      </c>
      <c r="T382">
        <f>IFERROR(INDEX(PP_Grid[#Data],$DD382,18),0)</f>
        <v/>
      </c>
      <c r="U382">
        <f>IFERROR(INDEX(PP_Grid[#Data],$DD382,19),0)</f>
        <v/>
      </c>
      <c r="V382">
        <f>IFERROR(INDEX(PP_Grid[#Data],$DD382,20),0)</f>
        <v/>
      </c>
      <c r="W382">
        <f>IFERROR(INDEX(PP_Grid[#Data],$DD382,21),0)</f>
        <v/>
      </c>
      <c r="X382">
        <f>IFERROR(INDEX(PP_Grid[#Data],$DD382,22),0)</f>
        <v/>
      </c>
      <c r="Y382">
        <f>IFERROR(INDEX(PP_Grid[#Data],$DD382,23),0)</f>
        <v/>
      </c>
      <c r="Z382">
        <f>IFERROR(INDEX(PP_Grid[#Data],$DD382,24),0)</f>
        <v/>
      </c>
      <c r="AA382">
        <f>IFERROR(INDEX(PP_Grid[#Data],$DD382,25),0)</f>
        <v/>
      </c>
      <c r="AB382">
        <f>IFERROR(INDEX(PP_Grid[#Data],$DD382,26),0)</f>
        <v/>
      </c>
      <c r="AC382">
        <f>IFERROR(INDEX(PP_Grid[#Data],$DD382,27),0)</f>
        <v/>
      </c>
      <c r="AD382">
        <f>IFERROR(INDEX(PP_Grid[#Data],$DD382,28),0)</f>
        <v/>
      </c>
      <c r="AE382">
        <f>IFERROR(INDEX(PP_Grid[#Data],$DD382,29),0)</f>
        <v/>
      </c>
      <c r="AF382">
        <f>IFERROR(INDEX(PP_Grid[#Data],$DD382,30),0)</f>
        <v/>
      </c>
      <c r="AG382">
        <f>IFERROR(INDEX(PP_Grid[#Data],$DD382,31),0)</f>
        <v/>
      </c>
      <c r="AH382">
        <f>IFERROR(INDEX(PP_Grid[#Data],$DD382,32),0)</f>
        <v/>
      </c>
      <c r="AI382">
        <f>IFERROR(INDEX(PP_Grid[#Data],$DD382,33),0)</f>
        <v/>
      </c>
      <c r="AJ382">
        <f>IFERROR(INDEX(PP_Grid[#Data],$DD382,34),0)</f>
        <v/>
      </c>
      <c r="AK382">
        <f>IFERROR(INDEX(PP_Grid[#Data],$DD382,35),0)</f>
        <v/>
      </c>
      <c r="AL382">
        <f>IFERROR(INDEX(PP_Grid[#Data],$DD382,36),0)</f>
        <v/>
      </c>
      <c r="AM382">
        <f>IFERROR(INDEX(PP_Grid[#Data],$DD382,37),0)</f>
        <v/>
      </c>
      <c r="AN382">
        <f>IFERROR(INDEX(PP_Grid[#Data],$DD382,38),0)</f>
        <v/>
      </c>
      <c r="AO382">
        <f>IFERROR(INDEX(PP_Grid[#Data],$DD382,39),0)</f>
        <v/>
      </c>
      <c r="AP382">
        <f>IFERROR(INDEX(PP_Grid[#Data],$DD382,40),0)</f>
        <v/>
      </c>
      <c r="AQ382">
        <f>IFERROR(INDEX(PP_Grid[#Data],$DD382,41),0)</f>
        <v/>
      </c>
      <c r="AR382">
        <f>IFERROR(INDEX(PP_Grid[#Data],$DD382,42),0)</f>
        <v/>
      </c>
      <c r="AS382">
        <f>IFERROR(INDEX(PP_Grid[#Data],$DD382,43),0)</f>
        <v/>
      </c>
      <c r="AT382">
        <f>IFERROR(INDEX(PP_Grid[#Data],$DD382,44),0)</f>
        <v/>
      </c>
      <c r="AU382">
        <f>IFERROR(INDEX(PP_Grid[#Data],$DD382,45),0)</f>
        <v/>
      </c>
      <c r="AV382">
        <f>IFERROR(INDEX(PP_Grid[#Data],$DD382,46),0)</f>
        <v/>
      </c>
      <c r="AW382">
        <f>IFERROR(INDEX(PP_Grid[#Data],$DD382,47),0)</f>
        <v/>
      </c>
      <c r="AX382">
        <f>IFERROR(INDEX(PP_Grid[#Data],$DD382,48),0)</f>
        <v/>
      </c>
      <c r="AY382">
        <f>IFERROR(INDEX(PP_Grid[#Data],$DD382,49),0)</f>
        <v/>
      </c>
      <c r="AZ382">
        <f>IFERROR(INDEX(PP_Grid[#Data],$DD382,50),0)</f>
        <v/>
      </c>
      <c r="BA382">
        <f>IFERROR(INDEX(PP_Grid[#Data],$DD382,51),0)</f>
        <v/>
      </c>
      <c r="BB382">
        <f>IFERROR(INDEX(PP_Grid[#Data],$DD382,52),0)</f>
        <v/>
      </c>
      <c r="BC382">
        <f>IFERROR(INDEX(PP_Grid[#Data],$DD382,53),0)</f>
        <v/>
      </c>
      <c r="BD382">
        <f>IFERROR(INDEX(PP_Grid[#Data],$DD382,54),0)</f>
        <v/>
      </c>
      <c r="BE382">
        <f>IFERROR(INDEX(PP_Grid[#Data],$DD382,55),0)</f>
        <v/>
      </c>
      <c r="BF382">
        <f>IFERROR(INDEX(PP_Grid[#Data],$DD382,56),0)</f>
        <v/>
      </c>
      <c r="BG382">
        <f>IFERROR(INDEX(PP_Grid[#Data],$DD382,57),0)</f>
        <v/>
      </c>
      <c r="BH382">
        <f>IFERROR(INDEX(PP_Grid[#Data],$DD382,58),0)</f>
        <v/>
      </c>
      <c r="BI382">
        <f>IFERROR(INDEX(PP_Grid[#Data],$DD382,59),0)</f>
        <v/>
      </c>
      <c r="BJ382">
        <f>IFERROR(INDEX(PP_Grid[#Data],$DD382,60),0)</f>
        <v/>
      </c>
      <c r="BK382">
        <f>IFERROR(INDEX(PP_Grid[#Data],$DD382,61),0)</f>
        <v/>
      </c>
      <c r="BL382">
        <f>IFERROR(INDEX(PP_Grid[#Data],$DD382,62),0)</f>
        <v/>
      </c>
      <c r="BM382">
        <f>IFERROR(INDEX(PP_Grid[#Data],$DD382,63),0)</f>
        <v/>
      </c>
      <c r="BN382">
        <f>IFERROR(INDEX(PP_Grid[#Data],$DD382,64),0)</f>
        <v/>
      </c>
      <c r="BO382">
        <f>IFERROR(INDEX(PP_Grid[#Data],$DD382,65),0)</f>
        <v/>
      </c>
      <c r="BP382">
        <f>IFERROR(INDEX(PP_Grid[#Data],$DD382,66),0)</f>
        <v/>
      </c>
      <c r="BQ382">
        <f>IFERROR(INDEX(PP_Grid[#Data],$DD382,67),0)</f>
        <v/>
      </c>
      <c r="BR382">
        <f>IFERROR(INDEX(PP_Grid[#Data],$DD382,68),0)</f>
        <v/>
      </c>
      <c r="BS382">
        <f>IFERROR(INDEX(PP_Grid[#Data],$DD382,69),0)</f>
        <v/>
      </c>
      <c r="BT382">
        <f>IFERROR(INDEX(PP_Grid[#Data],$DD382,70),0)</f>
        <v/>
      </c>
      <c r="BU382">
        <f>IFERROR(INDEX(PP_Grid[#Data],$DD382,71),0)</f>
        <v/>
      </c>
      <c r="BV382">
        <f>IFERROR(INDEX(PP_Grid[#Data],$DD382,72),0)</f>
        <v/>
      </c>
      <c r="BW382">
        <f>IFERROR(INDEX(PP_Grid[#Data],$DD382,73),0)</f>
        <v/>
      </c>
      <c r="BX382">
        <f>IFERROR(INDEX(PP_Grid[#Data],$DD382,74),0)</f>
        <v/>
      </c>
      <c r="BY382">
        <f>IFERROR(INDEX(PP_Grid[#Data],$DD382,75),0)</f>
        <v/>
      </c>
      <c r="BZ382">
        <f>IFERROR(INDEX(PP_Grid[#Data],$DD382,76),0)</f>
        <v/>
      </c>
      <c r="CA382">
        <f>IFERROR(INDEX(PP_Grid[#Data],$DD382,77),0)</f>
        <v/>
      </c>
      <c r="CB382">
        <f>IFERROR(INDEX(PP_Grid[#Data],$DD382,78),0)</f>
        <v/>
      </c>
      <c r="CC382">
        <f>IFERROR(INDEX(PP_Grid[#Data],$DD382,79),0)</f>
        <v/>
      </c>
      <c r="CD382">
        <f>IFERROR(INDEX(PP_Grid[#Data],$DD382,80),0)</f>
        <v/>
      </c>
      <c r="CE382">
        <f>IFERROR(INDEX(PP_Grid[#Data],$DD382,81),0)</f>
        <v/>
      </c>
      <c r="CF382">
        <f>IFERROR(INDEX(PP_Grid[#Data],$DD382,82),0)</f>
        <v/>
      </c>
      <c r="CG382">
        <f>IFERROR(INDEX(PP_Grid[#Data],$DD382,83),0)</f>
        <v/>
      </c>
      <c r="CH382">
        <f>IFERROR(INDEX(PP_Grid[#Data],$DD382,84),0)</f>
        <v/>
      </c>
      <c r="CI382">
        <f>IFERROR(INDEX(PP_Grid[#Data],$DD382,85),0)</f>
        <v/>
      </c>
      <c r="CJ382">
        <f>IFERROR(INDEX(PP_Grid[#Data],$DD382,86),0)</f>
        <v/>
      </c>
      <c r="CK382">
        <f>IFERROR(INDEX(PP_Grid[#Data],$DD382,87),0)</f>
        <v/>
      </c>
      <c r="CL382">
        <f>IFERROR(INDEX(PP_Grid[#Data],$DD382,88),0)</f>
        <v/>
      </c>
      <c r="CM382">
        <f>IFERROR(INDEX(PP_Grid[#Data],$DD382,89),0)</f>
        <v/>
      </c>
      <c r="CN382">
        <f>IFERROR(INDEX(PP_Grid[#Data],$DD382,90),0)</f>
        <v/>
      </c>
      <c r="CO382">
        <f>IFERROR(INDEX(PP_Grid[#Data],$DD382,91),0)</f>
        <v/>
      </c>
      <c r="CP382">
        <f>IFERROR(INDEX(PP_Grid[#Data],$DD382,92),0)</f>
        <v/>
      </c>
      <c r="CQ382">
        <f>IFERROR(INDEX(PP_Grid[#Data],$DD382,93),0)</f>
        <v/>
      </c>
      <c r="CR382">
        <f>IFERROR(INDEX(PP_Grid[#Data],$DD382,94),0)</f>
        <v/>
      </c>
      <c r="CS382">
        <f>IFERROR(INDEX(PP_Grid[#Data],$DD382,95),0)</f>
        <v/>
      </c>
      <c r="CT382">
        <f>IFERROR(INDEX(PP_Grid[#Data],$DD382,96),0)</f>
        <v/>
      </c>
      <c r="CU382">
        <f>IFERROR(INDEX(PP_Grid[#Data],$DD382,97),0)</f>
        <v/>
      </c>
      <c r="CV382">
        <f>IFERROR(INDEX(PP_Grid[#Data],$DD382,98),0)</f>
        <v/>
      </c>
      <c r="CW382">
        <f>IFERROR(INDEX(PP_Grid[#Data],$DD382,99),0)</f>
        <v/>
      </c>
      <c r="CX382">
        <f>IFERROR(INDEX(PP_Grid[#Data],$DD382,100),0)</f>
        <v/>
      </c>
      <c r="CY382">
        <f>IFERROR(INDEX(PP_Grid[#Data],$DD382,101),0)</f>
        <v/>
      </c>
      <c r="CZ382">
        <f>IFERROR(INDEX(PP_Grid[#Data],$DD382,102),0)</f>
        <v/>
      </c>
      <c r="DA382">
        <f>IFERROR(INDEX(PP_Grid[#Data],$DD382,103),0)</f>
        <v/>
      </c>
      <c r="DB382">
        <f>IFERROR(INDEX(PP_Grid[#Data],$DD382,104),0)</f>
        <v/>
      </c>
      <c r="DC382">
        <f>IFERROR(INDEX(PP_Grid[#Data],$DD382,105),0)</f>
        <v/>
      </c>
      <c r="DD382" s="12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SUMIFS(M_BOM[RM_Qty_Per_Batch],M_BOM[Intermediate],$B382,M_BOM[Part Name],$A271)</f>
        <v/>
      </c>
      <c r="D383">
        <f>$C383*D382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</row>
    <row r="384">
      <c r="B384" t="inlineStr">
        <is>
          <t>TVS-500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Name],$A271)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TVS-664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Name],$A271)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TVS-833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Name],$A271)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VSP-600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Name],$A271)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VSP-601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Name],$A271)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VSP-602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Name],$A271)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VSP-820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Name],$A271)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VSP-822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Name],$A271)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VSP-910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Name],$A271)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VSP-989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Name],$A271)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VSP-990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Name],$A271)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s="5" t="inlineStr">
        <is>
          <t>合計使用量(kg)/週</t>
        </is>
      </c>
      <c r="D406">
        <f>'Grid_Requirement'!B16</f>
        <v/>
      </c>
      <c r="E406">
        <f>'Grid_Requirement'!C16</f>
        <v/>
      </c>
      <c r="F406">
        <f>'Grid_Requirement'!D16</f>
        <v/>
      </c>
      <c r="G406">
        <f>'Grid_Requirement'!E16</f>
        <v/>
      </c>
      <c r="H406">
        <f>'Grid_Requirement'!F16</f>
        <v/>
      </c>
      <c r="I406">
        <f>'Grid_Requirement'!G16</f>
        <v/>
      </c>
      <c r="J406">
        <f>'Grid_Requirement'!H16</f>
        <v/>
      </c>
      <c r="K406">
        <f>'Grid_Requirement'!I16</f>
        <v/>
      </c>
      <c r="L406">
        <f>'Grid_Requirement'!J16</f>
        <v/>
      </c>
      <c r="M406">
        <f>'Grid_Requirement'!K16</f>
        <v/>
      </c>
      <c r="N406">
        <f>'Grid_Requirement'!L16</f>
        <v/>
      </c>
      <c r="O406">
        <f>'Grid_Requirement'!M16</f>
        <v/>
      </c>
      <c r="P406">
        <f>'Grid_Requirement'!N16</f>
        <v/>
      </c>
      <c r="Q406">
        <f>'Grid_Requirement'!O16</f>
        <v/>
      </c>
      <c r="R406">
        <f>'Grid_Requirement'!P16</f>
        <v/>
      </c>
      <c r="S406">
        <f>'Grid_Requirement'!Q16</f>
        <v/>
      </c>
      <c r="T406">
        <f>'Grid_Requirement'!R16</f>
        <v/>
      </c>
      <c r="U406">
        <f>'Grid_Requirement'!S16</f>
        <v/>
      </c>
      <c r="V406">
        <f>'Grid_Requirement'!T16</f>
        <v/>
      </c>
      <c r="W406">
        <f>'Grid_Requirement'!U16</f>
        <v/>
      </c>
      <c r="X406">
        <f>'Grid_Requirement'!V16</f>
        <v/>
      </c>
      <c r="Y406">
        <f>'Grid_Requirement'!W16</f>
        <v/>
      </c>
      <c r="Z406">
        <f>'Grid_Requirement'!X16</f>
        <v/>
      </c>
      <c r="AA406">
        <f>'Grid_Requirement'!Y16</f>
        <v/>
      </c>
      <c r="AB406">
        <f>'Grid_Requirement'!Z16</f>
        <v/>
      </c>
      <c r="AC406">
        <f>'Grid_Requirement'!AA16</f>
        <v/>
      </c>
      <c r="AD406">
        <f>'Grid_Requirement'!AB16</f>
        <v/>
      </c>
      <c r="AE406">
        <f>'Grid_Requirement'!AC16</f>
        <v/>
      </c>
      <c r="AF406">
        <f>'Grid_Requirement'!AD16</f>
        <v/>
      </c>
      <c r="AG406">
        <f>'Grid_Requirement'!AE16</f>
        <v/>
      </c>
      <c r="AH406">
        <f>'Grid_Requirement'!AF16</f>
        <v/>
      </c>
      <c r="AI406">
        <f>'Grid_Requirement'!AG16</f>
        <v/>
      </c>
      <c r="AJ406">
        <f>'Grid_Requirement'!AH16</f>
        <v/>
      </c>
      <c r="AK406">
        <f>'Grid_Requirement'!AI16</f>
        <v/>
      </c>
      <c r="AL406">
        <f>'Grid_Requirement'!AJ16</f>
        <v/>
      </c>
      <c r="AM406">
        <f>'Grid_Requirement'!AK16</f>
        <v/>
      </c>
      <c r="AN406">
        <f>'Grid_Requirement'!AL16</f>
        <v/>
      </c>
      <c r="AO406">
        <f>'Grid_Requirement'!AM16</f>
        <v/>
      </c>
      <c r="AP406">
        <f>'Grid_Requirement'!AN16</f>
        <v/>
      </c>
      <c r="AQ406">
        <f>'Grid_Requirement'!AO16</f>
        <v/>
      </c>
      <c r="AR406">
        <f>'Grid_Requirement'!AP16</f>
        <v/>
      </c>
      <c r="AS406">
        <f>'Grid_Requirement'!AQ16</f>
        <v/>
      </c>
      <c r="AT406">
        <f>'Grid_Requirement'!AR16</f>
        <v/>
      </c>
      <c r="AU406">
        <f>'Grid_Requirement'!AS16</f>
        <v/>
      </c>
      <c r="AV406">
        <f>'Grid_Requirement'!AT16</f>
        <v/>
      </c>
      <c r="AW406">
        <f>'Grid_Requirement'!AU16</f>
        <v/>
      </c>
      <c r="AX406">
        <f>'Grid_Requirement'!AV16</f>
        <v/>
      </c>
      <c r="AY406">
        <f>'Grid_Requirement'!AW16</f>
        <v/>
      </c>
      <c r="AZ406">
        <f>'Grid_Requirement'!AX16</f>
        <v/>
      </c>
      <c r="BA406">
        <f>'Grid_Requirement'!AY16</f>
        <v/>
      </c>
      <c r="BB406">
        <f>'Grid_Requirement'!AZ16</f>
        <v/>
      </c>
      <c r="BC406">
        <f>'Grid_Requirement'!BA16</f>
        <v/>
      </c>
      <c r="BD406">
        <f>'Grid_Requirement'!BB16</f>
        <v/>
      </c>
      <c r="BE406">
        <f>'Grid_Requirement'!BC16</f>
        <v/>
      </c>
      <c r="BF406">
        <f>'Grid_Requirement'!BD16</f>
        <v/>
      </c>
      <c r="BG406">
        <f>'Grid_Requirement'!BE16</f>
        <v/>
      </c>
      <c r="BH406">
        <f>'Grid_Requirement'!BF16</f>
        <v/>
      </c>
      <c r="BI406">
        <f>'Grid_Requirement'!BG16</f>
        <v/>
      </c>
      <c r="BJ406">
        <f>'Grid_Requirement'!BH16</f>
        <v/>
      </c>
      <c r="BK406">
        <f>'Grid_Requirement'!BI16</f>
        <v/>
      </c>
      <c r="BL406">
        <f>'Grid_Requirement'!BJ16</f>
        <v/>
      </c>
      <c r="BM406">
        <f>'Grid_Requirement'!BK16</f>
        <v/>
      </c>
      <c r="BN406">
        <f>'Grid_Requirement'!BL16</f>
        <v/>
      </c>
      <c r="BO406">
        <f>'Grid_Requirement'!BM16</f>
        <v/>
      </c>
      <c r="BP406">
        <f>'Grid_Requirement'!BN16</f>
        <v/>
      </c>
      <c r="BQ406">
        <f>'Grid_Requirement'!BO16</f>
        <v/>
      </c>
      <c r="BR406">
        <f>'Grid_Requirement'!BP16</f>
        <v/>
      </c>
      <c r="BS406">
        <f>'Grid_Requirement'!BQ16</f>
        <v/>
      </c>
      <c r="BT406">
        <f>'Grid_Requirement'!BR16</f>
        <v/>
      </c>
      <c r="BU406">
        <f>'Grid_Requirement'!BS16</f>
        <v/>
      </c>
      <c r="BV406">
        <f>'Grid_Requirement'!BT16</f>
        <v/>
      </c>
      <c r="BW406">
        <f>'Grid_Requirement'!BU16</f>
        <v/>
      </c>
      <c r="BX406">
        <f>'Grid_Requirement'!BV16</f>
        <v/>
      </c>
      <c r="BY406">
        <f>'Grid_Requirement'!BW16</f>
        <v/>
      </c>
      <c r="BZ406">
        <f>'Grid_Requirement'!BX16</f>
        <v/>
      </c>
      <c r="CA406">
        <f>'Grid_Requirement'!BY16</f>
        <v/>
      </c>
      <c r="CB406">
        <f>'Grid_Requirement'!BZ16</f>
        <v/>
      </c>
      <c r="CC406">
        <f>'Grid_Requirement'!CA16</f>
        <v/>
      </c>
      <c r="CD406">
        <f>'Grid_Requirement'!CB16</f>
        <v/>
      </c>
      <c r="CE406">
        <f>'Grid_Requirement'!CC16</f>
        <v/>
      </c>
      <c r="CF406">
        <f>'Grid_Requirement'!CD16</f>
        <v/>
      </c>
      <c r="CG406">
        <f>'Grid_Requirement'!CE16</f>
        <v/>
      </c>
      <c r="CH406">
        <f>'Grid_Requirement'!CF16</f>
        <v/>
      </c>
      <c r="CI406">
        <f>'Grid_Requirement'!CG16</f>
        <v/>
      </c>
      <c r="CJ406">
        <f>'Grid_Requirement'!CH16</f>
        <v/>
      </c>
      <c r="CK406">
        <f>'Grid_Requirement'!CI16</f>
        <v/>
      </c>
      <c r="CL406">
        <f>'Grid_Requirement'!CJ16</f>
        <v/>
      </c>
      <c r="CM406">
        <f>'Grid_Requirement'!CK16</f>
        <v/>
      </c>
      <c r="CN406">
        <f>'Grid_Requirement'!CL16</f>
        <v/>
      </c>
      <c r="CO406">
        <f>'Grid_Requirement'!CM16</f>
        <v/>
      </c>
      <c r="CP406">
        <f>'Grid_Requirement'!CN16</f>
        <v/>
      </c>
      <c r="CQ406">
        <f>'Grid_Requirement'!CO16</f>
        <v/>
      </c>
      <c r="CR406">
        <f>'Grid_Requirement'!CP16</f>
        <v/>
      </c>
      <c r="CS406">
        <f>'Grid_Requirement'!CQ16</f>
        <v/>
      </c>
      <c r="CT406">
        <f>'Grid_Requirement'!CR16</f>
        <v/>
      </c>
      <c r="CU406">
        <f>'Grid_Requirement'!CS16</f>
        <v/>
      </c>
      <c r="CV406">
        <f>'Grid_Requirement'!CT16</f>
        <v/>
      </c>
      <c r="CW406">
        <f>'Grid_Requirement'!CU16</f>
        <v/>
      </c>
      <c r="CX406">
        <f>'Grid_Requirement'!CV16</f>
        <v/>
      </c>
      <c r="CY406">
        <f>'Grid_Requirement'!CW16</f>
        <v/>
      </c>
      <c r="CZ406">
        <f>'Grid_Requirement'!CX16</f>
        <v/>
      </c>
      <c r="DA406">
        <f>'Grid_Requirement'!CY16</f>
        <v/>
      </c>
      <c r="DB406">
        <f>'Grid_Requirement'!CZ16</f>
        <v/>
      </c>
      <c r="DC406">
        <f>'Grid_Requirement'!DA16</f>
        <v/>
      </c>
    </row>
    <row r="407">
      <c r="B407" t="inlineStr">
        <is>
          <t>TTAF在庫(実績,kg)</t>
        </is>
      </c>
      <c r="D407">
        <f>'T_TTAFStock'!B20</f>
        <v/>
      </c>
      <c r="E407">
        <f>'T_TTAFStock'!C20</f>
        <v/>
      </c>
      <c r="F407">
        <f>'T_TTAFStock'!D20</f>
        <v/>
      </c>
      <c r="G407">
        <f>'T_TTAFStock'!E20</f>
        <v/>
      </c>
      <c r="H407">
        <f>'T_TTAFStock'!F20</f>
        <v/>
      </c>
      <c r="I407">
        <f>'T_TTAFStock'!G20</f>
        <v/>
      </c>
      <c r="J407">
        <f>'T_TTAFStock'!H20</f>
        <v/>
      </c>
      <c r="K407">
        <f>'T_TTAFStock'!I20</f>
        <v/>
      </c>
      <c r="L407">
        <f>'T_TTAFStock'!J20</f>
        <v/>
      </c>
      <c r="M407">
        <f>'T_TTAFStock'!K20</f>
        <v/>
      </c>
      <c r="N407">
        <f>'T_TTAFStock'!L20</f>
        <v/>
      </c>
      <c r="O407">
        <f>'T_TTAFStock'!M20</f>
        <v/>
      </c>
      <c r="P407">
        <f>'T_TTAFStock'!N20</f>
        <v/>
      </c>
      <c r="Q407">
        <f>'T_TTAFStock'!O20</f>
        <v/>
      </c>
      <c r="R407">
        <f>'T_TTAFStock'!P20</f>
        <v/>
      </c>
      <c r="S407">
        <f>'T_TTAFStock'!Q20</f>
        <v/>
      </c>
      <c r="T407">
        <f>'T_TTAFStock'!R20</f>
        <v/>
      </c>
      <c r="U407">
        <f>'T_TTAFStock'!S20</f>
        <v/>
      </c>
      <c r="V407">
        <f>'T_TTAFStock'!T20</f>
        <v/>
      </c>
      <c r="W407">
        <f>'T_TTAFStock'!U20</f>
        <v/>
      </c>
      <c r="X407">
        <f>'T_TTAFStock'!V20</f>
        <v/>
      </c>
      <c r="Y407">
        <f>'T_TTAFStock'!W20</f>
        <v/>
      </c>
      <c r="Z407">
        <f>'T_TTAFStock'!X20</f>
        <v/>
      </c>
      <c r="AA407">
        <f>'T_TTAFStock'!Y20</f>
        <v/>
      </c>
      <c r="AB407">
        <f>'T_TTAFStock'!Z20</f>
        <v/>
      </c>
      <c r="AC407">
        <f>'T_TTAFStock'!AA20</f>
        <v/>
      </c>
      <c r="AD407">
        <f>'T_TTAFStock'!AB20</f>
        <v/>
      </c>
      <c r="AE407">
        <f>'T_TTAFStock'!AC20</f>
        <v/>
      </c>
      <c r="AF407">
        <f>'T_TTAFStock'!AD20</f>
        <v/>
      </c>
      <c r="AG407">
        <f>'T_TTAFStock'!AE20</f>
        <v/>
      </c>
      <c r="AH407">
        <f>'T_TTAFStock'!AF20</f>
        <v/>
      </c>
      <c r="AI407">
        <f>'T_TTAFStock'!AG20</f>
        <v/>
      </c>
      <c r="AJ407">
        <f>'T_TTAFStock'!AH20</f>
        <v/>
      </c>
      <c r="AK407">
        <f>'T_TTAFStock'!AI20</f>
        <v/>
      </c>
      <c r="AL407">
        <f>'T_TTAFStock'!AJ20</f>
        <v/>
      </c>
      <c r="AM407">
        <f>'T_TTAFStock'!AK20</f>
        <v/>
      </c>
      <c r="AN407">
        <f>'T_TTAFStock'!AL20</f>
        <v/>
      </c>
      <c r="AO407">
        <f>'T_TTAFStock'!AM20</f>
        <v/>
      </c>
      <c r="AP407">
        <f>'T_TTAFStock'!AN20</f>
        <v/>
      </c>
      <c r="AQ407">
        <f>'T_TTAFStock'!AO20</f>
        <v/>
      </c>
      <c r="AR407">
        <f>'T_TTAFStock'!AP20</f>
        <v/>
      </c>
      <c r="AS407">
        <f>'T_TTAFStock'!AQ20</f>
        <v/>
      </c>
      <c r="AT407">
        <f>'T_TTAFStock'!AR20</f>
        <v/>
      </c>
      <c r="AU407">
        <f>'T_TTAFStock'!AS20</f>
        <v/>
      </c>
      <c r="AV407">
        <f>'T_TTAFStock'!AT20</f>
        <v/>
      </c>
      <c r="AW407">
        <f>'T_TTAFStock'!AU20</f>
        <v/>
      </c>
      <c r="AX407">
        <f>'T_TTAFStock'!AV20</f>
        <v/>
      </c>
      <c r="AY407">
        <f>'T_TTAFStock'!AW20</f>
        <v/>
      </c>
      <c r="AZ407">
        <f>'T_TTAFStock'!AX20</f>
        <v/>
      </c>
      <c r="BA407">
        <f>'T_TTAFStock'!AY20</f>
        <v/>
      </c>
      <c r="BB407">
        <f>'T_TTAFStock'!AZ20</f>
        <v/>
      </c>
      <c r="BC407">
        <f>'T_TTAFStock'!BA20</f>
        <v/>
      </c>
      <c r="BD407">
        <f>'T_TTAFStock'!BB20</f>
        <v/>
      </c>
      <c r="BE407">
        <f>'T_TTAFStock'!BC20</f>
        <v/>
      </c>
      <c r="BF407">
        <f>'T_TTAFStock'!BD20</f>
        <v/>
      </c>
      <c r="BG407">
        <f>'T_TTAFStock'!BE20</f>
        <v/>
      </c>
      <c r="BH407">
        <f>'T_TTAFStock'!BF20</f>
        <v/>
      </c>
      <c r="BI407">
        <f>'T_TTAFStock'!BG20</f>
        <v/>
      </c>
      <c r="BJ407">
        <f>'T_TTAFStock'!BH20</f>
        <v/>
      </c>
      <c r="BK407">
        <f>'T_TTAFStock'!BI20</f>
        <v/>
      </c>
      <c r="BL407">
        <f>'T_TTAFStock'!BJ20</f>
        <v/>
      </c>
      <c r="BM407">
        <f>'T_TTAFStock'!BK20</f>
        <v/>
      </c>
      <c r="BN407">
        <f>'T_TTAFStock'!BL20</f>
        <v/>
      </c>
      <c r="BO407">
        <f>'T_TTAFStock'!BM20</f>
        <v/>
      </c>
      <c r="BP407">
        <f>'T_TTAFStock'!BN20</f>
        <v/>
      </c>
      <c r="BQ407">
        <f>'T_TTAFStock'!BO20</f>
        <v/>
      </c>
      <c r="BR407">
        <f>'T_TTAFStock'!BP20</f>
        <v/>
      </c>
      <c r="BS407">
        <f>'T_TTAFStock'!BQ20</f>
        <v/>
      </c>
      <c r="BT407">
        <f>'T_TTAFStock'!BR20</f>
        <v/>
      </c>
      <c r="BU407">
        <f>'T_TTAFStock'!BS20</f>
        <v/>
      </c>
      <c r="BV407">
        <f>'T_TTAFStock'!BT20</f>
        <v/>
      </c>
      <c r="BW407">
        <f>'T_TTAFStock'!BU20</f>
        <v/>
      </c>
      <c r="BX407">
        <f>'T_TTAFStock'!BV20</f>
        <v/>
      </c>
      <c r="BY407">
        <f>'T_TTAFStock'!BW20</f>
        <v/>
      </c>
      <c r="BZ407">
        <f>'T_TTAFStock'!BX20</f>
        <v/>
      </c>
      <c r="CA407">
        <f>'T_TTAFStock'!BY20</f>
        <v/>
      </c>
      <c r="CB407">
        <f>'T_TTAFStock'!BZ20</f>
        <v/>
      </c>
      <c r="CC407">
        <f>'T_TTAFStock'!CA20</f>
        <v/>
      </c>
      <c r="CD407">
        <f>'T_TTAFStock'!CB20</f>
        <v/>
      </c>
      <c r="CE407">
        <f>'T_TTAFStock'!CC20</f>
        <v/>
      </c>
      <c r="CF407">
        <f>'T_TTAFStock'!CD20</f>
        <v/>
      </c>
      <c r="CG407">
        <f>'T_TTAFStock'!CE20</f>
        <v/>
      </c>
      <c r="CH407">
        <f>'T_TTAFStock'!CF20</f>
        <v/>
      </c>
      <c r="CI407">
        <f>'T_TTAFStock'!CG20</f>
        <v/>
      </c>
      <c r="CJ407">
        <f>'T_TTAFStock'!CH20</f>
        <v/>
      </c>
      <c r="CK407">
        <f>'T_TTAFStock'!CI20</f>
        <v/>
      </c>
      <c r="CL407">
        <f>'T_TTAFStock'!CJ20</f>
        <v/>
      </c>
      <c r="CM407">
        <f>'T_TTAFStock'!CK20</f>
        <v/>
      </c>
      <c r="CN407">
        <f>'T_TTAFStock'!CL20</f>
        <v/>
      </c>
      <c r="CO407">
        <f>'T_TTAFStock'!CM20</f>
        <v/>
      </c>
      <c r="CP407">
        <f>'T_TTAFStock'!CN20</f>
        <v/>
      </c>
      <c r="CQ407">
        <f>'T_TTAFStock'!CO20</f>
        <v/>
      </c>
      <c r="CR407">
        <f>'T_TTAFStock'!CP20</f>
        <v/>
      </c>
      <c r="CS407">
        <f>'T_TTAFStock'!CQ20</f>
        <v/>
      </c>
      <c r="CT407">
        <f>'T_TTAFStock'!CR20</f>
        <v/>
      </c>
      <c r="CU407">
        <f>'T_TTAFStock'!CS20</f>
        <v/>
      </c>
      <c r="CV407">
        <f>'T_TTAFStock'!CT20</f>
        <v/>
      </c>
      <c r="CW407">
        <f>'T_TTAFStock'!CU20</f>
        <v/>
      </c>
      <c r="CX407">
        <f>'T_TTAFStock'!CV20</f>
        <v/>
      </c>
      <c r="CY407">
        <f>'T_TTAFStock'!CW20</f>
        <v/>
      </c>
      <c r="CZ407">
        <f>'T_TTAFStock'!CX20</f>
        <v/>
      </c>
      <c r="DA407">
        <f>'T_TTAFStock'!CY20</f>
        <v/>
      </c>
      <c r="DB407">
        <f>'T_TTAFStock'!CZ20</f>
        <v/>
      </c>
      <c r="DC407">
        <f>'T_TTAFStock'!DA20</f>
        <v/>
      </c>
    </row>
    <row r="408">
      <c r="B408" t="inlineStr">
        <is>
          <t>自社在庫(実績,kg)</t>
        </is>
      </c>
      <c r="D408">
        <f>'T_SelfStock'!B20</f>
        <v/>
      </c>
      <c r="E408">
        <f>'T_SelfStock'!C20</f>
        <v/>
      </c>
      <c r="F408">
        <f>'T_SelfStock'!D20</f>
        <v/>
      </c>
      <c r="G408">
        <f>'T_SelfStock'!E20</f>
        <v/>
      </c>
      <c r="H408">
        <f>'T_SelfStock'!F20</f>
        <v/>
      </c>
      <c r="I408">
        <f>'T_SelfStock'!G20</f>
        <v/>
      </c>
      <c r="J408">
        <f>'T_SelfStock'!H20</f>
        <v/>
      </c>
      <c r="K408">
        <f>'T_SelfStock'!I20</f>
        <v/>
      </c>
      <c r="L408">
        <f>'T_SelfStock'!J20</f>
        <v/>
      </c>
      <c r="M408">
        <f>'T_SelfStock'!K20</f>
        <v/>
      </c>
      <c r="N408">
        <f>'T_SelfStock'!L20</f>
        <v/>
      </c>
      <c r="O408">
        <f>'T_SelfStock'!M20</f>
        <v/>
      </c>
      <c r="P408">
        <f>'T_SelfStock'!N20</f>
        <v/>
      </c>
      <c r="Q408">
        <f>'T_SelfStock'!O20</f>
        <v/>
      </c>
      <c r="R408">
        <f>'T_SelfStock'!P20</f>
        <v/>
      </c>
      <c r="S408">
        <f>'T_SelfStock'!Q20</f>
        <v/>
      </c>
      <c r="T408">
        <f>'T_SelfStock'!R20</f>
        <v/>
      </c>
      <c r="U408">
        <f>'T_SelfStock'!S20</f>
        <v/>
      </c>
      <c r="V408">
        <f>'T_SelfStock'!T20</f>
        <v/>
      </c>
      <c r="W408">
        <f>'T_SelfStock'!U20</f>
        <v/>
      </c>
      <c r="X408">
        <f>'T_SelfStock'!V20</f>
        <v/>
      </c>
      <c r="Y408">
        <f>'T_SelfStock'!W20</f>
        <v/>
      </c>
      <c r="Z408">
        <f>'T_SelfStock'!X20</f>
        <v/>
      </c>
      <c r="AA408">
        <f>'T_SelfStock'!Y20</f>
        <v/>
      </c>
      <c r="AB408">
        <f>'T_SelfStock'!Z20</f>
        <v/>
      </c>
      <c r="AC408">
        <f>'T_SelfStock'!AA20</f>
        <v/>
      </c>
      <c r="AD408">
        <f>'T_SelfStock'!AB20</f>
        <v/>
      </c>
      <c r="AE408">
        <f>'T_SelfStock'!AC20</f>
        <v/>
      </c>
      <c r="AF408">
        <f>'T_SelfStock'!AD20</f>
        <v/>
      </c>
      <c r="AG408">
        <f>'T_SelfStock'!AE20</f>
        <v/>
      </c>
      <c r="AH408">
        <f>'T_SelfStock'!AF20</f>
        <v/>
      </c>
      <c r="AI408">
        <f>'T_SelfStock'!AG20</f>
        <v/>
      </c>
      <c r="AJ408">
        <f>'T_SelfStock'!AH20</f>
        <v/>
      </c>
      <c r="AK408">
        <f>'T_SelfStock'!AI20</f>
        <v/>
      </c>
      <c r="AL408">
        <f>'T_SelfStock'!AJ20</f>
        <v/>
      </c>
      <c r="AM408">
        <f>'T_SelfStock'!AK20</f>
        <v/>
      </c>
      <c r="AN408">
        <f>'T_SelfStock'!AL20</f>
        <v/>
      </c>
      <c r="AO408">
        <f>'T_SelfStock'!AM20</f>
        <v/>
      </c>
      <c r="AP408">
        <f>'T_SelfStock'!AN20</f>
        <v/>
      </c>
      <c r="AQ408">
        <f>'T_SelfStock'!AO20</f>
        <v/>
      </c>
      <c r="AR408">
        <f>'T_SelfStock'!AP20</f>
        <v/>
      </c>
      <c r="AS408">
        <f>'T_SelfStock'!AQ20</f>
        <v/>
      </c>
      <c r="AT408">
        <f>'T_SelfStock'!AR20</f>
        <v/>
      </c>
      <c r="AU408">
        <f>'T_SelfStock'!AS20</f>
        <v/>
      </c>
      <c r="AV408">
        <f>'T_SelfStock'!AT20</f>
        <v/>
      </c>
      <c r="AW408">
        <f>'T_SelfStock'!AU20</f>
        <v/>
      </c>
      <c r="AX408">
        <f>'T_SelfStock'!AV20</f>
        <v/>
      </c>
      <c r="AY408">
        <f>'T_SelfStock'!AW20</f>
        <v/>
      </c>
      <c r="AZ408">
        <f>'T_SelfStock'!AX20</f>
        <v/>
      </c>
      <c r="BA408">
        <f>'T_SelfStock'!AY20</f>
        <v/>
      </c>
      <c r="BB408">
        <f>'T_SelfStock'!AZ20</f>
        <v/>
      </c>
      <c r="BC408">
        <f>'T_SelfStock'!BA20</f>
        <v/>
      </c>
      <c r="BD408">
        <f>'T_SelfStock'!BB20</f>
        <v/>
      </c>
      <c r="BE408">
        <f>'T_SelfStock'!BC20</f>
        <v/>
      </c>
      <c r="BF408">
        <f>'T_SelfStock'!BD20</f>
        <v/>
      </c>
      <c r="BG408">
        <f>'T_SelfStock'!BE20</f>
        <v/>
      </c>
      <c r="BH408">
        <f>'T_SelfStock'!BF20</f>
        <v/>
      </c>
      <c r="BI408">
        <f>'T_SelfStock'!BG20</f>
        <v/>
      </c>
      <c r="BJ408">
        <f>'T_SelfStock'!BH20</f>
        <v/>
      </c>
      <c r="BK408">
        <f>'T_SelfStock'!BI20</f>
        <v/>
      </c>
      <c r="BL408">
        <f>'T_SelfStock'!BJ20</f>
        <v/>
      </c>
      <c r="BM408">
        <f>'T_SelfStock'!BK20</f>
        <v/>
      </c>
      <c r="BN408">
        <f>'T_SelfStock'!BL20</f>
        <v/>
      </c>
      <c r="BO408">
        <f>'T_SelfStock'!BM20</f>
        <v/>
      </c>
      <c r="BP408">
        <f>'T_SelfStock'!BN20</f>
        <v/>
      </c>
      <c r="BQ408">
        <f>'T_SelfStock'!BO20</f>
        <v/>
      </c>
      <c r="BR408">
        <f>'T_SelfStock'!BP20</f>
        <v/>
      </c>
      <c r="BS408">
        <f>'T_SelfStock'!BQ20</f>
        <v/>
      </c>
      <c r="BT408">
        <f>'T_SelfStock'!BR20</f>
        <v/>
      </c>
      <c r="BU408">
        <f>'T_SelfStock'!BS20</f>
        <v/>
      </c>
      <c r="BV408">
        <f>'T_SelfStock'!BT20</f>
        <v/>
      </c>
      <c r="BW408">
        <f>'T_SelfStock'!BU20</f>
        <v/>
      </c>
      <c r="BX408">
        <f>'T_SelfStock'!BV20</f>
        <v/>
      </c>
      <c r="BY408">
        <f>'T_SelfStock'!BW20</f>
        <v/>
      </c>
      <c r="BZ408">
        <f>'T_SelfStock'!BX20</f>
        <v/>
      </c>
      <c r="CA408">
        <f>'T_SelfStock'!BY20</f>
        <v/>
      </c>
      <c r="CB408">
        <f>'T_SelfStock'!BZ20</f>
        <v/>
      </c>
      <c r="CC408">
        <f>'T_SelfStock'!CA20</f>
        <v/>
      </c>
      <c r="CD408">
        <f>'T_SelfStock'!CB20</f>
        <v/>
      </c>
      <c r="CE408">
        <f>'T_SelfStock'!CC20</f>
        <v/>
      </c>
      <c r="CF408">
        <f>'T_SelfStock'!CD20</f>
        <v/>
      </c>
      <c r="CG408">
        <f>'T_SelfStock'!CE20</f>
        <v/>
      </c>
      <c r="CH408">
        <f>'T_SelfStock'!CF20</f>
        <v/>
      </c>
      <c r="CI408">
        <f>'T_SelfStock'!CG20</f>
        <v/>
      </c>
      <c r="CJ408">
        <f>'T_SelfStock'!CH20</f>
        <v/>
      </c>
      <c r="CK408">
        <f>'T_SelfStock'!CI20</f>
        <v/>
      </c>
      <c r="CL408">
        <f>'T_SelfStock'!CJ20</f>
        <v/>
      </c>
      <c r="CM408">
        <f>'T_SelfStock'!CK20</f>
        <v/>
      </c>
      <c r="CN408">
        <f>'T_SelfStock'!CL20</f>
        <v/>
      </c>
      <c r="CO408">
        <f>'T_SelfStock'!CM20</f>
        <v/>
      </c>
      <c r="CP408">
        <f>'T_SelfStock'!CN20</f>
        <v/>
      </c>
      <c r="CQ408">
        <f>'T_SelfStock'!CO20</f>
        <v/>
      </c>
      <c r="CR408">
        <f>'T_SelfStock'!CP20</f>
        <v/>
      </c>
      <c r="CS408">
        <f>'T_SelfStock'!CQ20</f>
        <v/>
      </c>
      <c r="CT408">
        <f>'T_SelfStock'!CR20</f>
        <v/>
      </c>
      <c r="CU408">
        <f>'T_SelfStock'!CS20</f>
        <v/>
      </c>
      <c r="CV408">
        <f>'T_SelfStock'!CT20</f>
        <v/>
      </c>
      <c r="CW408">
        <f>'T_SelfStock'!CU20</f>
        <v/>
      </c>
      <c r="CX408">
        <f>'T_SelfStock'!CV20</f>
        <v/>
      </c>
      <c r="CY408">
        <f>'T_SelfStock'!CW20</f>
        <v/>
      </c>
      <c r="CZ408">
        <f>'T_SelfStock'!CX20</f>
        <v/>
      </c>
      <c r="DA408">
        <f>'T_SelfStock'!CY20</f>
        <v/>
      </c>
      <c r="DB408">
        <f>'T_SelfStock'!CZ20</f>
        <v/>
      </c>
      <c r="DC408">
        <f>'T_SelfStock'!DA20</f>
        <v/>
      </c>
    </row>
    <row r="409">
      <c r="B409" t="inlineStr">
        <is>
          <t>Order(発注予定,kg)</t>
        </is>
      </c>
      <c r="D409">
        <f>IF(SUMIFS(T_PlannedOrders[EffectiveQty],T_PlannedOrders[Part Name],$A271,T_PlannedOrders[WeekIndex],1)=0,"",SUMIFS(T_PlannedOrders[EffectiveQty],T_PlannedOrders[Part Name],$A271,T_PlannedOrders[WeekIndex],1)&amp;" ("&amp;TEXT(SUMPRODUCT(MAX((T_PlannedOrders[Part Name]=$A271)*(T_PlannedOrders[WeekIndex]=1)*(T_PlannedOrders[EffectiveQty]&gt;0)*T_PlannedOrders[Order_Month])),"m月")&amp;"発注)")</f>
        <v/>
      </c>
      <c r="E409">
        <f>IF(SUMIFS(T_PlannedOrders[EffectiveQty],T_PlannedOrders[Part Name],$A271,T_PlannedOrders[WeekIndex],2)=0,"",SUMIFS(T_PlannedOrders[EffectiveQty],T_PlannedOrders[Part Name],$A271,T_PlannedOrders[WeekIndex],2)&amp;" ("&amp;TEXT(SUMPRODUCT(MAX((T_PlannedOrders[Part Name]=$A271)*(T_PlannedOrders[WeekIndex]=2)*(T_PlannedOrders[EffectiveQty]&gt;0)*T_PlannedOrders[Order_Month])),"m月")&amp;"発注)")</f>
        <v/>
      </c>
      <c r="F409">
        <f>IF(SUMIFS(T_PlannedOrders[EffectiveQty],T_PlannedOrders[Part Name],$A271,T_PlannedOrders[WeekIndex],3)=0,"",SUMIFS(T_PlannedOrders[EffectiveQty],T_PlannedOrders[Part Name],$A271,T_PlannedOrders[WeekIndex],3)&amp;" ("&amp;TEXT(SUMPRODUCT(MAX((T_PlannedOrders[Part Name]=$A271)*(T_PlannedOrders[WeekIndex]=3)*(T_PlannedOrders[EffectiveQty]&gt;0)*T_PlannedOrders[Order_Month])),"m月")&amp;"発注)")</f>
        <v/>
      </c>
      <c r="G409">
        <f>IF(SUMIFS(T_PlannedOrders[EffectiveQty],T_PlannedOrders[Part Name],$A271,T_PlannedOrders[WeekIndex],4)=0,"",SUMIFS(T_PlannedOrders[EffectiveQty],T_PlannedOrders[Part Name],$A271,T_PlannedOrders[WeekIndex],4)&amp;" ("&amp;TEXT(SUMPRODUCT(MAX((T_PlannedOrders[Part Name]=$A271)*(T_PlannedOrders[WeekIndex]=4)*(T_PlannedOrders[EffectiveQty]&gt;0)*T_PlannedOrders[Order_Month])),"m月")&amp;"発注)")</f>
        <v/>
      </c>
      <c r="H409">
        <f>IF(SUMIFS(T_PlannedOrders[EffectiveQty],T_PlannedOrders[Part Name],$A271,T_PlannedOrders[WeekIndex],5)=0,"",SUMIFS(T_PlannedOrders[EffectiveQty],T_PlannedOrders[Part Name],$A271,T_PlannedOrders[WeekIndex],5)&amp;" ("&amp;TEXT(SUMPRODUCT(MAX((T_PlannedOrders[Part Name]=$A271)*(T_PlannedOrders[WeekIndex]=5)*(T_PlannedOrders[EffectiveQty]&gt;0)*T_PlannedOrders[Order_Month])),"m月")&amp;"発注)")</f>
        <v/>
      </c>
      <c r="I409">
        <f>IF(SUMIFS(T_PlannedOrders[EffectiveQty],T_PlannedOrders[Part Name],$A271,T_PlannedOrders[WeekIndex],6)=0,"",SUMIFS(T_PlannedOrders[EffectiveQty],T_PlannedOrders[Part Name],$A271,T_PlannedOrders[WeekIndex],6)&amp;" ("&amp;TEXT(SUMPRODUCT(MAX((T_PlannedOrders[Part Name]=$A271)*(T_PlannedOrders[WeekIndex]=6)*(T_PlannedOrders[EffectiveQty]&gt;0)*T_PlannedOrders[Order_Month])),"m月")&amp;"発注)")</f>
        <v/>
      </c>
      <c r="J409">
        <f>IF(SUMIFS(T_PlannedOrders[EffectiveQty],T_PlannedOrders[Part Name],$A271,T_PlannedOrders[WeekIndex],7)=0,"",SUMIFS(T_PlannedOrders[EffectiveQty],T_PlannedOrders[Part Name],$A271,T_PlannedOrders[WeekIndex],7)&amp;" ("&amp;TEXT(SUMPRODUCT(MAX((T_PlannedOrders[Part Name]=$A271)*(T_PlannedOrders[WeekIndex]=7)*(T_PlannedOrders[EffectiveQty]&gt;0)*T_PlannedOrders[Order_Month])),"m月")&amp;"発注)")</f>
        <v/>
      </c>
      <c r="K409">
        <f>IF(SUMIFS(T_PlannedOrders[EffectiveQty],T_PlannedOrders[Part Name],$A271,T_PlannedOrders[WeekIndex],8)=0,"",SUMIFS(T_PlannedOrders[EffectiveQty],T_PlannedOrders[Part Name],$A271,T_PlannedOrders[WeekIndex],8)&amp;" ("&amp;TEXT(SUMPRODUCT(MAX((T_PlannedOrders[Part Name]=$A271)*(T_PlannedOrders[WeekIndex]=8)*(T_PlannedOrders[EffectiveQty]&gt;0)*T_PlannedOrders[Order_Month])),"m月")&amp;"発注)")</f>
        <v/>
      </c>
      <c r="L409">
        <f>IF(SUMIFS(T_PlannedOrders[EffectiveQty],T_PlannedOrders[Part Name],$A271,T_PlannedOrders[WeekIndex],9)=0,"",SUMIFS(T_PlannedOrders[EffectiveQty],T_PlannedOrders[Part Name],$A271,T_PlannedOrders[WeekIndex],9)&amp;" ("&amp;TEXT(SUMPRODUCT(MAX((T_PlannedOrders[Part Name]=$A271)*(T_PlannedOrders[WeekIndex]=9)*(T_PlannedOrders[EffectiveQty]&gt;0)*T_PlannedOrders[Order_Month])),"m月")&amp;"発注)")</f>
        <v/>
      </c>
      <c r="M409">
        <f>IF(SUMIFS(T_PlannedOrders[EffectiveQty],T_PlannedOrders[Part Name],$A271,T_PlannedOrders[WeekIndex],10)=0,"",SUMIFS(T_PlannedOrders[EffectiveQty],T_PlannedOrders[Part Name],$A271,T_PlannedOrders[WeekIndex],10)&amp;" ("&amp;TEXT(SUMPRODUCT(MAX((T_PlannedOrders[Part Name]=$A271)*(T_PlannedOrders[WeekIndex]=10)*(T_PlannedOrders[EffectiveQty]&gt;0)*T_PlannedOrders[Order_Month])),"m月")&amp;"発注)")</f>
        <v/>
      </c>
      <c r="N409">
        <f>IF(SUMIFS(T_PlannedOrders[EffectiveQty],T_PlannedOrders[Part Name],$A271,T_PlannedOrders[WeekIndex],11)=0,"",SUMIFS(T_PlannedOrders[EffectiveQty],T_PlannedOrders[Part Name],$A271,T_PlannedOrders[WeekIndex],11)&amp;" ("&amp;TEXT(SUMPRODUCT(MAX((T_PlannedOrders[Part Name]=$A271)*(T_PlannedOrders[WeekIndex]=11)*(T_PlannedOrders[EffectiveQty]&gt;0)*T_PlannedOrders[Order_Month])),"m月")&amp;"発注)")</f>
        <v/>
      </c>
      <c r="O409">
        <f>IF(SUMIFS(T_PlannedOrders[EffectiveQty],T_PlannedOrders[Part Name],$A271,T_PlannedOrders[WeekIndex],12)=0,"",SUMIFS(T_PlannedOrders[EffectiveQty],T_PlannedOrders[Part Name],$A271,T_PlannedOrders[WeekIndex],12)&amp;" ("&amp;TEXT(SUMPRODUCT(MAX((T_PlannedOrders[Part Name]=$A271)*(T_PlannedOrders[WeekIndex]=12)*(T_PlannedOrders[EffectiveQty]&gt;0)*T_PlannedOrders[Order_Month])),"m月")&amp;"発注)")</f>
        <v/>
      </c>
      <c r="P409">
        <f>IF(SUMIFS(T_PlannedOrders[EffectiveQty],T_PlannedOrders[Part Name],$A271,T_PlannedOrders[WeekIndex],13)=0,"",SUMIFS(T_PlannedOrders[EffectiveQty],T_PlannedOrders[Part Name],$A271,T_PlannedOrders[WeekIndex],13)&amp;" ("&amp;TEXT(SUMPRODUCT(MAX((T_PlannedOrders[Part Name]=$A271)*(T_PlannedOrders[WeekIndex]=13)*(T_PlannedOrders[EffectiveQty]&gt;0)*T_PlannedOrders[Order_Month])),"m月")&amp;"発注)")</f>
        <v/>
      </c>
      <c r="Q409">
        <f>IF(SUMIFS(T_PlannedOrders[EffectiveQty],T_PlannedOrders[Part Name],$A271,T_PlannedOrders[WeekIndex],14)=0,"",SUMIFS(T_PlannedOrders[EffectiveQty],T_PlannedOrders[Part Name],$A271,T_PlannedOrders[WeekIndex],14)&amp;" ("&amp;TEXT(SUMPRODUCT(MAX((T_PlannedOrders[Part Name]=$A271)*(T_PlannedOrders[WeekIndex]=14)*(T_PlannedOrders[EffectiveQty]&gt;0)*T_PlannedOrders[Order_Month])),"m月")&amp;"発注)")</f>
        <v/>
      </c>
      <c r="R409">
        <f>IF(SUMIFS(T_PlannedOrders[EffectiveQty],T_PlannedOrders[Part Name],$A271,T_PlannedOrders[WeekIndex],15)=0,"",SUMIFS(T_PlannedOrders[EffectiveQty],T_PlannedOrders[Part Name],$A271,T_PlannedOrders[WeekIndex],15)&amp;" ("&amp;TEXT(SUMPRODUCT(MAX((T_PlannedOrders[Part Name]=$A271)*(T_PlannedOrders[WeekIndex]=15)*(T_PlannedOrders[EffectiveQty]&gt;0)*T_PlannedOrders[Order_Month])),"m月")&amp;"発注)")</f>
        <v/>
      </c>
      <c r="S409">
        <f>IF(SUMIFS(T_PlannedOrders[EffectiveQty],T_PlannedOrders[Part Name],$A271,T_PlannedOrders[WeekIndex],16)=0,"",SUMIFS(T_PlannedOrders[EffectiveQty],T_PlannedOrders[Part Name],$A271,T_PlannedOrders[WeekIndex],16)&amp;" ("&amp;TEXT(SUMPRODUCT(MAX((T_PlannedOrders[Part Name]=$A271)*(T_PlannedOrders[WeekIndex]=16)*(T_PlannedOrders[EffectiveQty]&gt;0)*T_PlannedOrders[Order_Month])),"m月")&amp;"発注)")</f>
        <v/>
      </c>
      <c r="T409">
        <f>IF(SUMIFS(T_PlannedOrders[EffectiveQty],T_PlannedOrders[Part Name],$A271,T_PlannedOrders[WeekIndex],17)=0,"",SUMIFS(T_PlannedOrders[EffectiveQty],T_PlannedOrders[Part Name],$A271,T_PlannedOrders[WeekIndex],17)&amp;" ("&amp;TEXT(SUMPRODUCT(MAX((T_PlannedOrders[Part Name]=$A271)*(T_PlannedOrders[WeekIndex]=17)*(T_PlannedOrders[EffectiveQty]&gt;0)*T_PlannedOrders[Order_Month])),"m月")&amp;"発注)")</f>
        <v/>
      </c>
      <c r="U409">
        <f>IF(SUMIFS(T_PlannedOrders[EffectiveQty],T_PlannedOrders[Part Name],$A271,T_PlannedOrders[WeekIndex],18)=0,"",SUMIFS(T_PlannedOrders[EffectiveQty],T_PlannedOrders[Part Name],$A271,T_PlannedOrders[WeekIndex],18)&amp;" ("&amp;TEXT(SUMPRODUCT(MAX((T_PlannedOrders[Part Name]=$A271)*(T_PlannedOrders[WeekIndex]=18)*(T_PlannedOrders[EffectiveQty]&gt;0)*T_PlannedOrders[Order_Month])),"m月")&amp;"発注)")</f>
        <v/>
      </c>
      <c r="V409">
        <f>IF(SUMIFS(T_PlannedOrders[EffectiveQty],T_PlannedOrders[Part Name],$A271,T_PlannedOrders[WeekIndex],19)=0,"",SUMIFS(T_PlannedOrders[EffectiveQty],T_PlannedOrders[Part Name],$A271,T_PlannedOrders[WeekIndex],19)&amp;" ("&amp;TEXT(SUMPRODUCT(MAX((T_PlannedOrders[Part Name]=$A271)*(T_PlannedOrders[WeekIndex]=19)*(T_PlannedOrders[EffectiveQty]&gt;0)*T_PlannedOrders[Order_Month])),"m月")&amp;"発注)")</f>
        <v/>
      </c>
      <c r="W409">
        <f>IF(SUMIFS(T_PlannedOrders[EffectiveQty],T_PlannedOrders[Part Name],$A271,T_PlannedOrders[WeekIndex],20)=0,"",SUMIFS(T_PlannedOrders[EffectiveQty],T_PlannedOrders[Part Name],$A271,T_PlannedOrders[WeekIndex],20)&amp;" ("&amp;TEXT(SUMPRODUCT(MAX((T_PlannedOrders[Part Name]=$A271)*(T_PlannedOrders[WeekIndex]=20)*(T_PlannedOrders[EffectiveQty]&gt;0)*T_PlannedOrders[Order_Month])),"m月")&amp;"発注)")</f>
        <v/>
      </c>
      <c r="X409">
        <f>IF(SUMIFS(T_PlannedOrders[EffectiveQty],T_PlannedOrders[Part Name],$A271,T_PlannedOrders[WeekIndex],21)=0,"",SUMIFS(T_PlannedOrders[EffectiveQty],T_PlannedOrders[Part Name],$A271,T_PlannedOrders[WeekIndex],21)&amp;" ("&amp;TEXT(SUMPRODUCT(MAX((T_PlannedOrders[Part Name]=$A271)*(T_PlannedOrders[WeekIndex]=21)*(T_PlannedOrders[EffectiveQty]&gt;0)*T_PlannedOrders[Order_Month])),"m月")&amp;"発注)")</f>
        <v/>
      </c>
      <c r="Y409">
        <f>IF(SUMIFS(T_PlannedOrders[EffectiveQty],T_PlannedOrders[Part Name],$A271,T_PlannedOrders[WeekIndex],22)=0,"",SUMIFS(T_PlannedOrders[EffectiveQty],T_PlannedOrders[Part Name],$A271,T_PlannedOrders[WeekIndex],22)&amp;" ("&amp;TEXT(SUMPRODUCT(MAX((T_PlannedOrders[Part Name]=$A271)*(T_PlannedOrders[WeekIndex]=22)*(T_PlannedOrders[EffectiveQty]&gt;0)*T_PlannedOrders[Order_Month])),"m月")&amp;"発注)")</f>
        <v/>
      </c>
      <c r="Z409">
        <f>IF(SUMIFS(T_PlannedOrders[EffectiveQty],T_PlannedOrders[Part Name],$A271,T_PlannedOrders[WeekIndex],23)=0,"",SUMIFS(T_PlannedOrders[EffectiveQty],T_PlannedOrders[Part Name],$A271,T_PlannedOrders[WeekIndex],23)&amp;" ("&amp;TEXT(SUMPRODUCT(MAX((T_PlannedOrders[Part Name]=$A271)*(T_PlannedOrders[WeekIndex]=23)*(T_PlannedOrders[EffectiveQty]&gt;0)*T_PlannedOrders[Order_Month])),"m月")&amp;"発注)")</f>
        <v/>
      </c>
      <c r="AA409">
        <f>IF(SUMIFS(T_PlannedOrders[EffectiveQty],T_PlannedOrders[Part Name],$A271,T_PlannedOrders[WeekIndex],24)=0,"",SUMIFS(T_PlannedOrders[EffectiveQty],T_PlannedOrders[Part Name],$A271,T_PlannedOrders[WeekIndex],24)&amp;" ("&amp;TEXT(SUMPRODUCT(MAX((T_PlannedOrders[Part Name]=$A271)*(T_PlannedOrders[WeekIndex]=24)*(T_PlannedOrders[EffectiveQty]&gt;0)*T_PlannedOrders[Order_Month])),"m月")&amp;"発注)")</f>
        <v/>
      </c>
      <c r="AB409">
        <f>IF(SUMIFS(T_PlannedOrders[EffectiveQty],T_PlannedOrders[Part Name],$A271,T_PlannedOrders[WeekIndex],25)=0,"",SUMIFS(T_PlannedOrders[EffectiveQty],T_PlannedOrders[Part Name],$A271,T_PlannedOrders[WeekIndex],25)&amp;" ("&amp;TEXT(SUMPRODUCT(MAX((T_PlannedOrders[Part Name]=$A271)*(T_PlannedOrders[WeekIndex]=25)*(T_PlannedOrders[EffectiveQty]&gt;0)*T_PlannedOrders[Order_Month])),"m月")&amp;"発注)")</f>
        <v/>
      </c>
      <c r="AC409">
        <f>IF(SUMIFS(T_PlannedOrders[EffectiveQty],T_PlannedOrders[Part Name],$A271,T_PlannedOrders[WeekIndex],26)=0,"",SUMIFS(T_PlannedOrders[EffectiveQty],T_PlannedOrders[Part Name],$A271,T_PlannedOrders[WeekIndex],26)&amp;" ("&amp;TEXT(SUMPRODUCT(MAX((T_PlannedOrders[Part Name]=$A271)*(T_PlannedOrders[WeekIndex]=26)*(T_PlannedOrders[EffectiveQty]&gt;0)*T_PlannedOrders[Order_Month])),"m月")&amp;"発注)")</f>
        <v/>
      </c>
      <c r="AD409">
        <f>IF(SUMIFS(T_PlannedOrders[EffectiveQty],T_PlannedOrders[Part Name],$A271,T_PlannedOrders[WeekIndex],27)=0,"",SUMIFS(T_PlannedOrders[EffectiveQty],T_PlannedOrders[Part Name],$A271,T_PlannedOrders[WeekIndex],27)&amp;" ("&amp;TEXT(SUMPRODUCT(MAX((T_PlannedOrders[Part Name]=$A271)*(T_PlannedOrders[WeekIndex]=27)*(T_PlannedOrders[EffectiveQty]&gt;0)*T_PlannedOrders[Order_Month])),"m月")&amp;"発注)")</f>
        <v/>
      </c>
      <c r="AE409">
        <f>IF(SUMIFS(T_PlannedOrders[EffectiveQty],T_PlannedOrders[Part Name],$A271,T_PlannedOrders[WeekIndex],28)=0,"",SUMIFS(T_PlannedOrders[EffectiveQty],T_PlannedOrders[Part Name],$A271,T_PlannedOrders[WeekIndex],28)&amp;" ("&amp;TEXT(SUMPRODUCT(MAX((T_PlannedOrders[Part Name]=$A271)*(T_PlannedOrders[WeekIndex]=28)*(T_PlannedOrders[EffectiveQty]&gt;0)*T_PlannedOrders[Order_Month])),"m月")&amp;"発注)")</f>
        <v/>
      </c>
      <c r="AF409">
        <f>IF(SUMIFS(T_PlannedOrders[EffectiveQty],T_PlannedOrders[Part Name],$A271,T_PlannedOrders[WeekIndex],29)=0,"",SUMIFS(T_PlannedOrders[EffectiveQty],T_PlannedOrders[Part Name],$A271,T_PlannedOrders[WeekIndex],29)&amp;" ("&amp;TEXT(SUMPRODUCT(MAX((T_PlannedOrders[Part Name]=$A271)*(T_PlannedOrders[WeekIndex]=29)*(T_PlannedOrders[EffectiveQty]&gt;0)*T_PlannedOrders[Order_Month])),"m月")&amp;"発注)")</f>
        <v/>
      </c>
      <c r="AG409">
        <f>IF(SUMIFS(T_PlannedOrders[EffectiveQty],T_PlannedOrders[Part Name],$A271,T_PlannedOrders[WeekIndex],30)=0,"",SUMIFS(T_PlannedOrders[EffectiveQty],T_PlannedOrders[Part Name],$A271,T_PlannedOrders[WeekIndex],30)&amp;" ("&amp;TEXT(SUMPRODUCT(MAX((T_PlannedOrders[Part Name]=$A271)*(T_PlannedOrders[WeekIndex]=30)*(T_PlannedOrders[EffectiveQty]&gt;0)*T_PlannedOrders[Order_Month])),"m月")&amp;"発注)")</f>
        <v/>
      </c>
      <c r="AH409">
        <f>IF(SUMIFS(T_PlannedOrders[EffectiveQty],T_PlannedOrders[Part Name],$A271,T_PlannedOrders[WeekIndex],31)=0,"",SUMIFS(T_PlannedOrders[EffectiveQty],T_PlannedOrders[Part Name],$A271,T_PlannedOrders[WeekIndex],31)&amp;" ("&amp;TEXT(SUMPRODUCT(MAX((T_PlannedOrders[Part Name]=$A271)*(T_PlannedOrders[WeekIndex]=31)*(T_PlannedOrders[EffectiveQty]&gt;0)*T_PlannedOrders[Order_Month])),"m月")&amp;"発注)")</f>
        <v/>
      </c>
      <c r="AI409">
        <f>IF(SUMIFS(T_PlannedOrders[EffectiveQty],T_PlannedOrders[Part Name],$A271,T_PlannedOrders[WeekIndex],32)=0,"",SUMIFS(T_PlannedOrders[EffectiveQty],T_PlannedOrders[Part Name],$A271,T_PlannedOrders[WeekIndex],32)&amp;" ("&amp;TEXT(SUMPRODUCT(MAX((T_PlannedOrders[Part Name]=$A271)*(T_PlannedOrders[WeekIndex]=32)*(T_PlannedOrders[EffectiveQty]&gt;0)*T_PlannedOrders[Order_Month])),"m月")&amp;"発注)")</f>
        <v/>
      </c>
      <c r="AJ409">
        <f>IF(SUMIFS(T_PlannedOrders[EffectiveQty],T_PlannedOrders[Part Name],$A271,T_PlannedOrders[WeekIndex],33)=0,"",SUMIFS(T_PlannedOrders[EffectiveQty],T_PlannedOrders[Part Name],$A271,T_PlannedOrders[WeekIndex],33)&amp;" ("&amp;TEXT(SUMPRODUCT(MAX((T_PlannedOrders[Part Name]=$A271)*(T_PlannedOrders[WeekIndex]=33)*(T_PlannedOrders[EffectiveQty]&gt;0)*T_PlannedOrders[Order_Month])),"m月")&amp;"発注)")</f>
        <v/>
      </c>
      <c r="AK409">
        <f>IF(SUMIFS(T_PlannedOrders[EffectiveQty],T_PlannedOrders[Part Name],$A271,T_PlannedOrders[WeekIndex],34)=0,"",SUMIFS(T_PlannedOrders[EffectiveQty],T_PlannedOrders[Part Name],$A271,T_PlannedOrders[WeekIndex],34)&amp;" ("&amp;TEXT(SUMPRODUCT(MAX((T_PlannedOrders[Part Name]=$A271)*(T_PlannedOrders[WeekIndex]=34)*(T_PlannedOrders[EffectiveQty]&gt;0)*T_PlannedOrders[Order_Month])),"m月")&amp;"発注)")</f>
        <v/>
      </c>
      <c r="AL409">
        <f>IF(SUMIFS(T_PlannedOrders[EffectiveQty],T_PlannedOrders[Part Name],$A271,T_PlannedOrders[WeekIndex],35)=0,"",SUMIFS(T_PlannedOrders[EffectiveQty],T_PlannedOrders[Part Name],$A271,T_PlannedOrders[WeekIndex],35)&amp;" ("&amp;TEXT(SUMPRODUCT(MAX((T_PlannedOrders[Part Name]=$A271)*(T_PlannedOrders[WeekIndex]=35)*(T_PlannedOrders[EffectiveQty]&gt;0)*T_PlannedOrders[Order_Month])),"m月")&amp;"発注)")</f>
        <v/>
      </c>
      <c r="AM409">
        <f>IF(SUMIFS(T_PlannedOrders[EffectiveQty],T_PlannedOrders[Part Name],$A271,T_PlannedOrders[WeekIndex],36)=0,"",SUMIFS(T_PlannedOrders[EffectiveQty],T_PlannedOrders[Part Name],$A271,T_PlannedOrders[WeekIndex],36)&amp;" ("&amp;TEXT(SUMPRODUCT(MAX((T_PlannedOrders[Part Name]=$A271)*(T_PlannedOrders[WeekIndex]=36)*(T_PlannedOrders[EffectiveQty]&gt;0)*T_PlannedOrders[Order_Month])),"m月")&amp;"発注)")</f>
        <v/>
      </c>
      <c r="AN409">
        <f>IF(SUMIFS(T_PlannedOrders[EffectiveQty],T_PlannedOrders[Part Name],$A271,T_PlannedOrders[WeekIndex],37)=0,"",SUMIFS(T_PlannedOrders[EffectiveQty],T_PlannedOrders[Part Name],$A271,T_PlannedOrders[WeekIndex],37)&amp;" ("&amp;TEXT(SUMPRODUCT(MAX((T_PlannedOrders[Part Name]=$A271)*(T_PlannedOrders[WeekIndex]=37)*(T_PlannedOrders[EffectiveQty]&gt;0)*T_PlannedOrders[Order_Month])),"m月")&amp;"発注)")</f>
        <v/>
      </c>
      <c r="AO409">
        <f>IF(SUMIFS(T_PlannedOrders[EffectiveQty],T_PlannedOrders[Part Name],$A271,T_PlannedOrders[WeekIndex],38)=0,"",SUMIFS(T_PlannedOrders[EffectiveQty],T_PlannedOrders[Part Name],$A271,T_PlannedOrders[WeekIndex],38)&amp;" ("&amp;TEXT(SUMPRODUCT(MAX((T_PlannedOrders[Part Name]=$A271)*(T_PlannedOrders[WeekIndex]=38)*(T_PlannedOrders[EffectiveQty]&gt;0)*T_PlannedOrders[Order_Month])),"m月")&amp;"発注)")</f>
        <v/>
      </c>
      <c r="AP409">
        <f>IF(SUMIFS(T_PlannedOrders[EffectiveQty],T_PlannedOrders[Part Name],$A271,T_PlannedOrders[WeekIndex],39)=0,"",SUMIFS(T_PlannedOrders[EffectiveQty],T_PlannedOrders[Part Name],$A271,T_PlannedOrders[WeekIndex],39)&amp;" ("&amp;TEXT(SUMPRODUCT(MAX((T_PlannedOrders[Part Name]=$A271)*(T_PlannedOrders[WeekIndex]=39)*(T_PlannedOrders[EffectiveQty]&gt;0)*T_PlannedOrders[Order_Month])),"m月")&amp;"発注)")</f>
        <v/>
      </c>
      <c r="AQ409">
        <f>IF(SUMIFS(T_PlannedOrders[EffectiveQty],T_PlannedOrders[Part Name],$A271,T_PlannedOrders[WeekIndex],40)=0,"",SUMIFS(T_PlannedOrders[EffectiveQty],T_PlannedOrders[Part Name],$A271,T_PlannedOrders[WeekIndex],40)&amp;" ("&amp;TEXT(SUMPRODUCT(MAX((T_PlannedOrders[Part Name]=$A271)*(T_PlannedOrders[WeekIndex]=40)*(T_PlannedOrders[EffectiveQty]&gt;0)*T_PlannedOrders[Order_Month])),"m月")&amp;"発注)")</f>
        <v/>
      </c>
      <c r="AR409">
        <f>IF(SUMIFS(T_PlannedOrders[EffectiveQty],T_PlannedOrders[Part Name],$A271,T_PlannedOrders[WeekIndex],41)=0,"",SUMIFS(T_PlannedOrders[EffectiveQty],T_PlannedOrders[Part Name],$A271,T_PlannedOrders[WeekIndex],41)&amp;" ("&amp;TEXT(SUMPRODUCT(MAX((T_PlannedOrders[Part Name]=$A271)*(T_PlannedOrders[WeekIndex]=41)*(T_PlannedOrders[EffectiveQty]&gt;0)*T_PlannedOrders[Order_Month])),"m月")&amp;"発注)")</f>
        <v/>
      </c>
      <c r="AS409">
        <f>IF(SUMIFS(T_PlannedOrders[EffectiveQty],T_PlannedOrders[Part Name],$A271,T_PlannedOrders[WeekIndex],42)=0,"",SUMIFS(T_PlannedOrders[EffectiveQty],T_PlannedOrders[Part Name],$A271,T_PlannedOrders[WeekIndex],42)&amp;" ("&amp;TEXT(SUMPRODUCT(MAX((T_PlannedOrders[Part Name]=$A271)*(T_PlannedOrders[WeekIndex]=42)*(T_PlannedOrders[EffectiveQty]&gt;0)*T_PlannedOrders[Order_Month])),"m月")&amp;"発注)")</f>
        <v/>
      </c>
      <c r="AT409">
        <f>IF(SUMIFS(T_PlannedOrders[EffectiveQty],T_PlannedOrders[Part Name],$A271,T_PlannedOrders[WeekIndex],43)=0,"",SUMIFS(T_PlannedOrders[EffectiveQty],T_PlannedOrders[Part Name],$A271,T_PlannedOrders[WeekIndex],43)&amp;" ("&amp;TEXT(SUMPRODUCT(MAX((T_PlannedOrders[Part Name]=$A271)*(T_PlannedOrders[WeekIndex]=43)*(T_PlannedOrders[EffectiveQty]&gt;0)*T_PlannedOrders[Order_Month])),"m月")&amp;"発注)")</f>
        <v/>
      </c>
      <c r="AU409">
        <f>IF(SUMIFS(T_PlannedOrders[EffectiveQty],T_PlannedOrders[Part Name],$A271,T_PlannedOrders[WeekIndex],44)=0,"",SUMIFS(T_PlannedOrders[EffectiveQty],T_PlannedOrders[Part Name],$A271,T_PlannedOrders[WeekIndex],44)&amp;" ("&amp;TEXT(SUMPRODUCT(MAX((T_PlannedOrders[Part Name]=$A271)*(T_PlannedOrders[WeekIndex]=44)*(T_PlannedOrders[EffectiveQty]&gt;0)*T_PlannedOrders[Order_Month])),"m月")&amp;"発注)")</f>
        <v/>
      </c>
      <c r="AV409">
        <f>IF(SUMIFS(T_PlannedOrders[EffectiveQty],T_PlannedOrders[Part Name],$A271,T_PlannedOrders[WeekIndex],45)=0,"",SUMIFS(T_PlannedOrders[EffectiveQty],T_PlannedOrders[Part Name],$A271,T_PlannedOrders[WeekIndex],45)&amp;" ("&amp;TEXT(SUMPRODUCT(MAX((T_PlannedOrders[Part Name]=$A271)*(T_PlannedOrders[WeekIndex]=45)*(T_PlannedOrders[EffectiveQty]&gt;0)*T_PlannedOrders[Order_Month])),"m月")&amp;"発注)")</f>
        <v/>
      </c>
      <c r="AW409">
        <f>IF(SUMIFS(T_PlannedOrders[EffectiveQty],T_PlannedOrders[Part Name],$A271,T_PlannedOrders[WeekIndex],46)=0,"",SUMIFS(T_PlannedOrders[EffectiveQty],T_PlannedOrders[Part Name],$A271,T_PlannedOrders[WeekIndex],46)&amp;" ("&amp;TEXT(SUMPRODUCT(MAX((T_PlannedOrders[Part Name]=$A271)*(T_PlannedOrders[WeekIndex]=46)*(T_PlannedOrders[EffectiveQty]&gt;0)*T_PlannedOrders[Order_Month])),"m月")&amp;"発注)")</f>
        <v/>
      </c>
      <c r="AX409">
        <f>IF(SUMIFS(T_PlannedOrders[EffectiveQty],T_PlannedOrders[Part Name],$A271,T_PlannedOrders[WeekIndex],47)=0,"",SUMIFS(T_PlannedOrders[EffectiveQty],T_PlannedOrders[Part Name],$A271,T_PlannedOrders[WeekIndex],47)&amp;" ("&amp;TEXT(SUMPRODUCT(MAX((T_PlannedOrders[Part Name]=$A271)*(T_PlannedOrders[WeekIndex]=47)*(T_PlannedOrders[EffectiveQty]&gt;0)*T_PlannedOrders[Order_Month])),"m月")&amp;"発注)")</f>
        <v/>
      </c>
      <c r="AY409">
        <f>IF(SUMIFS(T_PlannedOrders[EffectiveQty],T_PlannedOrders[Part Name],$A271,T_PlannedOrders[WeekIndex],48)=0,"",SUMIFS(T_PlannedOrders[EffectiveQty],T_PlannedOrders[Part Name],$A271,T_PlannedOrders[WeekIndex],48)&amp;" ("&amp;TEXT(SUMPRODUCT(MAX((T_PlannedOrders[Part Name]=$A271)*(T_PlannedOrders[WeekIndex]=48)*(T_PlannedOrders[EffectiveQty]&gt;0)*T_PlannedOrders[Order_Month])),"m月")&amp;"発注)")</f>
        <v/>
      </c>
      <c r="AZ409">
        <f>IF(SUMIFS(T_PlannedOrders[EffectiveQty],T_PlannedOrders[Part Name],$A271,T_PlannedOrders[WeekIndex],49)=0,"",SUMIFS(T_PlannedOrders[EffectiveQty],T_PlannedOrders[Part Name],$A271,T_PlannedOrders[WeekIndex],49)&amp;" ("&amp;TEXT(SUMPRODUCT(MAX((T_PlannedOrders[Part Name]=$A271)*(T_PlannedOrders[WeekIndex]=49)*(T_PlannedOrders[EffectiveQty]&gt;0)*T_PlannedOrders[Order_Month])),"m月")&amp;"発注)")</f>
        <v/>
      </c>
      <c r="BA409">
        <f>IF(SUMIFS(T_PlannedOrders[EffectiveQty],T_PlannedOrders[Part Name],$A271,T_PlannedOrders[WeekIndex],50)=0,"",SUMIFS(T_PlannedOrders[EffectiveQty],T_PlannedOrders[Part Name],$A271,T_PlannedOrders[WeekIndex],50)&amp;" ("&amp;TEXT(SUMPRODUCT(MAX((T_PlannedOrders[Part Name]=$A271)*(T_PlannedOrders[WeekIndex]=50)*(T_PlannedOrders[EffectiveQty]&gt;0)*T_PlannedOrders[Order_Month])),"m月")&amp;"発注)")</f>
        <v/>
      </c>
      <c r="BB409">
        <f>IF(SUMIFS(T_PlannedOrders[EffectiveQty],T_PlannedOrders[Part Name],$A271,T_PlannedOrders[WeekIndex],51)=0,"",SUMIFS(T_PlannedOrders[EffectiveQty],T_PlannedOrders[Part Name],$A271,T_PlannedOrders[WeekIndex],51)&amp;" ("&amp;TEXT(SUMPRODUCT(MAX((T_PlannedOrders[Part Name]=$A271)*(T_PlannedOrders[WeekIndex]=51)*(T_PlannedOrders[EffectiveQty]&gt;0)*T_PlannedOrders[Order_Month])),"m月")&amp;"発注)")</f>
        <v/>
      </c>
      <c r="BC409">
        <f>IF(SUMIFS(T_PlannedOrders[EffectiveQty],T_PlannedOrders[Part Name],$A271,T_PlannedOrders[WeekIndex],52)=0,"",SUMIFS(T_PlannedOrders[EffectiveQty],T_PlannedOrders[Part Name],$A271,T_PlannedOrders[WeekIndex],52)&amp;" ("&amp;TEXT(SUMPRODUCT(MAX((T_PlannedOrders[Part Name]=$A271)*(T_PlannedOrders[WeekIndex]=52)*(T_PlannedOrders[EffectiveQty]&gt;0)*T_PlannedOrders[Order_Month])),"m月")&amp;"発注)")</f>
        <v/>
      </c>
      <c r="BD409">
        <f>IF(SUMIFS(T_PlannedOrders[EffectiveQty],T_PlannedOrders[Part Name],$A271,T_PlannedOrders[WeekIndex],53)=0,"",SUMIFS(T_PlannedOrders[EffectiveQty],T_PlannedOrders[Part Name],$A271,T_PlannedOrders[WeekIndex],53)&amp;" ("&amp;TEXT(SUMPRODUCT(MAX((T_PlannedOrders[Part Name]=$A271)*(T_PlannedOrders[WeekIndex]=53)*(T_PlannedOrders[EffectiveQty]&gt;0)*T_PlannedOrders[Order_Month])),"m月")&amp;"発注)")</f>
        <v/>
      </c>
      <c r="BE409">
        <f>IF(SUMIFS(T_PlannedOrders[EffectiveQty],T_PlannedOrders[Part Name],$A271,T_PlannedOrders[WeekIndex],54)=0,"",SUMIFS(T_PlannedOrders[EffectiveQty],T_PlannedOrders[Part Name],$A271,T_PlannedOrders[WeekIndex],54)&amp;" ("&amp;TEXT(SUMPRODUCT(MAX((T_PlannedOrders[Part Name]=$A271)*(T_PlannedOrders[WeekIndex]=54)*(T_PlannedOrders[EffectiveQty]&gt;0)*T_PlannedOrders[Order_Month])),"m月")&amp;"発注)")</f>
        <v/>
      </c>
      <c r="BF409">
        <f>IF(SUMIFS(T_PlannedOrders[EffectiveQty],T_PlannedOrders[Part Name],$A271,T_PlannedOrders[WeekIndex],55)=0,"",SUMIFS(T_PlannedOrders[EffectiveQty],T_PlannedOrders[Part Name],$A271,T_PlannedOrders[WeekIndex],55)&amp;" ("&amp;TEXT(SUMPRODUCT(MAX((T_PlannedOrders[Part Name]=$A271)*(T_PlannedOrders[WeekIndex]=55)*(T_PlannedOrders[EffectiveQty]&gt;0)*T_PlannedOrders[Order_Month])),"m月")&amp;"発注)")</f>
        <v/>
      </c>
      <c r="BG409">
        <f>IF(SUMIFS(T_PlannedOrders[EffectiveQty],T_PlannedOrders[Part Name],$A271,T_PlannedOrders[WeekIndex],56)=0,"",SUMIFS(T_PlannedOrders[EffectiveQty],T_PlannedOrders[Part Name],$A271,T_PlannedOrders[WeekIndex],56)&amp;" ("&amp;TEXT(SUMPRODUCT(MAX((T_PlannedOrders[Part Name]=$A271)*(T_PlannedOrders[WeekIndex]=56)*(T_PlannedOrders[EffectiveQty]&gt;0)*T_PlannedOrders[Order_Month])),"m月")&amp;"発注)")</f>
        <v/>
      </c>
      <c r="BH409">
        <f>IF(SUMIFS(T_PlannedOrders[EffectiveQty],T_PlannedOrders[Part Name],$A271,T_PlannedOrders[WeekIndex],57)=0,"",SUMIFS(T_PlannedOrders[EffectiveQty],T_PlannedOrders[Part Name],$A271,T_PlannedOrders[WeekIndex],57)&amp;" ("&amp;TEXT(SUMPRODUCT(MAX((T_PlannedOrders[Part Name]=$A271)*(T_PlannedOrders[WeekIndex]=57)*(T_PlannedOrders[EffectiveQty]&gt;0)*T_PlannedOrders[Order_Month])),"m月")&amp;"発注)")</f>
        <v/>
      </c>
      <c r="BI409">
        <f>IF(SUMIFS(T_PlannedOrders[EffectiveQty],T_PlannedOrders[Part Name],$A271,T_PlannedOrders[WeekIndex],58)=0,"",SUMIFS(T_PlannedOrders[EffectiveQty],T_PlannedOrders[Part Name],$A271,T_PlannedOrders[WeekIndex],58)&amp;" ("&amp;TEXT(SUMPRODUCT(MAX((T_PlannedOrders[Part Name]=$A271)*(T_PlannedOrders[WeekIndex]=58)*(T_PlannedOrders[EffectiveQty]&gt;0)*T_PlannedOrders[Order_Month])),"m月")&amp;"発注)")</f>
        <v/>
      </c>
      <c r="BJ409">
        <f>IF(SUMIFS(T_PlannedOrders[EffectiveQty],T_PlannedOrders[Part Name],$A271,T_PlannedOrders[WeekIndex],59)=0,"",SUMIFS(T_PlannedOrders[EffectiveQty],T_PlannedOrders[Part Name],$A271,T_PlannedOrders[WeekIndex],59)&amp;" ("&amp;TEXT(SUMPRODUCT(MAX((T_PlannedOrders[Part Name]=$A271)*(T_PlannedOrders[WeekIndex]=59)*(T_PlannedOrders[EffectiveQty]&gt;0)*T_PlannedOrders[Order_Month])),"m月")&amp;"発注)")</f>
        <v/>
      </c>
      <c r="BK409">
        <f>IF(SUMIFS(T_PlannedOrders[EffectiveQty],T_PlannedOrders[Part Name],$A271,T_PlannedOrders[WeekIndex],60)=0,"",SUMIFS(T_PlannedOrders[EffectiveQty],T_PlannedOrders[Part Name],$A271,T_PlannedOrders[WeekIndex],60)&amp;" ("&amp;TEXT(SUMPRODUCT(MAX((T_PlannedOrders[Part Name]=$A271)*(T_PlannedOrders[WeekIndex]=60)*(T_PlannedOrders[EffectiveQty]&gt;0)*T_PlannedOrders[Order_Month])),"m月")&amp;"発注)")</f>
        <v/>
      </c>
      <c r="BL409">
        <f>IF(SUMIFS(T_PlannedOrders[EffectiveQty],T_PlannedOrders[Part Name],$A271,T_PlannedOrders[WeekIndex],61)=0,"",SUMIFS(T_PlannedOrders[EffectiveQty],T_PlannedOrders[Part Name],$A271,T_PlannedOrders[WeekIndex],61)&amp;" ("&amp;TEXT(SUMPRODUCT(MAX((T_PlannedOrders[Part Name]=$A271)*(T_PlannedOrders[WeekIndex]=61)*(T_PlannedOrders[EffectiveQty]&gt;0)*T_PlannedOrders[Order_Month])),"m月")&amp;"発注)")</f>
        <v/>
      </c>
      <c r="BM409">
        <f>IF(SUMIFS(T_PlannedOrders[EffectiveQty],T_PlannedOrders[Part Name],$A271,T_PlannedOrders[WeekIndex],62)=0,"",SUMIFS(T_PlannedOrders[EffectiveQty],T_PlannedOrders[Part Name],$A271,T_PlannedOrders[WeekIndex],62)&amp;" ("&amp;TEXT(SUMPRODUCT(MAX((T_PlannedOrders[Part Name]=$A271)*(T_PlannedOrders[WeekIndex]=62)*(T_PlannedOrders[EffectiveQty]&gt;0)*T_PlannedOrders[Order_Month])),"m月")&amp;"発注)")</f>
        <v/>
      </c>
      <c r="BN409">
        <f>IF(SUMIFS(T_PlannedOrders[EffectiveQty],T_PlannedOrders[Part Name],$A271,T_PlannedOrders[WeekIndex],63)=0,"",SUMIFS(T_PlannedOrders[EffectiveQty],T_PlannedOrders[Part Name],$A271,T_PlannedOrders[WeekIndex],63)&amp;" ("&amp;TEXT(SUMPRODUCT(MAX((T_PlannedOrders[Part Name]=$A271)*(T_PlannedOrders[WeekIndex]=63)*(T_PlannedOrders[EffectiveQty]&gt;0)*T_PlannedOrders[Order_Month])),"m月")&amp;"発注)")</f>
        <v/>
      </c>
      <c r="BO409">
        <f>IF(SUMIFS(T_PlannedOrders[EffectiveQty],T_PlannedOrders[Part Name],$A271,T_PlannedOrders[WeekIndex],64)=0,"",SUMIFS(T_PlannedOrders[EffectiveQty],T_PlannedOrders[Part Name],$A271,T_PlannedOrders[WeekIndex],64)&amp;" ("&amp;TEXT(SUMPRODUCT(MAX((T_PlannedOrders[Part Name]=$A271)*(T_PlannedOrders[WeekIndex]=64)*(T_PlannedOrders[EffectiveQty]&gt;0)*T_PlannedOrders[Order_Month])),"m月")&amp;"発注)")</f>
        <v/>
      </c>
      <c r="BP409">
        <f>IF(SUMIFS(T_PlannedOrders[EffectiveQty],T_PlannedOrders[Part Name],$A271,T_PlannedOrders[WeekIndex],65)=0,"",SUMIFS(T_PlannedOrders[EffectiveQty],T_PlannedOrders[Part Name],$A271,T_PlannedOrders[WeekIndex],65)&amp;" ("&amp;TEXT(SUMPRODUCT(MAX((T_PlannedOrders[Part Name]=$A271)*(T_PlannedOrders[WeekIndex]=65)*(T_PlannedOrders[EffectiveQty]&gt;0)*T_PlannedOrders[Order_Month])),"m月")&amp;"発注)")</f>
        <v/>
      </c>
      <c r="BQ409">
        <f>IF(SUMIFS(T_PlannedOrders[EffectiveQty],T_PlannedOrders[Part Name],$A271,T_PlannedOrders[WeekIndex],66)=0,"",SUMIFS(T_PlannedOrders[EffectiveQty],T_PlannedOrders[Part Name],$A271,T_PlannedOrders[WeekIndex],66)&amp;" ("&amp;TEXT(SUMPRODUCT(MAX((T_PlannedOrders[Part Name]=$A271)*(T_PlannedOrders[WeekIndex]=66)*(T_PlannedOrders[EffectiveQty]&gt;0)*T_PlannedOrders[Order_Month])),"m月")&amp;"発注)")</f>
        <v/>
      </c>
      <c r="BR409">
        <f>IF(SUMIFS(T_PlannedOrders[EffectiveQty],T_PlannedOrders[Part Name],$A271,T_PlannedOrders[WeekIndex],67)=0,"",SUMIFS(T_PlannedOrders[EffectiveQty],T_PlannedOrders[Part Name],$A271,T_PlannedOrders[WeekIndex],67)&amp;" ("&amp;TEXT(SUMPRODUCT(MAX((T_PlannedOrders[Part Name]=$A271)*(T_PlannedOrders[WeekIndex]=67)*(T_PlannedOrders[EffectiveQty]&gt;0)*T_PlannedOrders[Order_Month])),"m月")&amp;"発注)")</f>
        <v/>
      </c>
      <c r="BS409">
        <f>IF(SUMIFS(T_PlannedOrders[EffectiveQty],T_PlannedOrders[Part Name],$A271,T_PlannedOrders[WeekIndex],68)=0,"",SUMIFS(T_PlannedOrders[EffectiveQty],T_PlannedOrders[Part Name],$A271,T_PlannedOrders[WeekIndex],68)&amp;" ("&amp;TEXT(SUMPRODUCT(MAX((T_PlannedOrders[Part Name]=$A271)*(T_PlannedOrders[WeekIndex]=68)*(T_PlannedOrders[EffectiveQty]&gt;0)*T_PlannedOrders[Order_Month])),"m月")&amp;"発注)")</f>
        <v/>
      </c>
      <c r="BT409">
        <f>IF(SUMIFS(T_PlannedOrders[EffectiveQty],T_PlannedOrders[Part Name],$A271,T_PlannedOrders[WeekIndex],69)=0,"",SUMIFS(T_PlannedOrders[EffectiveQty],T_PlannedOrders[Part Name],$A271,T_PlannedOrders[WeekIndex],69)&amp;" ("&amp;TEXT(SUMPRODUCT(MAX((T_PlannedOrders[Part Name]=$A271)*(T_PlannedOrders[WeekIndex]=69)*(T_PlannedOrders[EffectiveQty]&gt;0)*T_PlannedOrders[Order_Month])),"m月")&amp;"発注)")</f>
        <v/>
      </c>
      <c r="BU409">
        <f>IF(SUMIFS(T_PlannedOrders[EffectiveQty],T_PlannedOrders[Part Name],$A271,T_PlannedOrders[WeekIndex],70)=0,"",SUMIFS(T_PlannedOrders[EffectiveQty],T_PlannedOrders[Part Name],$A271,T_PlannedOrders[WeekIndex],70)&amp;" ("&amp;TEXT(SUMPRODUCT(MAX((T_PlannedOrders[Part Name]=$A271)*(T_PlannedOrders[WeekIndex]=70)*(T_PlannedOrders[EffectiveQty]&gt;0)*T_PlannedOrders[Order_Month])),"m月")&amp;"発注)")</f>
        <v/>
      </c>
      <c r="BV409">
        <f>IF(SUMIFS(T_PlannedOrders[EffectiveQty],T_PlannedOrders[Part Name],$A271,T_PlannedOrders[WeekIndex],71)=0,"",SUMIFS(T_PlannedOrders[EffectiveQty],T_PlannedOrders[Part Name],$A271,T_PlannedOrders[WeekIndex],71)&amp;" ("&amp;TEXT(SUMPRODUCT(MAX((T_PlannedOrders[Part Name]=$A271)*(T_PlannedOrders[WeekIndex]=71)*(T_PlannedOrders[EffectiveQty]&gt;0)*T_PlannedOrders[Order_Month])),"m月")&amp;"発注)")</f>
        <v/>
      </c>
      <c r="BW409">
        <f>IF(SUMIFS(T_PlannedOrders[EffectiveQty],T_PlannedOrders[Part Name],$A271,T_PlannedOrders[WeekIndex],72)=0,"",SUMIFS(T_PlannedOrders[EffectiveQty],T_PlannedOrders[Part Name],$A271,T_PlannedOrders[WeekIndex],72)&amp;" ("&amp;TEXT(SUMPRODUCT(MAX((T_PlannedOrders[Part Name]=$A271)*(T_PlannedOrders[WeekIndex]=72)*(T_PlannedOrders[EffectiveQty]&gt;0)*T_PlannedOrders[Order_Month])),"m月")&amp;"発注)")</f>
        <v/>
      </c>
      <c r="BX409">
        <f>IF(SUMIFS(T_PlannedOrders[EffectiveQty],T_PlannedOrders[Part Name],$A271,T_PlannedOrders[WeekIndex],73)=0,"",SUMIFS(T_PlannedOrders[EffectiveQty],T_PlannedOrders[Part Name],$A271,T_PlannedOrders[WeekIndex],73)&amp;" ("&amp;TEXT(SUMPRODUCT(MAX((T_PlannedOrders[Part Name]=$A271)*(T_PlannedOrders[WeekIndex]=73)*(T_PlannedOrders[EffectiveQty]&gt;0)*T_PlannedOrders[Order_Month])),"m月")&amp;"発注)")</f>
        <v/>
      </c>
      <c r="BY409">
        <f>IF(SUMIFS(T_PlannedOrders[EffectiveQty],T_PlannedOrders[Part Name],$A271,T_PlannedOrders[WeekIndex],74)=0,"",SUMIFS(T_PlannedOrders[EffectiveQty],T_PlannedOrders[Part Name],$A271,T_PlannedOrders[WeekIndex],74)&amp;" ("&amp;TEXT(SUMPRODUCT(MAX((T_PlannedOrders[Part Name]=$A271)*(T_PlannedOrders[WeekIndex]=74)*(T_PlannedOrders[EffectiveQty]&gt;0)*T_PlannedOrders[Order_Month])),"m月")&amp;"発注)")</f>
        <v/>
      </c>
      <c r="BZ409">
        <f>IF(SUMIFS(T_PlannedOrders[EffectiveQty],T_PlannedOrders[Part Name],$A271,T_PlannedOrders[WeekIndex],75)=0,"",SUMIFS(T_PlannedOrders[EffectiveQty],T_PlannedOrders[Part Name],$A271,T_PlannedOrders[WeekIndex],75)&amp;" ("&amp;TEXT(SUMPRODUCT(MAX((T_PlannedOrders[Part Name]=$A271)*(T_PlannedOrders[WeekIndex]=75)*(T_PlannedOrders[EffectiveQty]&gt;0)*T_PlannedOrders[Order_Month])),"m月")&amp;"発注)")</f>
        <v/>
      </c>
      <c r="CA409">
        <f>IF(SUMIFS(T_PlannedOrders[EffectiveQty],T_PlannedOrders[Part Name],$A271,T_PlannedOrders[WeekIndex],76)=0,"",SUMIFS(T_PlannedOrders[EffectiveQty],T_PlannedOrders[Part Name],$A271,T_PlannedOrders[WeekIndex],76)&amp;" ("&amp;TEXT(SUMPRODUCT(MAX((T_PlannedOrders[Part Name]=$A271)*(T_PlannedOrders[WeekIndex]=76)*(T_PlannedOrders[EffectiveQty]&gt;0)*T_PlannedOrders[Order_Month])),"m月")&amp;"発注)")</f>
        <v/>
      </c>
      <c r="CB409">
        <f>IF(SUMIFS(T_PlannedOrders[EffectiveQty],T_PlannedOrders[Part Name],$A271,T_PlannedOrders[WeekIndex],77)=0,"",SUMIFS(T_PlannedOrders[EffectiveQty],T_PlannedOrders[Part Name],$A271,T_PlannedOrders[WeekIndex],77)&amp;" ("&amp;TEXT(SUMPRODUCT(MAX((T_PlannedOrders[Part Name]=$A271)*(T_PlannedOrders[WeekIndex]=77)*(T_PlannedOrders[EffectiveQty]&gt;0)*T_PlannedOrders[Order_Month])),"m月")&amp;"発注)")</f>
        <v/>
      </c>
      <c r="CC409">
        <f>IF(SUMIFS(T_PlannedOrders[EffectiveQty],T_PlannedOrders[Part Name],$A271,T_PlannedOrders[WeekIndex],78)=0,"",SUMIFS(T_PlannedOrders[EffectiveQty],T_PlannedOrders[Part Name],$A271,T_PlannedOrders[WeekIndex],78)&amp;" ("&amp;TEXT(SUMPRODUCT(MAX((T_PlannedOrders[Part Name]=$A271)*(T_PlannedOrders[WeekIndex]=78)*(T_PlannedOrders[EffectiveQty]&gt;0)*T_PlannedOrders[Order_Month])),"m月")&amp;"発注)")</f>
        <v/>
      </c>
      <c r="CD409">
        <f>IF(SUMIFS(T_PlannedOrders[EffectiveQty],T_PlannedOrders[Part Name],$A271,T_PlannedOrders[WeekIndex],79)=0,"",SUMIFS(T_PlannedOrders[EffectiveQty],T_PlannedOrders[Part Name],$A271,T_PlannedOrders[WeekIndex],79)&amp;" ("&amp;TEXT(SUMPRODUCT(MAX((T_PlannedOrders[Part Name]=$A271)*(T_PlannedOrders[WeekIndex]=79)*(T_PlannedOrders[EffectiveQty]&gt;0)*T_PlannedOrders[Order_Month])),"m月")&amp;"発注)")</f>
        <v/>
      </c>
      <c r="CE409">
        <f>IF(SUMIFS(T_PlannedOrders[EffectiveQty],T_PlannedOrders[Part Name],$A271,T_PlannedOrders[WeekIndex],80)=0,"",SUMIFS(T_PlannedOrders[EffectiveQty],T_PlannedOrders[Part Name],$A271,T_PlannedOrders[WeekIndex],80)&amp;" ("&amp;TEXT(SUMPRODUCT(MAX((T_PlannedOrders[Part Name]=$A271)*(T_PlannedOrders[WeekIndex]=80)*(T_PlannedOrders[EffectiveQty]&gt;0)*T_PlannedOrders[Order_Month])),"m月")&amp;"発注)")</f>
        <v/>
      </c>
      <c r="CF409">
        <f>IF(SUMIFS(T_PlannedOrders[EffectiveQty],T_PlannedOrders[Part Name],$A271,T_PlannedOrders[WeekIndex],81)=0,"",SUMIFS(T_PlannedOrders[EffectiveQty],T_PlannedOrders[Part Name],$A271,T_PlannedOrders[WeekIndex],81)&amp;" ("&amp;TEXT(SUMPRODUCT(MAX((T_PlannedOrders[Part Name]=$A271)*(T_PlannedOrders[WeekIndex]=81)*(T_PlannedOrders[EffectiveQty]&gt;0)*T_PlannedOrders[Order_Month])),"m月")&amp;"発注)")</f>
        <v/>
      </c>
      <c r="CG409">
        <f>IF(SUMIFS(T_PlannedOrders[EffectiveQty],T_PlannedOrders[Part Name],$A271,T_PlannedOrders[WeekIndex],82)=0,"",SUMIFS(T_PlannedOrders[EffectiveQty],T_PlannedOrders[Part Name],$A271,T_PlannedOrders[WeekIndex],82)&amp;" ("&amp;TEXT(SUMPRODUCT(MAX((T_PlannedOrders[Part Name]=$A271)*(T_PlannedOrders[WeekIndex]=82)*(T_PlannedOrders[EffectiveQty]&gt;0)*T_PlannedOrders[Order_Month])),"m月")&amp;"発注)")</f>
        <v/>
      </c>
      <c r="CH409">
        <f>IF(SUMIFS(T_PlannedOrders[EffectiveQty],T_PlannedOrders[Part Name],$A271,T_PlannedOrders[WeekIndex],83)=0,"",SUMIFS(T_PlannedOrders[EffectiveQty],T_PlannedOrders[Part Name],$A271,T_PlannedOrders[WeekIndex],83)&amp;" ("&amp;TEXT(SUMPRODUCT(MAX((T_PlannedOrders[Part Name]=$A271)*(T_PlannedOrders[WeekIndex]=83)*(T_PlannedOrders[EffectiveQty]&gt;0)*T_PlannedOrders[Order_Month])),"m月")&amp;"発注)")</f>
        <v/>
      </c>
      <c r="CI409">
        <f>IF(SUMIFS(T_PlannedOrders[EffectiveQty],T_PlannedOrders[Part Name],$A271,T_PlannedOrders[WeekIndex],84)=0,"",SUMIFS(T_PlannedOrders[EffectiveQty],T_PlannedOrders[Part Name],$A271,T_PlannedOrders[WeekIndex],84)&amp;" ("&amp;TEXT(SUMPRODUCT(MAX((T_PlannedOrders[Part Name]=$A271)*(T_PlannedOrders[WeekIndex]=84)*(T_PlannedOrders[EffectiveQty]&gt;0)*T_PlannedOrders[Order_Month])),"m月")&amp;"発注)")</f>
        <v/>
      </c>
      <c r="CJ409">
        <f>IF(SUMIFS(T_PlannedOrders[EffectiveQty],T_PlannedOrders[Part Name],$A271,T_PlannedOrders[WeekIndex],85)=0,"",SUMIFS(T_PlannedOrders[EffectiveQty],T_PlannedOrders[Part Name],$A271,T_PlannedOrders[WeekIndex],85)&amp;" ("&amp;TEXT(SUMPRODUCT(MAX((T_PlannedOrders[Part Name]=$A271)*(T_PlannedOrders[WeekIndex]=85)*(T_PlannedOrders[EffectiveQty]&gt;0)*T_PlannedOrders[Order_Month])),"m月")&amp;"発注)")</f>
        <v/>
      </c>
      <c r="CK409">
        <f>IF(SUMIFS(T_PlannedOrders[EffectiveQty],T_PlannedOrders[Part Name],$A271,T_PlannedOrders[WeekIndex],86)=0,"",SUMIFS(T_PlannedOrders[EffectiveQty],T_PlannedOrders[Part Name],$A271,T_PlannedOrders[WeekIndex],86)&amp;" ("&amp;TEXT(SUMPRODUCT(MAX((T_PlannedOrders[Part Name]=$A271)*(T_PlannedOrders[WeekIndex]=86)*(T_PlannedOrders[EffectiveQty]&gt;0)*T_PlannedOrders[Order_Month])),"m月")&amp;"発注)")</f>
        <v/>
      </c>
      <c r="CL409">
        <f>IF(SUMIFS(T_PlannedOrders[EffectiveQty],T_PlannedOrders[Part Name],$A271,T_PlannedOrders[WeekIndex],87)=0,"",SUMIFS(T_PlannedOrders[EffectiveQty],T_PlannedOrders[Part Name],$A271,T_PlannedOrders[WeekIndex],87)&amp;" ("&amp;TEXT(SUMPRODUCT(MAX((T_PlannedOrders[Part Name]=$A271)*(T_PlannedOrders[WeekIndex]=87)*(T_PlannedOrders[EffectiveQty]&gt;0)*T_PlannedOrders[Order_Month])),"m月")&amp;"発注)")</f>
        <v/>
      </c>
      <c r="CM409">
        <f>IF(SUMIFS(T_PlannedOrders[EffectiveQty],T_PlannedOrders[Part Name],$A271,T_PlannedOrders[WeekIndex],88)=0,"",SUMIFS(T_PlannedOrders[EffectiveQty],T_PlannedOrders[Part Name],$A271,T_PlannedOrders[WeekIndex],88)&amp;" ("&amp;TEXT(SUMPRODUCT(MAX((T_PlannedOrders[Part Name]=$A271)*(T_PlannedOrders[WeekIndex]=88)*(T_PlannedOrders[EffectiveQty]&gt;0)*T_PlannedOrders[Order_Month])),"m月")&amp;"発注)")</f>
        <v/>
      </c>
      <c r="CN409">
        <f>IF(SUMIFS(T_PlannedOrders[EffectiveQty],T_PlannedOrders[Part Name],$A271,T_PlannedOrders[WeekIndex],89)=0,"",SUMIFS(T_PlannedOrders[EffectiveQty],T_PlannedOrders[Part Name],$A271,T_PlannedOrders[WeekIndex],89)&amp;" ("&amp;TEXT(SUMPRODUCT(MAX((T_PlannedOrders[Part Name]=$A271)*(T_PlannedOrders[WeekIndex]=89)*(T_PlannedOrders[EffectiveQty]&gt;0)*T_PlannedOrders[Order_Month])),"m月")&amp;"発注)")</f>
        <v/>
      </c>
      <c r="CO409">
        <f>IF(SUMIFS(T_PlannedOrders[EffectiveQty],T_PlannedOrders[Part Name],$A271,T_PlannedOrders[WeekIndex],90)=0,"",SUMIFS(T_PlannedOrders[EffectiveQty],T_PlannedOrders[Part Name],$A271,T_PlannedOrders[WeekIndex],90)&amp;" ("&amp;TEXT(SUMPRODUCT(MAX((T_PlannedOrders[Part Name]=$A271)*(T_PlannedOrders[WeekIndex]=90)*(T_PlannedOrders[EffectiveQty]&gt;0)*T_PlannedOrders[Order_Month])),"m月")&amp;"発注)")</f>
        <v/>
      </c>
      <c r="CP409">
        <f>IF(SUMIFS(T_PlannedOrders[EffectiveQty],T_PlannedOrders[Part Name],$A271,T_PlannedOrders[WeekIndex],91)=0,"",SUMIFS(T_PlannedOrders[EffectiveQty],T_PlannedOrders[Part Name],$A271,T_PlannedOrders[WeekIndex],91)&amp;" ("&amp;TEXT(SUMPRODUCT(MAX((T_PlannedOrders[Part Name]=$A271)*(T_PlannedOrders[WeekIndex]=91)*(T_PlannedOrders[EffectiveQty]&gt;0)*T_PlannedOrders[Order_Month])),"m月")&amp;"発注)")</f>
        <v/>
      </c>
      <c r="CQ409">
        <f>IF(SUMIFS(T_PlannedOrders[EffectiveQty],T_PlannedOrders[Part Name],$A271,T_PlannedOrders[WeekIndex],92)=0,"",SUMIFS(T_PlannedOrders[EffectiveQty],T_PlannedOrders[Part Name],$A271,T_PlannedOrders[WeekIndex],92)&amp;" ("&amp;TEXT(SUMPRODUCT(MAX((T_PlannedOrders[Part Name]=$A271)*(T_PlannedOrders[WeekIndex]=92)*(T_PlannedOrders[EffectiveQty]&gt;0)*T_PlannedOrders[Order_Month])),"m月")&amp;"発注)")</f>
        <v/>
      </c>
      <c r="CR409">
        <f>IF(SUMIFS(T_PlannedOrders[EffectiveQty],T_PlannedOrders[Part Name],$A271,T_PlannedOrders[WeekIndex],93)=0,"",SUMIFS(T_PlannedOrders[EffectiveQty],T_PlannedOrders[Part Name],$A271,T_PlannedOrders[WeekIndex],93)&amp;" ("&amp;TEXT(SUMPRODUCT(MAX((T_PlannedOrders[Part Name]=$A271)*(T_PlannedOrders[WeekIndex]=93)*(T_PlannedOrders[EffectiveQty]&gt;0)*T_PlannedOrders[Order_Month])),"m月")&amp;"発注)")</f>
        <v/>
      </c>
      <c r="CS409">
        <f>IF(SUMIFS(T_PlannedOrders[EffectiveQty],T_PlannedOrders[Part Name],$A271,T_PlannedOrders[WeekIndex],94)=0,"",SUMIFS(T_PlannedOrders[EffectiveQty],T_PlannedOrders[Part Name],$A271,T_PlannedOrders[WeekIndex],94)&amp;" ("&amp;TEXT(SUMPRODUCT(MAX((T_PlannedOrders[Part Name]=$A271)*(T_PlannedOrders[WeekIndex]=94)*(T_PlannedOrders[EffectiveQty]&gt;0)*T_PlannedOrders[Order_Month])),"m月")&amp;"発注)")</f>
        <v/>
      </c>
      <c r="CT409">
        <f>IF(SUMIFS(T_PlannedOrders[EffectiveQty],T_PlannedOrders[Part Name],$A271,T_PlannedOrders[WeekIndex],95)=0,"",SUMIFS(T_PlannedOrders[EffectiveQty],T_PlannedOrders[Part Name],$A271,T_PlannedOrders[WeekIndex],95)&amp;" ("&amp;TEXT(SUMPRODUCT(MAX((T_PlannedOrders[Part Name]=$A271)*(T_PlannedOrders[WeekIndex]=95)*(T_PlannedOrders[EffectiveQty]&gt;0)*T_PlannedOrders[Order_Month])),"m月")&amp;"発注)")</f>
        <v/>
      </c>
      <c r="CU409">
        <f>IF(SUMIFS(T_PlannedOrders[EffectiveQty],T_PlannedOrders[Part Name],$A271,T_PlannedOrders[WeekIndex],96)=0,"",SUMIFS(T_PlannedOrders[EffectiveQty],T_PlannedOrders[Part Name],$A271,T_PlannedOrders[WeekIndex],96)&amp;" ("&amp;TEXT(SUMPRODUCT(MAX((T_PlannedOrders[Part Name]=$A271)*(T_PlannedOrders[WeekIndex]=96)*(T_PlannedOrders[EffectiveQty]&gt;0)*T_PlannedOrders[Order_Month])),"m月")&amp;"発注)")</f>
        <v/>
      </c>
      <c r="CV409">
        <f>IF(SUMIFS(T_PlannedOrders[EffectiveQty],T_PlannedOrders[Part Name],$A271,T_PlannedOrders[WeekIndex],97)=0,"",SUMIFS(T_PlannedOrders[EffectiveQty],T_PlannedOrders[Part Name],$A271,T_PlannedOrders[WeekIndex],97)&amp;" ("&amp;TEXT(SUMPRODUCT(MAX((T_PlannedOrders[Part Name]=$A271)*(T_PlannedOrders[WeekIndex]=97)*(T_PlannedOrders[EffectiveQty]&gt;0)*T_PlannedOrders[Order_Month])),"m月")&amp;"発注)")</f>
        <v/>
      </c>
      <c r="CW409">
        <f>IF(SUMIFS(T_PlannedOrders[EffectiveQty],T_PlannedOrders[Part Name],$A271,T_PlannedOrders[WeekIndex],98)=0,"",SUMIFS(T_PlannedOrders[EffectiveQty],T_PlannedOrders[Part Name],$A271,T_PlannedOrders[WeekIndex],98)&amp;" ("&amp;TEXT(SUMPRODUCT(MAX((T_PlannedOrders[Part Name]=$A271)*(T_PlannedOrders[WeekIndex]=98)*(T_PlannedOrders[EffectiveQty]&gt;0)*T_PlannedOrders[Order_Month])),"m月")&amp;"発注)")</f>
        <v/>
      </c>
      <c r="CX409">
        <f>IF(SUMIFS(T_PlannedOrders[EffectiveQty],T_PlannedOrders[Part Name],$A271,T_PlannedOrders[WeekIndex],99)=0,"",SUMIFS(T_PlannedOrders[EffectiveQty],T_PlannedOrders[Part Name],$A271,T_PlannedOrders[WeekIndex],99)&amp;" ("&amp;TEXT(SUMPRODUCT(MAX((T_PlannedOrders[Part Name]=$A271)*(T_PlannedOrders[WeekIndex]=99)*(T_PlannedOrders[EffectiveQty]&gt;0)*T_PlannedOrders[Order_Month])),"m月")&amp;"発注)")</f>
        <v/>
      </c>
      <c r="CY409">
        <f>IF(SUMIFS(T_PlannedOrders[EffectiveQty],T_PlannedOrders[Part Name],$A271,T_PlannedOrders[WeekIndex],100)=0,"",SUMIFS(T_PlannedOrders[EffectiveQty],T_PlannedOrders[Part Name],$A271,T_PlannedOrders[WeekIndex],100)&amp;" ("&amp;TEXT(SUMPRODUCT(MAX((T_PlannedOrders[Part Name]=$A271)*(T_PlannedOrders[WeekIndex]=100)*(T_PlannedOrders[EffectiveQty]&gt;0)*T_PlannedOrders[Order_Month])),"m月")&amp;"発注)")</f>
        <v/>
      </c>
      <c r="CZ409">
        <f>IF(SUMIFS(T_PlannedOrders[EffectiveQty],T_PlannedOrders[Part Name],$A271,T_PlannedOrders[WeekIndex],101)=0,"",SUMIFS(T_PlannedOrders[EffectiveQty],T_PlannedOrders[Part Name],$A271,T_PlannedOrders[WeekIndex],101)&amp;" ("&amp;TEXT(SUMPRODUCT(MAX((T_PlannedOrders[Part Name]=$A271)*(T_PlannedOrders[WeekIndex]=101)*(T_PlannedOrders[EffectiveQty]&gt;0)*T_PlannedOrders[Order_Month])),"m月")&amp;"発注)")</f>
        <v/>
      </c>
      <c r="DA409">
        <f>IF(SUMIFS(T_PlannedOrders[EffectiveQty],T_PlannedOrders[Part Name],$A271,T_PlannedOrders[WeekIndex],102)=0,"",SUMIFS(T_PlannedOrders[EffectiveQty],T_PlannedOrders[Part Name],$A271,T_PlannedOrders[WeekIndex],102)&amp;" ("&amp;TEXT(SUMPRODUCT(MAX((T_PlannedOrders[Part Name]=$A271)*(T_PlannedOrders[WeekIndex]=102)*(T_PlannedOrders[EffectiveQty]&gt;0)*T_PlannedOrders[Order_Month])),"m月")&amp;"発注)")</f>
        <v/>
      </c>
      <c r="DB409">
        <f>IF(SUMIFS(T_PlannedOrders[EffectiveQty],T_PlannedOrders[Part Name],$A271,T_PlannedOrders[WeekIndex],103)=0,"",SUMIFS(T_PlannedOrders[EffectiveQty],T_PlannedOrders[Part Name],$A271,T_PlannedOrders[WeekIndex],103)&amp;" ("&amp;TEXT(SUMPRODUCT(MAX((T_PlannedOrders[Part Name]=$A271)*(T_PlannedOrders[WeekIndex]=103)*(T_PlannedOrders[EffectiveQty]&gt;0)*T_PlannedOrders[Order_Month])),"m月")&amp;"発注)")</f>
        <v/>
      </c>
      <c r="DC409">
        <f>IF(SUMIFS(T_PlannedOrders[EffectiveQty],T_PlannedOrders[Part Name],$A271,T_PlannedOrders[WeekIndex],104)=0,"",SUMIFS(T_PlannedOrders[EffectiveQty],T_PlannedOrders[Part Name],$A271,T_PlannedOrders[WeekIndex],104)&amp;" ("&amp;TEXT(SUMPRODUCT(MAX((T_PlannedOrders[Part Name]=$A271)*(T_PlannedOrders[WeekIndex]=104)*(T_PlannedOrders[EffectiveQty]&gt;0)*T_PlannedOrders[Order_Month])),"m月")&amp;"発注)")</f>
        <v/>
      </c>
    </row>
    <row r="410">
      <c r="B410" s="5" t="inlineStr">
        <is>
          <t>合計在庫(週末時点,kg)</t>
        </is>
      </c>
      <c r="D410">
        <f>'Grid_Stock'!B16</f>
        <v/>
      </c>
      <c r="E410">
        <f>'Grid_Stock'!C16</f>
        <v/>
      </c>
      <c r="F410">
        <f>'Grid_Stock'!D16</f>
        <v/>
      </c>
      <c r="G410">
        <f>'Grid_Stock'!E16</f>
        <v/>
      </c>
      <c r="H410">
        <f>'Grid_Stock'!F16</f>
        <v/>
      </c>
      <c r="I410">
        <f>'Grid_Stock'!G16</f>
        <v/>
      </c>
      <c r="J410">
        <f>'Grid_Stock'!H16</f>
        <v/>
      </c>
      <c r="K410">
        <f>'Grid_Stock'!I16</f>
        <v/>
      </c>
      <c r="L410">
        <f>'Grid_Stock'!J16</f>
        <v/>
      </c>
      <c r="M410">
        <f>'Grid_Stock'!K16</f>
        <v/>
      </c>
      <c r="N410">
        <f>'Grid_Stock'!L16</f>
        <v/>
      </c>
      <c r="O410">
        <f>'Grid_Stock'!M16</f>
        <v/>
      </c>
      <c r="P410">
        <f>'Grid_Stock'!N16</f>
        <v/>
      </c>
      <c r="Q410">
        <f>'Grid_Stock'!O16</f>
        <v/>
      </c>
      <c r="R410">
        <f>'Grid_Stock'!P16</f>
        <v/>
      </c>
      <c r="S410">
        <f>'Grid_Stock'!Q16</f>
        <v/>
      </c>
      <c r="T410">
        <f>'Grid_Stock'!R16</f>
        <v/>
      </c>
      <c r="U410">
        <f>'Grid_Stock'!S16</f>
        <v/>
      </c>
      <c r="V410">
        <f>'Grid_Stock'!T16</f>
        <v/>
      </c>
      <c r="W410">
        <f>'Grid_Stock'!U16</f>
        <v/>
      </c>
      <c r="X410">
        <f>'Grid_Stock'!V16</f>
        <v/>
      </c>
      <c r="Y410">
        <f>'Grid_Stock'!W16</f>
        <v/>
      </c>
      <c r="Z410">
        <f>'Grid_Stock'!X16</f>
        <v/>
      </c>
      <c r="AA410">
        <f>'Grid_Stock'!Y16</f>
        <v/>
      </c>
      <c r="AB410">
        <f>'Grid_Stock'!Z16</f>
        <v/>
      </c>
      <c r="AC410">
        <f>'Grid_Stock'!AA16</f>
        <v/>
      </c>
      <c r="AD410">
        <f>'Grid_Stock'!AB16</f>
        <v/>
      </c>
      <c r="AE410">
        <f>'Grid_Stock'!AC16</f>
        <v/>
      </c>
      <c r="AF410">
        <f>'Grid_Stock'!AD16</f>
        <v/>
      </c>
      <c r="AG410">
        <f>'Grid_Stock'!AE16</f>
        <v/>
      </c>
      <c r="AH410">
        <f>'Grid_Stock'!AF16</f>
        <v/>
      </c>
      <c r="AI410">
        <f>'Grid_Stock'!AG16</f>
        <v/>
      </c>
      <c r="AJ410">
        <f>'Grid_Stock'!AH16</f>
        <v/>
      </c>
      <c r="AK410">
        <f>'Grid_Stock'!AI16</f>
        <v/>
      </c>
      <c r="AL410">
        <f>'Grid_Stock'!AJ16</f>
        <v/>
      </c>
      <c r="AM410">
        <f>'Grid_Stock'!AK16</f>
        <v/>
      </c>
      <c r="AN410">
        <f>'Grid_Stock'!AL16</f>
        <v/>
      </c>
      <c r="AO410">
        <f>'Grid_Stock'!AM16</f>
        <v/>
      </c>
      <c r="AP410">
        <f>'Grid_Stock'!AN16</f>
        <v/>
      </c>
      <c r="AQ410">
        <f>'Grid_Stock'!AO16</f>
        <v/>
      </c>
      <c r="AR410">
        <f>'Grid_Stock'!AP16</f>
        <v/>
      </c>
      <c r="AS410">
        <f>'Grid_Stock'!AQ16</f>
        <v/>
      </c>
      <c r="AT410">
        <f>'Grid_Stock'!AR16</f>
        <v/>
      </c>
      <c r="AU410">
        <f>'Grid_Stock'!AS16</f>
        <v/>
      </c>
      <c r="AV410">
        <f>'Grid_Stock'!AT16</f>
        <v/>
      </c>
      <c r="AW410">
        <f>'Grid_Stock'!AU16</f>
        <v/>
      </c>
      <c r="AX410">
        <f>'Grid_Stock'!AV16</f>
        <v/>
      </c>
      <c r="AY410">
        <f>'Grid_Stock'!AW16</f>
        <v/>
      </c>
      <c r="AZ410">
        <f>'Grid_Stock'!AX16</f>
        <v/>
      </c>
      <c r="BA410">
        <f>'Grid_Stock'!AY16</f>
        <v/>
      </c>
      <c r="BB410">
        <f>'Grid_Stock'!AZ16</f>
        <v/>
      </c>
      <c r="BC410">
        <f>'Grid_Stock'!BA16</f>
        <v/>
      </c>
      <c r="BD410">
        <f>'Grid_Stock'!BB16</f>
        <v/>
      </c>
      <c r="BE410">
        <f>'Grid_Stock'!BC16</f>
        <v/>
      </c>
      <c r="BF410">
        <f>'Grid_Stock'!BD16</f>
        <v/>
      </c>
      <c r="BG410">
        <f>'Grid_Stock'!BE16</f>
        <v/>
      </c>
      <c r="BH410">
        <f>'Grid_Stock'!BF16</f>
        <v/>
      </c>
      <c r="BI410">
        <f>'Grid_Stock'!BG16</f>
        <v/>
      </c>
      <c r="BJ410">
        <f>'Grid_Stock'!BH16</f>
        <v/>
      </c>
      <c r="BK410">
        <f>'Grid_Stock'!BI16</f>
        <v/>
      </c>
      <c r="BL410">
        <f>'Grid_Stock'!BJ16</f>
        <v/>
      </c>
      <c r="BM410">
        <f>'Grid_Stock'!BK16</f>
        <v/>
      </c>
      <c r="BN410">
        <f>'Grid_Stock'!BL16</f>
        <v/>
      </c>
      <c r="BO410">
        <f>'Grid_Stock'!BM16</f>
        <v/>
      </c>
      <c r="BP410">
        <f>'Grid_Stock'!BN16</f>
        <v/>
      </c>
      <c r="BQ410">
        <f>'Grid_Stock'!BO16</f>
        <v/>
      </c>
      <c r="BR410">
        <f>'Grid_Stock'!BP16</f>
        <v/>
      </c>
      <c r="BS410">
        <f>'Grid_Stock'!BQ16</f>
        <v/>
      </c>
      <c r="BT410">
        <f>'Grid_Stock'!BR16</f>
        <v/>
      </c>
      <c r="BU410">
        <f>'Grid_Stock'!BS16</f>
        <v/>
      </c>
      <c r="BV410">
        <f>'Grid_Stock'!BT16</f>
        <v/>
      </c>
      <c r="BW410">
        <f>'Grid_Stock'!BU16</f>
        <v/>
      </c>
      <c r="BX410">
        <f>'Grid_Stock'!BV16</f>
        <v/>
      </c>
      <c r="BY410">
        <f>'Grid_Stock'!BW16</f>
        <v/>
      </c>
      <c r="BZ410">
        <f>'Grid_Stock'!BX16</f>
        <v/>
      </c>
      <c r="CA410">
        <f>'Grid_Stock'!BY16</f>
        <v/>
      </c>
      <c r="CB410">
        <f>'Grid_Stock'!BZ16</f>
        <v/>
      </c>
      <c r="CC410">
        <f>'Grid_Stock'!CA16</f>
        <v/>
      </c>
      <c r="CD410">
        <f>'Grid_Stock'!CB16</f>
        <v/>
      </c>
      <c r="CE410">
        <f>'Grid_Stock'!CC16</f>
        <v/>
      </c>
      <c r="CF410">
        <f>'Grid_Stock'!CD16</f>
        <v/>
      </c>
      <c r="CG410">
        <f>'Grid_Stock'!CE16</f>
        <v/>
      </c>
      <c r="CH410">
        <f>'Grid_Stock'!CF16</f>
        <v/>
      </c>
      <c r="CI410">
        <f>'Grid_Stock'!CG16</f>
        <v/>
      </c>
      <c r="CJ410">
        <f>'Grid_Stock'!CH16</f>
        <v/>
      </c>
      <c r="CK410">
        <f>'Grid_Stock'!CI16</f>
        <v/>
      </c>
      <c r="CL410">
        <f>'Grid_Stock'!CJ16</f>
        <v/>
      </c>
      <c r="CM410">
        <f>'Grid_Stock'!CK16</f>
        <v/>
      </c>
      <c r="CN410">
        <f>'Grid_Stock'!CL16</f>
        <v/>
      </c>
      <c r="CO410">
        <f>'Grid_Stock'!CM16</f>
        <v/>
      </c>
      <c r="CP410">
        <f>'Grid_Stock'!CN16</f>
        <v/>
      </c>
      <c r="CQ410">
        <f>'Grid_Stock'!CO16</f>
        <v/>
      </c>
      <c r="CR410">
        <f>'Grid_Stock'!CP16</f>
        <v/>
      </c>
      <c r="CS410">
        <f>'Grid_Stock'!CQ16</f>
        <v/>
      </c>
      <c r="CT410">
        <f>'Grid_Stock'!CR16</f>
        <v/>
      </c>
      <c r="CU410">
        <f>'Grid_Stock'!CS16</f>
        <v/>
      </c>
      <c r="CV410">
        <f>'Grid_Stock'!CT16</f>
        <v/>
      </c>
      <c r="CW410">
        <f>'Grid_Stock'!CU16</f>
        <v/>
      </c>
      <c r="CX410">
        <f>'Grid_Stock'!CV16</f>
        <v/>
      </c>
      <c r="CY410">
        <f>'Grid_Stock'!CW16</f>
        <v/>
      </c>
      <c r="CZ410">
        <f>'Grid_Stock'!CX16</f>
        <v/>
      </c>
      <c r="DA410">
        <f>'Grid_Stock'!CY16</f>
        <v/>
      </c>
      <c r="DB410">
        <f>'Grid_Stock'!CZ16</f>
        <v/>
      </c>
      <c r="DC410">
        <f>'Grid_Stock'!DA16</f>
        <v/>
      </c>
    </row>
    <row r="411">
      <c r="B411" s="23" t="inlineStr">
        <is>
          <t>（発注の目安はDashboardの基準在庫[下限/上限]と色分けを参照）</t>
        </is>
      </c>
    </row>
    <row r="413">
      <c r="A413" s="21" t="inlineStr">
        <is>
          <t>CHEM-1440</t>
        </is>
      </c>
      <c r="B413" s="21" t="inlineStr">
        <is>
          <t>Citric Acid</t>
        </is>
      </c>
      <c r="C413" s="22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21" t="n"/>
      <c r="AC413" s="21" t="n"/>
      <c r="AD413" s="21" t="n"/>
      <c r="AE413" s="21" t="n"/>
      <c r="AF413" s="21" t="n"/>
      <c r="AG413" s="21" t="n"/>
      <c r="AH413" s="21" t="n"/>
      <c r="AI413" s="21" t="n"/>
      <c r="AJ413" s="21" t="n"/>
      <c r="AK413" s="21" t="n"/>
      <c r="AL413" s="21" t="n"/>
      <c r="AM413" s="21" t="n"/>
      <c r="AN413" s="21" t="n"/>
      <c r="AO413" s="21" t="n"/>
      <c r="AP413" s="21" t="n"/>
      <c r="AQ413" s="21" t="n"/>
      <c r="AR413" s="21" t="n"/>
      <c r="AS413" s="21" t="n"/>
      <c r="AT413" s="21" t="n"/>
      <c r="AU413" s="21" t="n"/>
      <c r="AV413" s="21" t="n"/>
      <c r="AW413" s="21" t="n"/>
      <c r="AX413" s="21" t="n"/>
      <c r="AY413" s="21" t="n"/>
      <c r="AZ413" s="21" t="n"/>
      <c r="BA413" s="21" t="n"/>
      <c r="BB413" s="21" t="n"/>
      <c r="BC413" s="21" t="n"/>
      <c r="BD413" s="21" t="n"/>
      <c r="BE413" s="21" t="n"/>
      <c r="BF413" s="21" t="n"/>
      <c r="BG413" s="21" t="n"/>
      <c r="BH413" s="21" t="n"/>
      <c r="BI413" s="21" t="n"/>
      <c r="BJ413" s="21" t="n"/>
      <c r="BK413" s="21" t="n"/>
      <c r="BL413" s="21" t="n"/>
      <c r="BM413" s="21" t="n"/>
      <c r="BN413" s="21" t="n"/>
      <c r="BO413" s="21" t="n"/>
      <c r="BP413" s="21" t="n"/>
      <c r="BQ413" s="21" t="n"/>
      <c r="BR413" s="21" t="n"/>
      <c r="BS413" s="21" t="n"/>
      <c r="BT413" s="21" t="n"/>
      <c r="BU413" s="21" t="n"/>
      <c r="BV413" s="21" t="n"/>
      <c r="BW413" s="21" t="n"/>
      <c r="BX413" s="21" t="n"/>
      <c r="BY413" s="21" t="n"/>
      <c r="BZ413" s="21" t="n"/>
      <c r="CA413" s="21" t="n"/>
      <c r="CB413" s="21" t="n"/>
      <c r="CC413" s="21" t="n"/>
      <c r="CD413" s="21" t="n"/>
      <c r="CE413" s="21" t="n"/>
      <c r="CF413" s="21" t="n"/>
      <c r="CG413" s="21" t="n"/>
      <c r="CH413" s="21" t="n"/>
      <c r="CI413" s="21" t="n"/>
      <c r="CJ413" s="21" t="n"/>
      <c r="CK413" s="21" t="n"/>
      <c r="CL413" s="21" t="n"/>
      <c r="CM413" s="21" t="n"/>
      <c r="CN413" s="21" t="n"/>
      <c r="CO413" s="21" t="n"/>
      <c r="CP413" s="21" t="n"/>
      <c r="CQ413" s="21" t="n"/>
      <c r="CR413" s="21" t="n"/>
      <c r="CS413" s="21" t="n"/>
      <c r="CT413" s="21" t="n"/>
      <c r="CU413" s="21" t="n"/>
      <c r="CV413" s="21" t="n"/>
      <c r="CW413" s="21" t="n"/>
      <c r="CX413" s="21" t="n"/>
      <c r="CY413" s="21" t="n"/>
      <c r="CZ413" s="21" t="n"/>
      <c r="DA413" s="21" t="n"/>
      <c r="DB413" s="21" t="n"/>
      <c r="DC413" s="21" t="n"/>
    </row>
    <row r="414">
      <c r="B414" t="inlineStr">
        <is>
          <t>TSP-049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Name],$A413)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TSP-067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Name],$A413)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TSP-069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Name],$A413)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TSP-104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Name],$A413)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TSP-1388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Name],$A413)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TSP-1444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Name],$A413)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TSP-1445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Name],$A413)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TSP-1446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Name],$A413)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TSP-1448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Name],$A413)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TSP-1449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Name],$A413)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TSP-1558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Name],$A413)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TSP-1559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Name],$A413)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TSP-199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Name],$A413)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TSP-205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Name],$A413)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TSP-206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Name],$A413)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TSP-224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Name],$A413)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TSP-367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Name],$A413)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TSP-369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Name],$A413)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TSP-544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Name],$A413)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TSP-618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Name],$A413)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TSP-620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Name],$A413)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TSP-623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Name],$A413)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TSP-668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Name],$A413)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TSP-669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Name],$A413)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TSP-670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Name],$A413)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TSP-710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Name],$A413)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TSP-828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Name],$A413)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TSP-903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Name],$A413)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TSP-924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Name],$A413)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t="inlineStr">
        <is>
          <t>TSP-925</t>
        </is>
      </c>
      <c r="C472" t="inlineStr">
        <is>
          <t>No. of batches</t>
        </is>
      </c>
      <c r="D472">
        <f>IFERROR(INDEX(PP_Grid[#Data],$DD472,2),0)</f>
        <v/>
      </c>
      <c r="E472">
        <f>IFERROR(INDEX(PP_Grid[#Data],$DD472,3),0)</f>
        <v/>
      </c>
      <c r="F472">
        <f>IFERROR(INDEX(PP_Grid[#Data],$DD472,4),0)</f>
        <v/>
      </c>
      <c r="G472">
        <f>IFERROR(INDEX(PP_Grid[#Data],$DD472,5),0)</f>
        <v/>
      </c>
      <c r="H472">
        <f>IFERROR(INDEX(PP_Grid[#Data],$DD472,6),0)</f>
        <v/>
      </c>
      <c r="I472">
        <f>IFERROR(INDEX(PP_Grid[#Data],$DD472,7),0)</f>
        <v/>
      </c>
      <c r="J472">
        <f>IFERROR(INDEX(PP_Grid[#Data],$DD472,8),0)</f>
        <v/>
      </c>
      <c r="K472">
        <f>IFERROR(INDEX(PP_Grid[#Data],$DD472,9),0)</f>
        <v/>
      </c>
      <c r="L472">
        <f>IFERROR(INDEX(PP_Grid[#Data],$DD472,10),0)</f>
        <v/>
      </c>
      <c r="M472">
        <f>IFERROR(INDEX(PP_Grid[#Data],$DD472,11),0)</f>
        <v/>
      </c>
      <c r="N472">
        <f>IFERROR(INDEX(PP_Grid[#Data],$DD472,12),0)</f>
        <v/>
      </c>
      <c r="O472">
        <f>IFERROR(INDEX(PP_Grid[#Data],$DD472,13),0)</f>
        <v/>
      </c>
      <c r="P472">
        <f>IFERROR(INDEX(PP_Grid[#Data],$DD472,14),0)</f>
        <v/>
      </c>
      <c r="Q472">
        <f>IFERROR(INDEX(PP_Grid[#Data],$DD472,15),0)</f>
        <v/>
      </c>
      <c r="R472">
        <f>IFERROR(INDEX(PP_Grid[#Data],$DD472,16),0)</f>
        <v/>
      </c>
      <c r="S472">
        <f>IFERROR(INDEX(PP_Grid[#Data],$DD472,17),0)</f>
        <v/>
      </c>
      <c r="T472">
        <f>IFERROR(INDEX(PP_Grid[#Data],$DD472,18),0)</f>
        <v/>
      </c>
      <c r="U472">
        <f>IFERROR(INDEX(PP_Grid[#Data],$DD472,19),0)</f>
        <v/>
      </c>
      <c r="V472">
        <f>IFERROR(INDEX(PP_Grid[#Data],$DD472,20),0)</f>
        <v/>
      </c>
      <c r="W472">
        <f>IFERROR(INDEX(PP_Grid[#Data],$DD472,21),0)</f>
        <v/>
      </c>
      <c r="X472">
        <f>IFERROR(INDEX(PP_Grid[#Data],$DD472,22),0)</f>
        <v/>
      </c>
      <c r="Y472">
        <f>IFERROR(INDEX(PP_Grid[#Data],$DD472,23),0)</f>
        <v/>
      </c>
      <c r="Z472">
        <f>IFERROR(INDEX(PP_Grid[#Data],$DD472,24),0)</f>
        <v/>
      </c>
      <c r="AA472">
        <f>IFERROR(INDEX(PP_Grid[#Data],$DD472,25),0)</f>
        <v/>
      </c>
      <c r="AB472">
        <f>IFERROR(INDEX(PP_Grid[#Data],$DD472,26),0)</f>
        <v/>
      </c>
      <c r="AC472">
        <f>IFERROR(INDEX(PP_Grid[#Data],$DD472,27),0)</f>
        <v/>
      </c>
      <c r="AD472">
        <f>IFERROR(INDEX(PP_Grid[#Data],$DD472,28),0)</f>
        <v/>
      </c>
      <c r="AE472">
        <f>IFERROR(INDEX(PP_Grid[#Data],$DD472,29),0)</f>
        <v/>
      </c>
      <c r="AF472">
        <f>IFERROR(INDEX(PP_Grid[#Data],$DD472,30),0)</f>
        <v/>
      </c>
      <c r="AG472">
        <f>IFERROR(INDEX(PP_Grid[#Data],$DD472,31),0)</f>
        <v/>
      </c>
      <c r="AH472">
        <f>IFERROR(INDEX(PP_Grid[#Data],$DD472,32),0)</f>
        <v/>
      </c>
      <c r="AI472">
        <f>IFERROR(INDEX(PP_Grid[#Data],$DD472,33),0)</f>
        <v/>
      </c>
      <c r="AJ472">
        <f>IFERROR(INDEX(PP_Grid[#Data],$DD472,34),0)</f>
        <v/>
      </c>
      <c r="AK472">
        <f>IFERROR(INDEX(PP_Grid[#Data],$DD472,35),0)</f>
        <v/>
      </c>
      <c r="AL472">
        <f>IFERROR(INDEX(PP_Grid[#Data],$DD472,36),0)</f>
        <v/>
      </c>
      <c r="AM472">
        <f>IFERROR(INDEX(PP_Grid[#Data],$DD472,37),0)</f>
        <v/>
      </c>
      <c r="AN472">
        <f>IFERROR(INDEX(PP_Grid[#Data],$DD472,38),0)</f>
        <v/>
      </c>
      <c r="AO472">
        <f>IFERROR(INDEX(PP_Grid[#Data],$DD472,39),0)</f>
        <v/>
      </c>
      <c r="AP472">
        <f>IFERROR(INDEX(PP_Grid[#Data],$DD472,40),0)</f>
        <v/>
      </c>
      <c r="AQ472">
        <f>IFERROR(INDEX(PP_Grid[#Data],$DD472,41),0)</f>
        <v/>
      </c>
      <c r="AR472">
        <f>IFERROR(INDEX(PP_Grid[#Data],$DD472,42),0)</f>
        <v/>
      </c>
      <c r="AS472">
        <f>IFERROR(INDEX(PP_Grid[#Data],$DD472,43),0)</f>
        <v/>
      </c>
      <c r="AT472">
        <f>IFERROR(INDEX(PP_Grid[#Data],$DD472,44),0)</f>
        <v/>
      </c>
      <c r="AU472">
        <f>IFERROR(INDEX(PP_Grid[#Data],$DD472,45),0)</f>
        <v/>
      </c>
      <c r="AV472">
        <f>IFERROR(INDEX(PP_Grid[#Data],$DD472,46),0)</f>
        <v/>
      </c>
      <c r="AW472">
        <f>IFERROR(INDEX(PP_Grid[#Data],$DD472,47),0)</f>
        <v/>
      </c>
      <c r="AX472">
        <f>IFERROR(INDEX(PP_Grid[#Data],$DD472,48),0)</f>
        <v/>
      </c>
      <c r="AY472">
        <f>IFERROR(INDEX(PP_Grid[#Data],$DD472,49),0)</f>
        <v/>
      </c>
      <c r="AZ472">
        <f>IFERROR(INDEX(PP_Grid[#Data],$DD472,50),0)</f>
        <v/>
      </c>
      <c r="BA472">
        <f>IFERROR(INDEX(PP_Grid[#Data],$DD472,51),0)</f>
        <v/>
      </c>
      <c r="BB472">
        <f>IFERROR(INDEX(PP_Grid[#Data],$DD472,52),0)</f>
        <v/>
      </c>
      <c r="BC472">
        <f>IFERROR(INDEX(PP_Grid[#Data],$DD472,53),0)</f>
        <v/>
      </c>
      <c r="BD472">
        <f>IFERROR(INDEX(PP_Grid[#Data],$DD472,54),0)</f>
        <v/>
      </c>
      <c r="BE472">
        <f>IFERROR(INDEX(PP_Grid[#Data],$DD472,55),0)</f>
        <v/>
      </c>
      <c r="BF472">
        <f>IFERROR(INDEX(PP_Grid[#Data],$DD472,56),0)</f>
        <v/>
      </c>
      <c r="BG472">
        <f>IFERROR(INDEX(PP_Grid[#Data],$DD472,57),0)</f>
        <v/>
      </c>
      <c r="BH472">
        <f>IFERROR(INDEX(PP_Grid[#Data],$DD472,58),0)</f>
        <v/>
      </c>
      <c r="BI472">
        <f>IFERROR(INDEX(PP_Grid[#Data],$DD472,59),0)</f>
        <v/>
      </c>
      <c r="BJ472">
        <f>IFERROR(INDEX(PP_Grid[#Data],$DD472,60),0)</f>
        <v/>
      </c>
      <c r="BK472">
        <f>IFERROR(INDEX(PP_Grid[#Data],$DD472,61),0)</f>
        <v/>
      </c>
      <c r="BL472">
        <f>IFERROR(INDEX(PP_Grid[#Data],$DD472,62),0)</f>
        <v/>
      </c>
      <c r="BM472">
        <f>IFERROR(INDEX(PP_Grid[#Data],$DD472,63),0)</f>
        <v/>
      </c>
      <c r="BN472">
        <f>IFERROR(INDEX(PP_Grid[#Data],$DD472,64),0)</f>
        <v/>
      </c>
      <c r="BO472">
        <f>IFERROR(INDEX(PP_Grid[#Data],$DD472,65),0)</f>
        <v/>
      </c>
      <c r="BP472">
        <f>IFERROR(INDEX(PP_Grid[#Data],$DD472,66),0)</f>
        <v/>
      </c>
      <c r="BQ472">
        <f>IFERROR(INDEX(PP_Grid[#Data],$DD472,67),0)</f>
        <v/>
      </c>
      <c r="BR472">
        <f>IFERROR(INDEX(PP_Grid[#Data],$DD472,68),0)</f>
        <v/>
      </c>
      <c r="BS472">
        <f>IFERROR(INDEX(PP_Grid[#Data],$DD472,69),0)</f>
        <v/>
      </c>
      <c r="BT472">
        <f>IFERROR(INDEX(PP_Grid[#Data],$DD472,70),0)</f>
        <v/>
      </c>
      <c r="BU472">
        <f>IFERROR(INDEX(PP_Grid[#Data],$DD472,71),0)</f>
        <v/>
      </c>
      <c r="BV472">
        <f>IFERROR(INDEX(PP_Grid[#Data],$DD472,72),0)</f>
        <v/>
      </c>
      <c r="BW472">
        <f>IFERROR(INDEX(PP_Grid[#Data],$DD472,73),0)</f>
        <v/>
      </c>
      <c r="BX472">
        <f>IFERROR(INDEX(PP_Grid[#Data],$DD472,74),0)</f>
        <v/>
      </c>
      <c r="BY472">
        <f>IFERROR(INDEX(PP_Grid[#Data],$DD472,75),0)</f>
        <v/>
      </c>
      <c r="BZ472">
        <f>IFERROR(INDEX(PP_Grid[#Data],$DD472,76),0)</f>
        <v/>
      </c>
      <c r="CA472">
        <f>IFERROR(INDEX(PP_Grid[#Data],$DD472,77),0)</f>
        <v/>
      </c>
      <c r="CB472">
        <f>IFERROR(INDEX(PP_Grid[#Data],$DD472,78),0)</f>
        <v/>
      </c>
      <c r="CC472">
        <f>IFERROR(INDEX(PP_Grid[#Data],$DD472,79),0)</f>
        <v/>
      </c>
      <c r="CD472">
        <f>IFERROR(INDEX(PP_Grid[#Data],$DD472,80),0)</f>
        <v/>
      </c>
      <c r="CE472">
        <f>IFERROR(INDEX(PP_Grid[#Data],$DD472,81),0)</f>
        <v/>
      </c>
      <c r="CF472">
        <f>IFERROR(INDEX(PP_Grid[#Data],$DD472,82),0)</f>
        <v/>
      </c>
      <c r="CG472">
        <f>IFERROR(INDEX(PP_Grid[#Data],$DD472,83),0)</f>
        <v/>
      </c>
      <c r="CH472">
        <f>IFERROR(INDEX(PP_Grid[#Data],$DD472,84),0)</f>
        <v/>
      </c>
      <c r="CI472">
        <f>IFERROR(INDEX(PP_Grid[#Data],$DD472,85),0)</f>
        <v/>
      </c>
      <c r="CJ472">
        <f>IFERROR(INDEX(PP_Grid[#Data],$DD472,86),0)</f>
        <v/>
      </c>
      <c r="CK472">
        <f>IFERROR(INDEX(PP_Grid[#Data],$DD472,87),0)</f>
        <v/>
      </c>
      <c r="CL472">
        <f>IFERROR(INDEX(PP_Grid[#Data],$DD472,88),0)</f>
        <v/>
      </c>
      <c r="CM472">
        <f>IFERROR(INDEX(PP_Grid[#Data],$DD472,89),0)</f>
        <v/>
      </c>
      <c r="CN472">
        <f>IFERROR(INDEX(PP_Grid[#Data],$DD472,90),0)</f>
        <v/>
      </c>
      <c r="CO472">
        <f>IFERROR(INDEX(PP_Grid[#Data],$DD472,91),0)</f>
        <v/>
      </c>
      <c r="CP472">
        <f>IFERROR(INDEX(PP_Grid[#Data],$DD472,92),0)</f>
        <v/>
      </c>
      <c r="CQ472">
        <f>IFERROR(INDEX(PP_Grid[#Data],$DD472,93),0)</f>
        <v/>
      </c>
      <c r="CR472">
        <f>IFERROR(INDEX(PP_Grid[#Data],$DD472,94),0)</f>
        <v/>
      </c>
      <c r="CS472">
        <f>IFERROR(INDEX(PP_Grid[#Data],$DD472,95),0)</f>
        <v/>
      </c>
      <c r="CT472">
        <f>IFERROR(INDEX(PP_Grid[#Data],$DD472,96),0)</f>
        <v/>
      </c>
      <c r="CU472">
        <f>IFERROR(INDEX(PP_Grid[#Data],$DD472,97),0)</f>
        <v/>
      </c>
      <c r="CV472">
        <f>IFERROR(INDEX(PP_Grid[#Data],$DD472,98),0)</f>
        <v/>
      </c>
      <c r="CW472">
        <f>IFERROR(INDEX(PP_Grid[#Data],$DD472,99),0)</f>
        <v/>
      </c>
      <c r="CX472">
        <f>IFERROR(INDEX(PP_Grid[#Data],$DD472,100),0)</f>
        <v/>
      </c>
      <c r="CY472">
        <f>IFERROR(INDEX(PP_Grid[#Data],$DD472,101),0)</f>
        <v/>
      </c>
      <c r="CZ472">
        <f>IFERROR(INDEX(PP_Grid[#Data],$DD472,102),0)</f>
        <v/>
      </c>
      <c r="DA472">
        <f>IFERROR(INDEX(PP_Grid[#Data],$DD472,103),0)</f>
        <v/>
      </c>
      <c r="DB472">
        <f>IFERROR(INDEX(PP_Grid[#Data],$DD472,104),0)</f>
        <v/>
      </c>
      <c r="DC472">
        <f>IFERROR(INDEX(PP_Grid[#Data],$DD472,105),0)</f>
        <v/>
      </c>
      <c r="DD472" s="12">
        <f>IFERROR(MATCH($B472,PP_Grid[Intermediate],0),99999)</f>
        <v/>
      </c>
    </row>
    <row r="473">
      <c r="B473" t="inlineStr">
        <is>
          <t>使用量(kg)</t>
        </is>
      </c>
      <c r="C473">
        <f>SUMIFS(M_BOM[RM_Qty_Per_Batch],M_BOM[Intermediate],$B472,M_BOM[Part Name],$A413)</f>
        <v/>
      </c>
      <c r="D473">
        <f>$C473*D472</f>
        <v/>
      </c>
      <c r="E473">
        <f>$C473*E472</f>
        <v/>
      </c>
      <c r="F473">
        <f>$C473*F472</f>
        <v/>
      </c>
      <c r="G473">
        <f>$C473*G472</f>
        <v/>
      </c>
      <c r="H473">
        <f>$C473*H472</f>
        <v/>
      </c>
      <c r="I473">
        <f>$C473*I472</f>
        <v/>
      </c>
      <c r="J473">
        <f>$C473*J472</f>
        <v/>
      </c>
      <c r="K473">
        <f>$C473*K472</f>
        <v/>
      </c>
      <c r="L473">
        <f>$C473*L472</f>
        <v/>
      </c>
      <c r="M473">
        <f>$C473*M472</f>
        <v/>
      </c>
      <c r="N473">
        <f>$C473*N472</f>
        <v/>
      </c>
      <c r="O473">
        <f>$C473*O472</f>
        <v/>
      </c>
      <c r="P473">
        <f>$C473*P472</f>
        <v/>
      </c>
      <c r="Q473">
        <f>$C473*Q472</f>
        <v/>
      </c>
      <c r="R473">
        <f>$C473*R472</f>
        <v/>
      </c>
      <c r="S473">
        <f>$C473*S472</f>
        <v/>
      </c>
      <c r="T473">
        <f>$C473*T472</f>
        <v/>
      </c>
      <c r="U473">
        <f>$C473*U472</f>
        <v/>
      </c>
      <c r="V473">
        <f>$C473*V472</f>
        <v/>
      </c>
      <c r="W473">
        <f>$C473*W472</f>
        <v/>
      </c>
      <c r="X473">
        <f>$C473*X472</f>
        <v/>
      </c>
      <c r="Y473">
        <f>$C473*Y472</f>
        <v/>
      </c>
      <c r="Z473">
        <f>$C473*Z472</f>
        <v/>
      </c>
      <c r="AA473">
        <f>$C473*AA472</f>
        <v/>
      </c>
      <c r="AB473">
        <f>$C473*AB472</f>
        <v/>
      </c>
      <c r="AC473">
        <f>$C473*AC472</f>
        <v/>
      </c>
      <c r="AD473">
        <f>$C473*AD472</f>
        <v/>
      </c>
      <c r="AE473">
        <f>$C473*AE472</f>
        <v/>
      </c>
      <c r="AF473">
        <f>$C473*AF472</f>
        <v/>
      </c>
      <c r="AG473">
        <f>$C473*AG472</f>
        <v/>
      </c>
      <c r="AH473">
        <f>$C473*AH472</f>
        <v/>
      </c>
      <c r="AI473">
        <f>$C473*AI472</f>
        <v/>
      </c>
      <c r="AJ473">
        <f>$C473*AJ472</f>
        <v/>
      </c>
      <c r="AK473">
        <f>$C473*AK472</f>
        <v/>
      </c>
      <c r="AL473">
        <f>$C473*AL472</f>
        <v/>
      </c>
      <c r="AM473">
        <f>$C473*AM472</f>
        <v/>
      </c>
      <c r="AN473">
        <f>$C473*AN472</f>
        <v/>
      </c>
      <c r="AO473">
        <f>$C473*AO472</f>
        <v/>
      </c>
      <c r="AP473">
        <f>$C473*AP472</f>
        <v/>
      </c>
      <c r="AQ473">
        <f>$C473*AQ472</f>
        <v/>
      </c>
      <c r="AR473">
        <f>$C473*AR472</f>
        <v/>
      </c>
      <c r="AS473">
        <f>$C473*AS472</f>
        <v/>
      </c>
      <c r="AT473">
        <f>$C473*AT472</f>
        <v/>
      </c>
      <c r="AU473">
        <f>$C473*AU472</f>
        <v/>
      </c>
      <c r="AV473">
        <f>$C473*AV472</f>
        <v/>
      </c>
      <c r="AW473">
        <f>$C473*AW472</f>
        <v/>
      </c>
      <c r="AX473">
        <f>$C473*AX472</f>
        <v/>
      </c>
      <c r="AY473">
        <f>$C473*AY472</f>
        <v/>
      </c>
      <c r="AZ473">
        <f>$C473*AZ472</f>
        <v/>
      </c>
      <c r="BA473">
        <f>$C473*BA472</f>
        <v/>
      </c>
      <c r="BB473">
        <f>$C473*BB472</f>
        <v/>
      </c>
      <c r="BC473">
        <f>$C473*BC472</f>
        <v/>
      </c>
      <c r="BD473">
        <f>$C473*BD472</f>
        <v/>
      </c>
      <c r="BE473">
        <f>$C473*BE472</f>
        <v/>
      </c>
      <c r="BF473">
        <f>$C473*BF472</f>
        <v/>
      </c>
      <c r="BG473">
        <f>$C473*BG472</f>
        <v/>
      </c>
      <c r="BH473">
        <f>$C473*BH472</f>
        <v/>
      </c>
      <c r="BI473">
        <f>$C473*BI472</f>
        <v/>
      </c>
      <c r="BJ473">
        <f>$C473*BJ472</f>
        <v/>
      </c>
      <c r="BK473">
        <f>$C473*BK472</f>
        <v/>
      </c>
      <c r="BL473">
        <f>$C473*BL472</f>
        <v/>
      </c>
      <c r="BM473">
        <f>$C473*BM472</f>
        <v/>
      </c>
      <c r="BN473">
        <f>$C473*BN472</f>
        <v/>
      </c>
      <c r="BO473">
        <f>$C473*BO472</f>
        <v/>
      </c>
      <c r="BP473">
        <f>$C473*BP472</f>
        <v/>
      </c>
      <c r="BQ473">
        <f>$C473*BQ472</f>
        <v/>
      </c>
      <c r="BR473">
        <f>$C473*BR472</f>
        <v/>
      </c>
      <c r="BS473">
        <f>$C473*BS472</f>
        <v/>
      </c>
      <c r="BT473">
        <f>$C473*BT472</f>
        <v/>
      </c>
      <c r="BU473">
        <f>$C473*BU472</f>
        <v/>
      </c>
      <c r="BV473">
        <f>$C473*BV472</f>
        <v/>
      </c>
      <c r="BW473">
        <f>$C473*BW472</f>
        <v/>
      </c>
      <c r="BX473">
        <f>$C473*BX472</f>
        <v/>
      </c>
      <c r="BY473">
        <f>$C473*BY472</f>
        <v/>
      </c>
      <c r="BZ473">
        <f>$C473*BZ472</f>
        <v/>
      </c>
      <c r="CA473">
        <f>$C473*CA472</f>
        <v/>
      </c>
      <c r="CB473">
        <f>$C473*CB472</f>
        <v/>
      </c>
      <c r="CC473">
        <f>$C473*CC472</f>
        <v/>
      </c>
      <c r="CD473">
        <f>$C473*CD472</f>
        <v/>
      </c>
      <c r="CE473">
        <f>$C473*CE472</f>
        <v/>
      </c>
      <c r="CF473">
        <f>$C473*CF472</f>
        <v/>
      </c>
      <c r="CG473">
        <f>$C473*CG472</f>
        <v/>
      </c>
      <c r="CH473">
        <f>$C473*CH472</f>
        <v/>
      </c>
      <c r="CI473">
        <f>$C473*CI472</f>
        <v/>
      </c>
      <c r="CJ473">
        <f>$C473*CJ472</f>
        <v/>
      </c>
      <c r="CK473">
        <f>$C473*CK472</f>
        <v/>
      </c>
      <c r="CL473">
        <f>$C473*CL472</f>
        <v/>
      </c>
      <c r="CM473">
        <f>$C473*CM472</f>
        <v/>
      </c>
      <c r="CN473">
        <f>$C473*CN472</f>
        <v/>
      </c>
      <c r="CO473">
        <f>$C473*CO472</f>
        <v/>
      </c>
      <c r="CP473">
        <f>$C473*CP472</f>
        <v/>
      </c>
      <c r="CQ473">
        <f>$C473*CQ472</f>
        <v/>
      </c>
      <c r="CR473">
        <f>$C473*CR472</f>
        <v/>
      </c>
      <c r="CS473">
        <f>$C473*CS472</f>
        <v/>
      </c>
      <c r="CT473">
        <f>$C473*CT472</f>
        <v/>
      </c>
      <c r="CU473">
        <f>$C473*CU472</f>
        <v/>
      </c>
      <c r="CV473">
        <f>$C473*CV472</f>
        <v/>
      </c>
      <c r="CW473">
        <f>$C473*CW472</f>
        <v/>
      </c>
      <c r="CX473">
        <f>$C473*CX472</f>
        <v/>
      </c>
      <c r="CY473">
        <f>$C473*CY472</f>
        <v/>
      </c>
      <c r="CZ473">
        <f>$C473*CZ472</f>
        <v/>
      </c>
      <c r="DA473">
        <f>$C473*DA472</f>
        <v/>
      </c>
      <c r="DB473">
        <f>$C473*DB472</f>
        <v/>
      </c>
      <c r="DC473">
        <f>$C473*DC472</f>
        <v/>
      </c>
    </row>
    <row r="474">
      <c r="B474" t="inlineStr">
        <is>
          <t>TSP-927</t>
        </is>
      </c>
      <c r="C474" t="inlineStr">
        <is>
          <t>No. of batches</t>
        </is>
      </c>
      <c r="D474">
        <f>IFERROR(INDEX(PP_Grid[#Data],$DD474,2),0)</f>
        <v/>
      </c>
      <c r="E474">
        <f>IFERROR(INDEX(PP_Grid[#Data],$DD474,3),0)</f>
        <v/>
      </c>
      <c r="F474">
        <f>IFERROR(INDEX(PP_Grid[#Data],$DD474,4),0)</f>
        <v/>
      </c>
      <c r="G474">
        <f>IFERROR(INDEX(PP_Grid[#Data],$DD474,5),0)</f>
        <v/>
      </c>
      <c r="H474">
        <f>IFERROR(INDEX(PP_Grid[#Data],$DD474,6),0)</f>
        <v/>
      </c>
      <c r="I474">
        <f>IFERROR(INDEX(PP_Grid[#Data],$DD474,7),0)</f>
        <v/>
      </c>
      <c r="J474">
        <f>IFERROR(INDEX(PP_Grid[#Data],$DD474,8),0)</f>
        <v/>
      </c>
      <c r="K474">
        <f>IFERROR(INDEX(PP_Grid[#Data],$DD474,9),0)</f>
        <v/>
      </c>
      <c r="L474">
        <f>IFERROR(INDEX(PP_Grid[#Data],$DD474,10),0)</f>
        <v/>
      </c>
      <c r="M474">
        <f>IFERROR(INDEX(PP_Grid[#Data],$DD474,11),0)</f>
        <v/>
      </c>
      <c r="N474">
        <f>IFERROR(INDEX(PP_Grid[#Data],$DD474,12),0)</f>
        <v/>
      </c>
      <c r="O474">
        <f>IFERROR(INDEX(PP_Grid[#Data],$DD474,13),0)</f>
        <v/>
      </c>
      <c r="P474">
        <f>IFERROR(INDEX(PP_Grid[#Data],$DD474,14),0)</f>
        <v/>
      </c>
      <c r="Q474">
        <f>IFERROR(INDEX(PP_Grid[#Data],$DD474,15),0)</f>
        <v/>
      </c>
      <c r="R474">
        <f>IFERROR(INDEX(PP_Grid[#Data],$DD474,16),0)</f>
        <v/>
      </c>
      <c r="S474">
        <f>IFERROR(INDEX(PP_Grid[#Data],$DD474,17),0)</f>
        <v/>
      </c>
      <c r="T474">
        <f>IFERROR(INDEX(PP_Grid[#Data],$DD474,18),0)</f>
        <v/>
      </c>
      <c r="U474">
        <f>IFERROR(INDEX(PP_Grid[#Data],$DD474,19),0)</f>
        <v/>
      </c>
      <c r="V474">
        <f>IFERROR(INDEX(PP_Grid[#Data],$DD474,20),0)</f>
        <v/>
      </c>
      <c r="W474">
        <f>IFERROR(INDEX(PP_Grid[#Data],$DD474,21),0)</f>
        <v/>
      </c>
      <c r="X474">
        <f>IFERROR(INDEX(PP_Grid[#Data],$DD474,22),0)</f>
        <v/>
      </c>
      <c r="Y474">
        <f>IFERROR(INDEX(PP_Grid[#Data],$DD474,23),0)</f>
        <v/>
      </c>
      <c r="Z474">
        <f>IFERROR(INDEX(PP_Grid[#Data],$DD474,24),0)</f>
        <v/>
      </c>
      <c r="AA474">
        <f>IFERROR(INDEX(PP_Grid[#Data],$DD474,25),0)</f>
        <v/>
      </c>
      <c r="AB474">
        <f>IFERROR(INDEX(PP_Grid[#Data],$DD474,26),0)</f>
        <v/>
      </c>
      <c r="AC474">
        <f>IFERROR(INDEX(PP_Grid[#Data],$DD474,27),0)</f>
        <v/>
      </c>
      <c r="AD474">
        <f>IFERROR(INDEX(PP_Grid[#Data],$DD474,28),0)</f>
        <v/>
      </c>
      <c r="AE474">
        <f>IFERROR(INDEX(PP_Grid[#Data],$DD474,29),0)</f>
        <v/>
      </c>
      <c r="AF474">
        <f>IFERROR(INDEX(PP_Grid[#Data],$DD474,30),0)</f>
        <v/>
      </c>
      <c r="AG474">
        <f>IFERROR(INDEX(PP_Grid[#Data],$DD474,31),0)</f>
        <v/>
      </c>
      <c r="AH474">
        <f>IFERROR(INDEX(PP_Grid[#Data],$DD474,32),0)</f>
        <v/>
      </c>
      <c r="AI474">
        <f>IFERROR(INDEX(PP_Grid[#Data],$DD474,33),0)</f>
        <v/>
      </c>
      <c r="AJ474">
        <f>IFERROR(INDEX(PP_Grid[#Data],$DD474,34),0)</f>
        <v/>
      </c>
      <c r="AK474">
        <f>IFERROR(INDEX(PP_Grid[#Data],$DD474,35),0)</f>
        <v/>
      </c>
      <c r="AL474">
        <f>IFERROR(INDEX(PP_Grid[#Data],$DD474,36),0)</f>
        <v/>
      </c>
      <c r="AM474">
        <f>IFERROR(INDEX(PP_Grid[#Data],$DD474,37),0)</f>
        <v/>
      </c>
      <c r="AN474">
        <f>IFERROR(INDEX(PP_Grid[#Data],$DD474,38),0)</f>
        <v/>
      </c>
      <c r="AO474">
        <f>IFERROR(INDEX(PP_Grid[#Data],$DD474,39),0)</f>
        <v/>
      </c>
      <c r="AP474">
        <f>IFERROR(INDEX(PP_Grid[#Data],$DD474,40),0)</f>
        <v/>
      </c>
      <c r="AQ474">
        <f>IFERROR(INDEX(PP_Grid[#Data],$DD474,41),0)</f>
        <v/>
      </c>
      <c r="AR474">
        <f>IFERROR(INDEX(PP_Grid[#Data],$DD474,42),0)</f>
        <v/>
      </c>
      <c r="AS474">
        <f>IFERROR(INDEX(PP_Grid[#Data],$DD474,43),0)</f>
        <v/>
      </c>
      <c r="AT474">
        <f>IFERROR(INDEX(PP_Grid[#Data],$DD474,44),0)</f>
        <v/>
      </c>
      <c r="AU474">
        <f>IFERROR(INDEX(PP_Grid[#Data],$DD474,45),0)</f>
        <v/>
      </c>
      <c r="AV474">
        <f>IFERROR(INDEX(PP_Grid[#Data],$DD474,46),0)</f>
        <v/>
      </c>
      <c r="AW474">
        <f>IFERROR(INDEX(PP_Grid[#Data],$DD474,47),0)</f>
        <v/>
      </c>
      <c r="AX474">
        <f>IFERROR(INDEX(PP_Grid[#Data],$DD474,48),0)</f>
        <v/>
      </c>
      <c r="AY474">
        <f>IFERROR(INDEX(PP_Grid[#Data],$DD474,49),0)</f>
        <v/>
      </c>
      <c r="AZ474">
        <f>IFERROR(INDEX(PP_Grid[#Data],$DD474,50),0)</f>
        <v/>
      </c>
      <c r="BA474">
        <f>IFERROR(INDEX(PP_Grid[#Data],$DD474,51),0)</f>
        <v/>
      </c>
      <c r="BB474">
        <f>IFERROR(INDEX(PP_Grid[#Data],$DD474,52),0)</f>
        <v/>
      </c>
      <c r="BC474">
        <f>IFERROR(INDEX(PP_Grid[#Data],$DD474,53),0)</f>
        <v/>
      </c>
      <c r="BD474">
        <f>IFERROR(INDEX(PP_Grid[#Data],$DD474,54),0)</f>
        <v/>
      </c>
      <c r="BE474">
        <f>IFERROR(INDEX(PP_Grid[#Data],$DD474,55),0)</f>
        <v/>
      </c>
      <c r="BF474">
        <f>IFERROR(INDEX(PP_Grid[#Data],$DD474,56),0)</f>
        <v/>
      </c>
      <c r="BG474">
        <f>IFERROR(INDEX(PP_Grid[#Data],$DD474,57),0)</f>
        <v/>
      </c>
      <c r="BH474">
        <f>IFERROR(INDEX(PP_Grid[#Data],$DD474,58),0)</f>
        <v/>
      </c>
      <c r="BI474">
        <f>IFERROR(INDEX(PP_Grid[#Data],$DD474,59),0)</f>
        <v/>
      </c>
      <c r="BJ474">
        <f>IFERROR(INDEX(PP_Grid[#Data],$DD474,60),0)</f>
        <v/>
      </c>
      <c r="BK474">
        <f>IFERROR(INDEX(PP_Grid[#Data],$DD474,61),0)</f>
        <v/>
      </c>
      <c r="BL474">
        <f>IFERROR(INDEX(PP_Grid[#Data],$DD474,62),0)</f>
        <v/>
      </c>
      <c r="BM474">
        <f>IFERROR(INDEX(PP_Grid[#Data],$DD474,63),0)</f>
        <v/>
      </c>
      <c r="BN474">
        <f>IFERROR(INDEX(PP_Grid[#Data],$DD474,64),0)</f>
        <v/>
      </c>
      <c r="BO474">
        <f>IFERROR(INDEX(PP_Grid[#Data],$DD474,65),0)</f>
        <v/>
      </c>
      <c r="BP474">
        <f>IFERROR(INDEX(PP_Grid[#Data],$DD474,66),0)</f>
        <v/>
      </c>
      <c r="BQ474">
        <f>IFERROR(INDEX(PP_Grid[#Data],$DD474,67),0)</f>
        <v/>
      </c>
      <c r="BR474">
        <f>IFERROR(INDEX(PP_Grid[#Data],$DD474,68),0)</f>
        <v/>
      </c>
      <c r="BS474">
        <f>IFERROR(INDEX(PP_Grid[#Data],$DD474,69),0)</f>
        <v/>
      </c>
      <c r="BT474">
        <f>IFERROR(INDEX(PP_Grid[#Data],$DD474,70),0)</f>
        <v/>
      </c>
      <c r="BU474">
        <f>IFERROR(INDEX(PP_Grid[#Data],$DD474,71),0)</f>
        <v/>
      </c>
      <c r="BV474">
        <f>IFERROR(INDEX(PP_Grid[#Data],$DD474,72),0)</f>
        <v/>
      </c>
      <c r="BW474">
        <f>IFERROR(INDEX(PP_Grid[#Data],$DD474,73),0)</f>
        <v/>
      </c>
      <c r="BX474">
        <f>IFERROR(INDEX(PP_Grid[#Data],$DD474,74),0)</f>
        <v/>
      </c>
      <c r="BY474">
        <f>IFERROR(INDEX(PP_Grid[#Data],$DD474,75),0)</f>
        <v/>
      </c>
      <c r="BZ474">
        <f>IFERROR(INDEX(PP_Grid[#Data],$DD474,76),0)</f>
        <v/>
      </c>
      <c r="CA474">
        <f>IFERROR(INDEX(PP_Grid[#Data],$DD474,77),0)</f>
        <v/>
      </c>
      <c r="CB474">
        <f>IFERROR(INDEX(PP_Grid[#Data],$DD474,78),0)</f>
        <v/>
      </c>
      <c r="CC474">
        <f>IFERROR(INDEX(PP_Grid[#Data],$DD474,79),0)</f>
        <v/>
      </c>
      <c r="CD474">
        <f>IFERROR(INDEX(PP_Grid[#Data],$DD474,80),0)</f>
        <v/>
      </c>
      <c r="CE474">
        <f>IFERROR(INDEX(PP_Grid[#Data],$DD474,81),0)</f>
        <v/>
      </c>
      <c r="CF474">
        <f>IFERROR(INDEX(PP_Grid[#Data],$DD474,82),0)</f>
        <v/>
      </c>
      <c r="CG474">
        <f>IFERROR(INDEX(PP_Grid[#Data],$DD474,83),0)</f>
        <v/>
      </c>
      <c r="CH474">
        <f>IFERROR(INDEX(PP_Grid[#Data],$DD474,84),0)</f>
        <v/>
      </c>
      <c r="CI474">
        <f>IFERROR(INDEX(PP_Grid[#Data],$DD474,85),0)</f>
        <v/>
      </c>
      <c r="CJ474">
        <f>IFERROR(INDEX(PP_Grid[#Data],$DD474,86),0)</f>
        <v/>
      </c>
      <c r="CK474">
        <f>IFERROR(INDEX(PP_Grid[#Data],$DD474,87),0)</f>
        <v/>
      </c>
      <c r="CL474">
        <f>IFERROR(INDEX(PP_Grid[#Data],$DD474,88),0)</f>
        <v/>
      </c>
      <c r="CM474">
        <f>IFERROR(INDEX(PP_Grid[#Data],$DD474,89),0)</f>
        <v/>
      </c>
      <c r="CN474">
        <f>IFERROR(INDEX(PP_Grid[#Data],$DD474,90),0)</f>
        <v/>
      </c>
      <c r="CO474">
        <f>IFERROR(INDEX(PP_Grid[#Data],$DD474,91),0)</f>
        <v/>
      </c>
      <c r="CP474">
        <f>IFERROR(INDEX(PP_Grid[#Data],$DD474,92),0)</f>
        <v/>
      </c>
      <c r="CQ474">
        <f>IFERROR(INDEX(PP_Grid[#Data],$DD474,93),0)</f>
        <v/>
      </c>
      <c r="CR474">
        <f>IFERROR(INDEX(PP_Grid[#Data],$DD474,94),0)</f>
        <v/>
      </c>
      <c r="CS474">
        <f>IFERROR(INDEX(PP_Grid[#Data],$DD474,95),0)</f>
        <v/>
      </c>
      <c r="CT474">
        <f>IFERROR(INDEX(PP_Grid[#Data],$DD474,96),0)</f>
        <v/>
      </c>
      <c r="CU474">
        <f>IFERROR(INDEX(PP_Grid[#Data],$DD474,97),0)</f>
        <v/>
      </c>
      <c r="CV474">
        <f>IFERROR(INDEX(PP_Grid[#Data],$DD474,98),0)</f>
        <v/>
      </c>
      <c r="CW474">
        <f>IFERROR(INDEX(PP_Grid[#Data],$DD474,99),0)</f>
        <v/>
      </c>
      <c r="CX474">
        <f>IFERROR(INDEX(PP_Grid[#Data],$DD474,100),0)</f>
        <v/>
      </c>
      <c r="CY474">
        <f>IFERROR(INDEX(PP_Grid[#Data],$DD474,101),0)</f>
        <v/>
      </c>
      <c r="CZ474">
        <f>IFERROR(INDEX(PP_Grid[#Data],$DD474,102),0)</f>
        <v/>
      </c>
      <c r="DA474">
        <f>IFERROR(INDEX(PP_Grid[#Data],$DD474,103),0)</f>
        <v/>
      </c>
      <c r="DB474">
        <f>IFERROR(INDEX(PP_Grid[#Data],$DD474,104),0)</f>
        <v/>
      </c>
      <c r="DC474">
        <f>IFERROR(INDEX(PP_Grid[#Data],$DD474,105),0)</f>
        <v/>
      </c>
      <c r="DD474" s="12">
        <f>IFERROR(MATCH($B474,PP_Grid[Intermediate],0),99999)</f>
        <v/>
      </c>
    </row>
    <row r="475">
      <c r="B475" t="inlineStr">
        <is>
          <t>使用量(kg)</t>
        </is>
      </c>
      <c r="C475">
        <f>SUMIFS(M_BOM[RM_Qty_Per_Batch],M_BOM[Intermediate],$B474,M_BOM[Part Name],$A413)</f>
        <v/>
      </c>
      <c r="D475">
        <f>$C475*D474</f>
        <v/>
      </c>
      <c r="E475">
        <f>$C475*E474</f>
        <v/>
      </c>
      <c r="F475">
        <f>$C475*F474</f>
        <v/>
      </c>
      <c r="G475">
        <f>$C475*G474</f>
        <v/>
      </c>
      <c r="H475">
        <f>$C475*H474</f>
        <v/>
      </c>
      <c r="I475">
        <f>$C475*I474</f>
        <v/>
      </c>
      <c r="J475">
        <f>$C475*J474</f>
        <v/>
      </c>
      <c r="K475">
        <f>$C475*K474</f>
        <v/>
      </c>
      <c r="L475">
        <f>$C475*L474</f>
        <v/>
      </c>
      <c r="M475">
        <f>$C475*M474</f>
        <v/>
      </c>
      <c r="N475">
        <f>$C475*N474</f>
        <v/>
      </c>
      <c r="O475">
        <f>$C475*O474</f>
        <v/>
      </c>
      <c r="P475">
        <f>$C475*P474</f>
        <v/>
      </c>
      <c r="Q475">
        <f>$C475*Q474</f>
        <v/>
      </c>
      <c r="R475">
        <f>$C475*R474</f>
        <v/>
      </c>
      <c r="S475">
        <f>$C475*S474</f>
        <v/>
      </c>
      <c r="T475">
        <f>$C475*T474</f>
        <v/>
      </c>
      <c r="U475">
        <f>$C475*U474</f>
        <v/>
      </c>
      <c r="V475">
        <f>$C475*V474</f>
        <v/>
      </c>
      <c r="W475">
        <f>$C475*W474</f>
        <v/>
      </c>
      <c r="X475">
        <f>$C475*X474</f>
        <v/>
      </c>
      <c r="Y475">
        <f>$C475*Y474</f>
        <v/>
      </c>
      <c r="Z475">
        <f>$C475*Z474</f>
        <v/>
      </c>
      <c r="AA475">
        <f>$C475*AA474</f>
        <v/>
      </c>
      <c r="AB475">
        <f>$C475*AB474</f>
        <v/>
      </c>
      <c r="AC475">
        <f>$C475*AC474</f>
        <v/>
      </c>
      <c r="AD475">
        <f>$C475*AD474</f>
        <v/>
      </c>
      <c r="AE475">
        <f>$C475*AE474</f>
        <v/>
      </c>
      <c r="AF475">
        <f>$C475*AF474</f>
        <v/>
      </c>
      <c r="AG475">
        <f>$C475*AG474</f>
        <v/>
      </c>
      <c r="AH475">
        <f>$C475*AH474</f>
        <v/>
      </c>
      <c r="AI475">
        <f>$C475*AI474</f>
        <v/>
      </c>
      <c r="AJ475">
        <f>$C475*AJ474</f>
        <v/>
      </c>
      <c r="AK475">
        <f>$C475*AK474</f>
        <v/>
      </c>
      <c r="AL475">
        <f>$C475*AL474</f>
        <v/>
      </c>
      <c r="AM475">
        <f>$C475*AM474</f>
        <v/>
      </c>
      <c r="AN475">
        <f>$C475*AN474</f>
        <v/>
      </c>
      <c r="AO475">
        <f>$C475*AO474</f>
        <v/>
      </c>
      <c r="AP475">
        <f>$C475*AP474</f>
        <v/>
      </c>
      <c r="AQ475">
        <f>$C475*AQ474</f>
        <v/>
      </c>
      <c r="AR475">
        <f>$C475*AR474</f>
        <v/>
      </c>
      <c r="AS475">
        <f>$C475*AS474</f>
        <v/>
      </c>
      <c r="AT475">
        <f>$C475*AT474</f>
        <v/>
      </c>
      <c r="AU475">
        <f>$C475*AU474</f>
        <v/>
      </c>
      <c r="AV475">
        <f>$C475*AV474</f>
        <v/>
      </c>
      <c r="AW475">
        <f>$C475*AW474</f>
        <v/>
      </c>
      <c r="AX475">
        <f>$C475*AX474</f>
        <v/>
      </c>
      <c r="AY475">
        <f>$C475*AY474</f>
        <v/>
      </c>
      <c r="AZ475">
        <f>$C475*AZ474</f>
        <v/>
      </c>
      <c r="BA475">
        <f>$C475*BA474</f>
        <v/>
      </c>
      <c r="BB475">
        <f>$C475*BB474</f>
        <v/>
      </c>
      <c r="BC475">
        <f>$C475*BC474</f>
        <v/>
      </c>
      <c r="BD475">
        <f>$C475*BD474</f>
        <v/>
      </c>
      <c r="BE475">
        <f>$C475*BE474</f>
        <v/>
      </c>
      <c r="BF475">
        <f>$C475*BF474</f>
        <v/>
      </c>
      <c r="BG475">
        <f>$C475*BG474</f>
        <v/>
      </c>
      <c r="BH475">
        <f>$C475*BH474</f>
        <v/>
      </c>
      <c r="BI475">
        <f>$C475*BI474</f>
        <v/>
      </c>
      <c r="BJ475">
        <f>$C475*BJ474</f>
        <v/>
      </c>
      <c r="BK475">
        <f>$C475*BK474</f>
        <v/>
      </c>
      <c r="BL475">
        <f>$C475*BL474</f>
        <v/>
      </c>
      <c r="BM475">
        <f>$C475*BM474</f>
        <v/>
      </c>
      <c r="BN475">
        <f>$C475*BN474</f>
        <v/>
      </c>
      <c r="BO475">
        <f>$C475*BO474</f>
        <v/>
      </c>
      <c r="BP475">
        <f>$C475*BP474</f>
        <v/>
      </c>
      <c r="BQ475">
        <f>$C475*BQ474</f>
        <v/>
      </c>
      <c r="BR475">
        <f>$C475*BR474</f>
        <v/>
      </c>
      <c r="BS475">
        <f>$C475*BS474</f>
        <v/>
      </c>
      <c r="BT475">
        <f>$C475*BT474</f>
        <v/>
      </c>
      <c r="BU475">
        <f>$C475*BU474</f>
        <v/>
      </c>
      <c r="BV475">
        <f>$C475*BV474</f>
        <v/>
      </c>
      <c r="BW475">
        <f>$C475*BW474</f>
        <v/>
      </c>
      <c r="BX475">
        <f>$C475*BX474</f>
        <v/>
      </c>
      <c r="BY475">
        <f>$C475*BY474</f>
        <v/>
      </c>
      <c r="BZ475">
        <f>$C475*BZ474</f>
        <v/>
      </c>
      <c r="CA475">
        <f>$C475*CA474</f>
        <v/>
      </c>
      <c r="CB475">
        <f>$C475*CB474</f>
        <v/>
      </c>
      <c r="CC475">
        <f>$C475*CC474</f>
        <v/>
      </c>
      <c r="CD475">
        <f>$C475*CD474</f>
        <v/>
      </c>
      <c r="CE475">
        <f>$C475*CE474</f>
        <v/>
      </c>
      <c r="CF475">
        <f>$C475*CF474</f>
        <v/>
      </c>
      <c r="CG475">
        <f>$C475*CG474</f>
        <v/>
      </c>
      <c r="CH475">
        <f>$C475*CH474</f>
        <v/>
      </c>
      <c r="CI475">
        <f>$C475*CI474</f>
        <v/>
      </c>
      <c r="CJ475">
        <f>$C475*CJ474</f>
        <v/>
      </c>
      <c r="CK475">
        <f>$C475*CK474</f>
        <v/>
      </c>
      <c r="CL475">
        <f>$C475*CL474</f>
        <v/>
      </c>
      <c r="CM475">
        <f>$C475*CM474</f>
        <v/>
      </c>
      <c r="CN475">
        <f>$C475*CN474</f>
        <v/>
      </c>
      <c r="CO475">
        <f>$C475*CO474</f>
        <v/>
      </c>
      <c r="CP475">
        <f>$C475*CP474</f>
        <v/>
      </c>
      <c r="CQ475">
        <f>$C475*CQ474</f>
        <v/>
      </c>
      <c r="CR475">
        <f>$C475*CR474</f>
        <v/>
      </c>
      <c r="CS475">
        <f>$C475*CS474</f>
        <v/>
      </c>
      <c r="CT475">
        <f>$C475*CT474</f>
        <v/>
      </c>
      <c r="CU475">
        <f>$C475*CU474</f>
        <v/>
      </c>
      <c r="CV475">
        <f>$C475*CV474</f>
        <v/>
      </c>
      <c r="CW475">
        <f>$C475*CW474</f>
        <v/>
      </c>
      <c r="CX475">
        <f>$C475*CX474</f>
        <v/>
      </c>
      <c r="CY475">
        <f>$C475*CY474</f>
        <v/>
      </c>
      <c r="CZ475">
        <f>$C475*CZ474</f>
        <v/>
      </c>
      <c r="DA475">
        <f>$C475*DA474</f>
        <v/>
      </c>
      <c r="DB475">
        <f>$C475*DB474</f>
        <v/>
      </c>
      <c r="DC475">
        <f>$C475*DC474</f>
        <v/>
      </c>
    </row>
    <row r="476">
      <c r="B476" t="inlineStr">
        <is>
          <t>TSP-928</t>
        </is>
      </c>
      <c r="C476" t="inlineStr">
        <is>
          <t>No. of batches</t>
        </is>
      </c>
      <c r="D476">
        <f>IFERROR(INDEX(PP_Grid[#Data],$DD476,2),0)</f>
        <v/>
      </c>
      <c r="E476">
        <f>IFERROR(INDEX(PP_Grid[#Data],$DD476,3),0)</f>
        <v/>
      </c>
      <c r="F476">
        <f>IFERROR(INDEX(PP_Grid[#Data],$DD476,4),0)</f>
        <v/>
      </c>
      <c r="G476">
        <f>IFERROR(INDEX(PP_Grid[#Data],$DD476,5),0)</f>
        <v/>
      </c>
      <c r="H476">
        <f>IFERROR(INDEX(PP_Grid[#Data],$DD476,6),0)</f>
        <v/>
      </c>
      <c r="I476">
        <f>IFERROR(INDEX(PP_Grid[#Data],$DD476,7),0)</f>
        <v/>
      </c>
      <c r="J476">
        <f>IFERROR(INDEX(PP_Grid[#Data],$DD476,8),0)</f>
        <v/>
      </c>
      <c r="K476">
        <f>IFERROR(INDEX(PP_Grid[#Data],$DD476,9),0)</f>
        <v/>
      </c>
      <c r="L476">
        <f>IFERROR(INDEX(PP_Grid[#Data],$DD476,10),0)</f>
        <v/>
      </c>
      <c r="M476">
        <f>IFERROR(INDEX(PP_Grid[#Data],$DD476,11),0)</f>
        <v/>
      </c>
      <c r="N476">
        <f>IFERROR(INDEX(PP_Grid[#Data],$DD476,12),0)</f>
        <v/>
      </c>
      <c r="O476">
        <f>IFERROR(INDEX(PP_Grid[#Data],$DD476,13),0)</f>
        <v/>
      </c>
      <c r="P476">
        <f>IFERROR(INDEX(PP_Grid[#Data],$DD476,14),0)</f>
        <v/>
      </c>
      <c r="Q476">
        <f>IFERROR(INDEX(PP_Grid[#Data],$DD476,15),0)</f>
        <v/>
      </c>
      <c r="R476">
        <f>IFERROR(INDEX(PP_Grid[#Data],$DD476,16),0)</f>
        <v/>
      </c>
      <c r="S476">
        <f>IFERROR(INDEX(PP_Grid[#Data],$DD476,17),0)</f>
        <v/>
      </c>
      <c r="T476">
        <f>IFERROR(INDEX(PP_Grid[#Data],$DD476,18),0)</f>
        <v/>
      </c>
      <c r="U476">
        <f>IFERROR(INDEX(PP_Grid[#Data],$DD476,19),0)</f>
        <v/>
      </c>
      <c r="V476">
        <f>IFERROR(INDEX(PP_Grid[#Data],$DD476,20),0)</f>
        <v/>
      </c>
      <c r="W476">
        <f>IFERROR(INDEX(PP_Grid[#Data],$DD476,21),0)</f>
        <v/>
      </c>
      <c r="X476">
        <f>IFERROR(INDEX(PP_Grid[#Data],$DD476,22),0)</f>
        <v/>
      </c>
      <c r="Y476">
        <f>IFERROR(INDEX(PP_Grid[#Data],$DD476,23),0)</f>
        <v/>
      </c>
      <c r="Z476">
        <f>IFERROR(INDEX(PP_Grid[#Data],$DD476,24),0)</f>
        <v/>
      </c>
      <c r="AA476">
        <f>IFERROR(INDEX(PP_Grid[#Data],$DD476,25),0)</f>
        <v/>
      </c>
      <c r="AB476">
        <f>IFERROR(INDEX(PP_Grid[#Data],$DD476,26),0)</f>
        <v/>
      </c>
      <c r="AC476">
        <f>IFERROR(INDEX(PP_Grid[#Data],$DD476,27),0)</f>
        <v/>
      </c>
      <c r="AD476">
        <f>IFERROR(INDEX(PP_Grid[#Data],$DD476,28),0)</f>
        <v/>
      </c>
      <c r="AE476">
        <f>IFERROR(INDEX(PP_Grid[#Data],$DD476,29),0)</f>
        <v/>
      </c>
      <c r="AF476">
        <f>IFERROR(INDEX(PP_Grid[#Data],$DD476,30),0)</f>
        <v/>
      </c>
      <c r="AG476">
        <f>IFERROR(INDEX(PP_Grid[#Data],$DD476,31),0)</f>
        <v/>
      </c>
      <c r="AH476">
        <f>IFERROR(INDEX(PP_Grid[#Data],$DD476,32),0)</f>
        <v/>
      </c>
      <c r="AI476">
        <f>IFERROR(INDEX(PP_Grid[#Data],$DD476,33),0)</f>
        <v/>
      </c>
      <c r="AJ476">
        <f>IFERROR(INDEX(PP_Grid[#Data],$DD476,34),0)</f>
        <v/>
      </c>
      <c r="AK476">
        <f>IFERROR(INDEX(PP_Grid[#Data],$DD476,35),0)</f>
        <v/>
      </c>
      <c r="AL476">
        <f>IFERROR(INDEX(PP_Grid[#Data],$DD476,36),0)</f>
        <v/>
      </c>
      <c r="AM476">
        <f>IFERROR(INDEX(PP_Grid[#Data],$DD476,37),0)</f>
        <v/>
      </c>
      <c r="AN476">
        <f>IFERROR(INDEX(PP_Grid[#Data],$DD476,38),0)</f>
        <v/>
      </c>
      <c r="AO476">
        <f>IFERROR(INDEX(PP_Grid[#Data],$DD476,39),0)</f>
        <v/>
      </c>
      <c r="AP476">
        <f>IFERROR(INDEX(PP_Grid[#Data],$DD476,40),0)</f>
        <v/>
      </c>
      <c r="AQ476">
        <f>IFERROR(INDEX(PP_Grid[#Data],$DD476,41),0)</f>
        <v/>
      </c>
      <c r="AR476">
        <f>IFERROR(INDEX(PP_Grid[#Data],$DD476,42),0)</f>
        <v/>
      </c>
      <c r="AS476">
        <f>IFERROR(INDEX(PP_Grid[#Data],$DD476,43),0)</f>
        <v/>
      </c>
      <c r="AT476">
        <f>IFERROR(INDEX(PP_Grid[#Data],$DD476,44),0)</f>
        <v/>
      </c>
      <c r="AU476">
        <f>IFERROR(INDEX(PP_Grid[#Data],$DD476,45),0)</f>
        <v/>
      </c>
      <c r="AV476">
        <f>IFERROR(INDEX(PP_Grid[#Data],$DD476,46),0)</f>
        <v/>
      </c>
      <c r="AW476">
        <f>IFERROR(INDEX(PP_Grid[#Data],$DD476,47),0)</f>
        <v/>
      </c>
      <c r="AX476">
        <f>IFERROR(INDEX(PP_Grid[#Data],$DD476,48),0)</f>
        <v/>
      </c>
      <c r="AY476">
        <f>IFERROR(INDEX(PP_Grid[#Data],$DD476,49),0)</f>
        <v/>
      </c>
      <c r="AZ476">
        <f>IFERROR(INDEX(PP_Grid[#Data],$DD476,50),0)</f>
        <v/>
      </c>
      <c r="BA476">
        <f>IFERROR(INDEX(PP_Grid[#Data],$DD476,51),0)</f>
        <v/>
      </c>
      <c r="BB476">
        <f>IFERROR(INDEX(PP_Grid[#Data],$DD476,52),0)</f>
        <v/>
      </c>
      <c r="BC476">
        <f>IFERROR(INDEX(PP_Grid[#Data],$DD476,53),0)</f>
        <v/>
      </c>
      <c r="BD476">
        <f>IFERROR(INDEX(PP_Grid[#Data],$DD476,54),0)</f>
        <v/>
      </c>
      <c r="BE476">
        <f>IFERROR(INDEX(PP_Grid[#Data],$DD476,55),0)</f>
        <v/>
      </c>
      <c r="BF476">
        <f>IFERROR(INDEX(PP_Grid[#Data],$DD476,56),0)</f>
        <v/>
      </c>
      <c r="BG476">
        <f>IFERROR(INDEX(PP_Grid[#Data],$DD476,57),0)</f>
        <v/>
      </c>
      <c r="BH476">
        <f>IFERROR(INDEX(PP_Grid[#Data],$DD476,58),0)</f>
        <v/>
      </c>
      <c r="BI476">
        <f>IFERROR(INDEX(PP_Grid[#Data],$DD476,59),0)</f>
        <v/>
      </c>
      <c r="BJ476">
        <f>IFERROR(INDEX(PP_Grid[#Data],$DD476,60),0)</f>
        <v/>
      </c>
      <c r="BK476">
        <f>IFERROR(INDEX(PP_Grid[#Data],$DD476,61),0)</f>
        <v/>
      </c>
      <c r="BL476">
        <f>IFERROR(INDEX(PP_Grid[#Data],$DD476,62),0)</f>
        <v/>
      </c>
      <c r="BM476">
        <f>IFERROR(INDEX(PP_Grid[#Data],$DD476,63),0)</f>
        <v/>
      </c>
      <c r="BN476">
        <f>IFERROR(INDEX(PP_Grid[#Data],$DD476,64),0)</f>
        <v/>
      </c>
      <c r="BO476">
        <f>IFERROR(INDEX(PP_Grid[#Data],$DD476,65),0)</f>
        <v/>
      </c>
      <c r="BP476">
        <f>IFERROR(INDEX(PP_Grid[#Data],$DD476,66),0)</f>
        <v/>
      </c>
      <c r="BQ476">
        <f>IFERROR(INDEX(PP_Grid[#Data],$DD476,67),0)</f>
        <v/>
      </c>
      <c r="BR476">
        <f>IFERROR(INDEX(PP_Grid[#Data],$DD476,68),0)</f>
        <v/>
      </c>
      <c r="BS476">
        <f>IFERROR(INDEX(PP_Grid[#Data],$DD476,69),0)</f>
        <v/>
      </c>
      <c r="BT476">
        <f>IFERROR(INDEX(PP_Grid[#Data],$DD476,70),0)</f>
        <v/>
      </c>
      <c r="BU476">
        <f>IFERROR(INDEX(PP_Grid[#Data],$DD476,71),0)</f>
        <v/>
      </c>
      <c r="BV476">
        <f>IFERROR(INDEX(PP_Grid[#Data],$DD476,72),0)</f>
        <v/>
      </c>
      <c r="BW476">
        <f>IFERROR(INDEX(PP_Grid[#Data],$DD476,73),0)</f>
        <v/>
      </c>
      <c r="BX476">
        <f>IFERROR(INDEX(PP_Grid[#Data],$DD476,74),0)</f>
        <v/>
      </c>
      <c r="BY476">
        <f>IFERROR(INDEX(PP_Grid[#Data],$DD476,75),0)</f>
        <v/>
      </c>
      <c r="BZ476">
        <f>IFERROR(INDEX(PP_Grid[#Data],$DD476,76),0)</f>
        <v/>
      </c>
      <c r="CA476">
        <f>IFERROR(INDEX(PP_Grid[#Data],$DD476,77),0)</f>
        <v/>
      </c>
      <c r="CB476">
        <f>IFERROR(INDEX(PP_Grid[#Data],$DD476,78),0)</f>
        <v/>
      </c>
      <c r="CC476">
        <f>IFERROR(INDEX(PP_Grid[#Data],$DD476,79),0)</f>
        <v/>
      </c>
      <c r="CD476">
        <f>IFERROR(INDEX(PP_Grid[#Data],$DD476,80),0)</f>
        <v/>
      </c>
      <c r="CE476">
        <f>IFERROR(INDEX(PP_Grid[#Data],$DD476,81),0)</f>
        <v/>
      </c>
      <c r="CF476">
        <f>IFERROR(INDEX(PP_Grid[#Data],$DD476,82),0)</f>
        <v/>
      </c>
      <c r="CG476">
        <f>IFERROR(INDEX(PP_Grid[#Data],$DD476,83),0)</f>
        <v/>
      </c>
      <c r="CH476">
        <f>IFERROR(INDEX(PP_Grid[#Data],$DD476,84),0)</f>
        <v/>
      </c>
      <c r="CI476">
        <f>IFERROR(INDEX(PP_Grid[#Data],$DD476,85),0)</f>
        <v/>
      </c>
      <c r="CJ476">
        <f>IFERROR(INDEX(PP_Grid[#Data],$DD476,86),0)</f>
        <v/>
      </c>
      <c r="CK476">
        <f>IFERROR(INDEX(PP_Grid[#Data],$DD476,87),0)</f>
        <v/>
      </c>
      <c r="CL476">
        <f>IFERROR(INDEX(PP_Grid[#Data],$DD476,88),0)</f>
        <v/>
      </c>
      <c r="CM476">
        <f>IFERROR(INDEX(PP_Grid[#Data],$DD476,89),0)</f>
        <v/>
      </c>
      <c r="CN476">
        <f>IFERROR(INDEX(PP_Grid[#Data],$DD476,90),0)</f>
        <v/>
      </c>
      <c r="CO476">
        <f>IFERROR(INDEX(PP_Grid[#Data],$DD476,91),0)</f>
        <v/>
      </c>
      <c r="CP476">
        <f>IFERROR(INDEX(PP_Grid[#Data],$DD476,92),0)</f>
        <v/>
      </c>
      <c r="CQ476">
        <f>IFERROR(INDEX(PP_Grid[#Data],$DD476,93),0)</f>
        <v/>
      </c>
      <c r="CR476">
        <f>IFERROR(INDEX(PP_Grid[#Data],$DD476,94),0)</f>
        <v/>
      </c>
      <c r="CS476">
        <f>IFERROR(INDEX(PP_Grid[#Data],$DD476,95),0)</f>
        <v/>
      </c>
      <c r="CT476">
        <f>IFERROR(INDEX(PP_Grid[#Data],$DD476,96),0)</f>
        <v/>
      </c>
      <c r="CU476">
        <f>IFERROR(INDEX(PP_Grid[#Data],$DD476,97),0)</f>
        <v/>
      </c>
      <c r="CV476">
        <f>IFERROR(INDEX(PP_Grid[#Data],$DD476,98),0)</f>
        <v/>
      </c>
      <c r="CW476">
        <f>IFERROR(INDEX(PP_Grid[#Data],$DD476,99),0)</f>
        <v/>
      </c>
      <c r="CX476">
        <f>IFERROR(INDEX(PP_Grid[#Data],$DD476,100),0)</f>
        <v/>
      </c>
      <c r="CY476">
        <f>IFERROR(INDEX(PP_Grid[#Data],$DD476,101),0)</f>
        <v/>
      </c>
      <c r="CZ476">
        <f>IFERROR(INDEX(PP_Grid[#Data],$DD476,102),0)</f>
        <v/>
      </c>
      <c r="DA476">
        <f>IFERROR(INDEX(PP_Grid[#Data],$DD476,103),0)</f>
        <v/>
      </c>
      <c r="DB476">
        <f>IFERROR(INDEX(PP_Grid[#Data],$DD476,104),0)</f>
        <v/>
      </c>
      <c r="DC476">
        <f>IFERROR(INDEX(PP_Grid[#Data],$DD476,105),0)</f>
        <v/>
      </c>
      <c r="DD476" s="12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SUMIFS(M_BOM[RM_Qty_Per_Batch],M_BOM[Intermediate],$B476,M_BOM[Part Name],$A413)</f>
        <v/>
      </c>
      <c r="D477">
        <f>$C477*D476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</row>
    <row r="478">
      <c r="B478" t="inlineStr">
        <is>
          <t>TSP-929</t>
        </is>
      </c>
      <c r="C478" t="inlineStr">
        <is>
          <t>No. of batches</t>
        </is>
      </c>
      <c r="D478">
        <f>IFERROR(INDEX(PP_Grid[#Data],$DD478,2),0)</f>
        <v/>
      </c>
      <c r="E478">
        <f>IFERROR(INDEX(PP_Grid[#Data],$DD478,3),0)</f>
        <v/>
      </c>
      <c r="F478">
        <f>IFERROR(INDEX(PP_Grid[#Data],$DD478,4),0)</f>
        <v/>
      </c>
      <c r="G478">
        <f>IFERROR(INDEX(PP_Grid[#Data],$DD478,5),0)</f>
        <v/>
      </c>
      <c r="H478">
        <f>IFERROR(INDEX(PP_Grid[#Data],$DD478,6),0)</f>
        <v/>
      </c>
      <c r="I478">
        <f>IFERROR(INDEX(PP_Grid[#Data],$DD478,7),0)</f>
        <v/>
      </c>
      <c r="J478">
        <f>IFERROR(INDEX(PP_Grid[#Data],$DD478,8),0)</f>
        <v/>
      </c>
      <c r="K478">
        <f>IFERROR(INDEX(PP_Grid[#Data],$DD478,9),0)</f>
        <v/>
      </c>
      <c r="L478">
        <f>IFERROR(INDEX(PP_Grid[#Data],$DD478,10),0)</f>
        <v/>
      </c>
      <c r="M478">
        <f>IFERROR(INDEX(PP_Grid[#Data],$DD478,11),0)</f>
        <v/>
      </c>
      <c r="N478">
        <f>IFERROR(INDEX(PP_Grid[#Data],$DD478,12),0)</f>
        <v/>
      </c>
      <c r="O478">
        <f>IFERROR(INDEX(PP_Grid[#Data],$DD478,13),0)</f>
        <v/>
      </c>
      <c r="P478">
        <f>IFERROR(INDEX(PP_Grid[#Data],$DD478,14),0)</f>
        <v/>
      </c>
      <c r="Q478">
        <f>IFERROR(INDEX(PP_Grid[#Data],$DD478,15),0)</f>
        <v/>
      </c>
      <c r="R478">
        <f>IFERROR(INDEX(PP_Grid[#Data],$DD478,16),0)</f>
        <v/>
      </c>
      <c r="S478">
        <f>IFERROR(INDEX(PP_Grid[#Data],$DD478,17),0)</f>
        <v/>
      </c>
      <c r="T478">
        <f>IFERROR(INDEX(PP_Grid[#Data],$DD478,18),0)</f>
        <v/>
      </c>
      <c r="U478">
        <f>IFERROR(INDEX(PP_Grid[#Data],$DD478,19),0)</f>
        <v/>
      </c>
      <c r="V478">
        <f>IFERROR(INDEX(PP_Grid[#Data],$DD478,20),0)</f>
        <v/>
      </c>
      <c r="W478">
        <f>IFERROR(INDEX(PP_Grid[#Data],$DD478,21),0)</f>
        <v/>
      </c>
      <c r="X478">
        <f>IFERROR(INDEX(PP_Grid[#Data],$DD478,22),0)</f>
        <v/>
      </c>
      <c r="Y478">
        <f>IFERROR(INDEX(PP_Grid[#Data],$DD478,23),0)</f>
        <v/>
      </c>
      <c r="Z478">
        <f>IFERROR(INDEX(PP_Grid[#Data],$DD478,24),0)</f>
        <v/>
      </c>
      <c r="AA478">
        <f>IFERROR(INDEX(PP_Grid[#Data],$DD478,25),0)</f>
        <v/>
      </c>
      <c r="AB478">
        <f>IFERROR(INDEX(PP_Grid[#Data],$DD478,26),0)</f>
        <v/>
      </c>
      <c r="AC478">
        <f>IFERROR(INDEX(PP_Grid[#Data],$DD478,27),0)</f>
        <v/>
      </c>
      <c r="AD478">
        <f>IFERROR(INDEX(PP_Grid[#Data],$DD478,28),0)</f>
        <v/>
      </c>
      <c r="AE478">
        <f>IFERROR(INDEX(PP_Grid[#Data],$DD478,29),0)</f>
        <v/>
      </c>
      <c r="AF478">
        <f>IFERROR(INDEX(PP_Grid[#Data],$DD478,30),0)</f>
        <v/>
      </c>
      <c r="AG478">
        <f>IFERROR(INDEX(PP_Grid[#Data],$DD478,31),0)</f>
        <v/>
      </c>
      <c r="AH478">
        <f>IFERROR(INDEX(PP_Grid[#Data],$DD478,32),0)</f>
        <v/>
      </c>
      <c r="AI478">
        <f>IFERROR(INDEX(PP_Grid[#Data],$DD478,33),0)</f>
        <v/>
      </c>
      <c r="AJ478">
        <f>IFERROR(INDEX(PP_Grid[#Data],$DD478,34),0)</f>
        <v/>
      </c>
      <c r="AK478">
        <f>IFERROR(INDEX(PP_Grid[#Data],$DD478,35),0)</f>
        <v/>
      </c>
      <c r="AL478">
        <f>IFERROR(INDEX(PP_Grid[#Data],$DD478,36),0)</f>
        <v/>
      </c>
      <c r="AM478">
        <f>IFERROR(INDEX(PP_Grid[#Data],$DD478,37),0)</f>
        <v/>
      </c>
      <c r="AN478">
        <f>IFERROR(INDEX(PP_Grid[#Data],$DD478,38),0)</f>
        <v/>
      </c>
      <c r="AO478">
        <f>IFERROR(INDEX(PP_Grid[#Data],$DD478,39),0)</f>
        <v/>
      </c>
      <c r="AP478">
        <f>IFERROR(INDEX(PP_Grid[#Data],$DD478,40),0)</f>
        <v/>
      </c>
      <c r="AQ478">
        <f>IFERROR(INDEX(PP_Grid[#Data],$DD478,41),0)</f>
        <v/>
      </c>
      <c r="AR478">
        <f>IFERROR(INDEX(PP_Grid[#Data],$DD478,42),0)</f>
        <v/>
      </c>
      <c r="AS478">
        <f>IFERROR(INDEX(PP_Grid[#Data],$DD478,43),0)</f>
        <v/>
      </c>
      <c r="AT478">
        <f>IFERROR(INDEX(PP_Grid[#Data],$DD478,44),0)</f>
        <v/>
      </c>
      <c r="AU478">
        <f>IFERROR(INDEX(PP_Grid[#Data],$DD478,45),0)</f>
        <v/>
      </c>
      <c r="AV478">
        <f>IFERROR(INDEX(PP_Grid[#Data],$DD478,46),0)</f>
        <v/>
      </c>
      <c r="AW478">
        <f>IFERROR(INDEX(PP_Grid[#Data],$DD478,47),0)</f>
        <v/>
      </c>
      <c r="AX478">
        <f>IFERROR(INDEX(PP_Grid[#Data],$DD478,48),0)</f>
        <v/>
      </c>
      <c r="AY478">
        <f>IFERROR(INDEX(PP_Grid[#Data],$DD478,49),0)</f>
        <v/>
      </c>
      <c r="AZ478">
        <f>IFERROR(INDEX(PP_Grid[#Data],$DD478,50),0)</f>
        <v/>
      </c>
      <c r="BA478">
        <f>IFERROR(INDEX(PP_Grid[#Data],$DD478,51),0)</f>
        <v/>
      </c>
      <c r="BB478">
        <f>IFERROR(INDEX(PP_Grid[#Data],$DD478,52),0)</f>
        <v/>
      </c>
      <c r="BC478">
        <f>IFERROR(INDEX(PP_Grid[#Data],$DD478,53),0)</f>
        <v/>
      </c>
      <c r="BD478">
        <f>IFERROR(INDEX(PP_Grid[#Data],$DD478,54),0)</f>
        <v/>
      </c>
      <c r="BE478">
        <f>IFERROR(INDEX(PP_Grid[#Data],$DD478,55),0)</f>
        <v/>
      </c>
      <c r="BF478">
        <f>IFERROR(INDEX(PP_Grid[#Data],$DD478,56),0)</f>
        <v/>
      </c>
      <c r="BG478">
        <f>IFERROR(INDEX(PP_Grid[#Data],$DD478,57),0)</f>
        <v/>
      </c>
      <c r="BH478">
        <f>IFERROR(INDEX(PP_Grid[#Data],$DD478,58),0)</f>
        <v/>
      </c>
      <c r="BI478">
        <f>IFERROR(INDEX(PP_Grid[#Data],$DD478,59),0)</f>
        <v/>
      </c>
      <c r="BJ478">
        <f>IFERROR(INDEX(PP_Grid[#Data],$DD478,60),0)</f>
        <v/>
      </c>
      <c r="BK478">
        <f>IFERROR(INDEX(PP_Grid[#Data],$DD478,61),0)</f>
        <v/>
      </c>
      <c r="BL478">
        <f>IFERROR(INDEX(PP_Grid[#Data],$DD478,62),0)</f>
        <v/>
      </c>
      <c r="BM478">
        <f>IFERROR(INDEX(PP_Grid[#Data],$DD478,63),0)</f>
        <v/>
      </c>
      <c r="BN478">
        <f>IFERROR(INDEX(PP_Grid[#Data],$DD478,64),0)</f>
        <v/>
      </c>
      <c r="BO478">
        <f>IFERROR(INDEX(PP_Grid[#Data],$DD478,65),0)</f>
        <v/>
      </c>
      <c r="BP478">
        <f>IFERROR(INDEX(PP_Grid[#Data],$DD478,66),0)</f>
        <v/>
      </c>
      <c r="BQ478">
        <f>IFERROR(INDEX(PP_Grid[#Data],$DD478,67),0)</f>
        <v/>
      </c>
      <c r="BR478">
        <f>IFERROR(INDEX(PP_Grid[#Data],$DD478,68),0)</f>
        <v/>
      </c>
      <c r="BS478">
        <f>IFERROR(INDEX(PP_Grid[#Data],$DD478,69),0)</f>
        <v/>
      </c>
      <c r="BT478">
        <f>IFERROR(INDEX(PP_Grid[#Data],$DD478,70),0)</f>
        <v/>
      </c>
      <c r="BU478">
        <f>IFERROR(INDEX(PP_Grid[#Data],$DD478,71),0)</f>
        <v/>
      </c>
      <c r="BV478">
        <f>IFERROR(INDEX(PP_Grid[#Data],$DD478,72),0)</f>
        <v/>
      </c>
      <c r="BW478">
        <f>IFERROR(INDEX(PP_Grid[#Data],$DD478,73),0)</f>
        <v/>
      </c>
      <c r="BX478">
        <f>IFERROR(INDEX(PP_Grid[#Data],$DD478,74),0)</f>
        <v/>
      </c>
      <c r="BY478">
        <f>IFERROR(INDEX(PP_Grid[#Data],$DD478,75),0)</f>
        <v/>
      </c>
      <c r="BZ478">
        <f>IFERROR(INDEX(PP_Grid[#Data],$DD478,76),0)</f>
        <v/>
      </c>
      <c r="CA478">
        <f>IFERROR(INDEX(PP_Grid[#Data],$DD478,77),0)</f>
        <v/>
      </c>
      <c r="CB478">
        <f>IFERROR(INDEX(PP_Grid[#Data],$DD478,78),0)</f>
        <v/>
      </c>
      <c r="CC478">
        <f>IFERROR(INDEX(PP_Grid[#Data],$DD478,79),0)</f>
        <v/>
      </c>
      <c r="CD478">
        <f>IFERROR(INDEX(PP_Grid[#Data],$DD478,80),0)</f>
        <v/>
      </c>
      <c r="CE478">
        <f>IFERROR(INDEX(PP_Grid[#Data],$DD478,81),0)</f>
        <v/>
      </c>
      <c r="CF478">
        <f>IFERROR(INDEX(PP_Grid[#Data],$DD478,82),0)</f>
        <v/>
      </c>
      <c r="CG478">
        <f>IFERROR(INDEX(PP_Grid[#Data],$DD478,83),0)</f>
        <v/>
      </c>
      <c r="CH478">
        <f>IFERROR(INDEX(PP_Grid[#Data],$DD478,84),0)</f>
        <v/>
      </c>
      <c r="CI478">
        <f>IFERROR(INDEX(PP_Grid[#Data],$DD478,85),0)</f>
        <v/>
      </c>
      <c r="CJ478">
        <f>IFERROR(INDEX(PP_Grid[#Data],$DD478,86),0)</f>
        <v/>
      </c>
      <c r="CK478">
        <f>IFERROR(INDEX(PP_Grid[#Data],$DD478,87),0)</f>
        <v/>
      </c>
      <c r="CL478">
        <f>IFERROR(INDEX(PP_Grid[#Data],$DD478,88),0)</f>
        <v/>
      </c>
      <c r="CM478">
        <f>IFERROR(INDEX(PP_Grid[#Data],$DD478,89),0)</f>
        <v/>
      </c>
      <c r="CN478">
        <f>IFERROR(INDEX(PP_Grid[#Data],$DD478,90),0)</f>
        <v/>
      </c>
      <c r="CO478">
        <f>IFERROR(INDEX(PP_Grid[#Data],$DD478,91),0)</f>
        <v/>
      </c>
      <c r="CP478">
        <f>IFERROR(INDEX(PP_Grid[#Data],$DD478,92),0)</f>
        <v/>
      </c>
      <c r="CQ478">
        <f>IFERROR(INDEX(PP_Grid[#Data],$DD478,93),0)</f>
        <v/>
      </c>
      <c r="CR478">
        <f>IFERROR(INDEX(PP_Grid[#Data],$DD478,94),0)</f>
        <v/>
      </c>
      <c r="CS478">
        <f>IFERROR(INDEX(PP_Grid[#Data],$DD478,95),0)</f>
        <v/>
      </c>
      <c r="CT478">
        <f>IFERROR(INDEX(PP_Grid[#Data],$DD478,96),0)</f>
        <v/>
      </c>
      <c r="CU478">
        <f>IFERROR(INDEX(PP_Grid[#Data],$DD478,97),0)</f>
        <v/>
      </c>
      <c r="CV478">
        <f>IFERROR(INDEX(PP_Grid[#Data],$DD478,98),0)</f>
        <v/>
      </c>
      <c r="CW478">
        <f>IFERROR(INDEX(PP_Grid[#Data],$DD478,99),0)</f>
        <v/>
      </c>
      <c r="CX478">
        <f>IFERROR(INDEX(PP_Grid[#Data],$DD478,100),0)</f>
        <v/>
      </c>
      <c r="CY478">
        <f>IFERROR(INDEX(PP_Grid[#Data],$DD478,101),0)</f>
        <v/>
      </c>
      <c r="CZ478">
        <f>IFERROR(INDEX(PP_Grid[#Data],$DD478,102),0)</f>
        <v/>
      </c>
      <c r="DA478">
        <f>IFERROR(INDEX(PP_Grid[#Data],$DD478,103),0)</f>
        <v/>
      </c>
      <c r="DB478">
        <f>IFERROR(INDEX(PP_Grid[#Data],$DD478,104),0)</f>
        <v/>
      </c>
      <c r="DC478">
        <f>IFERROR(INDEX(PP_Grid[#Data],$DD478,105),0)</f>
        <v/>
      </c>
      <c r="DD478" s="12">
        <f>IFERROR(MATCH($B478,PP_Grid[Intermediate],0),99999)</f>
        <v/>
      </c>
    </row>
    <row r="479">
      <c r="B479" t="inlineStr">
        <is>
          <t>使用量(kg)</t>
        </is>
      </c>
      <c r="C479">
        <f>SUMIFS(M_BOM[RM_Qty_Per_Batch],M_BOM[Intermediate],$B478,M_BOM[Part Name],$A413)</f>
        <v/>
      </c>
      <c r="D479">
        <f>$C479*D478</f>
        <v/>
      </c>
      <c r="E479">
        <f>$C479*E478</f>
        <v/>
      </c>
      <c r="F479">
        <f>$C479*F478</f>
        <v/>
      </c>
      <c r="G479">
        <f>$C479*G478</f>
        <v/>
      </c>
      <c r="H479">
        <f>$C479*H478</f>
        <v/>
      </c>
      <c r="I479">
        <f>$C479*I478</f>
        <v/>
      </c>
      <c r="J479">
        <f>$C479*J478</f>
        <v/>
      </c>
      <c r="K479">
        <f>$C479*K478</f>
        <v/>
      </c>
      <c r="L479">
        <f>$C479*L478</f>
        <v/>
      </c>
      <c r="M479">
        <f>$C479*M478</f>
        <v/>
      </c>
      <c r="N479">
        <f>$C479*N478</f>
        <v/>
      </c>
      <c r="O479">
        <f>$C479*O478</f>
        <v/>
      </c>
      <c r="P479">
        <f>$C479*P478</f>
        <v/>
      </c>
      <c r="Q479">
        <f>$C479*Q478</f>
        <v/>
      </c>
      <c r="R479">
        <f>$C479*R478</f>
        <v/>
      </c>
      <c r="S479">
        <f>$C479*S478</f>
        <v/>
      </c>
      <c r="T479">
        <f>$C479*T478</f>
        <v/>
      </c>
      <c r="U479">
        <f>$C479*U478</f>
        <v/>
      </c>
      <c r="V479">
        <f>$C479*V478</f>
        <v/>
      </c>
      <c r="W479">
        <f>$C479*W478</f>
        <v/>
      </c>
      <c r="X479">
        <f>$C479*X478</f>
        <v/>
      </c>
      <c r="Y479">
        <f>$C479*Y478</f>
        <v/>
      </c>
      <c r="Z479">
        <f>$C479*Z478</f>
        <v/>
      </c>
      <c r="AA479">
        <f>$C479*AA478</f>
        <v/>
      </c>
      <c r="AB479">
        <f>$C479*AB478</f>
        <v/>
      </c>
      <c r="AC479">
        <f>$C479*AC478</f>
        <v/>
      </c>
      <c r="AD479">
        <f>$C479*AD478</f>
        <v/>
      </c>
      <c r="AE479">
        <f>$C479*AE478</f>
        <v/>
      </c>
      <c r="AF479">
        <f>$C479*AF478</f>
        <v/>
      </c>
      <c r="AG479">
        <f>$C479*AG478</f>
        <v/>
      </c>
      <c r="AH479">
        <f>$C479*AH478</f>
        <v/>
      </c>
      <c r="AI479">
        <f>$C479*AI478</f>
        <v/>
      </c>
      <c r="AJ479">
        <f>$C479*AJ478</f>
        <v/>
      </c>
      <c r="AK479">
        <f>$C479*AK478</f>
        <v/>
      </c>
      <c r="AL479">
        <f>$C479*AL478</f>
        <v/>
      </c>
      <c r="AM479">
        <f>$C479*AM478</f>
        <v/>
      </c>
      <c r="AN479">
        <f>$C479*AN478</f>
        <v/>
      </c>
      <c r="AO479">
        <f>$C479*AO478</f>
        <v/>
      </c>
      <c r="AP479">
        <f>$C479*AP478</f>
        <v/>
      </c>
      <c r="AQ479">
        <f>$C479*AQ478</f>
        <v/>
      </c>
      <c r="AR479">
        <f>$C479*AR478</f>
        <v/>
      </c>
      <c r="AS479">
        <f>$C479*AS478</f>
        <v/>
      </c>
      <c r="AT479">
        <f>$C479*AT478</f>
        <v/>
      </c>
      <c r="AU479">
        <f>$C479*AU478</f>
        <v/>
      </c>
      <c r="AV479">
        <f>$C479*AV478</f>
        <v/>
      </c>
      <c r="AW479">
        <f>$C479*AW478</f>
        <v/>
      </c>
      <c r="AX479">
        <f>$C479*AX478</f>
        <v/>
      </c>
      <c r="AY479">
        <f>$C479*AY478</f>
        <v/>
      </c>
      <c r="AZ479">
        <f>$C479*AZ478</f>
        <v/>
      </c>
      <c r="BA479">
        <f>$C479*BA478</f>
        <v/>
      </c>
      <c r="BB479">
        <f>$C479*BB478</f>
        <v/>
      </c>
      <c r="BC479">
        <f>$C479*BC478</f>
        <v/>
      </c>
      <c r="BD479">
        <f>$C479*BD478</f>
        <v/>
      </c>
      <c r="BE479">
        <f>$C479*BE478</f>
        <v/>
      </c>
      <c r="BF479">
        <f>$C479*BF478</f>
        <v/>
      </c>
      <c r="BG479">
        <f>$C479*BG478</f>
        <v/>
      </c>
      <c r="BH479">
        <f>$C479*BH478</f>
        <v/>
      </c>
      <c r="BI479">
        <f>$C479*BI478</f>
        <v/>
      </c>
      <c r="BJ479">
        <f>$C479*BJ478</f>
        <v/>
      </c>
      <c r="BK479">
        <f>$C479*BK478</f>
        <v/>
      </c>
      <c r="BL479">
        <f>$C479*BL478</f>
        <v/>
      </c>
      <c r="BM479">
        <f>$C479*BM478</f>
        <v/>
      </c>
      <c r="BN479">
        <f>$C479*BN478</f>
        <v/>
      </c>
      <c r="BO479">
        <f>$C479*BO478</f>
        <v/>
      </c>
      <c r="BP479">
        <f>$C479*BP478</f>
        <v/>
      </c>
      <c r="BQ479">
        <f>$C479*BQ478</f>
        <v/>
      </c>
      <c r="BR479">
        <f>$C479*BR478</f>
        <v/>
      </c>
      <c r="BS479">
        <f>$C479*BS478</f>
        <v/>
      </c>
      <c r="BT479">
        <f>$C479*BT478</f>
        <v/>
      </c>
      <c r="BU479">
        <f>$C479*BU478</f>
        <v/>
      </c>
      <c r="BV479">
        <f>$C479*BV478</f>
        <v/>
      </c>
      <c r="BW479">
        <f>$C479*BW478</f>
        <v/>
      </c>
      <c r="BX479">
        <f>$C479*BX478</f>
        <v/>
      </c>
      <c r="BY479">
        <f>$C479*BY478</f>
        <v/>
      </c>
      <c r="BZ479">
        <f>$C479*BZ478</f>
        <v/>
      </c>
      <c r="CA479">
        <f>$C479*CA478</f>
        <v/>
      </c>
      <c r="CB479">
        <f>$C479*CB478</f>
        <v/>
      </c>
      <c r="CC479">
        <f>$C479*CC478</f>
        <v/>
      </c>
      <c r="CD479">
        <f>$C479*CD478</f>
        <v/>
      </c>
      <c r="CE479">
        <f>$C479*CE478</f>
        <v/>
      </c>
      <c r="CF479">
        <f>$C479*CF478</f>
        <v/>
      </c>
      <c r="CG479">
        <f>$C479*CG478</f>
        <v/>
      </c>
      <c r="CH479">
        <f>$C479*CH478</f>
        <v/>
      </c>
      <c r="CI479">
        <f>$C479*CI478</f>
        <v/>
      </c>
      <c r="CJ479">
        <f>$C479*CJ478</f>
        <v/>
      </c>
      <c r="CK479">
        <f>$C479*CK478</f>
        <v/>
      </c>
      <c r="CL479">
        <f>$C479*CL478</f>
        <v/>
      </c>
      <c r="CM479">
        <f>$C479*CM478</f>
        <v/>
      </c>
      <c r="CN479">
        <f>$C479*CN478</f>
        <v/>
      </c>
      <c r="CO479">
        <f>$C479*CO478</f>
        <v/>
      </c>
      <c r="CP479">
        <f>$C479*CP478</f>
        <v/>
      </c>
      <c r="CQ479">
        <f>$C479*CQ478</f>
        <v/>
      </c>
      <c r="CR479">
        <f>$C479*CR478</f>
        <v/>
      </c>
      <c r="CS479">
        <f>$C479*CS478</f>
        <v/>
      </c>
      <c r="CT479">
        <f>$C479*CT478</f>
        <v/>
      </c>
      <c r="CU479">
        <f>$C479*CU478</f>
        <v/>
      </c>
      <c r="CV479">
        <f>$C479*CV478</f>
        <v/>
      </c>
      <c r="CW479">
        <f>$C479*CW478</f>
        <v/>
      </c>
      <c r="CX479">
        <f>$C479*CX478</f>
        <v/>
      </c>
      <c r="CY479">
        <f>$C479*CY478</f>
        <v/>
      </c>
      <c r="CZ479">
        <f>$C479*CZ478</f>
        <v/>
      </c>
      <c r="DA479">
        <f>$C479*DA478</f>
        <v/>
      </c>
      <c r="DB479">
        <f>$C479*DB478</f>
        <v/>
      </c>
      <c r="DC479">
        <f>$C479*DC478</f>
        <v/>
      </c>
    </row>
    <row r="480">
      <c r="B480" t="inlineStr">
        <is>
          <t>TSP-930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Name],$A413)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TSP-934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Name],$A413)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TSP-935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Name],$A413)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t="inlineStr">
        <is>
          <t>TSP-936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12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Name],$A413)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TSP-937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12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Name],$A413)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VSP-600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12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Name],$A413)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VSP-602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12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Name],$A413)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t="inlineStr">
        <is>
          <t>VSP-822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Name],$A413)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VSP-910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Name],$A413)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VSP-989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Name],$A413)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VSP-990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Name],$A413)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s="5" t="inlineStr">
        <is>
          <t>合計使用量(kg)/週</t>
        </is>
      </c>
      <c r="D502">
        <f>'Grid_Requirement'!B11</f>
        <v/>
      </c>
      <c r="E502">
        <f>'Grid_Requirement'!C11</f>
        <v/>
      </c>
      <c r="F502">
        <f>'Grid_Requirement'!D11</f>
        <v/>
      </c>
      <c r="G502">
        <f>'Grid_Requirement'!E11</f>
        <v/>
      </c>
      <c r="H502">
        <f>'Grid_Requirement'!F11</f>
        <v/>
      </c>
      <c r="I502">
        <f>'Grid_Requirement'!G11</f>
        <v/>
      </c>
      <c r="J502">
        <f>'Grid_Requirement'!H11</f>
        <v/>
      </c>
      <c r="K502">
        <f>'Grid_Requirement'!I11</f>
        <v/>
      </c>
      <c r="L502">
        <f>'Grid_Requirement'!J11</f>
        <v/>
      </c>
      <c r="M502">
        <f>'Grid_Requirement'!K11</f>
        <v/>
      </c>
      <c r="N502">
        <f>'Grid_Requirement'!L11</f>
        <v/>
      </c>
      <c r="O502">
        <f>'Grid_Requirement'!M11</f>
        <v/>
      </c>
      <c r="P502">
        <f>'Grid_Requirement'!N11</f>
        <v/>
      </c>
      <c r="Q502">
        <f>'Grid_Requirement'!O11</f>
        <v/>
      </c>
      <c r="R502">
        <f>'Grid_Requirement'!P11</f>
        <v/>
      </c>
      <c r="S502">
        <f>'Grid_Requirement'!Q11</f>
        <v/>
      </c>
      <c r="T502">
        <f>'Grid_Requirement'!R11</f>
        <v/>
      </c>
      <c r="U502">
        <f>'Grid_Requirement'!S11</f>
        <v/>
      </c>
      <c r="V502">
        <f>'Grid_Requirement'!T11</f>
        <v/>
      </c>
      <c r="W502">
        <f>'Grid_Requirement'!U11</f>
        <v/>
      </c>
      <c r="X502">
        <f>'Grid_Requirement'!V11</f>
        <v/>
      </c>
      <c r="Y502">
        <f>'Grid_Requirement'!W11</f>
        <v/>
      </c>
      <c r="Z502">
        <f>'Grid_Requirement'!X11</f>
        <v/>
      </c>
      <c r="AA502">
        <f>'Grid_Requirement'!Y11</f>
        <v/>
      </c>
      <c r="AB502">
        <f>'Grid_Requirement'!Z11</f>
        <v/>
      </c>
      <c r="AC502">
        <f>'Grid_Requirement'!AA11</f>
        <v/>
      </c>
      <c r="AD502">
        <f>'Grid_Requirement'!AB11</f>
        <v/>
      </c>
      <c r="AE502">
        <f>'Grid_Requirement'!AC11</f>
        <v/>
      </c>
      <c r="AF502">
        <f>'Grid_Requirement'!AD11</f>
        <v/>
      </c>
      <c r="AG502">
        <f>'Grid_Requirement'!AE11</f>
        <v/>
      </c>
      <c r="AH502">
        <f>'Grid_Requirement'!AF11</f>
        <v/>
      </c>
      <c r="AI502">
        <f>'Grid_Requirement'!AG11</f>
        <v/>
      </c>
      <c r="AJ502">
        <f>'Grid_Requirement'!AH11</f>
        <v/>
      </c>
      <c r="AK502">
        <f>'Grid_Requirement'!AI11</f>
        <v/>
      </c>
      <c r="AL502">
        <f>'Grid_Requirement'!AJ11</f>
        <v/>
      </c>
      <c r="AM502">
        <f>'Grid_Requirement'!AK11</f>
        <v/>
      </c>
      <c r="AN502">
        <f>'Grid_Requirement'!AL11</f>
        <v/>
      </c>
      <c r="AO502">
        <f>'Grid_Requirement'!AM11</f>
        <v/>
      </c>
      <c r="AP502">
        <f>'Grid_Requirement'!AN11</f>
        <v/>
      </c>
      <c r="AQ502">
        <f>'Grid_Requirement'!AO11</f>
        <v/>
      </c>
      <c r="AR502">
        <f>'Grid_Requirement'!AP11</f>
        <v/>
      </c>
      <c r="AS502">
        <f>'Grid_Requirement'!AQ11</f>
        <v/>
      </c>
      <c r="AT502">
        <f>'Grid_Requirement'!AR11</f>
        <v/>
      </c>
      <c r="AU502">
        <f>'Grid_Requirement'!AS11</f>
        <v/>
      </c>
      <c r="AV502">
        <f>'Grid_Requirement'!AT11</f>
        <v/>
      </c>
      <c r="AW502">
        <f>'Grid_Requirement'!AU11</f>
        <v/>
      </c>
      <c r="AX502">
        <f>'Grid_Requirement'!AV11</f>
        <v/>
      </c>
      <c r="AY502">
        <f>'Grid_Requirement'!AW11</f>
        <v/>
      </c>
      <c r="AZ502">
        <f>'Grid_Requirement'!AX11</f>
        <v/>
      </c>
      <c r="BA502">
        <f>'Grid_Requirement'!AY11</f>
        <v/>
      </c>
      <c r="BB502">
        <f>'Grid_Requirement'!AZ11</f>
        <v/>
      </c>
      <c r="BC502">
        <f>'Grid_Requirement'!BA11</f>
        <v/>
      </c>
      <c r="BD502">
        <f>'Grid_Requirement'!BB11</f>
        <v/>
      </c>
      <c r="BE502">
        <f>'Grid_Requirement'!BC11</f>
        <v/>
      </c>
      <c r="BF502">
        <f>'Grid_Requirement'!BD11</f>
        <v/>
      </c>
      <c r="BG502">
        <f>'Grid_Requirement'!BE11</f>
        <v/>
      </c>
      <c r="BH502">
        <f>'Grid_Requirement'!BF11</f>
        <v/>
      </c>
      <c r="BI502">
        <f>'Grid_Requirement'!BG11</f>
        <v/>
      </c>
      <c r="BJ502">
        <f>'Grid_Requirement'!BH11</f>
        <v/>
      </c>
      <c r="BK502">
        <f>'Grid_Requirement'!BI11</f>
        <v/>
      </c>
      <c r="BL502">
        <f>'Grid_Requirement'!BJ11</f>
        <v/>
      </c>
      <c r="BM502">
        <f>'Grid_Requirement'!BK11</f>
        <v/>
      </c>
      <c r="BN502">
        <f>'Grid_Requirement'!BL11</f>
        <v/>
      </c>
      <c r="BO502">
        <f>'Grid_Requirement'!BM11</f>
        <v/>
      </c>
      <c r="BP502">
        <f>'Grid_Requirement'!BN11</f>
        <v/>
      </c>
      <c r="BQ502">
        <f>'Grid_Requirement'!BO11</f>
        <v/>
      </c>
      <c r="BR502">
        <f>'Grid_Requirement'!BP11</f>
        <v/>
      </c>
      <c r="BS502">
        <f>'Grid_Requirement'!BQ11</f>
        <v/>
      </c>
      <c r="BT502">
        <f>'Grid_Requirement'!BR11</f>
        <v/>
      </c>
      <c r="BU502">
        <f>'Grid_Requirement'!BS11</f>
        <v/>
      </c>
      <c r="BV502">
        <f>'Grid_Requirement'!BT11</f>
        <v/>
      </c>
      <c r="BW502">
        <f>'Grid_Requirement'!BU11</f>
        <v/>
      </c>
      <c r="BX502">
        <f>'Grid_Requirement'!BV11</f>
        <v/>
      </c>
      <c r="BY502">
        <f>'Grid_Requirement'!BW11</f>
        <v/>
      </c>
      <c r="BZ502">
        <f>'Grid_Requirement'!BX11</f>
        <v/>
      </c>
      <c r="CA502">
        <f>'Grid_Requirement'!BY11</f>
        <v/>
      </c>
      <c r="CB502">
        <f>'Grid_Requirement'!BZ11</f>
        <v/>
      </c>
      <c r="CC502">
        <f>'Grid_Requirement'!CA11</f>
        <v/>
      </c>
      <c r="CD502">
        <f>'Grid_Requirement'!CB11</f>
        <v/>
      </c>
      <c r="CE502">
        <f>'Grid_Requirement'!CC11</f>
        <v/>
      </c>
      <c r="CF502">
        <f>'Grid_Requirement'!CD11</f>
        <v/>
      </c>
      <c r="CG502">
        <f>'Grid_Requirement'!CE11</f>
        <v/>
      </c>
      <c r="CH502">
        <f>'Grid_Requirement'!CF11</f>
        <v/>
      </c>
      <c r="CI502">
        <f>'Grid_Requirement'!CG11</f>
        <v/>
      </c>
      <c r="CJ502">
        <f>'Grid_Requirement'!CH11</f>
        <v/>
      </c>
      <c r="CK502">
        <f>'Grid_Requirement'!CI11</f>
        <v/>
      </c>
      <c r="CL502">
        <f>'Grid_Requirement'!CJ11</f>
        <v/>
      </c>
      <c r="CM502">
        <f>'Grid_Requirement'!CK11</f>
        <v/>
      </c>
      <c r="CN502">
        <f>'Grid_Requirement'!CL11</f>
        <v/>
      </c>
      <c r="CO502">
        <f>'Grid_Requirement'!CM11</f>
        <v/>
      </c>
      <c r="CP502">
        <f>'Grid_Requirement'!CN11</f>
        <v/>
      </c>
      <c r="CQ502">
        <f>'Grid_Requirement'!CO11</f>
        <v/>
      </c>
      <c r="CR502">
        <f>'Grid_Requirement'!CP11</f>
        <v/>
      </c>
      <c r="CS502">
        <f>'Grid_Requirement'!CQ11</f>
        <v/>
      </c>
      <c r="CT502">
        <f>'Grid_Requirement'!CR11</f>
        <v/>
      </c>
      <c r="CU502">
        <f>'Grid_Requirement'!CS11</f>
        <v/>
      </c>
      <c r="CV502">
        <f>'Grid_Requirement'!CT11</f>
        <v/>
      </c>
      <c r="CW502">
        <f>'Grid_Requirement'!CU11</f>
        <v/>
      </c>
      <c r="CX502">
        <f>'Grid_Requirement'!CV11</f>
        <v/>
      </c>
      <c r="CY502">
        <f>'Grid_Requirement'!CW11</f>
        <v/>
      </c>
      <c r="CZ502">
        <f>'Grid_Requirement'!CX11</f>
        <v/>
      </c>
      <c r="DA502">
        <f>'Grid_Requirement'!CY11</f>
        <v/>
      </c>
      <c r="DB502">
        <f>'Grid_Requirement'!CZ11</f>
        <v/>
      </c>
      <c r="DC502">
        <f>'Grid_Requirement'!DA11</f>
        <v/>
      </c>
    </row>
    <row r="503">
      <c r="B503" t="inlineStr">
        <is>
          <t>TTAF在庫(実績,kg)</t>
        </is>
      </c>
      <c r="D503">
        <f>'T_TTAFStock'!B15</f>
        <v/>
      </c>
      <c r="E503">
        <f>'T_TTAFStock'!C15</f>
        <v/>
      </c>
      <c r="F503">
        <f>'T_TTAFStock'!D15</f>
        <v/>
      </c>
      <c r="G503">
        <f>'T_TTAFStock'!E15</f>
        <v/>
      </c>
      <c r="H503">
        <f>'T_TTAFStock'!F15</f>
        <v/>
      </c>
      <c r="I503">
        <f>'T_TTAFStock'!G15</f>
        <v/>
      </c>
      <c r="J503">
        <f>'T_TTAFStock'!H15</f>
        <v/>
      </c>
      <c r="K503">
        <f>'T_TTAFStock'!I15</f>
        <v/>
      </c>
      <c r="L503">
        <f>'T_TTAFStock'!J15</f>
        <v/>
      </c>
      <c r="M503">
        <f>'T_TTAFStock'!K15</f>
        <v/>
      </c>
      <c r="N503">
        <f>'T_TTAFStock'!L15</f>
        <v/>
      </c>
      <c r="O503">
        <f>'T_TTAFStock'!M15</f>
        <v/>
      </c>
      <c r="P503">
        <f>'T_TTAFStock'!N15</f>
        <v/>
      </c>
      <c r="Q503">
        <f>'T_TTAFStock'!O15</f>
        <v/>
      </c>
      <c r="R503">
        <f>'T_TTAFStock'!P15</f>
        <v/>
      </c>
      <c r="S503">
        <f>'T_TTAFStock'!Q15</f>
        <v/>
      </c>
      <c r="T503">
        <f>'T_TTAFStock'!R15</f>
        <v/>
      </c>
      <c r="U503">
        <f>'T_TTAFStock'!S15</f>
        <v/>
      </c>
      <c r="V503">
        <f>'T_TTAFStock'!T15</f>
        <v/>
      </c>
      <c r="W503">
        <f>'T_TTAFStock'!U15</f>
        <v/>
      </c>
      <c r="X503">
        <f>'T_TTAFStock'!V15</f>
        <v/>
      </c>
      <c r="Y503">
        <f>'T_TTAFStock'!W15</f>
        <v/>
      </c>
      <c r="Z503">
        <f>'T_TTAFStock'!X15</f>
        <v/>
      </c>
      <c r="AA503">
        <f>'T_TTAFStock'!Y15</f>
        <v/>
      </c>
      <c r="AB503">
        <f>'T_TTAFStock'!Z15</f>
        <v/>
      </c>
      <c r="AC503">
        <f>'T_TTAFStock'!AA15</f>
        <v/>
      </c>
      <c r="AD503">
        <f>'T_TTAFStock'!AB15</f>
        <v/>
      </c>
      <c r="AE503">
        <f>'T_TTAFStock'!AC15</f>
        <v/>
      </c>
      <c r="AF503">
        <f>'T_TTAFStock'!AD15</f>
        <v/>
      </c>
      <c r="AG503">
        <f>'T_TTAFStock'!AE15</f>
        <v/>
      </c>
      <c r="AH503">
        <f>'T_TTAFStock'!AF15</f>
        <v/>
      </c>
      <c r="AI503">
        <f>'T_TTAFStock'!AG15</f>
        <v/>
      </c>
      <c r="AJ503">
        <f>'T_TTAFStock'!AH15</f>
        <v/>
      </c>
      <c r="AK503">
        <f>'T_TTAFStock'!AI15</f>
        <v/>
      </c>
      <c r="AL503">
        <f>'T_TTAFStock'!AJ15</f>
        <v/>
      </c>
      <c r="AM503">
        <f>'T_TTAFStock'!AK15</f>
        <v/>
      </c>
      <c r="AN503">
        <f>'T_TTAFStock'!AL15</f>
        <v/>
      </c>
      <c r="AO503">
        <f>'T_TTAFStock'!AM15</f>
        <v/>
      </c>
      <c r="AP503">
        <f>'T_TTAFStock'!AN15</f>
        <v/>
      </c>
      <c r="AQ503">
        <f>'T_TTAFStock'!AO15</f>
        <v/>
      </c>
      <c r="AR503">
        <f>'T_TTAFStock'!AP15</f>
        <v/>
      </c>
      <c r="AS503">
        <f>'T_TTAFStock'!AQ15</f>
        <v/>
      </c>
      <c r="AT503">
        <f>'T_TTAFStock'!AR15</f>
        <v/>
      </c>
      <c r="AU503">
        <f>'T_TTAFStock'!AS15</f>
        <v/>
      </c>
      <c r="AV503">
        <f>'T_TTAFStock'!AT15</f>
        <v/>
      </c>
      <c r="AW503">
        <f>'T_TTAFStock'!AU15</f>
        <v/>
      </c>
      <c r="AX503">
        <f>'T_TTAFStock'!AV15</f>
        <v/>
      </c>
      <c r="AY503">
        <f>'T_TTAFStock'!AW15</f>
        <v/>
      </c>
      <c r="AZ503">
        <f>'T_TTAFStock'!AX15</f>
        <v/>
      </c>
      <c r="BA503">
        <f>'T_TTAFStock'!AY15</f>
        <v/>
      </c>
      <c r="BB503">
        <f>'T_TTAFStock'!AZ15</f>
        <v/>
      </c>
      <c r="BC503">
        <f>'T_TTAFStock'!BA15</f>
        <v/>
      </c>
      <c r="BD503">
        <f>'T_TTAFStock'!BB15</f>
        <v/>
      </c>
      <c r="BE503">
        <f>'T_TTAFStock'!BC15</f>
        <v/>
      </c>
      <c r="BF503">
        <f>'T_TTAFStock'!BD15</f>
        <v/>
      </c>
      <c r="BG503">
        <f>'T_TTAFStock'!BE15</f>
        <v/>
      </c>
      <c r="BH503">
        <f>'T_TTAFStock'!BF15</f>
        <v/>
      </c>
      <c r="BI503">
        <f>'T_TTAFStock'!BG15</f>
        <v/>
      </c>
      <c r="BJ503">
        <f>'T_TTAFStock'!BH15</f>
        <v/>
      </c>
      <c r="BK503">
        <f>'T_TTAFStock'!BI15</f>
        <v/>
      </c>
      <c r="BL503">
        <f>'T_TTAFStock'!BJ15</f>
        <v/>
      </c>
      <c r="BM503">
        <f>'T_TTAFStock'!BK15</f>
        <v/>
      </c>
      <c r="BN503">
        <f>'T_TTAFStock'!BL15</f>
        <v/>
      </c>
      <c r="BO503">
        <f>'T_TTAFStock'!BM15</f>
        <v/>
      </c>
      <c r="BP503">
        <f>'T_TTAFStock'!BN15</f>
        <v/>
      </c>
      <c r="BQ503">
        <f>'T_TTAFStock'!BO15</f>
        <v/>
      </c>
      <c r="BR503">
        <f>'T_TTAFStock'!BP15</f>
        <v/>
      </c>
      <c r="BS503">
        <f>'T_TTAFStock'!BQ15</f>
        <v/>
      </c>
      <c r="BT503">
        <f>'T_TTAFStock'!BR15</f>
        <v/>
      </c>
      <c r="BU503">
        <f>'T_TTAFStock'!BS15</f>
        <v/>
      </c>
      <c r="BV503">
        <f>'T_TTAFStock'!BT15</f>
        <v/>
      </c>
      <c r="BW503">
        <f>'T_TTAFStock'!BU15</f>
        <v/>
      </c>
      <c r="BX503">
        <f>'T_TTAFStock'!BV15</f>
        <v/>
      </c>
      <c r="BY503">
        <f>'T_TTAFStock'!BW15</f>
        <v/>
      </c>
      <c r="BZ503">
        <f>'T_TTAFStock'!BX15</f>
        <v/>
      </c>
      <c r="CA503">
        <f>'T_TTAFStock'!BY15</f>
        <v/>
      </c>
      <c r="CB503">
        <f>'T_TTAFStock'!BZ15</f>
        <v/>
      </c>
      <c r="CC503">
        <f>'T_TTAFStock'!CA15</f>
        <v/>
      </c>
      <c r="CD503">
        <f>'T_TTAFStock'!CB15</f>
        <v/>
      </c>
      <c r="CE503">
        <f>'T_TTAFStock'!CC15</f>
        <v/>
      </c>
      <c r="CF503">
        <f>'T_TTAFStock'!CD15</f>
        <v/>
      </c>
      <c r="CG503">
        <f>'T_TTAFStock'!CE15</f>
        <v/>
      </c>
      <c r="CH503">
        <f>'T_TTAFStock'!CF15</f>
        <v/>
      </c>
      <c r="CI503">
        <f>'T_TTAFStock'!CG15</f>
        <v/>
      </c>
      <c r="CJ503">
        <f>'T_TTAFStock'!CH15</f>
        <v/>
      </c>
      <c r="CK503">
        <f>'T_TTAFStock'!CI15</f>
        <v/>
      </c>
      <c r="CL503">
        <f>'T_TTAFStock'!CJ15</f>
        <v/>
      </c>
      <c r="CM503">
        <f>'T_TTAFStock'!CK15</f>
        <v/>
      </c>
      <c r="CN503">
        <f>'T_TTAFStock'!CL15</f>
        <v/>
      </c>
      <c r="CO503">
        <f>'T_TTAFStock'!CM15</f>
        <v/>
      </c>
      <c r="CP503">
        <f>'T_TTAFStock'!CN15</f>
        <v/>
      </c>
      <c r="CQ503">
        <f>'T_TTAFStock'!CO15</f>
        <v/>
      </c>
      <c r="CR503">
        <f>'T_TTAFStock'!CP15</f>
        <v/>
      </c>
      <c r="CS503">
        <f>'T_TTAFStock'!CQ15</f>
        <v/>
      </c>
      <c r="CT503">
        <f>'T_TTAFStock'!CR15</f>
        <v/>
      </c>
      <c r="CU503">
        <f>'T_TTAFStock'!CS15</f>
        <v/>
      </c>
      <c r="CV503">
        <f>'T_TTAFStock'!CT15</f>
        <v/>
      </c>
      <c r="CW503">
        <f>'T_TTAFStock'!CU15</f>
        <v/>
      </c>
      <c r="CX503">
        <f>'T_TTAFStock'!CV15</f>
        <v/>
      </c>
      <c r="CY503">
        <f>'T_TTAFStock'!CW15</f>
        <v/>
      </c>
      <c r="CZ503">
        <f>'T_TTAFStock'!CX15</f>
        <v/>
      </c>
      <c r="DA503">
        <f>'T_TTAFStock'!CY15</f>
        <v/>
      </c>
      <c r="DB503">
        <f>'T_TTAFStock'!CZ15</f>
        <v/>
      </c>
      <c r="DC503">
        <f>'T_TTAFStock'!DA15</f>
        <v/>
      </c>
    </row>
    <row r="504">
      <c r="B504" t="inlineStr">
        <is>
          <t>自社在庫(実績,kg)</t>
        </is>
      </c>
      <c r="D504">
        <f>'T_SelfStock'!B15</f>
        <v/>
      </c>
      <c r="E504">
        <f>'T_SelfStock'!C15</f>
        <v/>
      </c>
      <c r="F504">
        <f>'T_SelfStock'!D15</f>
        <v/>
      </c>
      <c r="G504">
        <f>'T_SelfStock'!E15</f>
        <v/>
      </c>
      <c r="H504">
        <f>'T_SelfStock'!F15</f>
        <v/>
      </c>
      <c r="I504">
        <f>'T_SelfStock'!G15</f>
        <v/>
      </c>
      <c r="J504">
        <f>'T_SelfStock'!H15</f>
        <v/>
      </c>
      <c r="K504">
        <f>'T_SelfStock'!I15</f>
        <v/>
      </c>
      <c r="L504">
        <f>'T_SelfStock'!J15</f>
        <v/>
      </c>
      <c r="M504">
        <f>'T_SelfStock'!K15</f>
        <v/>
      </c>
      <c r="N504">
        <f>'T_SelfStock'!L15</f>
        <v/>
      </c>
      <c r="O504">
        <f>'T_SelfStock'!M15</f>
        <v/>
      </c>
      <c r="P504">
        <f>'T_SelfStock'!N15</f>
        <v/>
      </c>
      <c r="Q504">
        <f>'T_SelfStock'!O15</f>
        <v/>
      </c>
      <c r="R504">
        <f>'T_SelfStock'!P15</f>
        <v/>
      </c>
      <c r="S504">
        <f>'T_SelfStock'!Q15</f>
        <v/>
      </c>
      <c r="T504">
        <f>'T_SelfStock'!R15</f>
        <v/>
      </c>
      <c r="U504">
        <f>'T_SelfStock'!S15</f>
        <v/>
      </c>
      <c r="V504">
        <f>'T_SelfStock'!T15</f>
        <v/>
      </c>
      <c r="W504">
        <f>'T_SelfStock'!U15</f>
        <v/>
      </c>
      <c r="X504">
        <f>'T_SelfStock'!V15</f>
        <v/>
      </c>
      <c r="Y504">
        <f>'T_SelfStock'!W15</f>
        <v/>
      </c>
      <c r="Z504">
        <f>'T_SelfStock'!X15</f>
        <v/>
      </c>
      <c r="AA504">
        <f>'T_SelfStock'!Y15</f>
        <v/>
      </c>
      <c r="AB504">
        <f>'T_SelfStock'!Z15</f>
        <v/>
      </c>
      <c r="AC504">
        <f>'T_SelfStock'!AA15</f>
        <v/>
      </c>
      <c r="AD504">
        <f>'T_SelfStock'!AB15</f>
        <v/>
      </c>
      <c r="AE504">
        <f>'T_SelfStock'!AC15</f>
        <v/>
      </c>
      <c r="AF504">
        <f>'T_SelfStock'!AD15</f>
        <v/>
      </c>
      <c r="AG504">
        <f>'T_SelfStock'!AE15</f>
        <v/>
      </c>
      <c r="AH504">
        <f>'T_SelfStock'!AF15</f>
        <v/>
      </c>
      <c r="AI504">
        <f>'T_SelfStock'!AG15</f>
        <v/>
      </c>
      <c r="AJ504">
        <f>'T_SelfStock'!AH15</f>
        <v/>
      </c>
      <c r="AK504">
        <f>'T_SelfStock'!AI15</f>
        <v/>
      </c>
      <c r="AL504">
        <f>'T_SelfStock'!AJ15</f>
        <v/>
      </c>
      <c r="AM504">
        <f>'T_SelfStock'!AK15</f>
        <v/>
      </c>
      <c r="AN504">
        <f>'T_SelfStock'!AL15</f>
        <v/>
      </c>
      <c r="AO504">
        <f>'T_SelfStock'!AM15</f>
        <v/>
      </c>
      <c r="AP504">
        <f>'T_SelfStock'!AN15</f>
        <v/>
      </c>
      <c r="AQ504">
        <f>'T_SelfStock'!AO15</f>
        <v/>
      </c>
      <c r="AR504">
        <f>'T_SelfStock'!AP15</f>
        <v/>
      </c>
      <c r="AS504">
        <f>'T_SelfStock'!AQ15</f>
        <v/>
      </c>
      <c r="AT504">
        <f>'T_SelfStock'!AR15</f>
        <v/>
      </c>
      <c r="AU504">
        <f>'T_SelfStock'!AS15</f>
        <v/>
      </c>
      <c r="AV504">
        <f>'T_SelfStock'!AT15</f>
        <v/>
      </c>
      <c r="AW504">
        <f>'T_SelfStock'!AU15</f>
        <v/>
      </c>
      <c r="AX504">
        <f>'T_SelfStock'!AV15</f>
        <v/>
      </c>
      <c r="AY504">
        <f>'T_SelfStock'!AW15</f>
        <v/>
      </c>
      <c r="AZ504">
        <f>'T_SelfStock'!AX15</f>
        <v/>
      </c>
      <c r="BA504">
        <f>'T_SelfStock'!AY15</f>
        <v/>
      </c>
      <c r="BB504">
        <f>'T_SelfStock'!AZ15</f>
        <v/>
      </c>
      <c r="BC504">
        <f>'T_SelfStock'!BA15</f>
        <v/>
      </c>
      <c r="BD504">
        <f>'T_SelfStock'!BB15</f>
        <v/>
      </c>
      <c r="BE504">
        <f>'T_SelfStock'!BC15</f>
        <v/>
      </c>
      <c r="BF504">
        <f>'T_SelfStock'!BD15</f>
        <v/>
      </c>
      <c r="BG504">
        <f>'T_SelfStock'!BE15</f>
        <v/>
      </c>
      <c r="BH504">
        <f>'T_SelfStock'!BF15</f>
        <v/>
      </c>
      <c r="BI504">
        <f>'T_SelfStock'!BG15</f>
        <v/>
      </c>
      <c r="BJ504">
        <f>'T_SelfStock'!BH15</f>
        <v/>
      </c>
      <c r="BK504">
        <f>'T_SelfStock'!BI15</f>
        <v/>
      </c>
      <c r="BL504">
        <f>'T_SelfStock'!BJ15</f>
        <v/>
      </c>
      <c r="BM504">
        <f>'T_SelfStock'!BK15</f>
        <v/>
      </c>
      <c r="BN504">
        <f>'T_SelfStock'!BL15</f>
        <v/>
      </c>
      <c r="BO504">
        <f>'T_SelfStock'!BM15</f>
        <v/>
      </c>
      <c r="BP504">
        <f>'T_SelfStock'!BN15</f>
        <v/>
      </c>
      <c r="BQ504">
        <f>'T_SelfStock'!BO15</f>
        <v/>
      </c>
      <c r="BR504">
        <f>'T_SelfStock'!BP15</f>
        <v/>
      </c>
      <c r="BS504">
        <f>'T_SelfStock'!BQ15</f>
        <v/>
      </c>
      <c r="BT504">
        <f>'T_SelfStock'!BR15</f>
        <v/>
      </c>
      <c r="BU504">
        <f>'T_SelfStock'!BS15</f>
        <v/>
      </c>
      <c r="BV504">
        <f>'T_SelfStock'!BT15</f>
        <v/>
      </c>
      <c r="BW504">
        <f>'T_SelfStock'!BU15</f>
        <v/>
      </c>
      <c r="BX504">
        <f>'T_SelfStock'!BV15</f>
        <v/>
      </c>
      <c r="BY504">
        <f>'T_SelfStock'!BW15</f>
        <v/>
      </c>
      <c r="BZ504">
        <f>'T_SelfStock'!BX15</f>
        <v/>
      </c>
      <c r="CA504">
        <f>'T_SelfStock'!BY15</f>
        <v/>
      </c>
      <c r="CB504">
        <f>'T_SelfStock'!BZ15</f>
        <v/>
      </c>
      <c r="CC504">
        <f>'T_SelfStock'!CA15</f>
        <v/>
      </c>
      <c r="CD504">
        <f>'T_SelfStock'!CB15</f>
        <v/>
      </c>
      <c r="CE504">
        <f>'T_SelfStock'!CC15</f>
        <v/>
      </c>
      <c r="CF504">
        <f>'T_SelfStock'!CD15</f>
        <v/>
      </c>
      <c r="CG504">
        <f>'T_SelfStock'!CE15</f>
        <v/>
      </c>
      <c r="CH504">
        <f>'T_SelfStock'!CF15</f>
        <v/>
      </c>
      <c r="CI504">
        <f>'T_SelfStock'!CG15</f>
        <v/>
      </c>
      <c r="CJ504">
        <f>'T_SelfStock'!CH15</f>
        <v/>
      </c>
      <c r="CK504">
        <f>'T_SelfStock'!CI15</f>
        <v/>
      </c>
      <c r="CL504">
        <f>'T_SelfStock'!CJ15</f>
        <v/>
      </c>
      <c r="CM504">
        <f>'T_SelfStock'!CK15</f>
        <v/>
      </c>
      <c r="CN504">
        <f>'T_SelfStock'!CL15</f>
        <v/>
      </c>
      <c r="CO504">
        <f>'T_SelfStock'!CM15</f>
        <v/>
      </c>
      <c r="CP504">
        <f>'T_SelfStock'!CN15</f>
        <v/>
      </c>
      <c r="CQ504">
        <f>'T_SelfStock'!CO15</f>
        <v/>
      </c>
      <c r="CR504">
        <f>'T_SelfStock'!CP15</f>
        <v/>
      </c>
      <c r="CS504">
        <f>'T_SelfStock'!CQ15</f>
        <v/>
      </c>
      <c r="CT504">
        <f>'T_SelfStock'!CR15</f>
        <v/>
      </c>
      <c r="CU504">
        <f>'T_SelfStock'!CS15</f>
        <v/>
      </c>
      <c r="CV504">
        <f>'T_SelfStock'!CT15</f>
        <v/>
      </c>
      <c r="CW504">
        <f>'T_SelfStock'!CU15</f>
        <v/>
      </c>
      <c r="CX504">
        <f>'T_SelfStock'!CV15</f>
        <v/>
      </c>
      <c r="CY504">
        <f>'T_SelfStock'!CW15</f>
        <v/>
      </c>
      <c r="CZ504">
        <f>'T_SelfStock'!CX15</f>
        <v/>
      </c>
      <c r="DA504">
        <f>'T_SelfStock'!CY15</f>
        <v/>
      </c>
      <c r="DB504">
        <f>'T_SelfStock'!CZ15</f>
        <v/>
      </c>
      <c r="DC504">
        <f>'T_SelfStock'!DA15</f>
        <v/>
      </c>
    </row>
    <row r="505">
      <c r="B505" t="inlineStr">
        <is>
          <t>Order(発注予定,kg)</t>
        </is>
      </c>
      <c r="D505">
        <f>IF(SUMIFS(T_PlannedOrders[EffectiveQty],T_PlannedOrders[Part Name],$A413,T_PlannedOrders[WeekIndex],1)=0,"",SUMIFS(T_PlannedOrders[EffectiveQty],T_PlannedOrders[Part Name],$A413,T_PlannedOrders[WeekIndex],1)&amp;" ("&amp;TEXT(SUMPRODUCT(MAX((T_PlannedOrders[Part Name]=$A413)*(T_PlannedOrders[WeekIndex]=1)*(T_PlannedOrders[EffectiveQty]&gt;0)*T_PlannedOrders[Order_Month])),"m月")&amp;"発注)")</f>
        <v/>
      </c>
      <c r="E505">
        <f>IF(SUMIFS(T_PlannedOrders[EffectiveQty],T_PlannedOrders[Part Name],$A413,T_PlannedOrders[WeekIndex],2)=0,"",SUMIFS(T_PlannedOrders[EffectiveQty],T_PlannedOrders[Part Name],$A413,T_PlannedOrders[WeekIndex],2)&amp;" ("&amp;TEXT(SUMPRODUCT(MAX((T_PlannedOrders[Part Name]=$A413)*(T_PlannedOrders[WeekIndex]=2)*(T_PlannedOrders[EffectiveQty]&gt;0)*T_PlannedOrders[Order_Month])),"m月")&amp;"発注)")</f>
        <v/>
      </c>
      <c r="F505">
        <f>IF(SUMIFS(T_PlannedOrders[EffectiveQty],T_PlannedOrders[Part Name],$A413,T_PlannedOrders[WeekIndex],3)=0,"",SUMIFS(T_PlannedOrders[EffectiveQty],T_PlannedOrders[Part Name],$A413,T_PlannedOrders[WeekIndex],3)&amp;" ("&amp;TEXT(SUMPRODUCT(MAX((T_PlannedOrders[Part Name]=$A413)*(T_PlannedOrders[WeekIndex]=3)*(T_PlannedOrders[EffectiveQty]&gt;0)*T_PlannedOrders[Order_Month])),"m月")&amp;"発注)")</f>
        <v/>
      </c>
      <c r="G505">
        <f>IF(SUMIFS(T_PlannedOrders[EffectiveQty],T_PlannedOrders[Part Name],$A413,T_PlannedOrders[WeekIndex],4)=0,"",SUMIFS(T_PlannedOrders[EffectiveQty],T_PlannedOrders[Part Name],$A413,T_PlannedOrders[WeekIndex],4)&amp;" ("&amp;TEXT(SUMPRODUCT(MAX((T_PlannedOrders[Part Name]=$A413)*(T_PlannedOrders[WeekIndex]=4)*(T_PlannedOrders[EffectiveQty]&gt;0)*T_PlannedOrders[Order_Month])),"m月")&amp;"発注)")</f>
        <v/>
      </c>
      <c r="H505">
        <f>IF(SUMIFS(T_PlannedOrders[EffectiveQty],T_PlannedOrders[Part Name],$A413,T_PlannedOrders[WeekIndex],5)=0,"",SUMIFS(T_PlannedOrders[EffectiveQty],T_PlannedOrders[Part Name],$A413,T_PlannedOrders[WeekIndex],5)&amp;" ("&amp;TEXT(SUMPRODUCT(MAX((T_PlannedOrders[Part Name]=$A413)*(T_PlannedOrders[WeekIndex]=5)*(T_PlannedOrders[EffectiveQty]&gt;0)*T_PlannedOrders[Order_Month])),"m月")&amp;"発注)")</f>
        <v/>
      </c>
      <c r="I505">
        <f>IF(SUMIFS(T_PlannedOrders[EffectiveQty],T_PlannedOrders[Part Name],$A413,T_PlannedOrders[WeekIndex],6)=0,"",SUMIFS(T_PlannedOrders[EffectiveQty],T_PlannedOrders[Part Name],$A413,T_PlannedOrders[WeekIndex],6)&amp;" ("&amp;TEXT(SUMPRODUCT(MAX((T_PlannedOrders[Part Name]=$A413)*(T_PlannedOrders[WeekIndex]=6)*(T_PlannedOrders[EffectiveQty]&gt;0)*T_PlannedOrders[Order_Month])),"m月")&amp;"発注)")</f>
        <v/>
      </c>
      <c r="J505">
        <f>IF(SUMIFS(T_PlannedOrders[EffectiveQty],T_PlannedOrders[Part Name],$A413,T_PlannedOrders[WeekIndex],7)=0,"",SUMIFS(T_PlannedOrders[EffectiveQty],T_PlannedOrders[Part Name],$A413,T_PlannedOrders[WeekIndex],7)&amp;" ("&amp;TEXT(SUMPRODUCT(MAX((T_PlannedOrders[Part Name]=$A413)*(T_PlannedOrders[WeekIndex]=7)*(T_PlannedOrders[EffectiveQty]&gt;0)*T_PlannedOrders[Order_Month])),"m月")&amp;"発注)")</f>
        <v/>
      </c>
      <c r="K505">
        <f>IF(SUMIFS(T_PlannedOrders[EffectiveQty],T_PlannedOrders[Part Name],$A413,T_PlannedOrders[WeekIndex],8)=0,"",SUMIFS(T_PlannedOrders[EffectiveQty],T_PlannedOrders[Part Name],$A413,T_PlannedOrders[WeekIndex],8)&amp;" ("&amp;TEXT(SUMPRODUCT(MAX((T_PlannedOrders[Part Name]=$A413)*(T_PlannedOrders[WeekIndex]=8)*(T_PlannedOrders[EffectiveQty]&gt;0)*T_PlannedOrders[Order_Month])),"m月")&amp;"発注)")</f>
        <v/>
      </c>
      <c r="L505">
        <f>IF(SUMIFS(T_PlannedOrders[EffectiveQty],T_PlannedOrders[Part Name],$A413,T_PlannedOrders[WeekIndex],9)=0,"",SUMIFS(T_PlannedOrders[EffectiveQty],T_PlannedOrders[Part Name],$A413,T_PlannedOrders[WeekIndex],9)&amp;" ("&amp;TEXT(SUMPRODUCT(MAX((T_PlannedOrders[Part Name]=$A413)*(T_PlannedOrders[WeekIndex]=9)*(T_PlannedOrders[EffectiveQty]&gt;0)*T_PlannedOrders[Order_Month])),"m月")&amp;"発注)")</f>
        <v/>
      </c>
      <c r="M505">
        <f>IF(SUMIFS(T_PlannedOrders[EffectiveQty],T_PlannedOrders[Part Name],$A413,T_PlannedOrders[WeekIndex],10)=0,"",SUMIFS(T_PlannedOrders[EffectiveQty],T_PlannedOrders[Part Name],$A413,T_PlannedOrders[WeekIndex],10)&amp;" ("&amp;TEXT(SUMPRODUCT(MAX((T_PlannedOrders[Part Name]=$A413)*(T_PlannedOrders[WeekIndex]=10)*(T_PlannedOrders[EffectiveQty]&gt;0)*T_PlannedOrders[Order_Month])),"m月")&amp;"発注)")</f>
        <v/>
      </c>
      <c r="N505">
        <f>IF(SUMIFS(T_PlannedOrders[EffectiveQty],T_PlannedOrders[Part Name],$A413,T_PlannedOrders[WeekIndex],11)=0,"",SUMIFS(T_PlannedOrders[EffectiveQty],T_PlannedOrders[Part Name],$A413,T_PlannedOrders[WeekIndex],11)&amp;" ("&amp;TEXT(SUMPRODUCT(MAX((T_PlannedOrders[Part Name]=$A413)*(T_PlannedOrders[WeekIndex]=11)*(T_PlannedOrders[EffectiveQty]&gt;0)*T_PlannedOrders[Order_Month])),"m月")&amp;"発注)")</f>
        <v/>
      </c>
      <c r="O505">
        <f>IF(SUMIFS(T_PlannedOrders[EffectiveQty],T_PlannedOrders[Part Name],$A413,T_PlannedOrders[WeekIndex],12)=0,"",SUMIFS(T_PlannedOrders[EffectiveQty],T_PlannedOrders[Part Name],$A413,T_PlannedOrders[WeekIndex],12)&amp;" ("&amp;TEXT(SUMPRODUCT(MAX((T_PlannedOrders[Part Name]=$A413)*(T_PlannedOrders[WeekIndex]=12)*(T_PlannedOrders[EffectiveQty]&gt;0)*T_PlannedOrders[Order_Month])),"m月")&amp;"発注)")</f>
        <v/>
      </c>
      <c r="P505">
        <f>IF(SUMIFS(T_PlannedOrders[EffectiveQty],T_PlannedOrders[Part Name],$A413,T_PlannedOrders[WeekIndex],13)=0,"",SUMIFS(T_PlannedOrders[EffectiveQty],T_PlannedOrders[Part Name],$A413,T_PlannedOrders[WeekIndex],13)&amp;" ("&amp;TEXT(SUMPRODUCT(MAX((T_PlannedOrders[Part Name]=$A413)*(T_PlannedOrders[WeekIndex]=13)*(T_PlannedOrders[EffectiveQty]&gt;0)*T_PlannedOrders[Order_Month])),"m月")&amp;"発注)")</f>
        <v/>
      </c>
      <c r="Q505">
        <f>IF(SUMIFS(T_PlannedOrders[EffectiveQty],T_PlannedOrders[Part Name],$A413,T_PlannedOrders[WeekIndex],14)=0,"",SUMIFS(T_PlannedOrders[EffectiveQty],T_PlannedOrders[Part Name],$A413,T_PlannedOrders[WeekIndex],14)&amp;" ("&amp;TEXT(SUMPRODUCT(MAX((T_PlannedOrders[Part Name]=$A413)*(T_PlannedOrders[WeekIndex]=14)*(T_PlannedOrders[EffectiveQty]&gt;0)*T_PlannedOrders[Order_Month])),"m月")&amp;"発注)")</f>
        <v/>
      </c>
      <c r="R505">
        <f>IF(SUMIFS(T_PlannedOrders[EffectiveQty],T_PlannedOrders[Part Name],$A413,T_PlannedOrders[WeekIndex],15)=0,"",SUMIFS(T_PlannedOrders[EffectiveQty],T_PlannedOrders[Part Name],$A413,T_PlannedOrders[WeekIndex],15)&amp;" ("&amp;TEXT(SUMPRODUCT(MAX((T_PlannedOrders[Part Name]=$A413)*(T_PlannedOrders[WeekIndex]=15)*(T_PlannedOrders[EffectiveQty]&gt;0)*T_PlannedOrders[Order_Month])),"m月")&amp;"発注)")</f>
        <v/>
      </c>
      <c r="S505">
        <f>IF(SUMIFS(T_PlannedOrders[EffectiveQty],T_PlannedOrders[Part Name],$A413,T_PlannedOrders[WeekIndex],16)=0,"",SUMIFS(T_PlannedOrders[EffectiveQty],T_PlannedOrders[Part Name],$A413,T_PlannedOrders[WeekIndex],16)&amp;" ("&amp;TEXT(SUMPRODUCT(MAX((T_PlannedOrders[Part Name]=$A413)*(T_PlannedOrders[WeekIndex]=16)*(T_PlannedOrders[EffectiveQty]&gt;0)*T_PlannedOrders[Order_Month])),"m月")&amp;"発注)")</f>
        <v/>
      </c>
      <c r="T505">
        <f>IF(SUMIFS(T_PlannedOrders[EffectiveQty],T_PlannedOrders[Part Name],$A413,T_PlannedOrders[WeekIndex],17)=0,"",SUMIFS(T_PlannedOrders[EffectiveQty],T_PlannedOrders[Part Name],$A413,T_PlannedOrders[WeekIndex],17)&amp;" ("&amp;TEXT(SUMPRODUCT(MAX((T_PlannedOrders[Part Name]=$A413)*(T_PlannedOrders[WeekIndex]=17)*(T_PlannedOrders[EffectiveQty]&gt;0)*T_PlannedOrders[Order_Month])),"m月")&amp;"発注)")</f>
        <v/>
      </c>
      <c r="U505">
        <f>IF(SUMIFS(T_PlannedOrders[EffectiveQty],T_PlannedOrders[Part Name],$A413,T_PlannedOrders[WeekIndex],18)=0,"",SUMIFS(T_PlannedOrders[EffectiveQty],T_PlannedOrders[Part Name],$A413,T_PlannedOrders[WeekIndex],18)&amp;" ("&amp;TEXT(SUMPRODUCT(MAX((T_PlannedOrders[Part Name]=$A413)*(T_PlannedOrders[WeekIndex]=18)*(T_PlannedOrders[EffectiveQty]&gt;0)*T_PlannedOrders[Order_Month])),"m月")&amp;"発注)")</f>
        <v/>
      </c>
      <c r="V505">
        <f>IF(SUMIFS(T_PlannedOrders[EffectiveQty],T_PlannedOrders[Part Name],$A413,T_PlannedOrders[WeekIndex],19)=0,"",SUMIFS(T_PlannedOrders[EffectiveQty],T_PlannedOrders[Part Name],$A413,T_PlannedOrders[WeekIndex],19)&amp;" ("&amp;TEXT(SUMPRODUCT(MAX((T_PlannedOrders[Part Name]=$A413)*(T_PlannedOrders[WeekIndex]=19)*(T_PlannedOrders[EffectiveQty]&gt;0)*T_PlannedOrders[Order_Month])),"m月")&amp;"発注)")</f>
        <v/>
      </c>
      <c r="W505">
        <f>IF(SUMIFS(T_PlannedOrders[EffectiveQty],T_PlannedOrders[Part Name],$A413,T_PlannedOrders[WeekIndex],20)=0,"",SUMIFS(T_PlannedOrders[EffectiveQty],T_PlannedOrders[Part Name],$A413,T_PlannedOrders[WeekIndex],20)&amp;" ("&amp;TEXT(SUMPRODUCT(MAX((T_PlannedOrders[Part Name]=$A413)*(T_PlannedOrders[WeekIndex]=20)*(T_PlannedOrders[EffectiveQty]&gt;0)*T_PlannedOrders[Order_Month])),"m月")&amp;"発注)")</f>
        <v/>
      </c>
      <c r="X505">
        <f>IF(SUMIFS(T_PlannedOrders[EffectiveQty],T_PlannedOrders[Part Name],$A413,T_PlannedOrders[WeekIndex],21)=0,"",SUMIFS(T_PlannedOrders[EffectiveQty],T_PlannedOrders[Part Name],$A413,T_PlannedOrders[WeekIndex],21)&amp;" ("&amp;TEXT(SUMPRODUCT(MAX((T_PlannedOrders[Part Name]=$A413)*(T_PlannedOrders[WeekIndex]=21)*(T_PlannedOrders[EffectiveQty]&gt;0)*T_PlannedOrders[Order_Month])),"m月")&amp;"発注)")</f>
        <v/>
      </c>
      <c r="Y505">
        <f>IF(SUMIFS(T_PlannedOrders[EffectiveQty],T_PlannedOrders[Part Name],$A413,T_PlannedOrders[WeekIndex],22)=0,"",SUMIFS(T_PlannedOrders[EffectiveQty],T_PlannedOrders[Part Name],$A413,T_PlannedOrders[WeekIndex],22)&amp;" ("&amp;TEXT(SUMPRODUCT(MAX((T_PlannedOrders[Part Name]=$A413)*(T_PlannedOrders[WeekIndex]=22)*(T_PlannedOrders[EffectiveQty]&gt;0)*T_PlannedOrders[Order_Month])),"m月")&amp;"発注)")</f>
        <v/>
      </c>
      <c r="Z505">
        <f>IF(SUMIFS(T_PlannedOrders[EffectiveQty],T_PlannedOrders[Part Name],$A413,T_PlannedOrders[WeekIndex],23)=0,"",SUMIFS(T_PlannedOrders[EffectiveQty],T_PlannedOrders[Part Name],$A413,T_PlannedOrders[WeekIndex],23)&amp;" ("&amp;TEXT(SUMPRODUCT(MAX((T_PlannedOrders[Part Name]=$A413)*(T_PlannedOrders[WeekIndex]=23)*(T_PlannedOrders[EffectiveQty]&gt;0)*T_PlannedOrders[Order_Month])),"m月")&amp;"発注)")</f>
        <v/>
      </c>
      <c r="AA505">
        <f>IF(SUMIFS(T_PlannedOrders[EffectiveQty],T_PlannedOrders[Part Name],$A413,T_PlannedOrders[WeekIndex],24)=0,"",SUMIFS(T_PlannedOrders[EffectiveQty],T_PlannedOrders[Part Name],$A413,T_PlannedOrders[WeekIndex],24)&amp;" ("&amp;TEXT(SUMPRODUCT(MAX((T_PlannedOrders[Part Name]=$A413)*(T_PlannedOrders[WeekIndex]=24)*(T_PlannedOrders[EffectiveQty]&gt;0)*T_PlannedOrders[Order_Month])),"m月")&amp;"発注)")</f>
        <v/>
      </c>
      <c r="AB505">
        <f>IF(SUMIFS(T_PlannedOrders[EffectiveQty],T_PlannedOrders[Part Name],$A413,T_PlannedOrders[WeekIndex],25)=0,"",SUMIFS(T_PlannedOrders[EffectiveQty],T_PlannedOrders[Part Name],$A413,T_PlannedOrders[WeekIndex],25)&amp;" ("&amp;TEXT(SUMPRODUCT(MAX((T_PlannedOrders[Part Name]=$A413)*(T_PlannedOrders[WeekIndex]=25)*(T_PlannedOrders[EffectiveQty]&gt;0)*T_PlannedOrders[Order_Month])),"m月")&amp;"発注)")</f>
        <v/>
      </c>
      <c r="AC505">
        <f>IF(SUMIFS(T_PlannedOrders[EffectiveQty],T_PlannedOrders[Part Name],$A413,T_PlannedOrders[WeekIndex],26)=0,"",SUMIFS(T_PlannedOrders[EffectiveQty],T_PlannedOrders[Part Name],$A413,T_PlannedOrders[WeekIndex],26)&amp;" ("&amp;TEXT(SUMPRODUCT(MAX((T_PlannedOrders[Part Name]=$A413)*(T_PlannedOrders[WeekIndex]=26)*(T_PlannedOrders[EffectiveQty]&gt;0)*T_PlannedOrders[Order_Month])),"m月")&amp;"発注)")</f>
        <v/>
      </c>
      <c r="AD505">
        <f>IF(SUMIFS(T_PlannedOrders[EffectiveQty],T_PlannedOrders[Part Name],$A413,T_PlannedOrders[WeekIndex],27)=0,"",SUMIFS(T_PlannedOrders[EffectiveQty],T_PlannedOrders[Part Name],$A413,T_PlannedOrders[WeekIndex],27)&amp;" ("&amp;TEXT(SUMPRODUCT(MAX((T_PlannedOrders[Part Name]=$A413)*(T_PlannedOrders[WeekIndex]=27)*(T_PlannedOrders[EffectiveQty]&gt;0)*T_PlannedOrders[Order_Month])),"m月")&amp;"発注)")</f>
        <v/>
      </c>
      <c r="AE505">
        <f>IF(SUMIFS(T_PlannedOrders[EffectiveQty],T_PlannedOrders[Part Name],$A413,T_PlannedOrders[WeekIndex],28)=0,"",SUMIFS(T_PlannedOrders[EffectiveQty],T_PlannedOrders[Part Name],$A413,T_PlannedOrders[WeekIndex],28)&amp;" ("&amp;TEXT(SUMPRODUCT(MAX((T_PlannedOrders[Part Name]=$A413)*(T_PlannedOrders[WeekIndex]=28)*(T_PlannedOrders[EffectiveQty]&gt;0)*T_PlannedOrders[Order_Month])),"m月")&amp;"発注)")</f>
        <v/>
      </c>
      <c r="AF505">
        <f>IF(SUMIFS(T_PlannedOrders[EffectiveQty],T_PlannedOrders[Part Name],$A413,T_PlannedOrders[WeekIndex],29)=0,"",SUMIFS(T_PlannedOrders[EffectiveQty],T_PlannedOrders[Part Name],$A413,T_PlannedOrders[WeekIndex],29)&amp;" ("&amp;TEXT(SUMPRODUCT(MAX((T_PlannedOrders[Part Name]=$A413)*(T_PlannedOrders[WeekIndex]=29)*(T_PlannedOrders[EffectiveQty]&gt;0)*T_PlannedOrders[Order_Month])),"m月")&amp;"発注)")</f>
        <v/>
      </c>
      <c r="AG505">
        <f>IF(SUMIFS(T_PlannedOrders[EffectiveQty],T_PlannedOrders[Part Name],$A413,T_PlannedOrders[WeekIndex],30)=0,"",SUMIFS(T_PlannedOrders[EffectiveQty],T_PlannedOrders[Part Name],$A413,T_PlannedOrders[WeekIndex],30)&amp;" ("&amp;TEXT(SUMPRODUCT(MAX((T_PlannedOrders[Part Name]=$A413)*(T_PlannedOrders[WeekIndex]=30)*(T_PlannedOrders[EffectiveQty]&gt;0)*T_PlannedOrders[Order_Month])),"m月")&amp;"発注)")</f>
        <v/>
      </c>
      <c r="AH505">
        <f>IF(SUMIFS(T_PlannedOrders[EffectiveQty],T_PlannedOrders[Part Name],$A413,T_PlannedOrders[WeekIndex],31)=0,"",SUMIFS(T_PlannedOrders[EffectiveQty],T_PlannedOrders[Part Name],$A413,T_PlannedOrders[WeekIndex],31)&amp;" ("&amp;TEXT(SUMPRODUCT(MAX((T_PlannedOrders[Part Name]=$A413)*(T_PlannedOrders[WeekIndex]=31)*(T_PlannedOrders[EffectiveQty]&gt;0)*T_PlannedOrders[Order_Month])),"m月")&amp;"発注)")</f>
        <v/>
      </c>
      <c r="AI505">
        <f>IF(SUMIFS(T_PlannedOrders[EffectiveQty],T_PlannedOrders[Part Name],$A413,T_PlannedOrders[WeekIndex],32)=0,"",SUMIFS(T_PlannedOrders[EffectiveQty],T_PlannedOrders[Part Name],$A413,T_PlannedOrders[WeekIndex],32)&amp;" ("&amp;TEXT(SUMPRODUCT(MAX((T_PlannedOrders[Part Name]=$A413)*(T_PlannedOrders[WeekIndex]=32)*(T_PlannedOrders[EffectiveQty]&gt;0)*T_PlannedOrders[Order_Month])),"m月")&amp;"発注)")</f>
        <v/>
      </c>
      <c r="AJ505">
        <f>IF(SUMIFS(T_PlannedOrders[EffectiveQty],T_PlannedOrders[Part Name],$A413,T_PlannedOrders[WeekIndex],33)=0,"",SUMIFS(T_PlannedOrders[EffectiveQty],T_PlannedOrders[Part Name],$A413,T_PlannedOrders[WeekIndex],33)&amp;" ("&amp;TEXT(SUMPRODUCT(MAX((T_PlannedOrders[Part Name]=$A413)*(T_PlannedOrders[WeekIndex]=33)*(T_PlannedOrders[EffectiveQty]&gt;0)*T_PlannedOrders[Order_Month])),"m月")&amp;"発注)")</f>
        <v/>
      </c>
      <c r="AK505">
        <f>IF(SUMIFS(T_PlannedOrders[EffectiveQty],T_PlannedOrders[Part Name],$A413,T_PlannedOrders[WeekIndex],34)=0,"",SUMIFS(T_PlannedOrders[EffectiveQty],T_PlannedOrders[Part Name],$A413,T_PlannedOrders[WeekIndex],34)&amp;" ("&amp;TEXT(SUMPRODUCT(MAX((T_PlannedOrders[Part Name]=$A413)*(T_PlannedOrders[WeekIndex]=34)*(T_PlannedOrders[EffectiveQty]&gt;0)*T_PlannedOrders[Order_Month])),"m月")&amp;"発注)")</f>
        <v/>
      </c>
      <c r="AL505">
        <f>IF(SUMIFS(T_PlannedOrders[EffectiveQty],T_PlannedOrders[Part Name],$A413,T_PlannedOrders[WeekIndex],35)=0,"",SUMIFS(T_PlannedOrders[EffectiveQty],T_PlannedOrders[Part Name],$A413,T_PlannedOrders[WeekIndex],35)&amp;" ("&amp;TEXT(SUMPRODUCT(MAX((T_PlannedOrders[Part Name]=$A413)*(T_PlannedOrders[WeekIndex]=35)*(T_PlannedOrders[EffectiveQty]&gt;0)*T_PlannedOrders[Order_Month])),"m月")&amp;"発注)")</f>
        <v/>
      </c>
      <c r="AM505">
        <f>IF(SUMIFS(T_PlannedOrders[EffectiveQty],T_PlannedOrders[Part Name],$A413,T_PlannedOrders[WeekIndex],36)=0,"",SUMIFS(T_PlannedOrders[EffectiveQty],T_PlannedOrders[Part Name],$A413,T_PlannedOrders[WeekIndex],36)&amp;" ("&amp;TEXT(SUMPRODUCT(MAX((T_PlannedOrders[Part Name]=$A413)*(T_PlannedOrders[WeekIndex]=36)*(T_PlannedOrders[EffectiveQty]&gt;0)*T_PlannedOrders[Order_Month])),"m月")&amp;"発注)")</f>
        <v/>
      </c>
      <c r="AN505">
        <f>IF(SUMIFS(T_PlannedOrders[EffectiveQty],T_PlannedOrders[Part Name],$A413,T_PlannedOrders[WeekIndex],37)=0,"",SUMIFS(T_PlannedOrders[EffectiveQty],T_PlannedOrders[Part Name],$A413,T_PlannedOrders[WeekIndex],37)&amp;" ("&amp;TEXT(SUMPRODUCT(MAX((T_PlannedOrders[Part Name]=$A413)*(T_PlannedOrders[WeekIndex]=37)*(T_PlannedOrders[EffectiveQty]&gt;0)*T_PlannedOrders[Order_Month])),"m月")&amp;"発注)")</f>
        <v/>
      </c>
      <c r="AO505">
        <f>IF(SUMIFS(T_PlannedOrders[EffectiveQty],T_PlannedOrders[Part Name],$A413,T_PlannedOrders[WeekIndex],38)=0,"",SUMIFS(T_PlannedOrders[EffectiveQty],T_PlannedOrders[Part Name],$A413,T_PlannedOrders[WeekIndex],38)&amp;" ("&amp;TEXT(SUMPRODUCT(MAX((T_PlannedOrders[Part Name]=$A413)*(T_PlannedOrders[WeekIndex]=38)*(T_PlannedOrders[EffectiveQty]&gt;0)*T_PlannedOrders[Order_Month])),"m月")&amp;"発注)")</f>
        <v/>
      </c>
      <c r="AP505">
        <f>IF(SUMIFS(T_PlannedOrders[EffectiveQty],T_PlannedOrders[Part Name],$A413,T_PlannedOrders[WeekIndex],39)=0,"",SUMIFS(T_PlannedOrders[EffectiveQty],T_PlannedOrders[Part Name],$A413,T_PlannedOrders[WeekIndex],39)&amp;" ("&amp;TEXT(SUMPRODUCT(MAX((T_PlannedOrders[Part Name]=$A413)*(T_PlannedOrders[WeekIndex]=39)*(T_PlannedOrders[EffectiveQty]&gt;0)*T_PlannedOrders[Order_Month])),"m月")&amp;"発注)")</f>
        <v/>
      </c>
      <c r="AQ505">
        <f>IF(SUMIFS(T_PlannedOrders[EffectiveQty],T_PlannedOrders[Part Name],$A413,T_PlannedOrders[WeekIndex],40)=0,"",SUMIFS(T_PlannedOrders[EffectiveQty],T_PlannedOrders[Part Name],$A413,T_PlannedOrders[WeekIndex],40)&amp;" ("&amp;TEXT(SUMPRODUCT(MAX((T_PlannedOrders[Part Name]=$A413)*(T_PlannedOrders[WeekIndex]=40)*(T_PlannedOrders[EffectiveQty]&gt;0)*T_PlannedOrders[Order_Month])),"m月")&amp;"発注)")</f>
        <v/>
      </c>
      <c r="AR505">
        <f>IF(SUMIFS(T_PlannedOrders[EffectiveQty],T_PlannedOrders[Part Name],$A413,T_PlannedOrders[WeekIndex],41)=0,"",SUMIFS(T_PlannedOrders[EffectiveQty],T_PlannedOrders[Part Name],$A413,T_PlannedOrders[WeekIndex],41)&amp;" ("&amp;TEXT(SUMPRODUCT(MAX((T_PlannedOrders[Part Name]=$A413)*(T_PlannedOrders[WeekIndex]=41)*(T_PlannedOrders[EffectiveQty]&gt;0)*T_PlannedOrders[Order_Month])),"m月")&amp;"発注)")</f>
        <v/>
      </c>
      <c r="AS505">
        <f>IF(SUMIFS(T_PlannedOrders[EffectiveQty],T_PlannedOrders[Part Name],$A413,T_PlannedOrders[WeekIndex],42)=0,"",SUMIFS(T_PlannedOrders[EffectiveQty],T_PlannedOrders[Part Name],$A413,T_PlannedOrders[WeekIndex],42)&amp;" ("&amp;TEXT(SUMPRODUCT(MAX((T_PlannedOrders[Part Name]=$A413)*(T_PlannedOrders[WeekIndex]=42)*(T_PlannedOrders[EffectiveQty]&gt;0)*T_PlannedOrders[Order_Month])),"m月")&amp;"発注)")</f>
        <v/>
      </c>
      <c r="AT505">
        <f>IF(SUMIFS(T_PlannedOrders[EffectiveQty],T_PlannedOrders[Part Name],$A413,T_PlannedOrders[WeekIndex],43)=0,"",SUMIFS(T_PlannedOrders[EffectiveQty],T_PlannedOrders[Part Name],$A413,T_PlannedOrders[WeekIndex],43)&amp;" ("&amp;TEXT(SUMPRODUCT(MAX((T_PlannedOrders[Part Name]=$A413)*(T_PlannedOrders[WeekIndex]=43)*(T_PlannedOrders[EffectiveQty]&gt;0)*T_PlannedOrders[Order_Month])),"m月")&amp;"発注)")</f>
        <v/>
      </c>
      <c r="AU505">
        <f>IF(SUMIFS(T_PlannedOrders[EffectiveQty],T_PlannedOrders[Part Name],$A413,T_PlannedOrders[WeekIndex],44)=0,"",SUMIFS(T_PlannedOrders[EffectiveQty],T_PlannedOrders[Part Name],$A413,T_PlannedOrders[WeekIndex],44)&amp;" ("&amp;TEXT(SUMPRODUCT(MAX((T_PlannedOrders[Part Name]=$A413)*(T_PlannedOrders[WeekIndex]=44)*(T_PlannedOrders[EffectiveQty]&gt;0)*T_PlannedOrders[Order_Month])),"m月")&amp;"発注)")</f>
        <v/>
      </c>
      <c r="AV505">
        <f>IF(SUMIFS(T_PlannedOrders[EffectiveQty],T_PlannedOrders[Part Name],$A413,T_PlannedOrders[WeekIndex],45)=0,"",SUMIFS(T_PlannedOrders[EffectiveQty],T_PlannedOrders[Part Name],$A413,T_PlannedOrders[WeekIndex],45)&amp;" ("&amp;TEXT(SUMPRODUCT(MAX((T_PlannedOrders[Part Name]=$A413)*(T_PlannedOrders[WeekIndex]=45)*(T_PlannedOrders[EffectiveQty]&gt;0)*T_PlannedOrders[Order_Month])),"m月")&amp;"発注)")</f>
        <v/>
      </c>
      <c r="AW505">
        <f>IF(SUMIFS(T_PlannedOrders[EffectiveQty],T_PlannedOrders[Part Name],$A413,T_PlannedOrders[WeekIndex],46)=0,"",SUMIFS(T_PlannedOrders[EffectiveQty],T_PlannedOrders[Part Name],$A413,T_PlannedOrders[WeekIndex],46)&amp;" ("&amp;TEXT(SUMPRODUCT(MAX((T_PlannedOrders[Part Name]=$A413)*(T_PlannedOrders[WeekIndex]=46)*(T_PlannedOrders[EffectiveQty]&gt;0)*T_PlannedOrders[Order_Month])),"m月")&amp;"発注)")</f>
        <v/>
      </c>
      <c r="AX505">
        <f>IF(SUMIFS(T_PlannedOrders[EffectiveQty],T_PlannedOrders[Part Name],$A413,T_PlannedOrders[WeekIndex],47)=0,"",SUMIFS(T_PlannedOrders[EffectiveQty],T_PlannedOrders[Part Name],$A413,T_PlannedOrders[WeekIndex],47)&amp;" ("&amp;TEXT(SUMPRODUCT(MAX((T_PlannedOrders[Part Name]=$A413)*(T_PlannedOrders[WeekIndex]=47)*(T_PlannedOrders[EffectiveQty]&gt;0)*T_PlannedOrders[Order_Month])),"m月")&amp;"発注)")</f>
        <v/>
      </c>
      <c r="AY505">
        <f>IF(SUMIFS(T_PlannedOrders[EffectiveQty],T_PlannedOrders[Part Name],$A413,T_PlannedOrders[WeekIndex],48)=0,"",SUMIFS(T_PlannedOrders[EffectiveQty],T_PlannedOrders[Part Name],$A413,T_PlannedOrders[WeekIndex],48)&amp;" ("&amp;TEXT(SUMPRODUCT(MAX((T_PlannedOrders[Part Name]=$A413)*(T_PlannedOrders[WeekIndex]=48)*(T_PlannedOrders[EffectiveQty]&gt;0)*T_PlannedOrders[Order_Month])),"m月")&amp;"発注)")</f>
        <v/>
      </c>
      <c r="AZ505">
        <f>IF(SUMIFS(T_PlannedOrders[EffectiveQty],T_PlannedOrders[Part Name],$A413,T_PlannedOrders[WeekIndex],49)=0,"",SUMIFS(T_PlannedOrders[EffectiveQty],T_PlannedOrders[Part Name],$A413,T_PlannedOrders[WeekIndex],49)&amp;" ("&amp;TEXT(SUMPRODUCT(MAX((T_PlannedOrders[Part Name]=$A413)*(T_PlannedOrders[WeekIndex]=49)*(T_PlannedOrders[EffectiveQty]&gt;0)*T_PlannedOrders[Order_Month])),"m月")&amp;"発注)")</f>
        <v/>
      </c>
      <c r="BA505">
        <f>IF(SUMIFS(T_PlannedOrders[EffectiveQty],T_PlannedOrders[Part Name],$A413,T_PlannedOrders[WeekIndex],50)=0,"",SUMIFS(T_PlannedOrders[EffectiveQty],T_PlannedOrders[Part Name],$A413,T_PlannedOrders[WeekIndex],50)&amp;" ("&amp;TEXT(SUMPRODUCT(MAX((T_PlannedOrders[Part Name]=$A413)*(T_PlannedOrders[WeekIndex]=50)*(T_PlannedOrders[EffectiveQty]&gt;0)*T_PlannedOrders[Order_Month])),"m月")&amp;"発注)")</f>
        <v/>
      </c>
      <c r="BB505">
        <f>IF(SUMIFS(T_PlannedOrders[EffectiveQty],T_PlannedOrders[Part Name],$A413,T_PlannedOrders[WeekIndex],51)=0,"",SUMIFS(T_PlannedOrders[EffectiveQty],T_PlannedOrders[Part Name],$A413,T_PlannedOrders[WeekIndex],51)&amp;" ("&amp;TEXT(SUMPRODUCT(MAX((T_PlannedOrders[Part Name]=$A413)*(T_PlannedOrders[WeekIndex]=51)*(T_PlannedOrders[EffectiveQty]&gt;0)*T_PlannedOrders[Order_Month])),"m月")&amp;"発注)")</f>
        <v/>
      </c>
      <c r="BC505">
        <f>IF(SUMIFS(T_PlannedOrders[EffectiveQty],T_PlannedOrders[Part Name],$A413,T_PlannedOrders[WeekIndex],52)=0,"",SUMIFS(T_PlannedOrders[EffectiveQty],T_PlannedOrders[Part Name],$A413,T_PlannedOrders[WeekIndex],52)&amp;" ("&amp;TEXT(SUMPRODUCT(MAX((T_PlannedOrders[Part Name]=$A413)*(T_PlannedOrders[WeekIndex]=52)*(T_PlannedOrders[EffectiveQty]&gt;0)*T_PlannedOrders[Order_Month])),"m月")&amp;"発注)")</f>
        <v/>
      </c>
      <c r="BD505">
        <f>IF(SUMIFS(T_PlannedOrders[EffectiveQty],T_PlannedOrders[Part Name],$A413,T_PlannedOrders[WeekIndex],53)=0,"",SUMIFS(T_PlannedOrders[EffectiveQty],T_PlannedOrders[Part Name],$A413,T_PlannedOrders[WeekIndex],53)&amp;" ("&amp;TEXT(SUMPRODUCT(MAX((T_PlannedOrders[Part Name]=$A413)*(T_PlannedOrders[WeekIndex]=53)*(T_PlannedOrders[EffectiveQty]&gt;0)*T_PlannedOrders[Order_Month])),"m月")&amp;"発注)")</f>
        <v/>
      </c>
      <c r="BE505">
        <f>IF(SUMIFS(T_PlannedOrders[EffectiveQty],T_PlannedOrders[Part Name],$A413,T_PlannedOrders[WeekIndex],54)=0,"",SUMIFS(T_PlannedOrders[EffectiveQty],T_PlannedOrders[Part Name],$A413,T_PlannedOrders[WeekIndex],54)&amp;" ("&amp;TEXT(SUMPRODUCT(MAX((T_PlannedOrders[Part Name]=$A413)*(T_PlannedOrders[WeekIndex]=54)*(T_PlannedOrders[EffectiveQty]&gt;0)*T_PlannedOrders[Order_Month])),"m月")&amp;"発注)")</f>
        <v/>
      </c>
      <c r="BF505">
        <f>IF(SUMIFS(T_PlannedOrders[EffectiveQty],T_PlannedOrders[Part Name],$A413,T_PlannedOrders[WeekIndex],55)=0,"",SUMIFS(T_PlannedOrders[EffectiveQty],T_PlannedOrders[Part Name],$A413,T_PlannedOrders[WeekIndex],55)&amp;" ("&amp;TEXT(SUMPRODUCT(MAX((T_PlannedOrders[Part Name]=$A413)*(T_PlannedOrders[WeekIndex]=55)*(T_PlannedOrders[EffectiveQty]&gt;0)*T_PlannedOrders[Order_Month])),"m月")&amp;"発注)")</f>
        <v/>
      </c>
      <c r="BG505">
        <f>IF(SUMIFS(T_PlannedOrders[EffectiveQty],T_PlannedOrders[Part Name],$A413,T_PlannedOrders[WeekIndex],56)=0,"",SUMIFS(T_PlannedOrders[EffectiveQty],T_PlannedOrders[Part Name],$A413,T_PlannedOrders[WeekIndex],56)&amp;" ("&amp;TEXT(SUMPRODUCT(MAX((T_PlannedOrders[Part Name]=$A413)*(T_PlannedOrders[WeekIndex]=56)*(T_PlannedOrders[EffectiveQty]&gt;0)*T_PlannedOrders[Order_Month])),"m月")&amp;"発注)")</f>
        <v/>
      </c>
      <c r="BH505">
        <f>IF(SUMIFS(T_PlannedOrders[EffectiveQty],T_PlannedOrders[Part Name],$A413,T_PlannedOrders[WeekIndex],57)=0,"",SUMIFS(T_PlannedOrders[EffectiveQty],T_PlannedOrders[Part Name],$A413,T_PlannedOrders[WeekIndex],57)&amp;" ("&amp;TEXT(SUMPRODUCT(MAX((T_PlannedOrders[Part Name]=$A413)*(T_PlannedOrders[WeekIndex]=57)*(T_PlannedOrders[EffectiveQty]&gt;0)*T_PlannedOrders[Order_Month])),"m月")&amp;"発注)")</f>
        <v/>
      </c>
      <c r="BI505">
        <f>IF(SUMIFS(T_PlannedOrders[EffectiveQty],T_PlannedOrders[Part Name],$A413,T_PlannedOrders[WeekIndex],58)=0,"",SUMIFS(T_PlannedOrders[EffectiveQty],T_PlannedOrders[Part Name],$A413,T_PlannedOrders[WeekIndex],58)&amp;" ("&amp;TEXT(SUMPRODUCT(MAX((T_PlannedOrders[Part Name]=$A413)*(T_PlannedOrders[WeekIndex]=58)*(T_PlannedOrders[EffectiveQty]&gt;0)*T_PlannedOrders[Order_Month])),"m月")&amp;"発注)")</f>
        <v/>
      </c>
      <c r="BJ505">
        <f>IF(SUMIFS(T_PlannedOrders[EffectiveQty],T_PlannedOrders[Part Name],$A413,T_PlannedOrders[WeekIndex],59)=0,"",SUMIFS(T_PlannedOrders[EffectiveQty],T_PlannedOrders[Part Name],$A413,T_PlannedOrders[WeekIndex],59)&amp;" ("&amp;TEXT(SUMPRODUCT(MAX((T_PlannedOrders[Part Name]=$A413)*(T_PlannedOrders[WeekIndex]=59)*(T_PlannedOrders[EffectiveQty]&gt;0)*T_PlannedOrders[Order_Month])),"m月")&amp;"発注)")</f>
        <v/>
      </c>
      <c r="BK505">
        <f>IF(SUMIFS(T_PlannedOrders[EffectiveQty],T_PlannedOrders[Part Name],$A413,T_PlannedOrders[WeekIndex],60)=0,"",SUMIFS(T_PlannedOrders[EffectiveQty],T_PlannedOrders[Part Name],$A413,T_PlannedOrders[WeekIndex],60)&amp;" ("&amp;TEXT(SUMPRODUCT(MAX((T_PlannedOrders[Part Name]=$A413)*(T_PlannedOrders[WeekIndex]=60)*(T_PlannedOrders[EffectiveQty]&gt;0)*T_PlannedOrders[Order_Month])),"m月")&amp;"発注)")</f>
        <v/>
      </c>
      <c r="BL505">
        <f>IF(SUMIFS(T_PlannedOrders[EffectiveQty],T_PlannedOrders[Part Name],$A413,T_PlannedOrders[WeekIndex],61)=0,"",SUMIFS(T_PlannedOrders[EffectiveQty],T_PlannedOrders[Part Name],$A413,T_PlannedOrders[WeekIndex],61)&amp;" ("&amp;TEXT(SUMPRODUCT(MAX((T_PlannedOrders[Part Name]=$A413)*(T_PlannedOrders[WeekIndex]=61)*(T_PlannedOrders[EffectiveQty]&gt;0)*T_PlannedOrders[Order_Month])),"m月")&amp;"発注)")</f>
        <v/>
      </c>
      <c r="BM505">
        <f>IF(SUMIFS(T_PlannedOrders[EffectiveQty],T_PlannedOrders[Part Name],$A413,T_PlannedOrders[WeekIndex],62)=0,"",SUMIFS(T_PlannedOrders[EffectiveQty],T_PlannedOrders[Part Name],$A413,T_PlannedOrders[WeekIndex],62)&amp;" ("&amp;TEXT(SUMPRODUCT(MAX((T_PlannedOrders[Part Name]=$A413)*(T_PlannedOrders[WeekIndex]=62)*(T_PlannedOrders[EffectiveQty]&gt;0)*T_PlannedOrders[Order_Month])),"m月")&amp;"発注)")</f>
        <v/>
      </c>
      <c r="BN505">
        <f>IF(SUMIFS(T_PlannedOrders[EffectiveQty],T_PlannedOrders[Part Name],$A413,T_PlannedOrders[WeekIndex],63)=0,"",SUMIFS(T_PlannedOrders[EffectiveQty],T_PlannedOrders[Part Name],$A413,T_PlannedOrders[WeekIndex],63)&amp;" ("&amp;TEXT(SUMPRODUCT(MAX((T_PlannedOrders[Part Name]=$A413)*(T_PlannedOrders[WeekIndex]=63)*(T_PlannedOrders[EffectiveQty]&gt;0)*T_PlannedOrders[Order_Month])),"m月")&amp;"発注)")</f>
        <v/>
      </c>
      <c r="BO505">
        <f>IF(SUMIFS(T_PlannedOrders[EffectiveQty],T_PlannedOrders[Part Name],$A413,T_PlannedOrders[WeekIndex],64)=0,"",SUMIFS(T_PlannedOrders[EffectiveQty],T_PlannedOrders[Part Name],$A413,T_PlannedOrders[WeekIndex],64)&amp;" ("&amp;TEXT(SUMPRODUCT(MAX((T_PlannedOrders[Part Name]=$A413)*(T_PlannedOrders[WeekIndex]=64)*(T_PlannedOrders[EffectiveQty]&gt;0)*T_PlannedOrders[Order_Month])),"m月")&amp;"発注)")</f>
        <v/>
      </c>
      <c r="BP505">
        <f>IF(SUMIFS(T_PlannedOrders[EffectiveQty],T_PlannedOrders[Part Name],$A413,T_PlannedOrders[WeekIndex],65)=0,"",SUMIFS(T_PlannedOrders[EffectiveQty],T_PlannedOrders[Part Name],$A413,T_PlannedOrders[WeekIndex],65)&amp;" ("&amp;TEXT(SUMPRODUCT(MAX((T_PlannedOrders[Part Name]=$A413)*(T_PlannedOrders[WeekIndex]=65)*(T_PlannedOrders[EffectiveQty]&gt;0)*T_PlannedOrders[Order_Month])),"m月")&amp;"発注)")</f>
        <v/>
      </c>
      <c r="BQ505">
        <f>IF(SUMIFS(T_PlannedOrders[EffectiveQty],T_PlannedOrders[Part Name],$A413,T_PlannedOrders[WeekIndex],66)=0,"",SUMIFS(T_PlannedOrders[EffectiveQty],T_PlannedOrders[Part Name],$A413,T_PlannedOrders[WeekIndex],66)&amp;" ("&amp;TEXT(SUMPRODUCT(MAX((T_PlannedOrders[Part Name]=$A413)*(T_PlannedOrders[WeekIndex]=66)*(T_PlannedOrders[EffectiveQty]&gt;0)*T_PlannedOrders[Order_Month])),"m月")&amp;"発注)")</f>
        <v/>
      </c>
      <c r="BR505">
        <f>IF(SUMIFS(T_PlannedOrders[EffectiveQty],T_PlannedOrders[Part Name],$A413,T_PlannedOrders[WeekIndex],67)=0,"",SUMIFS(T_PlannedOrders[EffectiveQty],T_PlannedOrders[Part Name],$A413,T_PlannedOrders[WeekIndex],67)&amp;" ("&amp;TEXT(SUMPRODUCT(MAX((T_PlannedOrders[Part Name]=$A413)*(T_PlannedOrders[WeekIndex]=67)*(T_PlannedOrders[EffectiveQty]&gt;0)*T_PlannedOrders[Order_Month])),"m月")&amp;"発注)")</f>
        <v/>
      </c>
      <c r="BS505">
        <f>IF(SUMIFS(T_PlannedOrders[EffectiveQty],T_PlannedOrders[Part Name],$A413,T_PlannedOrders[WeekIndex],68)=0,"",SUMIFS(T_PlannedOrders[EffectiveQty],T_PlannedOrders[Part Name],$A413,T_PlannedOrders[WeekIndex],68)&amp;" ("&amp;TEXT(SUMPRODUCT(MAX((T_PlannedOrders[Part Name]=$A413)*(T_PlannedOrders[WeekIndex]=68)*(T_PlannedOrders[EffectiveQty]&gt;0)*T_PlannedOrders[Order_Month])),"m月")&amp;"発注)")</f>
        <v/>
      </c>
      <c r="BT505">
        <f>IF(SUMIFS(T_PlannedOrders[EffectiveQty],T_PlannedOrders[Part Name],$A413,T_PlannedOrders[WeekIndex],69)=0,"",SUMIFS(T_PlannedOrders[EffectiveQty],T_PlannedOrders[Part Name],$A413,T_PlannedOrders[WeekIndex],69)&amp;" ("&amp;TEXT(SUMPRODUCT(MAX((T_PlannedOrders[Part Name]=$A413)*(T_PlannedOrders[WeekIndex]=69)*(T_PlannedOrders[EffectiveQty]&gt;0)*T_PlannedOrders[Order_Month])),"m月")&amp;"発注)")</f>
        <v/>
      </c>
      <c r="BU505">
        <f>IF(SUMIFS(T_PlannedOrders[EffectiveQty],T_PlannedOrders[Part Name],$A413,T_PlannedOrders[WeekIndex],70)=0,"",SUMIFS(T_PlannedOrders[EffectiveQty],T_PlannedOrders[Part Name],$A413,T_PlannedOrders[WeekIndex],70)&amp;" ("&amp;TEXT(SUMPRODUCT(MAX((T_PlannedOrders[Part Name]=$A413)*(T_PlannedOrders[WeekIndex]=70)*(T_PlannedOrders[EffectiveQty]&gt;0)*T_PlannedOrders[Order_Month])),"m月")&amp;"発注)")</f>
        <v/>
      </c>
      <c r="BV505">
        <f>IF(SUMIFS(T_PlannedOrders[EffectiveQty],T_PlannedOrders[Part Name],$A413,T_PlannedOrders[WeekIndex],71)=0,"",SUMIFS(T_PlannedOrders[EffectiveQty],T_PlannedOrders[Part Name],$A413,T_PlannedOrders[WeekIndex],71)&amp;" ("&amp;TEXT(SUMPRODUCT(MAX((T_PlannedOrders[Part Name]=$A413)*(T_PlannedOrders[WeekIndex]=71)*(T_PlannedOrders[EffectiveQty]&gt;0)*T_PlannedOrders[Order_Month])),"m月")&amp;"発注)")</f>
        <v/>
      </c>
      <c r="BW505">
        <f>IF(SUMIFS(T_PlannedOrders[EffectiveQty],T_PlannedOrders[Part Name],$A413,T_PlannedOrders[WeekIndex],72)=0,"",SUMIFS(T_PlannedOrders[EffectiveQty],T_PlannedOrders[Part Name],$A413,T_PlannedOrders[WeekIndex],72)&amp;" ("&amp;TEXT(SUMPRODUCT(MAX((T_PlannedOrders[Part Name]=$A413)*(T_PlannedOrders[WeekIndex]=72)*(T_PlannedOrders[EffectiveQty]&gt;0)*T_PlannedOrders[Order_Month])),"m月")&amp;"発注)")</f>
        <v/>
      </c>
      <c r="BX505">
        <f>IF(SUMIFS(T_PlannedOrders[EffectiveQty],T_PlannedOrders[Part Name],$A413,T_PlannedOrders[WeekIndex],73)=0,"",SUMIFS(T_PlannedOrders[EffectiveQty],T_PlannedOrders[Part Name],$A413,T_PlannedOrders[WeekIndex],73)&amp;" ("&amp;TEXT(SUMPRODUCT(MAX((T_PlannedOrders[Part Name]=$A413)*(T_PlannedOrders[WeekIndex]=73)*(T_PlannedOrders[EffectiveQty]&gt;0)*T_PlannedOrders[Order_Month])),"m月")&amp;"発注)")</f>
        <v/>
      </c>
      <c r="BY505">
        <f>IF(SUMIFS(T_PlannedOrders[EffectiveQty],T_PlannedOrders[Part Name],$A413,T_PlannedOrders[WeekIndex],74)=0,"",SUMIFS(T_PlannedOrders[EffectiveQty],T_PlannedOrders[Part Name],$A413,T_PlannedOrders[WeekIndex],74)&amp;" ("&amp;TEXT(SUMPRODUCT(MAX((T_PlannedOrders[Part Name]=$A413)*(T_PlannedOrders[WeekIndex]=74)*(T_PlannedOrders[EffectiveQty]&gt;0)*T_PlannedOrders[Order_Month])),"m月")&amp;"発注)")</f>
        <v/>
      </c>
      <c r="BZ505">
        <f>IF(SUMIFS(T_PlannedOrders[EffectiveQty],T_PlannedOrders[Part Name],$A413,T_PlannedOrders[WeekIndex],75)=0,"",SUMIFS(T_PlannedOrders[EffectiveQty],T_PlannedOrders[Part Name],$A413,T_PlannedOrders[WeekIndex],75)&amp;" ("&amp;TEXT(SUMPRODUCT(MAX((T_PlannedOrders[Part Name]=$A413)*(T_PlannedOrders[WeekIndex]=75)*(T_PlannedOrders[EffectiveQty]&gt;0)*T_PlannedOrders[Order_Month])),"m月")&amp;"発注)")</f>
        <v/>
      </c>
      <c r="CA505">
        <f>IF(SUMIFS(T_PlannedOrders[EffectiveQty],T_PlannedOrders[Part Name],$A413,T_PlannedOrders[WeekIndex],76)=0,"",SUMIFS(T_PlannedOrders[EffectiveQty],T_PlannedOrders[Part Name],$A413,T_PlannedOrders[WeekIndex],76)&amp;" ("&amp;TEXT(SUMPRODUCT(MAX((T_PlannedOrders[Part Name]=$A413)*(T_PlannedOrders[WeekIndex]=76)*(T_PlannedOrders[EffectiveQty]&gt;0)*T_PlannedOrders[Order_Month])),"m月")&amp;"発注)")</f>
        <v/>
      </c>
      <c r="CB505">
        <f>IF(SUMIFS(T_PlannedOrders[EffectiveQty],T_PlannedOrders[Part Name],$A413,T_PlannedOrders[WeekIndex],77)=0,"",SUMIFS(T_PlannedOrders[EffectiveQty],T_PlannedOrders[Part Name],$A413,T_PlannedOrders[WeekIndex],77)&amp;" ("&amp;TEXT(SUMPRODUCT(MAX((T_PlannedOrders[Part Name]=$A413)*(T_PlannedOrders[WeekIndex]=77)*(T_PlannedOrders[EffectiveQty]&gt;0)*T_PlannedOrders[Order_Month])),"m月")&amp;"発注)")</f>
        <v/>
      </c>
      <c r="CC505">
        <f>IF(SUMIFS(T_PlannedOrders[EffectiveQty],T_PlannedOrders[Part Name],$A413,T_PlannedOrders[WeekIndex],78)=0,"",SUMIFS(T_PlannedOrders[EffectiveQty],T_PlannedOrders[Part Name],$A413,T_PlannedOrders[WeekIndex],78)&amp;" ("&amp;TEXT(SUMPRODUCT(MAX((T_PlannedOrders[Part Name]=$A413)*(T_PlannedOrders[WeekIndex]=78)*(T_PlannedOrders[EffectiveQty]&gt;0)*T_PlannedOrders[Order_Month])),"m月")&amp;"発注)")</f>
        <v/>
      </c>
      <c r="CD505">
        <f>IF(SUMIFS(T_PlannedOrders[EffectiveQty],T_PlannedOrders[Part Name],$A413,T_PlannedOrders[WeekIndex],79)=0,"",SUMIFS(T_PlannedOrders[EffectiveQty],T_PlannedOrders[Part Name],$A413,T_PlannedOrders[WeekIndex],79)&amp;" ("&amp;TEXT(SUMPRODUCT(MAX((T_PlannedOrders[Part Name]=$A413)*(T_PlannedOrders[WeekIndex]=79)*(T_PlannedOrders[EffectiveQty]&gt;0)*T_PlannedOrders[Order_Month])),"m月")&amp;"発注)")</f>
        <v/>
      </c>
      <c r="CE505">
        <f>IF(SUMIFS(T_PlannedOrders[EffectiveQty],T_PlannedOrders[Part Name],$A413,T_PlannedOrders[WeekIndex],80)=0,"",SUMIFS(T_PlannedOrders[EffectiveQty],T_PlannedOrders[Part Name],$A413,T_PlannedOrders[WeekIndex],80)&amp;" ("&amp;TEXT(SUMPRODUCT(MAX((T_PlannedOrders[Part Name]=$A413)*(T_PlannedOrders[WeekIndex]=80)*(T_PlannedOrders[EffectiveQty]&gt;0)*T_PlannedOrders[Order_Month])),"m月")&amp;"発注)")</f>
        <v/>
      </c>
      <c r="CF505">
        <f>IF(SUMIFS(T_PlannedOrders[EffectiveQty],T_PlannedOrders[Part Name],$A413,T_PlannedOrders[WeekIndex],81)=0,"",SUMIFS(T_PlannedOrders[EffectiveQty],T_PlannedOrders[Part Name],$A413,T_PlannedOrders[WeekIndex],81)&amp;" ("&amp;TEXT(SUMPRODUCT(MAX((T_PlannedOrders[Part Name]=$A413)*(T_PlannedOrders[WeekIndex]=81)*(T_PlannedOrders[EffectiveQty]&gt;0)*T_PlannedOrders[Order_Month])),"m月")&amp;"発注)")</f>
        <v/>
      </c>
      <c r="CG505">
        <f>IF(SUMIFS(T_PlannedOrders[EffectiveQty],T_PlannedOrders[Part Name],$A413,T_PlannedOrders[WeekIndex],82)=0,"",SUMIFS(T_PlannedOrders[EffectiveQty],T_PlannedOrders[Part Name],$A413,T_PlannedOrders[WeekIndex],82)&amp;" ("&amp;TEXT(SUMPRODUCT(MAX((T_PlannedOrders[Part Name]=$A413)*(T_PlannedOrders[WeekIndex]=82)*(T_PlannedOrders[EffectiveQty]&gt;0)*T_PlannedOrders[Order_Month])),"m月")&amp;"発注)")</f>
        <v/>
      </c>
      <c r="CH505">
        <f>IF(SUMIFS(T_PlannedOrders[EffectiveQty],T_PlannedOrders[Part Name],$A413,T_PlannedOrders[WeekIndex],83)=0,"",SUMIFS(T_PlannedOrders[EffectiveQty],T_PlannedOrders[Part Name],$A413,T_PlannedOrders[WeekIndex],83)&amp;" ("&amp;TEXT(SUMPRODUCT(MAX((T_PlannedOrders[Part Name]=$A413)*(T_PlannedOrders[WeekIndex]=83)*(T_PlannedOrders[EffectiveQty]&gt;0)*T_PlannedOrders[Order_Month])),"m月")&amp;"発注)")</f>
        <v/>
      </c>
      <c r="CI505">
        <f>IF(SUMIFS(T_PlannedOrders[EffectiveQty],T_PlannedOrders[Part Name],$A413,T_PlannedOrders[WeekIndex],84)=0,"",SUMIFS(T_PlannedOrders[EffectiveQty],T_PlannedOrders[Part Name],$A413,T_PlannedOrders[WeekIndex],84)&amp;" ("&amp;TEXT(SUMPRODUCT(MAX((T_PlannedOrders[Part Name]=$A413)*(T_PlannedOrders[WeekIndex]=84)*(T_PlannedOrders[EffectiveQty]&gt;0)*T_PlannedOrders[Order_Month])),"m月")&amp;"発注)")</f>
        <v/>
      </c>
      <c r="CJ505">
        <f>IF(SUMIFS(T_PlannedOrders[EffectiveQty],T_PlannedOrders[Part Name],$A413,T_PlannedOrders[WeekIndex],85)=0,"",SUMIFS(T_PlannedOrders[EffectiveQty],T_PlannedOrders[Part Name],$A413,T_PlannedOrders[WeekIndex],85)&amp;" ("&amp;TEXT(SUMPRODUCT(MAX((T_PlannedOrders[Part Name]=$A413)*(T_PlannedOrders[WeekIndex]=85)*(T_PlannedOrders[EffectiveQty]&gt;0)*T_PlannedOrders[Order_Month])),"m月")&amp;"発注)")</f>
        <v/>
      </c>
      <c r="CK505">
        <f>IF(SUMIFS(T_PlannedOrders[EffectiveQty],T_PlannedOrders[Part Name],$A413,T_PlannedOrders[WeekIndex],86)=0,"",SUMIFS(T_PlannedOrders[EffectiveQty],T_PlannedOrders[Part Name],$A413,T_PlannedOrders[WeekIndex],86)&amp;" ("&amp;TEXT(SUMPRODUCT(MAX((T_PlannedOrders[Part Name]=$A413)*(T_PlannedOrders[WeekIndex]=86)*(T_PlannedOrders[EffectiveQty]&gt;0)*T_PlannedOrders[Order_Month])),"m月")&amp;"発注)")</f>
        <v/>
      </c>
      <c r="CL505">
        <f>IF(SUMIFS(T_PlannedOrders[EffectiveQty],T_PlannedOrders[Part Name],$A413,T_PlannedOrders[WeekIndex],87)=0,"",SUMIFS(T_PlannedOrders[EffectiveQty],T_PlannedOrders[Part Name],$A413,T_PlannedOrders[WeekIndex],87)&amp;" ("&amp;TEXT(SUMPRODUCT(MAX((T_PlannedOrders[Part Name]=$A413)*(T_PlannedOrders[WeekIndex]=87)*(T_PlannedOrders[EffectiveQty]&gt;0)*T_PlannedOrders[Order_Month])),"m月")&amp;"発注)")</f>
        <v/>
      </c>
      <c r="CM505">
        <f>IF(SUMIFS(T_PlannedOrders[EffectiveQty],T_PlannedOrders[Part Name],$A413,T_PlannedOrders[WeekIndex],88)=0,"",SUMIFS(T_PlannedOrders[EffectiveQty],T_PlannedOrders[Part Name],$A413,T_PlannedOrders[WeekIndex],88)&amp;" ("&amp;TEXT(SUMPRODUCT(MAX((T_PlannedOrders[Part Name]=$A413)*(T_PlannedOrders[WeekIndex]=88)*(T_PlannedOrders[EffectiveQty]&gt;0)*T_PlannedOrders[Order_Month])),"m月")&amp;"発注)")</f>
        <v/>
      </c>
      <c r="CN505">
        <f>IF(SUMIFS(T_PlannedOrders[EffectiveQty],T_PlannedOrders[Part Name],$A413,T_PlannedOrders[WeekIndex],89)=0,"",SUMIFS(T_PlannedOrders[EffectiveQty],T_PlannedOrders[Part Name],$A413,T_PlannedOrders[WeekIndex],89)&amp;" ("&amp;TEXT(SUMPRODUCT(MAX((T_PlannedOrders[Part Name]=$A413)*(T_PlannedOrders[WeekIndex]=89)*(T_PlannedOrders[EffectiveQty]&gt;0)*T_PlannedOrders[Order_Month])),"m月")&amp;"発注)")</f>
        <v/>
      </c>
      <c r="CO505">
        <f>IF(SUMIFS(T_PlannedOrders[EffectiveQty],T_PlannedOrders[Part Name],$A413,T_PlannedOrders[WeekIndex],90)=0,"",SUMIFS(T_PlannedOrders[EffectiveQty],T_PlannedOrders[Part Name],$A413,T_PlannedOrders[WeekIndex],90)&amp;" ("&amp;TEXT(SUMPRODUCT(MAX((T_PlannedOrders[Part Name]=$A413)*(T_PlannedOrders[WeekIndex]=90)*(T_PlannedOrders[EffectiveQty]&gt;0)*T_PlannedOrders[Order_Month])),"m月")&amp;"発注)")</f>
        <v/>
      </c>
      <c r="CP505">
        <f>IF(SUMIFS(T_PlannedOrders[EffectiveQty],T_PlannedOrders[Part Name],$A413,T_PlannedOrders[WeekIndex],91)=0,"",SUMIFS(T_PlannedOrders[EffectiveQty],T_PlannedOrders[Part Name],$A413,T_PlannedOrders[WeekIndex],91)&amp;" ("&amp;TEXT(SUMPRODUCT(MAX((T_PlannedOrders[Part Name]=$A413)*(T_PlannedOrders[WeekIndex]=91)*(T_PlannedOrders[EffectiveQty]&gt;0)*T_PlannedOrders[Order_Month])),"m月")&amp;"発注)")</f>
        <v/>
      </c>
      <c r="CQ505">
        <f>IF(SUMIFS(T_PlannedOrders[EffectiveQty],T_PlannedOrders[Part Name],$A413,T_PlannedOrders[WeekIndex],92)=0,"",SUMIFS(T_PlannedOrders[EffectiveQty],T_PlannedOrders[Part Name],$A413,T_PlannedOrders[WeekIndex],92)&amp;" ("&amp;TEXT(SUMPRODUCT(MAX((T_PlannedOrders[Part Name]=$A413)*(T_PlannedOrders[WeekIndex]=92)*(T_PlannedOrders[EffectiveQty]&gt;0)*T_PlannedOrders[Order_Month])),"m月")&amp;"発注)")</f>
        <v/>
      </c>
      <c r="CR505">
        <f>IF(SUMIFS(T_PlannedOrders[EffectiveQty],T_PlannedOrders[Part Name],$A413,T_PlannedOrders[WeekIndex],93)=0,"",SUMIFS(T_PlannedOrders[EffectiveQty],T_PlannedOrders[Part Name],$A413,T_PlannedOrders[WeekIndex],93)&amp;" ("&amp;TEXT(SUMPRODUCT(MAX((T_PlannedOrders[Part Name]=$A413)*(T_PlannedOrders[WeekIndex]=93)*(T_PlannedOrders[EffectiveQty]&gt;0)*T_PlannedOrders[Order_Month])),"m月")&amp;"発注)")</f>
        <v/>
      </c>
      <c r="CS505">
        <f>IF(SUMIFS(T_PlannedOrders[EffectiveQty],T_PlannedOrders[Part Name],$A413,T_PlannedOrders[WeekIndex],94)=0,"",SUMIFS(T_PlannedOrders[EffectiveQty],T_PlannedOrders[Part Name],$A413,T_PlannedOrders[WeekIndex],94)&amp;" ("&amp;TEXT(SUMPRODUCT(MAX((T_PlannedOrders[Part Name]=$A413)*(T_PlannedOrders[WeekIndex]=94)*(T_PlannedOrders[EffectiveQty]&gt;0)*T_PlannedOrders[Order_Month])),"m月")&amp;"発注)")</f>
        <v/>
      </c>
      <c r="CT505">
        <f>IF(SUMIFS(T_PlannedOrders[EffectiveQty],T_PlannedOrders[Part Name],$A413,T_PlannedOrders[WeekIndex],95)=0,"",SUMIFS(T_PlannedOrders[EffectiveQty],T_PlannedOrders[Part Name],$A413,T_PlannedOrders[WeekIndex],95)&amp;" ("&amp;TEXT(SUMPRODUCT(MAX((T_PlannedOrders[Part Name]=$A413)*(T_PlannedOrders[WeekIndex]=95)*(T_PlannedOrders[EffectiveQty]&gt;0)*T_PlannedOrders[Order_Month])),"m月")&amp;"発注)")</f>
        <v/>
      </c>
      <c r="CU505">
        <f>IF(SUMIFS(T_PlannedOrders[EffectiveQty],T_PlannedOrders[Part Name],$A413,T_PlannedOrders[WeekIndex],96)=0,"",SUMIFS(T_PlannedOrders[EffectiveQty],T_PlannedOrders[Part Name],$A413,T_PlannedOrders[WeekIndex],96)&amp;" ("&amp;TEXT(SUMPRODUCT(MAX((T_PlannedOrders[Part Name]=$A413)*(T_PlannedOrders[WeekIndex]=96)*(T_PlannedOrders[EffectiveQty]&gt;0)*T_PlannedOrders[Order_Month])),"m月")&amp;"発注)")</f>
        <v/>
      </c>
      <c r="CV505">
        <f>IF(SUMIFS(T_PlannedOrders[EffectiveQty],T_PlannedOrders[Part Name],$A413,T_PlannedOrders[WeekIndex],97)=0,"",SUMIFS(T_PlannedOrders[EffectiveQty],T_PlannedOrders[Part Name],$A413,T_PlannedOrders[WeekIndex],97)&amp;" ("&amp;TEXT(SUMPRODUCT(MAX((T_PlannedOrders[Part Name]=$A413)*(T_PlannedOrders[WeekIndex]=97)*(T_PlannedOrders[EffectiveQty]&gt;0)*T_PlannedOrders[Order_Month])),"m月")&amp;"発注)")</f>
        <v/>
      </c>
      <c r="CW505">
        <f>IF(SUMIFS(T_PlannedOrders[EffectiveQty],T_PlannedOrders[Part Name],$A413,T_PlannedOrders[WeekIndex],98)=0,"",SUMIFS(T_PlannedOrders[EffectiveQty],T_PlannedOrders[Part Name],$A413,T_PlannedOrders[WeekIndex],98)&amp;" ("&amp;TEXT(SUMPRODUCT(MAX((T_PlannedOrders[Part Name]=$A413)*(T_PlannedOrders[WeekIndex]=98)*(T_PlannedOrders[EffectiveQty]&gt;0)*T_PlannedOrders[Order_Month])),"m月")&amp;"発注)")</f>
        <v/>
      </c>
      <c r="CX505">
        <f>IF(SUMIFS(T_PlannedOrders[EffectiveQty],T_PlannedOrders[Part Name],$A413,T_PlannedOrders[WeekIndex],99)=0,"",SUMIFS(T_PlannedOrders[EffectiveQty],T_PlannedOrders[Part Name],$A413,T_PlannedOrders[WeekIndex],99)&amp;" ("&amp;TEXT(SUMPRODUCT(MAX((T_PlannedOrders[Part Name]=$A413)*(T_PlannedOrders[WeekIndex]=99)*(T_PlannedOrders[EffectiveQty]&gt;0)*T_PlannedOrders[Order_Month])),"m月")&amp;"発注)")</f>
        <v/>
      </c>
      <c r="CY505">
        <f>IF(SUMIFS(T_PlannedOrders[EffectiveQty],T_PlannedOrders[Part Name],$A413,T_PlannedOrders[WeekIndex],100)=0,"",SUMIFS(T_PlannedOrders[EffectiveQty],T_PlannedOrders[Part Name],$A413,T_PlannedOrders[WeekIndex],100)&amp;" ("&amp;TEXT(SUMPRODUCT(MAX((T_PlannedOrders[Part Name]=$A413)*(T_PlannedOrders[WeekIndex]=100)*(T_PlannedOrders[EffectiveQty]&gt;0)*T_PlannedOrders[Order_Month])),"m月")&amp;"発注)")</f>
        <v/>
      </c>
      <c r="CZ505">
        <f>IF(SUMIFS(T_PlannedOrders[EffectiveQty],T_PlannedOrders[Part Name],$A413,T_PlannedOrders[WeekIndex],101)=0,"",SUMIFS(T_PlannedOrders[EffectiveQty],T_PlannedOrders[Part Name],$A413,T_PlannedOrders[WeekIndex],101)&amp;" ("&amp;TEXT(SUMPRODUCT(MAX((T_PlannedOrders[Part Name]=$A413)*(T_PlannedOrders[WeekIndex]=101)*(T_PlannedOrders[EffectiveQty]&gt;0)*T_PlannedOrders[Order_Month])),"m月")&amp;"発注)")</f>
        <v/>
      </c>
      <c r="DA505">
        <f>IF(SUMIFS(T_PlannedOrders[EffectiveQty],T_PlannedOrders[Part Name],$A413,T_PlannedOrders[WeekIndex],102)=0,"",SUMIFS(T_PlannedOrders[EffectiveQty],T_PlannedOrders[Part Name],$A413,T_PlannedOrders[WeekIndex],102)&amp;" ("&amp;TEXT(SUMPRODUCT(MAX((T_PlannedOrders[Part Name]=$A413)*(T_PlannedOrders[WeekIndex]=102)*(T_PlannedOrders[EffectiveQty]&gt;0)*T_PlannedOrders[Order_Month])),"m月")&amp;"発注)")</f>
        <v/>
      </c>
      <c r="DB505">
        <f>IF(SUMIFS(T_PlannedOrders[EffectiveQty],T_PlannedOrders[Part Name],$A413,T_PlannedOrders[WeekIndex],103)=0,"",SUMIFS(T_PlannedOrders[EffectiveQty],T_PlannedOrders[Part Name],$A413,T_PlannedOrders[WeekIndex],103)&amp;" ("&amp;TEXT(SUMPRODUCT(MAX((T_PlannedOrders[Part Name]=$A413)*(T_PlannedOrders[WeekIndex]=103)*(T_PlannedOrders[EffectiveQty]&gt;0)*T_PlannedOrders[Order_Month])),"m月")&amp;"発注)")</f>
        <v/>
      </c>
      <c r="DC505">
        <f>IF(SUMIFS(T_PlannedOrders[EffectiveQty],T_PlannedOrders[Part Name],$A413,T_PlannedOrders[WeekIndex],104)=0,"",SUMIFS(T_PlannedOrders[EffectiveQty],T_PlannedOrders[Part Name],$A413,T_PlannedOrders[WeekIndex],104)&amp;" ("&amp;TEXT(SUMPRODUCT(MAX((T_PlannedOrders[Part Name]=$A413)*(T_PlannedOrders[WeekIndex]=104)*(T_PlannedOrders[EffectiveQty]&gt;0)*T_PlannedOrders[Order_Month])),"m月")&amp;"発注)")</f>
        <v/>
      </c>
    </row>
    <row r="506">
      <c r="B506" s="5" t="inlineStr">
        <is>
          <t>合計在庫(週末時点,kg)</t>
        </is>
      </c>
      <c r="D506">
        <f>'Grid_Stock'!B11</f>
        <v/>
      </c>
      <c r="E506">
        <f>'Grid_Stock'!C11</f>
        <v/>
      </c>
      <c r="F506">
        <f>'Grid_Stock'!D11</f>
        <v/>
      </c>
      <c r="G506">
        <f>'Grid_Stock'!E11</f>
        <v/>
      </c>
      <c r="H506">
        <f>'Grid_Stock'!F11</f>
        <v/>
      </c>
      <c r="I506">
        <f>'Grid_Stock'!G11</f>
        <v/>
      </c>
      <c r="J506">
        <f>'Grid_Stock'!H11</f>
        <v/>
      </c>
      <c r="K506">
        <f>'Grid_Stock'!I11</f>
        <v/>
      </c>
      <c r="L506">
        <f>'Grid_Stock'!J11</f>
        <v/>
      </c>
      <c r="M506">
        <f>'Grid_Stock'!K11</f>
        <v/>
      </c>
      <c r="N506">
        <f>'Grid_Stock'!L11</f>
        <v/>
      </c>
      <c r="O506">
        <f>'Grid_Stock'!M11</f>
        <v/>
      </c>
      <c r="P506">
        <f>'Grid_Stock'!N11</f>
        <v/>
      </c>
      <c r="Q506">
        <f>'Grid_Stock'!O11</f>
        <v/>
      </c>
      <c r="R506">
        <f>'Grid_Stock'!P11</f>
        <v/>
      </c>
      <c r="S506">
        <f>'Grid_Stock'!Q11</f>
        <v/>
      </c>
      <c r="T506">
        <f>'Grid_Stock'!R11</f>
        <v/>
      </c>
      <c r="U506">
        <f>'Grid_Stock'!S11</f>
        <v/>
      </c>
      <c r="V506">
        <f>'Grid_Stock'!T11</f>
        <v/>
      </c>
      <c r="W506">
        <f>'Grid_Stock'!U11</f>
        <v/>
      </c>
      <c r="X506">
        <f>'Grid_Stock'!V11</f>
        <v/>
      </c>
      <c r="Y506">
        <f>'Grid_Stock'!W11</f>
        <v/>
      </c>
      <c r="Z506">
        <f>'Grid_Stock'!X11</f>
        <v/>
      </c>
      <c r="AA506">
        <f>'Grid_Stock'!Y11</f>
        <v/>
      </c>
      <c r="AB506">
        <f>'Grid_Stock'!Z11</f>
        <v/>
      </c>
      <c r="AC506">
        <f>'Grid_Stock'!AA11</f>
        <v/>
      </c>
      <c r="AD506">
        <f>'Grid_Stock'!AB11</f>
        <v/>
      </c>
      <c r="AE506">
        <f>'Grid_Stock'!AC11</f>
        <v/>
      </c>
      <c r="AF506">
        <f>'Grid_Stock'!AD11</f>
        <v/>
      </c>
      <c r="AG506">
        <f>'Grid_Stock'!AE11</f>
        <v/>
      </c>
      <c r="AH506">
        <f>'Grid_Stock'!AF11</f>
        <v/>
      </c>
      <c r="AI506">
        <f>'Grid_Stock'!AG11</f>
        <v/>
      </c>
      <c r="AJ506">
        <f>'Grid_Stock'!AH11</f>
        <v/>
      </c>
      <c r="AK506">
        <f>'Grid_Stock'!AI11</f>
        <v/>
      </c>
      <c r="AL506">
        <f>'Grid_Stock'!AJ11</f>
        <v/>
      </c>
      <c r="AM506">
        <f>'Grid_Stock'!AK11</f>
        <v/>
      </c>
      <c r="AN506">
        <f>'Grid_Stock'!AL11</f>
        <v/>
      </c>
      <c r="AO506">
        <f>'Grid_Stock'!AM11</f>
        <v/>
      </c>
      <c r="AP506">
        <f>'Grid_Stock'!AN11</f>
        <v/>
      </c>
      <c r="AQ506">
        <f>'Grid_Stock'!AO11</f>
        <v/>
      </c>
      <c r="AR506">
        <f>'Grid_Stock'!AP11</f>
        <v/>
      </c>
      <c r="AS506">
        <f>'Grid_Stock'!AQ11</f>
        <v/>
      </c>
      <c r="AT506">
        <f>'Grid_Stock'!AR11</f>
        <v/>
      </c>
      <c r="AU506">
        <f>'Grid_Stock'!AS11</f>
        <v/>
      </c>
      <c r="AV506">
        <f>'Grid_Stock'!AT11</f>
        <v/>
      </c>
      <c r="AW506">
        <f>'Grid_Stock'!AU11</f>
        <v/>
      </c>
      <c r="AX506">
        <f>'Grid_Stock'!AV11</f>
        <v/>
      </c>
      <c r="AY506">
        <f>'Grid_Stock'!AW11</f>
        <v/>
      </c>
      <c r="AZ506">
        <f>'Grid_Stock'!AX11</f>
        <v/>
      </c>
      <c r="BA506">
        <f>'Grid_Stock'!AY11</f>
        <v/>
      </c>
      <c r="BB506">
        <f>'Grid_Stock'!AZ11</f>
        <v/>
      </c>
      <c r="BC506">
        <f>'Grid_Stock'!BA11</f>
        <v/>
      </c>
      <c r="BD506">
        <f>'Grid_Stock'!BB11</f>
        <v/>
      </c>
      <c r="BE506">
        <f>'Grid_Stock'!BC11</f>
        <v/>
      </c>
      <c r="BF506">
        <f>'Grid_Stock'!BD11</f>
        <v/>
      </c>
      <c r="BG506">
        <f>'Grid_Stock'!BE11</f>
        <v/>
      </c>
      <c r="BH506">
        <f>'Grid_Stock'!BF11</f>
        <v/>
      </c>
      <c r="BI506">
        <f>'Grid_Stock'!BG11</f>
        <v/>
      </c>
      <c r="BJ506">
        <f>'Grid_Stock'!BH11</f>
        <v/>
      </c>
      <c r="BK506">
        <f>'Grid_Stock'!BI11</f>
        <v/>
      </c>
      <c r="BL506">
        <f>'Grid_Stock'!BJ11</f>
        <v/>
      </c>
      <c r="BM506">
        <f>'Grid_Stock'!BK11</f>
        <v/>
      </c>
      <c r="BN506">
        <f>'Grid_Stock'!BL11</f>
        <v/>
      </c>
      <c r="BO506">
        <f>'Grid_Stock'!BM11</f>
        <v/>
      </c>
      <c r="BP506">
        <f>'Grid_Stock'!BN11</f>
        <v/>
      </c>
      <c r="BQ506">
        <f>'Grid_Stock'!BO11</f>
        <v/>
      </c>
      <c r="BR506">
        <f>'Grid_Stock'!BP11</f>
        <v/>
      </c>
      <c r="BS506">
        <f>'Grid_Stock'!BQ11</f>
        <v/>
      </c>
      <c r="BT506">
        <f>'Grid_Stock'!BR11</f>
        <v/>
      </c>
      <c r="BU506">
        <f>'Grid_Stock'!BS11</f>
        <v/>
      </c>
      <c r="BV506">
        <f>'Grid_Stock'!BT11</f>
        <v/>
      </c>
      <c r="BW506">
        <f>'Grid_Stock'!BU11</f>
        <v/>
      </c>
      <c r="BX506">
        <f>'Grid_Stock'!BV11</f>
        <v/>
      </c>
      <c r="BY506">
        <f>'Grid_Stock'!BW11</f>
        <v/>
      </c>
      <c r="BZ506">
        <f>'Grid_Stock'!BX11</f>
        <v/>
      </c>
      <c r="CA506">
        <f>'Grid_Stock'!BY11</f>
        <v/>
      </c>
      <c r="CB506">
        <f>'Grid_Stock'!BZ11</f>
        <v/>
      </c>
      <c r="CC506">
        <f>'Grid_Stock'!CA11</f>
        <v/>
      </c>
      <c r="CD506">
        <f>'Grid_Stock'!CB11</f>
        <v/>
      </c>
      <c r="CE506">
        <f>'Grid_Stock'!CC11</f>
        <v/>
      </c>
      <c r="CF506">
        <f>'Grid_Stock'!CD11</f>
        <v/>
      </c>
      <c r="CG506">
        <f>'Grid_Stock'!CE11</f>
        <v/>
      </c>
      <c r="CH506">
        <f>'Grid_Stock'!CF11</f>
        <v/>
      </c>
      <c r="CI506">
        <f>'Grid_Stock'!CG11</f>
        <v/>
      </c>
      <c r="CJ506">
        <f>'Grid_Stock'!CH11</f>
        <v/>
      </c>
      <c r="CK506">
        <f>'Grid_Stock'!CI11</f>
        <v/>
      </c>
      <c r="CL506">
        <f>'Grid_Stock'!CJ11</f>
        <v/>
      </c>
      <c r="CM506">
        <f>'Grid_Stock'!CK11</f>
        <v/>
      </c>
      <c r="CN506">
        <f>'Grid_Stock'!CL11</f>
        <v/>
      </c>
      <c r="CO506">
        <f>'Grid_Stock'!CM11</f>
        <v/>
      </c>
      <c r="CP506">
        <f>'Grid_Stock'!CN11</f>
        <v/>
      </c>
      <c r="CQ506">
        <f>'Grid_Stock'!CO11</f>
        <v/>
      </c>
      <c r="CR506">
        <f>'Grid_Stock'!CP11</f>
        <v/>
      </c>
      <c r="CS506">
        <f>'Grid_Stock'!CQ11</f>
        <v/>
      </c>
      <c r="CT506">
        <f>'Grid_Stock'!CR11</f>
        <v/>
      </c>
      <c r="CU506">
        <f>'Grid_Stock'!CS11</f>
        <v/>
      </c>
      <c r="CV506">
        <f>'Grid_Stock'!CT11</f>
        <v/>
      </c>
      <c r="CW506">
        <f>'Grid_Stock'!CU11</f>
        <v/>
      </c>
      <c r="CX506">
        <f>'Grid_Stock'!CV11</f>
        <v/>
      </c>
      <c r="CY506">
        <f>'Grid_Stock'!CW11</f>
        <v/>
      </c>
      <c r="CZ506">
        <f>'Grid_Stock'!CX11</f>
        <v/>
      </c>
      <c r="DA506">
        <f>'Grid_Stock'!CY11</f>
        <v/>
      </c>
      <c r="DB506">
        <f>'Grid_Stock'!CZ11</f>
        <v/>
      </c>
      <c r="DC506">
        <f>'Grid_Stock'!DA11</f>
        <v/>
      </c>
    </row>
    <row r="507">
      <c r="B507" s="23" t="inlineStr">
        <is>
          <t>（発注の目安はDashboardの基準在庫[下限/上限]と色分けを参照）</t>
        </is>
      </c>
    </row>
    <row r="509">
      <c r="A509" s="21" t="inlineStr">
        <is>
          <t>CHEM-1400</t>
        </is>
      </c>
      <c r="B509" s="21" t="inlineStr">
        <is>
          <t>Dispal</t>
        </is>
      </c>
      <c r="C509" s="22" t="n"/>
      <c r="D509" s="21" t="n"/>
      <c r="E509" s="21" t="n"/>
      <c r="F509" s="21" t="n"/>
      <c r="G509" s="21" t="n"/>
      <c r="H509" s="2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  <c r="AA509" s="21" t="n"/>
      <c r="AB509" s="21" t="n"/>
      <c r="AC509" s="21" t="n"/>
      <c r="AD509" s="21" t="n"/>
      <c r="AE509" s="21" t="n"/>
      <c r="AF509" s="21" t="n"/>
      <c r="AG509" s="21" t="n"/>
      <c r="AH509" s="21" t="n"/>
      <c r="AI509" s="21" t="n"/>
      <c r="AJ509" s="21" t="n"/>
      <c r="AK509" s="21" t="n"/>
      <c r="AL509" s="21" t="n"/>
      <c r="AM509" s="21" t="n"/>
      <c r="AN509" s="21" t="n"/>
      <c r="AO509" s="21" t="n"/>
      <c r="AP509" s="21" t="n"/>
      <c r="AQ509" s="21" t="n"/>
      <c r="AR509" s="21" t="n"/>
      <c r="AS509" s="21" t="n"/>
      <c r="AT509" s="21" t="n"/>
      <c r="AU509" s="21" t="n"/>
      <c r="AV509" s="21" t="n"/>
      <c r="AW509" s="21" t="n"/>
      <c r="AX509" s="21" t="n"/>
      <c r="AY509" s="21" t="n"/>
      <c r="AZ509" s="21" t="n"/>
      <c r="BA509" s="21" t="n"/>
      <c r="BB509" s="21" t="n"/>
      <c r="BC509" s="21" t="n"/>
      <c r="BD509" s="21" t="n"/>
      <c r="BE509" s="21" t="n"/>
      <c r="BF509" s="21" t="n"/>
      <c r="BG509" s="21" t="n"/>
      <c r="BH509" s="21" t="n"/>
      <c r="BI509" s="21" t="n"/>
      <c r="BJ509" s="21" t="n"/>
      <c r="BK509" s="21" t="n"/>
      <c r="BL509" s="21" t="n"/>
      <c r="BM509" s="21" t="n"/>
      <c r="BN509" s="21" t="n"/>
      <c r="BO509" s="21" t="n"/>
      <c r="BP509" s="21" t="n"/>
      <c r="BQ509" s="21" t="n"/>
      <c r="BR509" s="21" t="n"/>
      <c r="BS509" s="21" t="n"/>
      <c r="BT509" s="21" t="n"/>
      <c r="BU509" s="21" t="n"/>
      <c r="BV509" s="21" t="n"/>
      <c r="BW509" s="21" t="n"/>
      <c r="BX509" s="21" t="n"/>
      <c r="BY509" s="21" t="n"/>
      <c r="BZ509" s="21" t="n"/>
      <c r="CA509" s="21" t="n"/>
      <c r="CB509" s="21" t="n"/>
      <c r="CC509" s="21" t="n"/>
      <c r="CD509" s="21" t="n"/>
      <c r="CE509" s="21" t="n"/>
      <c r="CF509" s="21" t="n"/>
      <c r="CG509" s="21" t="n"/>
      <c r="CH509" s="21" t="n"/>
      <c r="CI509" s="21" t="n"/>
      <c r="CJ509" s="21" t="n"/>
      <c r="CK509" s="21" t="n"/>
      <c r="CL509" s="21" t="n"/>
      <c r="CM509" s="21" t="n"/>
      <c r="CN509" s="21" t="n"/>
      <c r="CO509" s="21" t="n"/>
      <c r="CP509" s="21" t="n"/>
      <c r="CQ509" s="21" t="n"/>
      <c r="CR509" s="21" t="n"/>
      <c r="CS509" s="21" t="n"/>
      <c r="CT509" s="21" t="n"/>
      <c r="CU509" s="21" t="n"/>
      <c r="CV509" s="21" t="n"/>
      <c r="CW509" s="21" t="n"/>
      <c r="CX509" s="21" t="n"/>
      <c r="CY509" s="21" t="n"/>
      <c r="CZ509" s="21" t="n"/>
      <c r="DA509" s="21" t="n"/>
      <c r="DB509" s="21" t="n"/>
      <c r="DC509" s="21" t="n"/>
    </row>
    <row r="510">
      <c r="B510" t="inlineStr">
        <is>
          <t>TSP-050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Name],$A509)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TSP-078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Name],$A509)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TSP-080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Name],$A509)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TSP-105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Name],$A509)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TSP-1499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Name],$A509)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TSP-1555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Name],$A509)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TSP-199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Name],$A509)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TSP-205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Name],$A509)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TSP-206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Name],$A509)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TSP-225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Name],$A509)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TSP-360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Name],$A509)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TSP-367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Name],$A509)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TSP-369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Name],$A509)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TSP-402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Name],$A509)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TSP-403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Name],$A509)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TSP-404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Name],$A509)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TSP-405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Name],$A509)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TSP-544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Name],$A509)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TSP-558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Name],$A509)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TSP-618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Name],$A509)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TSP-620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Name],$A509)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TSP-623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Name],$A509)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TSP-655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Name],$A509)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TSP-656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Name],$A509)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TSP-710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Name],$A509)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TSP-828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Name],$A509)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TSP-903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Name],$A509)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TSP-959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Name],$A509)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TSP-966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Name],$A509)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VSP-600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12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Name],$A509)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VSP-601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12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Name],$A509)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VSP-602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12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Name],$A509)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t="inlineStr">
        <is>
          <t>VSP-820</t>
        </is>
      </c>
      <c r="C574" t="inlineStr">
        <is>
          <t>No. of batches</t>
        </is>
      </c>
      <c r="D574">
        <f>IFERROR(INDEX(PP_Grid[#Data],$DD574,2),0)</f>
        <v/>
      </c>
      <c r="E574">
        <f>IFERROR(INDEX(PP_Grid[#Data],$DD574,3),0)</f>
        <v/>
      </c>
      <c r="F574">
        <f>IFERROR(INDEX(PP_Grid[#Data],$DD574,4),0)</f>
        <v/>
      </c>
      <c r="G574">
        <f>IFERROR(INDEX(PP_Grid[#Data],$DD574,5),0)</f>
        <v/>
      </c>
      <c r="H574">
        <f>IFERROR(INDEX(PP_Grid[#Data],$DD574,6),0)</f>
        <v/>
      </c>
      <c r="I574">
        <f>IFERROR(INDEX(PP_Grid[#Data],$DD574,7),0)</f>
        <v/>
      </c>
      <c r="J574">
        <f>IFERROR(INDEX(PP_Grid[#Data],$DD574,8),0)</f>
        <v/>
      </c>
      <c r="K574">
        <f>IFERROR(INDEX(PP_Grid[#Data],$DD574,9),0)</f>
        <v/>
      </c>
      <c r="L574">
        <f>IFERROR(INDEX(PP_Grid[#Data],$DD574,10),0)</f>
        <v/>
      </c>
      <c r="M574">
        <f>IFERROR(INDEX(PP_Grid[#Data],$DD574,11),0)</f>
        <v/>
      </c>
      <c r="N574">
        <f>IFERROR(INDEX(PP_Grid[#Data],$DD574,12),0)</f>
        <v/>
      </c>
      <c r="O574">
        <f>IFERROR(INDEX(PP_Grid[#Data],$DD574,13),0)</f>
        <v/>
      </c>
      <c r="P574">
        <f>IFERROR(INDEX(PP_Grid[#Data],$DD574,14),0)</f>
        <v/>
      </c>
      <c r="Q574">
        <f>IFERROR(INDEX(PP_Grid[#Data],$DD574,15),0)</f>
        <v/>
      </c>
      <c r="R574">
        <f>IFERROR(INDEX(PP_Grid[#Data],$DD574,16),0)</f>
        <v/>
      </c>
      <c r="S574">
        <f>IFERROR(INDEX(PP_Grid[#Data],$DD574,17),0)</f>
        <v/>
      </c>
      <c r="T574">
        <f>IFERROR(INDEX(PP_Grid[#Data],$DD574,18),0)</f>
        <v/>
      </c>
      <c r="U574">
        <f>IFERROR(INDEX(PP_Grid[#Data],$DD574,19),0)</f>
        <v/>
      </c>
      <c r="V574">
        <f>IFERROR(INDEX(PP_Grid[#Data],$DD574,20),0)</f>
        <v/>
      </c>
      <c r="W574">
        <f>IFERROR(INDEX(PP_Grid[#Data],$DD574,21),0)</f>
        <v/>
      </c>
      <c r="X574">
        <f>IFERROR(INDEX(PP_Grid[#Data],$DD574,22),0)</f>
        <v/>
      </c>
      <c r="Y574">
        <f>IFERROR(INDEX(PP_Grid[#Data],$DD574,23),0)</f>
        <v/>
      </c>
      <c r="Z574">
        <f>IFERROR(INDEX(PP_Grid[#Data],$DD574,24),0)</f>
        <v/>
      </c>
      <c r="AA574">
        <f>IFERROR(INDEX(PP_Grid[#Data],$DD574,25),0)</f>
        <v/>
      </c>
      <c r="AB574">
        <f>IFERROR(INDEX(PP_Grid[#Data],$DD574,26),0)</f>
        <v/>
      </c>
      <c r="AC574">
        <f>IFERROR(INDEX(PP_Grid[#Data],$DD574,27),0)</f>
        <v/>
      </c>
      <c r="AD574">
        <f>IFERROR(INDEX(PP_Grid[#Data],$DD574,28),0)</f>
        <v/>
      </c>
      <c r="AE574">
        <f>IFERROR(INDEX(PP_Grid[#Data],$DD574,29),0)</f>
        <v/>
      </c>
      <c r="AF574">
        <f>IFERROR(INDEX(PP_Grid[#Data],$DD574,30),0)</f>
        <v/>
      </c>
      <c r="AG574">
        <f>IFERROR(INDEX(PP_Grid[#Data],$DD574,31),0)</f>
        <v/>
      </c>
      <c r="AH574">
        <f>IFERROR(INDEX(PP_Grid[#Data],$DD574,32),0)</f>
        <v/>
      </c>
      <c r="AI574">
        <f>IFERROR(INDEX(PP_Grid[#Data],$DD574,33),0)</f>
        <v/>
      </c>
      <c r="AJ574">
        <f>IFERROR(INDEX(PP_Grid[#Data],$DD574,34),0)</f>
        <v/>
      </c>
      <c r="AK574">
        <f>IFERROR(INDEX(PP_Grid[#Data],$DD574,35),0)</f>
        <v/>
      </c>
      <c r="AL574">
        <f>IFERROR(INDEX(PP_Grid[#Data],$DD574,36),0)</f>
        <v/>
      </c>
      <c r="AM574">
        <f>IFERROR(INDEX(PP_Grid[#Data],$DD574,37),0)</f>
        <v/>
      </c>
      <c r="AN574">
        <f>IFERROR(INDEX(PP_Grid[#Data],$DD574,38),0)</f>
        <v/>
      </c>
      <c r="AO574">
        <f>IFERROR(INDEX(PP_Grid[#Data],$DD574,39),0)</f>
        <v/>
      </c>
      <c r="AP574">
        <f>IFERROR(INDEX(PP_Grid[#Data],$DD574,40),0)</f>
        <v/>
      </c>
      <c r="AQ574">
        <f>IFERROR(INDEX(PP_Grid[#Data],$DD574,41),0)</f>
        <v/>
      </c>
      <c r="AR574">
        <f>IFERROR(INDEX(PP_Grid[#Data],$DD574,42),0)</f>
        <v/>
      </c>
      <c r="AS574">
        <f>IFERROR(INDEX(PP_Grid[#Data],$DD574,43),0)</f>
        <v/>
      </c>
      <c r="AT574">
        <f>IFERROR(INDEX(PP_Grid[#Data],$DD574,44),0)</f>
        <v/>
      </c>
      <c r="AU574">
        <f>IFERROR(INDEX(PP_Grid[#Data],$DD574,45),0)</f>
        <v/>
      </c>
      <c r="AV574">
        <f>IFERROR(INDEX(PP_Grid[#Data],$DD574,46),0)</f>
        <v/>
      </c>
      <c r="AW574">
        <f>IFERROR(INDEX(PP_Grid[#Data],$DD574,47),0)</f>
        <v/>
      </c>
      <c r="AX574">
        <f>IFERROR(INDEX(PP_Grid[#Data],$DD574,48),0)</f>
        <v/>
      </c>
      <c r="AY574">
        <f>IFERROR(INDEX(PP_Grid[#Data],$DD574,49),0)</f>
        <v/>
      </c>
      <c r="AZ574">
        <f>IFERROR(INDEX(PP_Grid[#Data],$DD574,50),0)</f>
        <v/>
      </c>
      <c r="BA574">
        <f>IFERROR(INDEX(PP_Grid[#Data],$DD574,51),0)</f>
        <v/>
      </c>
      <c r="BB574">
        <f>IFERROR(INDEX(PP_Grid[#Data],$DD574,52),0)</f>
        <v/>
      </c>
      <c r="BC574">
        <f>IFERROR(INDEX(PP_Grid[#Data],$DD574,53),0)</f>
        <v/>
      </c>
      <c r="BD574">
        <f>IFERROR(INDEX(PP_Grid[#Data],$DD574,54),0)</f>
        <v/>
      </c>
      <c r="BE574">
        <f>IFERROR(INDEX(PP_Grid[#Data],$DD574,55),0)</f>
        <v/>
      </c>
      <c r="BF574">
        <f>IFERROR(INDEX(PP_Grid[#Data],$DD574,56),0)</f>
        <v/>
      </c>
      <c r="BG574">
        <f>IFERROR(INDEX(PP_Grid[#Data],$DD574,57),0)</f>
        <v/>
      </c>
      <c r="BH574">
        <f>IFERROR(INDEX(PP_Grid[#Data],$DD574,58),0)</f>
        <v/>
      </c>
      <c r="BI574">
        <f>IFERROR(INDEX(PP_Grid[#Data],$DD574,59),0)</f>
        <v/>
      </c>
      <c r="BJ574">
        <f>IFERROR(INDEX(PP_Grid[#Data],$DD574,60),0)</f>
        <v/>
      </c>
      <c r="BK574">
        <f>IFERROR(INDEX(PP_Grid[#Data],$DD574,61),0)</f>
        <v/>
      </c>
      <c r="BL574">
        <f>IFERROR(INDEX(PP_Grid[#Data],$DD574,62),0)</f>
        <v/>
      </c>
      <c r="BM574">
        <f>IFERROR(INDEX(PP_Grid[#Data],$DD574,63),0)</f>
        <v/>
      </c>
      <c r="BN574">
        <f>IFERROR(INDEX(PP_Grid[#Data],$DD574,64),0)</f>
        <v/>
      </c>
      <c r="BO574">
        <f>IFERROR(INDEX(PP_Grid[#Data],$DD574,65),0)</f>
        <v/>
      </c>
      <c r="BP574">
        <f>IFERROR(INDEX(PP_Grid[#Data],$DD574,66),0)</f>
        <v/>
      </c>
      <c r="BQ574">
        <f>IFERROR(INDEX(PP_Grid[#Data],$DD574,67),0)</f>
        <v/>
      </c>
      <c r="BR574">
        <f>IFERROR(INDEX(PP_Grid[#Data],$DD574,68),0)</f>
        <v/>
      </c>
      <c r="BS574">
        <f>IFERROR(INDEX(PP_Grid[#Data],$DD574,69),0)</f>
        <v/>
      </c>
      <c r="BT574">
        <f>IFERROR(INDEX(PP_Grid[#Data],$DD574,70),0)</f>
        <v/>
      </c>
      <c r="BU574">
        <f>IFERROR(INDEX(PP_Grid[#Data],$DD574,71),0)</f>
        <v/>
      </c>
      <c r="BV574">
        <f>IFERROR(INDEX(PP_Grid[#Data],$DD574,72),0)</f>
        <v/>
      </c>
      <c r="BW574">
        <f>IFERROR(INDEX(PP_Grid[#Data],$DD574,73),0)</f>
        <v/>
      </c>
      <c r="BX574">
        <f>IFERROR(INDEX(PP_Grid[#Data],$DD574,74),0)</f>
        <v/>
      </c>
      <c r="BY574">
        <f>IFERROR(INDEX(PP_Grid[#Data],$DD574,75),0)</f>
        <v/>
      </c>
      <c r="BZ574">
        <f>IFERROR(INDEX(PP_Grid[#Data],$DD574,76),0)</f>
        <v/>
      </c>
      <c r="CA574">
        <f>IFERROR(INDEX(PP_Grid[#Data],$DD574,77),0)</f>
        <v/>
      </c>
      <c r="CB574">
        <f>IFERROR(INDEX(PP_Grid[#Data],$DD574,78),0)</f>
        <v/>
      </c>
      <c r="CC574">
        <f>IFERROR(INDEX(PP_Grid[#Data],$DD574,79),0)</f>
        <v/>
      </c>
      <c r="CD574">
        <f>IFERROR(INDEX(PP_Grid[#Data],$DD574,80),0)</f>
        <v/>
      </c>
      <c r="CE574">
        <f>IFERROR(INDEX(PP_Grid[#Data],$DD574,81),0)</f>
        <v/>
      </c>
      <c r="CF574">
        <f>IFERROR(INDEX(PP_Grid[#Data],$DD574,82),0)</f>
        <v/>
      </c>
      <c r="CG574">
        <f>IFERROR(INDEX(PP_Grid[#Data],$DD574,83),0)</f>
        <v/>
      </c>
      <c r="CH574">
        <f>IFERROR(INDEX(PP_Grid[#Data],$DD574,84),0)</f>
        <v/>
      </c>
      <c r="CI574">
        <f>IFERROR(INDEX(PP_Grid[#Data],$DD574,85),0)</f>
        <v/>
      </c>
      <c r="CJ574">
        <f>IFERROR(INDEX(PP_Grid[#Data],$DD574,86),0)</f>
        <v/>
      </c>
      <c r="CK574">
        <f>IFERROR(INDEX(PP_Grid[#Data],$DD574,87),0)</f>
        <v/>
      </c>
      <c r="CL574">
        <f>IFERROR(INDEX(PP_Grid[#Data],$DD574,88),0)</f>
        <v/>
      </c>
      <c r="CM574">
        <f>IFERROR(INDEX(PP_Grid[#Data],$DD574,89),0)</f>
        <v/>
      </c>
      <c r="CN574">
        <f>IFERROR(INDEX(PP_Grid[#Data],$DD574,90),0)</f>
        <v/>
      </c>
      <c r="CO574">
        <f>IFERROR(INDEX(PP_Grid[#Data],$DD574,91),0)</f>
        <v/>
      </c>
      <c r="CP574">
        <f>IFERROR(INDEX(PP_Grid[#Data],$DD574,92),0)</f>
        <v/>
      </c>
      <c r="CQ574">
        <f>IFERROR(INDEX(PP_Grid[#Data],$DD574,93),0)</f>
        <v/>
      </c>
      <c r="CR574">
        <f>IFERROR(INDEX(PP_Grid[#Data],$DD574,94),0)</f>
        <v/>
      </c>
      <c r="CS574">
        <f>IFERROR(INDEX(PP_Grid[#Data],$DD574,95),0)</f>
        <v/>
      </c>
      <c r="CT574">
        <f>IFERROR(INDEX(PP_Grid[#Data],$DD574,96),0)</f>
        <v/>
      </c>
      <c r="CU574">
        <f>IFERROR(INDEX(PP_Grid[#Data],$DD574,97),0)</f>
        <v/>
      </c>
      <c r="CV574">
        <f>IFERROR(INDEX(PP_Grid[#Data],$DD574,98),0)</f>
        <v/>
      </c>
      <c r="CW574">
        <f>IFERROR(INDEX(PP_Grid[#Data],$DD574,99),0)</f>
        <v/>
      </c>
      <c r="CX574">
        <f>IFERROR(INDEX(PP_Grid[#Data],$DD574,100),0)</f>
        <v/>
      </c>
      <c r="CY574">
        <f>IFERROR(INDEX(PP_Grid[#Data],$DD574,101),0)</f>
        <v/>
      </c>
      <c r="CZ574">
        <f>IFERROR(INDEX(PP_Grid[#Data],$DD574,102),0)</f>
        <v/>
      </c>
      <c r="DA574">
        <f>IFERROR(INDEX(PP_Grid[#Data],$DD574,103),0)</f>
        <v/>
      </c>
      <c r="DB574">
        <f>IFERROR(INDEX(PP_Grid[#Data],$DD574,104),0)</f>
        <v/>
      </c>
      <c r="DC574">
        <f>IFERROR(INDEX(PP_Grid[#Data],$DD574,105),0)</f>
        <v/>
      </c>
      <c r="DD574" s="12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SUMIFS(M_BOM[RM_Qty_Per_Batch],M_BOM[Intermediate],$B574,M_BOM[Part Name],$A509)</f>
        <v/>
      </c>
      <c r="D575">
        <f>$C575*D574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</row>
    <row r="576">
      <c r="B576" t="inlineStr">
        <is>
          <t>VSP-822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Name],$A509)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VSP-910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Name],$A509)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VSP-989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Name],$A509)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VSP-990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Name],$A509)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s="5" t="inlineStr">
        <is>
          <t>合計使用量(kg)/週</t>
        </is>
      </c>
      <c r="D584">
        <f>'Grid_Requirement'!B13</f>
        <v/>
      </c>
      <c r="E584">
        <f>'Grid_Requirement'!C13</f>
        <v/>
      </c>
      <c r="F584">
        <f>'Grid_Requirement'!D13</f>
        <v/>
      </c>
      <c r="G584">
        <f>'Grid_Requirement'!E13</f>
        <v/>
      </c>
      <c r="H584">
        <f>'Grid_Requirement'!F13</f>
        <v/>
      </c>
      <c r="I584">
        <f>'Grid_Requirement'!G13</f>
        <v/>
      </c>
      <c r="J584">
        <f>'Grid_Requirement'!H13</f>
        <v/>
      </c>
      <c r="K584">
        <f>'Grid_Requirement'!I13</f>
        <v/>
      </c>
      <c r="L584">
        <f>'Grid_Requirement'!J13</f>
        <v/>
      </c>
      <c r="M584">
        <f>'Grid_Requirement'!K13</f>
        <v/>
      </c>
      <c r="N584">
        <f>'Grid_Requirement'!L13</f>
        <v/>
      </c>
      <c r="O584">
        <f>'Grid_Requirement'!M13</f>
        <v/>
      </c>
      <c r="P584">
        <f>'Grid_Requirement'!N13</f>
        <v/>
      </c>
      <c r="Q584">
        <f>'Grid_Requirement'!O13</f>
        <v/>
      </c>
      <c r="R584">
        <f>'Grid_Requirement'!P13</f>
        <v/>
      </c>
      <c r="S584">
        <f>'Grid_Requirement'!Q13</f>
        <v/>
      </c>
      <c r="T584">
        <f>'Grid_Requirement'!R13</f>
        <v/>
      </c>
      <c r="U584">
        <f>'Grid_Requirement'!S13</f>
        <v/>
      </c>
      <c r="V584">
        <f>'Grid_Requirement'!T13</f>
        <v/>
      </c>
      <c r="W584">
        <f>'Grid_Requirement'!U13</f>
        <v/>
      </c>
      <c r="X584">
        <f>'Grid_Requirement'!V13</f>
        <v/>
      </c>
      <c r="Y584">
        <f>'Grid_Requirement'!W13</f>
        <v/>
      </c>
      <c r="Z584">
        <f>'Grid_Requirement'!X13</f>
        <v/>
      </c>
      <c r="AA584">
        <f>'Grid_Requirement'!Y13</f>
        <v/>
      </c>
      <c r="AB584">
        <f>'Grid_Requirement'!Z13</f>
        <v/>
      </c>
      <c r="AC584">
        <f>'Grid_Requirement'!AA13</f>
        <v/>
      </c>
      <c r="AD584">
        <f>'Grid_Requirement'!AB13</f>
        <v/>
      </c>
      <c r="AE584">
        <f>'Grid_Requirement'!AC13</f>
        <v/>
      </c>
      <c r="AF584">
        <f>'Grid_Requirement'!AD13</f>
        <v/>
      </c>
      <c r="AG584">
        <f>'Grid_Requirement'!AE13</f>
        <v/>
      </c>
      <c r="AH584">
        <f>'Grid_Requirement'!AF13</f>
        <v/>
      </c>
      <c r="AI584">
        <f>'Grid_Requirement'!AG13</f>
        <v/>
      </c>
      <c r="AJ584">
        <f>'Grid_Requirement'!AH13</f>
        <v/>
      </c>
      <c r="AK584">
        <f>'Grid_Requirement'!AI13</f>
        <v/>
      </c>
      <c r="AL584">
        <f>'Grid_Requirement'!AJ13</f>
        <v/>
      </c>
      <c r="AM584">
        <f>'Grid_Requirement'!AK13</f>
        <v/>
      </c>
      <c r="AN584">
        <f>'Grid_Requirement'!AL13</f>
        <v/>
      </c>
      <c r="AO584">
        <f>'Grid_Requirement'!AM13</f>
        <v/>
      </c>
      <c r="AP584">
        <f>'Grid_Requirement'!AN13</f>
        <v/>
      </c>
      <c r="AQ584">
        <f>'Grid_Requirement'!AO13</f>
        <v/>
      </c>
      <c r="AR584">
        <f>'Grid_Requirement'!AP13</f>
        <v/>
      </c>
      <c r="AS584">
        <f>'Grid_Requirement'!AQ13</f>
        <v/>
      </c>
      <c r="AT584">
        <f>'Grid_Requirement'!AR13</f>
        <v/>
      </c>
      <c r="AU584">
        <f>'Grid_Requirement'!AS13</f>
        <v/>
      </c>
      <c r="AV584">
        <f>'Grid_Requirement'!AT13</f>
        <v/>
      </c>
      <c r="AW584">
        <f>'Grid_Requirement'!AU13</f>
        <v/>
      </c>
      <c r="AX584">
        <f>'Grid_Requirement'!AV13</f>
        <v/>
      </c>
      <c r="AY584">
        <f>'Grid_Requirement'!AW13</f>
        <v/>
      </c>
      <c r="AZ584">
        <f>'Grid_Requirement'!AX13</f>
        <v/>
      </c>
      <c r="BA584">
        <f>'Grid_Requirement'!AY13</f>
        <v/>
      </c>
      <c r="BB584">
        <f>'Grid_Requirement'!AZ13</f>
        <v/>
      </c>
      <c r="BC584">
        <f>'Grid_Requirement'!BA13</f>
        <v/>
      </c>
      <c r="BD584">
        <f>'Grid_Requirement'!BB13</f>
        <v/>
      </c>
      <c r="BE584">
        <f>'Grid_Requirement'!BC13</f>
        <v/>
      </c>
      <c r="BF584">
        <f>'Grid_Requirement'!BD13</f>
        <v/>
      </c>
      <c r="BG584">
        <f>'Grid_Requirement'!BE13</f>
        <v/>
      </c>
      <c r="BH584">
        <f>'Grid_Requirement'!BF13</f>
        <v/>
      </c>
      <c r="BI584">
        <f>'Grid_Requirement'!BG13</f>
        <v/>
      </c>
      <c r="BJ584">
        <f>'Grid_Requirement'!BH13</f>
        <v/>
      </c>
      <c r="BK584">
        <f>'Grid_Requirement'!BI13</f>
        <v/>
      </c>
      <c r="BL584">
        <f>'Grid_Requirement'!BJ13</f>
        <v/>
      </c>
      <c r="BM584">
        <f>'Grid_Requirement'!BK13</f>
        <v/>
      </c>
      <c r="BN584">
        <f>'Grid_Requirement'!BL13</f>
        <v/>
      </c>
      <c r="BO584">
        <f>'Grid_Requirement'!BM13</f>
        <v/>
      </c>
      <c r="BP584">
        <f>'Grid_Requirement'!BN13</f>
        <v/>
      </c>
      <c r="BQ584">
        <f>'Grid_Requirement'!BO13</f>
        <v/>
      </c>
      <c r="BR584">
        <f>'Grid_Requirement'!BP13</f>
        <v/>
      </c>
      <c r="BS584">
        <f>'Grid_Requirement'!BQ13</f>
        <v/>
      </c>
      <c r="BT584">
        <f>'Grid_Requirement'!BR13</f>
        <v/>
      </c>
      <c r="BU584">
        <f>'Grid_Requirement'!BS13</f>
        <v/>
      </c>
      <c r="BV584">
        <f>'Grid_Requirement'!BT13</f>
        <v/>
      </c>
      <c r="BW584">
        <f>'Grid_Requirement'!BU13</f>
        <v/>
      </c>
      <c r="BX584">
        <f>'Grid_Requirement'!BV13</f>
        <v/>
      </c>
      <c r="BY584">
        <f>'Grid_Requirement'!BW13</f>
        <v/>
      </c>
      <c r="BZ584">
        <f>'Grid_Requirement'!BX13</f>
        <v/>
      </c>
      <c r="CA584">
        <f>'Grid_Requirement'!BY13</f>
        <v/>
      </c>
      <c r="CB584">
        <f>'Grid_Requirement'!BZ13</f>
        <v/>
      </c>
      <c r="CC584">
        <f>'Grid_Requirement'!CA13</f>
        <v/>
      </c>
      <c r="CD584">
        <f>'Grid_Requirement'!CB13</f>
        <v/>
      </c>
      <c r="CE584">
        <f>'Grid_Requirement'!CC13</f>
        <v/>
      </c>
      <c r="CF584">
        <f>'Grid_Requirement'!CD13</f>
        <v/>
      </c>
      <c r="CG584">
        <f>'Grid_Requirement'!CE13</f>
        <v/>
      </c>
      <c r="CH584">
        <f>'Grid_Requirement'!CF13</f>
        <v/>
      </c>
      <c r="CI584">
        <f>'Grid_Requirement'!CG13</f>
        <v/>
      </c>
      <c r="CJ584">
        <f>'Grid_Requirement'!CH13</f>
        <v/>
      </c>
      <c r="CK584">
        <f>'Grid_Requirement'!CI13</f>
        <v/>
      </c>
      <c r="CL584">
        <f>'Grid_Requirement'!CJ13</f>
        <v/>
      </c>
      <c r="CM584">
        <f>'Grid_Requirement'!CK13</f>
        <v/>
      </c>
      <c r="CN584">
        <f>'Grid_Requirement'!CL13</f>
        <v/>
      </c>
      <c r="CO584">
        <f>'Grid_Requirement'!CM13</f>
        <v/>
      </c>
      <c r="CP584">
        <f>'Grid_Requirement'!CN13</f>
        <v/>
      </c>
      <c r="CQ584">
        <f>'Grid_Requirement'!CO13</f>
        <v/>
      </c>
      <c r="CR584">
        <f>'Grid_Requirement'!CP13</f>
        <v/>
      </c>
      <c r="CS584">
        <f>'Grid_Requirement'!CQ13</f>
        <v/>
      </c>
      <c r="CT584">
        <f>'Grid_Requirement'!CR13</f>
        <v/>
      </c>
      <c r="CU584">
        <f>'Grid_Requirement'!CS13</f>
        <v/>
      </c>
      <c r="CV584">
        <f>'Grid_Requirement'!CT13</f>
        <v/>
      </c>
      <c r="CW584">
        <f>'Grid_Requirement'!CU13</f>
        <v/>
      </c>
      <c r="CX584">
        <f>'Grid_Requirement'!CV13</f>
        <v/>
      </c>
      <c r="CY584">
        <f>'Grid_Requirement'!CW13</f>
        <v/>
      </c>
      <c r="CZ584">
        <f>'Grid_Requirement'!CX13</f>
        <v/>
      </c>
      <c r="DA584">
        <f>'Grid_Requirement'!CY13</f>
        <v/>
      </c>
      <c r="DB584">
        <f>'Grid_Requirement'!CZ13</f>
        <v/>
      </c>
      <c r="DC584">
        <f>'Grid_Requirement'!DA13</f>
        <v/>
      </c>
    </row>
    <row r="585">
      <c r="B585" t="inlineStr">
        <is>
          <t>TTAF在庫(実績,kg)</t>
        </is>
      </c>
      <c r="D585">
        <f>'T_TTAFStock'!B17</f>
        <v/>
      </c>
      <c r="E585">
        <f>'T_TTAFStock'!C17</f>
        <v/>
      </c>
      <c r="F585">
        <f>'T_TTAFStock'!D17</f>
        <v/>
      </c>
      <c r="G585">
        <f>'T_TTAFStock'!E17</f>
        <v/>
      </c>
      <c r="H585">
        <f>'T_TTAFStock'!F17</f>
        <v/>
      </c>
      <c r="I585">
        <f>'T_TTAFStock'!G17</f>
        <v/>
      </c>
      <c r="J585">
        <f>'T_TTAFStock'!H17</f>
        <v/>
      </c>
      <c r="K585">
        <f>'T_TTAFStock'!I17</f>
        <v/>
      </c>
      <c r="L585">
        <f>'T_TTAFStock'!J17</f>
        <v/>
      </c>
      <c r="M585">
        <f>'T_TTAFStock'!K17</f>
        <v/>
      </c>
      <c r="N585">
        <f>'T_TTAFStock'!L17</f>
        <v/>
      </c>
      <c r="O585">
        <f>'T_TTAFStock'!M17</f>
        <v/>
      </c>
      <c r="P585">
        <f>'T_TTAFStock'!N17</f>
        <v/>
      </c>
      <c r="Q585">
        <f>'T_TTAFStock'!O17</f>
        <v/>
      </c>
      <c r="R585">
        <f>'T_TTAFStock'!P17</f>
        <v/>
      </c>
      <c r="S585">
        <f>'T_TTAFStock'!Q17</f>
        <v/>
      </c>
      <c r="T585">
        <f>'T_TTAFStock'!R17</f>
        <v/>
      </c>
      <c r="U585">
        <f>'T_TTAFStock'!S17</f>
        <v/>
      </c>
      <c r="V585">
        <f>'T_TTAFStock'!T17</f>
        <v/>
      </c>
      <c r="W585">
        <f>'T_TTAFStock'!U17</f>
        <v/>
      </c>
      <c r="X585">
        <f>'T_TTAFStock'!V17</f>
        <v/>
      </c>
      <c r="Y585">
        <f>'T_TTAFStock'!W17</f>
        <v/>
      </c>
      <c r="Z585">
        <f>'T_TTAFStock'!X17</f>
        <v/>
      </c>
      <c r="AA585">
        <f>'T_TTAFStock'!Y17</f>
        <v/>
      </c>
      <c r="AB585">
        <f>'T_TTAFStock'!Z17</f>
        <v/>
      </c>
      <c r="AC585">
        <f>'T_TTAFStock'!AA17</f>
        <v/>
      </c>
      <c r="AD585">
        <f>'T_TTAFStock'!AB17</f>
        <v/>
      </c>
      <c r="AE585">
        <f>'T_TTAFStock'!AC17</f>
        <v/>
      </c>
      <c r="AF585">
        <f>'T_TTAFStock'!AD17</f>
        <v/>
      </c>
      <c r="AG585">
        <f>'T_TTAFStock'!AE17</f>
        <v/>
      </c>
      <c r="AH585">
        <f>'T_TTAFStock'!AF17</f>
        <v/>
      </c>
      <c r="AI585">
        <f>'T_TTAFStock'!AG17</f>
        <v/>
      </c>
      <c r="AJ585">
        <f>'T_TTAFStock'!AH17</f>
        <v/>
      </c>
      <c r="AK585">
        <f>'T_TTAFStock'!AI17</f>
        <v/>
      </c>
      <c r="AL585">
        <f>'T_TTAFStock'!AJ17</f>
        <v/>
      </c>
      <c r="AM585">
        <f>'T_TTAFStock'!AK17</f>
        <v/>
      </c>
      <c r="AN585">
        <f>'T_TTAFStock'!AL17</f>
        <v/>
      </c>
      <c r="AO585">
        <f>'T_TTAFStock'!AM17</f>
        <v/>
      </c>
      <c r="AP585">
        <f>'T_TTAFStock'!AN17</f>
        <v/>
      </c>
      <c r="AQ585">
        <f>'T_TTAFStock'!AO17</f>
        <v/>
      </c>
      <c r="AR585">
        <f>'T_TTAFStock'!AP17</f>
        <v/>
      </c>
      <c r="AS585">
        <f>'T_TTAFStock'!AQ17</f>
        <v/>
      </c>
      <c r="AT585">
        <f>'T_TTAFStock'!AR17</f>
        <v/>
      </c>
      <c r="AU585">
        <f>'T_TTAFStock'!AS17</f>
        <v/>
      </c>
      <c r="AV585">
        <f>'T_TTAFStock'!AT17</f>
        <v/>
      </c>
      <c r="AW585">
        <f>'T_TTAFStock'!AU17</f>
        <v/>
      </c>
      <c r="AX585">
        <f>'T_TTAFStock'!AV17</f>
        <v/>
      </c>
      <c r="AY585">
        <f>'T_TTAFStock'!AW17</f>
        <v/>
      </c>
      <c r="AZ585">
        <f>'T_TTAFStock'!AX17</f>
        <v/>
      </c>
      <c r="BA585">
        <f>'T_TTAFStock'!AY17</f>
        <v/>
      </c>
      <c r="BB585">
        <f>'T_TTAFStock'!AZ17</f>
        <v/>
      </c>
      <c r="BC585">
        <f>'T_TTAFStock'!BA17</f>
        <v/>
      </c>
      <c r="BD585">
        <f>'T_TTAFStock'!BB17</f>
        <v/>
      </c>
      <c r="BE585">
        <f>'T_TTAFStock'!BC17</f>
        <v/>
      </c>
      <c r="BF585">
        <f>'T_TTAFStock'!BD17</f>
        <v/>
      </c>
      <c r="BG585">
        <f>'T_TTAFStock'!BE17</f>
        <v/>
      </c>
      <c r="BH585">
        <f>'T_TTAFStock'!BF17</f>
        <v/>
      </c>
      <c r="BI585">
        <f>'T_TTAFStock'!BG17</f>
        <v/>
      </c>
      <c r="BJ585">
        <f>'T_TTAFStock'!BH17</f>
        <v/>
      </c>
      <c r="BK585">
        <f>'T_TTAFStock'!BI17</f>
        <v/>
      </c>
      <c r="BL585">
        <f>'T_TTAFStock'!BJ17</f>
        <v/>
      </c>
      <c r="BM585">
        <f>'T_TTAFStock'!BK17</f>
        <v/>
      </c>
      <c r="BN585">
        <f>'T_TTAFStock'!BL17</f>
        <v/>
      </c>
      <c r="BO585">
        <f>'T_TTAFStock'!BM17</f>
        <v/>
      </c>
      <c r="BP585">
        <f>'T_TTAFStock'!BN17</f>
        <v/>
      </c>
      <c r="BQ585">
        <f>'T_TTAFStock'!BO17</f>
        <v/>
      </c>
      <c r="BR585">
        <f>'T_TTAFStock'!BP17</f>
        <v/>
      </c>
      <c r="BS585">
        <f>'T_TTAFStock'!BQ17</f>
        <v/>
      </c>
      <c r="BT585">
        <f>'T_TTAFStock'!BR17</f>
        <v/>
      </c>
      <c r="BU585">
        <f>'T_TTAFStock'!BS17</f>
        <v/>
      </c>
      <c r="BV585">
        <f>'T_TTAFStock'!BT17</f>
        <v/>
      </c>
      <c r="BW585">
        <f>'T_TTAFStock'!BU17</f>
        <v/>
      </c>
      <c r="BX585">
        <f>'T_TTAFStock'!BV17</f>
        <v/>
      </c>
      <c r="BY585">
        <f>'T_TTAFStock'!BW17</f>
        <v/>
      </c>
      <c r="BZ585">
        <f>'T_TTAFStock'!BX17</f>
        <v/>
      </c>
      <c r="CA585">
        <f>'T_TTAFStock'!BY17</f>
        <v/>
      </c>
      <c r="CB585">
        <f>'T_TTAFStock'!BZ17</f>
        <v/>
      </c>
      <c r="CC585">
        <f>'T_TTAFStock'!CA17</f>
        <v/>
      </c>
      <c r="CD585">
        <f>'T_TTAFStock'!CB17</f>
        <v/>
      </c>
      <c r="CE585">
        <f>'T_TTAFStock'!CC17</f>
        <v/>
      </c>
      <c r="CF585">
        <f>'T_TTAFStock'!CD17</f>
        <v/>
      </c>
      <c r="CG585">
        <f>'T_TTAFStock'!CE17</f>
        <v/>
      </c>
      <c r="CH585">
        <f>'T_TTAFStock'!CF17</f>
        <v/>
      </c>
      <c r="CI585">
        <f>'T_TTAFStock'!CG17</f>
        <v/>
      </c>
      <c r="CJ585">
        <f>'T_TTAFStock'!CH17</f>
        <v/>
      </c>
      <c r="CK585">
        <f>'T_TTAFStock'!CI17</f>
        <v/>
      </c>
      <c r="CL585">
        <f>'T_TTAFStock'!CJ17</f>
        <v/>
      </c>
      <c r="CM585">
        <f>'T_TTAFStock'!CK17</f>
        <v/>
      </c>
      <c r="CN585">
        <f>'T_TTAFStock'!CL17</f>
        <v/>
      </c>
      <c r="CO585">
        <f>'T_TTAFStock'!CM17</f>
        <v/>
      </c>
      <c r="CP585">
        <f>'T_TTAFStock'!CN17</f>
        <v/>
      </c>
      <c r="CQ585">
        <f>'T_TTAFStock'!CO17</f>
        <v/>
      </c>
      <c r="CR585">
        <f>'T_TTAFStock'!CP17</f>
        <v/>
      </c>
      <c r="CS585">
        <f>'T_TTAFStock'!CQ17</f>
        <v/>
      </c>
      <c r="CT585">
        <f>'T_TTAFStock'!CR17</f>
        <v/>
      </c>
      <c r="CU585">
        <f>'T_TTAFStock'!CS17</f>
        <v/>
      </c>
      <c r="CV585">
        <f>'T_TTAFStock'!CT17</f>
        <v/>
      </c>
      <c r="CW585">
        <f>'T_TTAFStock'!CU17</f>
        <v/>
      </c>
      <c r="CX585">
        <f>'T_TTAFStock'!CV17</f>
        <v/>
      </c>
      <c r="CY585">
        <f>'T_TTAFStock'!CW17</f>
        <v/>
      </c>
      <c r="CZ585">
        <f>'T_TTAFStock'!CX17</f>
        <v/>
      </c>
      <c r="DA585">
        <f>'T_TTAFStock'!CY17</f>
        <v/>
      </c>
      <c r="DB585">
        <f>'T_TTAFStock'!CZ17</f>
        <v/>
      </c>
      <c r="DC585">
        <f>'T_TTAFStock'!DA17</f>
        <v/>
      </c>
    </row>
    <row r="586">
      <c r="B586" t="inlineStr">
        <is>
          <t>自社在庫(実績,kg)</t>
        </is>
      </c>
      <c r="D586">
        <f>'T_SelfStock'!B17</f>
        <v/>
      </c>
      <c r="E586">
        <f>'T_SelfStock'!C17</f>
        <v/>
      </c>
      <c r="F586">
        <f>'T_SelfStock'!D17</f>
        <v/>
      </c>
      <c r="G586">
        <f>'T_SelfStock'!E17</f>
        <v/>
      </c>
      <c r="H586">
        <f>'T_SelfStock'!F17</f>
        <v/>
      </c>
      <c r="I586">
        <f>'T_SelfStock'!G17</f>
        <v/>
      </c>
      <c r="J586">
        <f>'T_SelfStock'!H17</f>
        <v/>
      </c>
      <c r="K586">
        <f>'T_SelfStock'!I17</f>
        <v/>
      </c>
      <c r="L586">
        <f>'T_SelfStock'!J17</f>
        <v/>
      </c>
      <c r="M586">
        <f>'T_SelfStock'!K17</f>
        <v/>
      </c>
      <c r="N586">
        <f>'T_SelfStock'!L17</f>
        <v/>
      </c>
      <c r="O586">
        <f>'T_SelfStock'!M17</f>
        <v/>
      </c>
      <c r="P586">
        <f>'T_SelfStock'!N17</f>
        <v/>
      </c>
      <c r="Q586">
        <f>'T_SelfStock'!O17</f>
        <v/>
      </c>
      <c r="R586">
        <f>'T_SelfStock'!P17</f>
        <v/>
      </c>
      <c r="S586">
        <f>'T_SelfStock'!Q17</f>
        <v/>
      </c>
      <c r="T586">
        <f>'T_SelfStock'!R17</f>
        <v/>
      </c>
      <c r="U586">
        <f>'T_SelfStock'!S17</f>
        <v/>
      </c>
      <c r="V586">
        <f>'T_SelfStock'!T17</f>
        <v/>
      </c>
      <c r="W586">
        <f>'T_SelfStock'!U17</f>
        <v/>
      </c>
      <c r="X586">
        <f>'T_SelfStock'!V17</f>
        <v/>
      </c>
      <c r="Y586">
        <f>'T_SelfStock'!W17</f>
        <v/>
      </c>
      <c r="Z586">
        <f>'T_SelfStock'!X17</f>
        <v/>
      </c>
      <c r="AA586">
        <f>'T_SelfStock'!Y17</f>
        <v/>
      </c>
      <c r="AB586">
        <f>'T_SelfStock'!Z17</f>
        <v/>
      </c>
      <c r="AC586">
        <f>'T_SelfStock'!AA17</f>
        <v/>
      </c>
      <c r="AD586">
        <f>'T_SelfStock'!AB17</f>
        <v/>
      </c>
      <c r="AE586">
        <f>'T_SelfStock'!AC17</f>
        <v/>
      </c>
      <c r="AF586">
        <f>'T_SelfStock'!AD17</f>
        <v/>
      </c>
      <c r="AG586">
        <f>'T_SelfStock'!AE17</f>
        <v/>
      </c>
      <c r="AH586">
        <f>'T_SelfStock'!AF17</f>
        <v/>
      </c>
      <c r="AI586">
        <f>'T_SelfStock'!AG17</f>
        <v/>
      </c>
      <c r="AJ586">
        <f>'T_SelfStock'!AH17</f>
        <v/>
      </c>
      <c r="AK586">
        <f>'T_SelfStock'!AI17</f>
        <v/>
      </c>
      <c r="AL586">
        <f>'T_SelfStock'!AJ17</f>
        <v/>
      </c>
      <c r="AM586">
        <f>'T_SelfStock'!AK17</f>
        <v/>
      </c>
      <c r="AN586">
        <f>'T_SelfStock'!AL17</f>
        <v/>
      </c>
      <c r="AO586">
        <f>'T_SelfStock'!AM17</f>
        <v/>
      </c>
      <c r="AP586">
        <f>'T_SelfStock'!AN17</f>
        <v/>
      </c>
      <c r="AQ586">
        <f>'T_SelfStock'!AO17</f>
        <v/>
      </c>
      <c r="AR586">
        <f>'T_SelfStock'!AP17</f>
        <v/>
      </c>
      <c r="AS586">
        <f>'T_SelfStock'!AQ17</f>
        <v/>
      </c>
      <c r="AT586">
        <f>'T_SelfStock'!AR17</f>
        <v/>
      </c>
      <c r="AU586">
        <f>'T_SelfStock'!AS17</f>
        <v/>
      </c>
      <c r="AV586">
        <f>'T_SelfStock'!AT17</f>
        <v/>
      </c>
      <c r="AW586">
        <f>'T_SelfStock'!AU17</f>
        <v/>
      </c>
      <c r="AX586">
        <f>'T_SelfStock'!AV17</f>
        <v/>
      </c>
      <c r="AY586">
        <f>'T_SelfStock'!AW17</f>
        <v/>
      </c>
      <c r="AZ586">
        <f>'T_SelfStock'!AX17</f>
        <v/>
      </c>
      <c r="BA586">
        <f>'T_SelfStock'!AY17</f>
        <v/>
      </c>
      <c r="BB586">
        <f>'T_SelfStock'!AZ17</f>
        <v/>
      </c>
      <c r="BC586">
        <f>'T_SelfStock'!BA17</f>
        <v/>
      </c>
      <c r="BD586">
        <f>'T_SelfStock'!BB17</f>
        <v/>
      </c>
      <c r="BE586">
        <f>'T_SelfStock'!BC17</f>
        <v/>
      </c>
      <c r="BF586">
        <f>'T_SelfStock'!BD17</f>
        <v/>
      </c>
      <c r="BG586">
        <f>'T_SelfStock'!BE17</f>
        <v/>
      </c>
      <c r="BH586">
        <f>'T_SelfStock'!BF17</f>
        <v/>
      </c>
      <c r="BI586">
        <f>'T_SelfStock'!BG17</f>
        <v/>
      </c>
      <c r="BJ586">
        <f>'T_SelfStock'!BH17</f>
        <v/>
      </c>
      <c r="BK586">
        <f>'T_SelfStock'!BI17</f>
        <v/>
      </c>
      <c r="BL586">
        <f>'T_SelfStock'!BJ17</f>
        <v/>
      </c>
      <c r="BM586">
        <f>'T_SelfStock'!BK17</f>
        <v/>
      </c>
      <c r="BN586">
        <f>'T_SelfStock'!BL17</f>
        <v/>
      </c>
      <c r="BO586">
        <f>'T_SelfStock'!BM17</f>
        <v/>
      </c>
      <c r="BP586">
        <f>'T_SelfStock'!BN17</f>
        <v/>
      </c>
      <c r="BQ586">
        <f>'T_SelfStock'!BO17</f>
        <v/>
      </c>
      <c r="BR586">
        <f>'T_SelfStock'!BP17</f>
        <v/>
      </c>
      <c r="BS586">
        <f>'T_SelfStock'!BQ17</f>
        <v/>
      </c>
      <c r="BT586">
        <f>'T_SelfStock'!BR17</f>
        <v/>
      </c>
      <c r="BU586">
        <f>'T_SelfStock'!BS17</f>
        <v/>
      </c>
      <c r="BV586">
        <f>'T_SelfStock'!BT17</f>
        <v/>
      </c>
      <c r="BW586">
        <f>'T_SelfStock'!BU17</f>
        <v/>
      </c>
      <c r="BX586">
        <f>'T_SelfStock'!BV17</f>
        <v/>
      </c>
      <c r="BY586">
        <f>'T_SelfStock'!BW17</f>
        <v/>
      </c>
      <c r="BZ586">
        <f>'T_SelfStock'!BX17</f>
        <v/>
      </c>
      <c r="CA586">
        <f>'T_SelfStock'!BY17</f>
        <v/>
      </c>
      <c r="CB586">
        <f>'T_SelfStock'!BZ17</f>
        <v/>
      </c>
      <c r="CC586">
        <f>'T_SelfStock'!CA17</f>
        <v/>
      </c>
      <c r="CD586">
        <f>'T_SelfStock'!CB17</f>
        <v/>
      </c>
      <c r="CE586">
        <f>'T_SelfStock'!CC17</f>
        <v/>
      </c>
      <c r="CF586">
        <f>'T_SelfStock'!CD17</f>
        <v/>
      </c>
      <c r="CG586">
        <f>'T_SelfStock'!CE17</f>
        <v/>
      </c>
      <c r="CH586">
        <f>'T_SelfStock'!CF17</f>
        <v/>
      </c>
      <c r="CI586">
        <f>'T_SelfStock'!CG17</f>
        <v/>
      </c>
      <c r="CJ586">
        <f>'T_SelfStock'!CH17</f>
        <v/>
      </c>
      <c r="CK586">
        <f>'T_SelfStock'!CI17</f>
        <v/>
      </c>
      <c r="CL586">
        <f>'T_SelfStock'!CJ17</f>
        <v/>
      </c>
      <c r="CM586">
        <f>'T_SelfStock'!CK17</f>
        <v/>
      </c>
      <c r="CN586">
        <f>'T_SelfStock'!CL17</f>
        <v/>
      </c>
      <c r="CO586">
        <f>'T_SelfStock'!CM17</f>
        <v/>
      </c>
      <c r="CP586">
        <f>'T_SelfStock'!CN17</f>
        <v/>
      </c>
      <c r="CQ586">
        <f>'T_SelfStock'!CO17</f>
        <v/>
      </c>
      <c r="CR586">
        <f>'T_SelfStock'!CP17</f>
        <v/>
      </c>
      <c r="CS586">
        <f>'T_SelfStock'!CQ17</f>
        <v/>
      </c>
      <c r="CT586">
        <f>'T_SelfStock'!CR17</f>
        <v/>
      </c>
      <c r="CU586">
        <f>'T_SelfStock'!CS17</f>
        <v/>
      </c>
      <c r="CV586">
        <f>'T_SelfStock'!CT17</f>
        <v/>
      </c>
      <c r="CW586">
        <f>'T_SelfStock'!CU17</f>
        <v/>
      </c>
      <c r="CX586">
        <f>'T_SelfStock'!CV17</f>
        <v/>
      </c>
      <c r="CY586">
        <f>'T_SelfStock'!CW17</f>
        <v/>
      </c>
      <c r="CZ586">
        <f>'T_SelfStock'!CX17</f>
        <v/>
      </c>
      <c r="DA586">
        <f>'T_SelfStock'!CY17</f>
        <v/>
      </c>
      <c r="DB586">
        <f>'T_SelfStock'!CZ17</f>
        <v/>
      </c>
      <c r="DC586">
        <f>'T_SelfStock'!DA17</f>
        <v/>
      </c>
    </row>
    <row r="587">
      <c r="B587" t="inlineStr">
        <is>
          <t>Order(発注予定,kg)</t>
        </is>
      </c>
      <c r="D587">
        <f>IF(SUMIFS(T_PlannedOrders[EffectiveQty],T_PlannedOrders[Part Name],$A509,T_PlannedOrders[WeekIndex],1)=0,"",SUMIFS(T_PlannedOrders[EffectiveQty],T_PlannedOrders[Part Name],$A509,T_PlannedOrders[WeekIndex],1)&amp;" ("&amp;TEXT(SUMPRODUCT(MAX((T_PlannedOrders[Part Name]=$A509)*(T_PlannedOrders[WeekIndex]=1)*(T_PlannedOrders[EffectiveQty]&gt;0)*T_PlannedOrders[Order_Month])),"m月")&amp;"発注)")</f>
        <v/>
      </c>
      <c r="E587">
        <f>IF(SUMIFS(T_PlannedOrders[EffectiveQty],T_PlannedOrders[Part Name],$A509,T_PlannedOrders[WeekIndex],2)=0,"",SUMIFS(T_PlannedOrders[EffectiveQty],T_PlannedOrders[Part Name],$A509,T_PlannedOrders[WeekIndex],2)&amp;" ("&amp;TEXT(SUMPRODUCT(MAX((T_PlannedOrders[Part Name]=$A509)*(T_PlannedOrders[WeekIndex]=2)*(T_PlannedOrders[EffectiveQty]&gt;0)*T_PlannedOrders[Order_Month])),"m月")&amp;"発注)")</f>
        <v/>
      </c>
      <c r="F587">
        <f>IF(SUMIFS(T_PlannedOrders[EffectiveQty],T_PlannedOrders[Part Name],$A509,T_PlannedOrders[WeekIndex],3)=0,"",SUMIFS(T_PlannedOrders[EffectiveQty],T_PlannedOrders[Part Name],$A509,T_PlannedOrders[WeekIndex],3)&amp;" ("&amp;TEXT(SUMPRODUCT(MAX((T_PlannedOrders[Part Name]=$A509)*(T_PlannedOrders[WeekIndex]=3)*(T_PlannedOrders[EffectiveQty]&gt;0)*T_PlannedOrders[Order_Month])),"m月")&amp;"発注)")</f>
        <v/>
      </c>
      <c r="G587">
        <f>IF(SUMIFS(T_PlannedOrders[EffectiveQty],T_PlannedOrders[Part Name],$A509,T_PlannedOrders[WeekIndex],4)=0,"",SUMIFS(T_PlannedOrders[EffectiveQty],T_PlannedOrders[Part Name],$A509,T_PlannedOrders[WeekIndex],4)&amp;" ("&amp;TEXT(SUMPRODUCT(MAX((T_PlannedOrders[Part Name]=$A509)*(T_PlannedOrders[WeekIndex]=4)*(T_PlannedOrders[EffectiveQty]&gt;0)*T_PlannedOrders[Order_Month])),"m月")&amp;"発注)")</f>
        <v/>
      </c>
      <c r="H587">
        <f>IF(SUMIFS(T_PlannedOrders[EffectiveQty],T_PlannedOrders[Part Name],$A509,T_PlannedOrders[WeekIndex],5)=0,"",SUMIFS(T_PlannedOrders[EffectiveQty],T_PlannedOrders[Part Name],$A509,T_PlannedOrders[WeekIndex],5)&amp;" ("&amp;TEXT(SUMPRODUCT(MAX((T_PlannedOrders[Part Name]=$A509)*(T_PlannedOrders[WeekIndex]=5)*(T_PlannedOrders[EffectiveQty]&gt;0)*T_PlannedOrders[Order_Month])),"m月")&amp;"発注)")</f>
        <v/>
      </c>
      <c r="I587">
        <f>IF(SUMIFS(T_PlannedOrders[EffectiveQty],T_PlannedOrders[Part Name],$A509,T_PlannedOrders[WeekIndex],6)=0,"",SUMIFS(T_PlannedOrders[EffectiveQty],T_PlannedOrders[Part Name],$A509,T_PlannedOrders[WeekIndex],6)&amp;" ("&amp;TEXT(SUMPRODUCT(MAX((T_PlannedOrders[Part Name]=$A509)*(T_PlannedOrders[WeekIndex]=6)*(T_PlannedOrders[EffectiveQty]&gt;0)*T_PlannedOrders[Order_Month])),"m月")&amp;"発注)")</f>
        <v/>
      </c>
      <c r="J587">
        <f>IF(SUMIFS(T_PlannedOrders[EffectiveQty],T_PlannedOrders[Part Name],$A509,T_PlannedOrders[WeekIndex],7)=0,"",SUMIFS(T_PlannedOrders[EffectiveQty],T_PlannedOrders[Part Name],$A509,T_PlannedOrders[WeekIndex],7)&amp;" ("&amp;TEXT(SUMPRODUCT(MAX((T_PlannedOrders[Part Name]=$A509)*(T_PlannedOrders[WeekIndex]=7)*(T_PlannedOrders[EffectiveQty]&gt;0)*T_PlannedOrders[Order_Month])),"m月")&amp;"発注)")</f>
        <v/>
      </c>
      <c r="K587">
        <f>IF(SUMIFS(T_PlannedOrders[EffectiveQty],T_PlannedOrders[Part Name],$A509,T_PlannedOrders[WeekIndex],8)=0,"",SUMIFS(T_PlannedOrders[EffectiveQty],T_PlannedOrders[Part Name],$A509,T_PlannedOrders[WeekIndex],8)&amp;" ("&amp;TEXT(SUMPRODUCT(MAX((T_PlannedOrders[Part Name]=$A509)*(T_PlannedOrders[WeekIndex]=8)*(T_PlannedOrders[EffectiveQty]&gt;0)*T_PlannedOrders[Order_Month])),"m月")&amp;"発注)")</f>
        <v/>
      </c>
      <c r="L587">
        <f>IF(SUMIFS(T_PlannedOrders[EffectiveQty],T_PlannedOrders[Part Name],$A509,T_PlannedOrders[WeekIndex],9)=0,"",SUMIFS(T_PlannedOrders[EffectiveQty],T_PlannedOrders[Part Name],$A509,T_PlannedOrders[WeekIndex],9)&amp;" ("&amp;TEXT(SUMPRODUCT(MAX((T_PlannedOrders[Part Name]=$A509)*(T_PlannedOrders[WeekIndex]=9)*(T_PlannedOrders[EffectiveQty]&gt;0)*T_PlannedOrders[Order_Month])),"m月")&amp;"発注)")</f>
        <v/>
      </c>
      <c r="M587">
        <f>IF(SUMIFS(T_PlannedOrders[EffectiveQty],T_PlannedOrders[Part Name],$A509,T_PlannedOrders[WeekIndex],10)=0,"",SUMIFS(T_PlannedOrders[EffectiveQty],T_PlannedOrders[Part Name],$A509,T_PlannedOrders[WeekIndex],10)&amp;" ("&amp;TEXT(SUMPRODUCT(MAX((T_PlannedOrders[Part Name]=$A509)*(T_PlannedOrders[WeekIndex]=10)*(T_PlannedOrders[EffectiveQty]&gt;0)*T_PlannedOrders[Order_Month])),"m月")&amp;"発注)")</f>
        <v/>
      </c>
      <c r="N587">
        <f>IF(SUMIFS(T_PlannedOrders[EffectiveQty],T_PlannedOrders[Part Name],$A509,T_PlannedOrders[WeekIndex],11)=0,"",SUMIFS(T_PlannedOrders[EffectiveQty],T_PlannedOrders[Part Name],$A509,T_PlannedOrders[WeekIndex],11)&amp;" ("&amp;TEXT(SUMPRODUCT(MAX((T_PlannedOrders[Part Name]=$A509)*(T_PlannedOrders[WeekIndex]=11)*(T_PlannedOrders[EffectiveQty]&gt;0)*T_PlannedOrders[Order_Month])),"m月")&amp;"発注)")</f>
        <v/>
      </c>
      <c r="O587">
        <f>IF(SUMIFS(T_PlannedOrders[EffectiveQty],T_PlannedOrders[Part Name],$A509,T_PlannedOrders[WeekIndex],12)=0,"",SUMIFS(T_PlannedOrders[EffectiveQty],T_PlannedOrders[Part Name],$A509,T_PlannedOrders[WeekIndex],12)&amp;" ("&amp;TEXT(SUMPRODUCT(MAX((T_PlannedOrders[Part Name]=$A509)*(T_PlannedOrders[WeekIndex]=12)*(T_PlannedOrders[EffectiveQty]&gt;0)*T_PlannedOrders[Order_Month])),"m月")&amp;"発注)")</f>
        <v/>
      </c>
      <c r="P587">
        <f>IF(SUMIFS(T_PlannedOrders[EffectiveQty],T_PlannedOrders[Part Name],$A509,T_PlannedOrders[WeekIndex],13)=0,"",SUMIFS(T_PlannedOrders[EffectiveQty],T_PlannedOrders[Part Name],$A509,T_PlannedOrders[WeekIndex],13)&amp;" ("&amp;TEXT(SUMPRODUCT(MAX((T_PlannedOrders[Part Name]=$A509)*(T_PlannedOrders[WeekIndex]=13)*(T_PlannedOrders[EffectiveQty]&gt;0)*T_PlannedOrders[Order_Month])),"m月")&amp;"発注)")</f>
        <v/>
      </c>
      <c r="Q587">
        <f>IF(SUMIFS(T_PlannedOrders[EffectiveQty],T_PlannedOrders[Part Name],$A509,T_PlannedOrders[WeekIndex],14)=0,"",SUMIFS(T_PlannedOrders[EffectiveQty],T_PlannedOrders[Part Name],$A509,T_PlannedOrders[WeekIndex],14)&amp;" ("&amp;TEXT(SUMPRODUCT(MAX((T_PlannedOrders[Part Name]=$A509)*(T_PlannedOrders[WeekIndex]=14)*(T_PlannedOrders[EffectiveQty]&gt;0)*T_PlannedOrders[Order_Month])),"m月")&amp;"発注)")</f>
        <v/>
      </c>
      <c r="R587">
        <f>IF(SUMIFS(T_PlannedOrders[EffectiveQty],T_PlannedOrders[Part Name],$A509,T_PlannedOrders[WeekIndex],15)=0,"",SUMIFS(T_PlannedOrders[EffectiveQty],T_PlannedOrders[Part Name],$A509,T_PlannedOrders[WeekIndex],15)&amp;" ("&amp;TEXT(SUMPRODUCT(MAX((T_PlannedOrders[Part Name]=$A509)*(T_PlannedOrders[WeekIndex]=15)*(T_PlannedOrders[EffectiveQty]&gt;0)*T_PlannedOrders[Order_Month])),"m月")&amp;"発注)")</f>
        <v/>
      </c>
      <c r="S587">
        <f>IF(SUMIFS(T_PlannedOrders[EffectiveQty],T_PlannedOrders[Part Name],$A509,T_PlannedOrders[WeekIndex],16)=0,"",SUMIFS(T_PlannedOrders[EffectiveQty],T_PlannedOrders[Part Name],$A509,T_PlannedOrders[WeekIndex],16)&amp;" ("&amp;TEXT(SUMPRODUCT(MAX((T_PlannedOrders[Part Name]=$A509)*(T_PlannedOrders[WeekIndex]=16)*(T_PlannedOrders[EffectiveQty]&gt;0)*T_PlannedOrders[Order_Month])),"m月")&amp;"発注)")</f>
        <v/>
      </c>
      <c r="T587">
        <f>IF(SUMIFS(T_PlannedOrders[EffectiveQty],T_PlannedOrders[Part Name],$A509,T_PlannedOrders[WeekIndex],17)=0,"",SUMIFS(T_PlannedOrders[EffectiveQty],T_PlannedOrders[Part Name],$A509,T_PlannedOrders[WeekIndex],17)&amp;" ("&amp;TEXT(SUMPRODUCT(MAX((T_PlannedOrders[Part Name]=$A509)*(T_PlannedOrders[WeekIndex]=17)*(T_PlannedOrders[EffectiveQty]&gt;0)*T_PlannedOrders[Order_Month])),"m月")&amp;"発注)")</f>
        <v/>
      </c>
      <c r="U587">
        <f>IF(SUMIFS(T_PlannedOrders[EffectiveQty],T_PlannedOrders[Part Name],$A509,T_PlannedOrders[WeekIndex],18)=0,"",SUMIFS(T_PlannedOrders[EffectiveQty],T_PlannedOrders[Part Name],$A509,T_PlannedOrders[WeekIndex],18)&amp;" ("&amp;TEXT(SUMPRODUCT(MAX((T_PlannedOrders[Part Name]=$A509)*(T_PlannedOrders[WeekIndex]=18)*(T_PlannedOrders[EffectiveQty]&gt;0)*T_PlannedOrders[Order_Month])),"m月")&amp;"発注)")</f>
        <v/>
      </c>
      <c r="V587">
        <f>IF(SUMIFS(T_PlannedOrders[EffectiveQty],T_PlannedOrders[Part Name],$A509,T_PlannedOrders[WeekIndex],19)=0,"",SUMIFS(T_PlannedOrders[EffectiveQty],T_PlannedOrders[Part Name],$A509,T_PlannedOrders[WeekIndex],19)&amp;" ("&amp;TEXT(SUMPRODUCT(MAX((T_PlannedOrders[Part Name]=$A509)*(T_PlannedOrders[WeekIndex]=19)*(T_PlannedOrders[EffectiveQty]&gt;0)*T_PlannedOrders[Order_Month])),"m月")&amp;"発注)")</f>
        <v/>
      </c>
      <c r="W587">
        <f>IF(SUMIFS(T_PlannedOrders[EffectiveQty],T_PlannedOrders[Part Name],$A509,T_PlannedOrders[WeekIndex],20)=0,"",SUMIFS(T_PlannedOrders[EffectiveQty],T_PlannedOrders[Part Name],$A509,T_PlannedOrders[WeekIndex],20)&amp;" ("&amp;TEXT(SUMPRODUCT(MAX((T_PlannedOrders[Part Name]=$A509)*(T_PlannedOrders[WeekIndex]=20)*(T_PlannedOrders[EffectiveQty]&gt;0)*T_PlannedOrders[Order_Month])),"m月")&amp;"発注)")</f>
        <v/>
      </c>
      <c r="X587">
        <f>IF(SUMIFS(T_PlannedOrders[EffectiveQty],T_PlannedOrders[Part Name],$A509,T_PlannedOrders[WeekIndex],21)=0,"",SUMIFS(T_PlannedOrders[EffectiveQty],T_PlannedOrders[Part Name],$A509,T_PlannedOrders[WeekIndex],21)&amp;" ("&amp;TEXT(SUMPRODUCT(MAX((T_PlannedOrders[Part Name]=$A509)*(T_PlannedOrders[WeekIndex]=21)*(T_PlannedOrders[EffectiveQty]&gt;0)*T_PlannedOrders[Order_Month])),"m月")&amp;"発注)")</f>
        <v/>
      </c>
      <c r="Y587">
        <f>IF(SUMIFS(T_PlannedOrders[EffectiveQty],T_PlannedOrders[Part Name],$A509,T_PlannedOrders[WeekIndex],22)=0,"",SUMIFS(T_PlannedOrders[EffectiveQty],T_PlannedOrders[Part Name],$A509,T_PlannedOrders[WeekIndex],22)&amp;" ("&amp;TEXT(SUMPRODUCT(MAX((T_PlannedOrders[Part Name]=$A509)*(T_PlannedOrders[WeekIndex]=22)*(T_PlannedOrders[EffectiveQty]&gt;0)*T_PlannedOrders[Order_Month])),"m月")&amp;"発注)")</f>
        <v/>
      </c>
      <c r="Z587">
        <f>IF(SUMIFS(T_PlannedOrders[EffectiveQty],T_PlannedOrders[Part Name],$A509,T_PlannedOrders[WeekIndex],23)=0,"",SUMIFS(T_PlannedOrders[EffectiveQty],T_PlannedOrders[Part Name],$A509,T_PlannedOrders[WeekIndex],23)&amp;" ("&amp;TEXT(SUMPRODUCT(MAX((T_PlannedOrders[Part Name]=$A509)*(T_PlannedOrders[WeekIndex]=23)*(T_PlannedOrders[EffectiveQty]&gt;0)*T_PlannedOrders[Order_Month])),"m月")&amp;"発注)")</f>
        <v/>
      </c>
      <c r="AA587">
        <f>IF(SUMIFS(T_PlannedOrders[EffectiveQty],T_PlannedOrders[Part Name],$A509,T_PlannedOrders[WeekIndex],24)=0,"",SUMIFS(T_PlannedOrders[EffectiveQty],T_PlannedOrders[Part Name],$A509,T_PlannedOrders[WeekIndex],24)&amp;" ("&amp;TEXT(SUMPRODUCT(MAX((T_PlannedOrders[Part Name]=$A509)*(T_PlannedOrders[WeekIndex]=24)*(T_PlannedOrders[EffectiveQty]&gt;0)*T_PlannedOrders[Order_Month])),"m月")&amp;"発注)")</f>
        <v/>
      </c>
      <c r="AB587">
        <f>IF(SUMIFS(T_PlannedOrders[EffectiveQty],T_PlannedOrders[Part Name],$A509,T_PlannedOrders[WeekIndex],25)=0,"",SUMIFS(T_PlannedOrders[EffectiveQty],T_PlannedOrders[Part Name],$A509,T_PlannedOrders[WeekIndex],25)&amp;" ("&amp;TEXT(SUMPRODUCT(MAX((T_PlannedOrders[Part Name]=$A509)*(T_PlannedOrders[WeekIndex]=25)*(T_PlannedOrders[EffectiveQty]&gt;0)*T_PlannedOrders[Order_Month])),"m月")&amp;"発注)")</f>
        <v/>
      </c>
      <c r="AC587">
        <f>IF(SUMIFS(T_PlannedOrders[EffectiveQty],T_PlannedOrders[Part Name],$A509,T_PlannedOrders[WeekIndex],26)=0,"",SUMIFS(T_PlannedOrders[EffectiveQty],T_PlannedOrders[Part Name],$A509,T_PlannedOrders[WeekIndex],26)&amp;" ("&amp;TEXT(SUMPRODUCT(MAX((T_PlannedOrders[Part Name]=$A509)*(T_PlannedOrders[WeekIndex]=26)*(T_PlannedOrders[EffectiveQty]&gt;0)*T_PlannedOrders[Order_Month])),"m月")&amp;"発注)")</f>
        <v/>
      </c>
      <c r="AD587">
        <f>IF(SUMIFS(T_PlannedOrders[EffectiveQty],T_PlannedOrders[Part Name],$A509,T_PlannedOrders[WeekIndex],27)=0,"",SUMIFS(T_PlannedOrders[EffectiveQty],T_PlannedOrders[Part Name],$A509,T_PlannedOrders[WeekIndex],27)&amp;" ("&amp;TEXT(SUMPRODUCT(MAX((T_PlannedOrders[Part Name]=$A509)*(T_PlannedOrders[WeekIndex]=27)*(T_PlannedOrders[EffectiveQty]&gt;0)*T_PlannedOrders[Order_Month])),"m月")&amp;"発注)")</f>
        <v/>
      </c>
      <c r="AE587">
        <f>IF(SUMIFS(T_PlannedOrders[EffectiveQty],T_PlannedOrders[Part Name],$A509,T_PlannedOrders[WeekIndex],28)=0,"",SUMIFS(T_PlannedOrders[EffectiveQty],T_PlannedOrders[Part Name],$A509,T_PlannedOrders[WeekIndex],28)&amp;" ("&amp;TEXT(SUMPRODUCT(MAX((T_PlannedOrders[Part Name]=$A509)*(T_PlannedOrders[WeekIndex]=28)*(T_PlannedOrders[EffectiveQty]&gt;0)*T_PlannedOrders[Order_Month])),"m月")&amp;"発注)")</f>
        <v/>
      </c>
      <c r="AF587">
        <f>IF(SUMIFS(T_PlannedOrders[EffectiveQty],T_PlannedOrders[Part Name],$A509,T_PlannedOrders[WeekIndex],29)=0,"",SUMIFS(T_PlannedOrders[EffectiveQty],T_PlannedOrders[Part Name],$A509,T_PlannedOrders[WeekIndex],29)&amp;" ("&amp;TEXT(SUMPRODUCT(MAX((T_PlannedOrders[Part Name]=$A509)*(T_PlannedOrders[WeekIndex]=29)*(T_PlannedOrders[EffectiveQty]&gt;0)*T_PlannedOrders[Order_Month])),"m月")&amp;"発注)")</f>
        <v/>
      </c>
      <c r="AG587">
        <f>IF(SUMIFS(T_PlannedOrders[EffectiveQty],T_PlannedOrders[Part Name],$A509,T_PlannedOrders[WeekIndex],30)=0,"",SUMIFS(T_PlannedOrders[EffectiveQty],T_PlannedOrders[Part Name],$A509,T_PlannedOrders[WeekIndex],30)&amp;" ("&amp;TEXT(SUMPRODUCT(MAX((T_PlannedOrders[Part Name]=$A509)*(T_PlannedOrders[WeekIndex]=30)*(T_PlannedOrders[EffectiveQty]&gt;0)*T_PlannedOrders[Order_Month])),"m月")&amp;"発注)")</f>
        <v/>
      </c>
      <c r="AH587">
        <f>IF(SUMIFS(T_PlannedOrders[EffectiveQty],T_PlannedOrders[Part Name],$A509,T_PlannedOrders[WeekIndex],31)=0,"",SUMIFS(T_PlannedOrders[EffectiveQty],T_PlannedOrders[Part Name],$A509,T_PlannedOrders[WeekIndex],31)&amp;" ("&amp;TEXT(SUMPRODUCT(MAX((T_PlannedOrders[Part Name]=$A509)*(T_PlannedOrders[WeekIndex]=31)*(T_PlannedOrders[EffectiveQty]&gt;0)*T_PlannedOrders[Order_Month])),"m月")&amp;"発注)")</f>
        <v/>
      </c>
      <c r="AI587">
        <f>IF(SUMIFS(T_PlannedOrders[EffectiveQty],T_PlannedOrders[Part Name],$A509,T_PlannedOrders[WeekIndex],32)=0,"",SUMIFS(T_PlannedOrders[EffectiveQty],T_PlannedOrders[Part Name],$A509,T_PlannedOrders[WeekIndex],32)&amp;" ("&amp;TEXT(SUMPRODUCT(MAX((T_PlannedOrders[Part Name]=$A509)*(T_PlannedOrders[WeekIndex]=32)*(T_PlannedOrders[EffectiveQty]&gt;0)*T_PlannedOrders[Order_Month])),"m月")&amp;"発注)")</f>
        <v/>
      </c>
      <c r="AJ587">
        <f>IF(SUMIFS(T_PlannedOrders[EffectiveQty],T_PlannedOrders[Part Name],$A509,T_PlannedOrders[WeekIndex],33)=0,"",SUMIFS(T_PlannedOrders[EffectiveQty],T_PlannedOrders[Part Name],$A509,T_PlannedOrders[WeekIndex],33)&amp;" ("&amp;TEXT(SUMPRODUCT(MAX((T_PlannedOrders[Part Name]=$A509)*(T_PlannedOrders[WeekIndex]=33)*(T_PlannedOrders[EffectiveQty]&gt;0)*T_PlannedOrders[Order_Month])),"m月")&amp;"発注)")</f>
        <v/>
      </c>
      <c r="AK587">
        <f>IF(SUMIFS(T_PlannedOrders[EffectiveQty],T_PlannedOrders[Part Name],$A509,T_PlannedOrders[WeekIndex],34)=0,"",SUMIFS(T_PlannedOrders[EffectiveQty],T_PlannedOrders[Part Name],$A509,T_PlannedOrders[WeekIndex],34)&amp;" ("&amp;TEXT(SUMPRODUCT(MAX((T_PlannedOrders[Part Name]=$A509)*(T_PlannedOrders[WeekIndex]=34)*(T_PlannedOrders[EffectiveQty]&gt;0)*T_PlannedOrders[Order_Month])),"m月")&amp;"発注)")</f>
        <v/>
      </c>
      <c r="AL587">
        <f>IF(SUMIFS(T_PlannedOrders[EffectiveQty],T_PlannedOrders[Part Name],$A509,T_PlannedOrders[WeekIndex],35)=0,"",SUMIFS(T_PlannedOrders[EffectiveQty],T_PlannedOrders[Part Name],$A509,T_PlannedOrders[WeekIndex],35)&amp;" ("&amp;TEXT(SUMPRODUCT(MAX((T_PlannedOrders[Part Name]=$A509)*(T_PlannedOrders[WeekIndex]=35)*(T_PlannedOrders[EffectiveQty]&gt;0)*T_PlannedOrders[Order_Month])),"m月")&amp;"発注)")</f>
        <v/>
      </c>
      <c r="AM587">
        <f>IF(SUMIFS(T_PlannedOrders[EffectiveQty],T_PlannedOrders[Part Name],$A509,T_PlannedOrders[WeekIndex],36)=0,"",SUMIFS(T_PlannedOrders[EffectiveQty],T_PlannedOrders[Part Name],$A509,T_PlannedOrders[WeekIndex],36)&amp;" ("&amp;TEXT(SUMPRODUCT(MAX((T_PlannedOrders[Part Name]=$A509)*(T_PlannedOrders[WeekIndex]=36)*(T_PlannedOrders[EffectiveQty]&gt;0)*T_PlannedOrders[Order_Month])),"m月")&amp;"発注)")</f>
        <v/>
      </c>
      <c r="AN587">
        <f>IF(SUMIFS(T_PlannedOrders[EffectiveQty],T_PlannedOrders[Part Name],$A509,T_PlannedOrders[WeekIndex],37)=0,"",SUMIFS(T_PlannedOrders[EffectiveQty],T_PlannedOrders[Part Name],$A509,T_PlannedOrders[WeekIndex],37)&amp;" ("&amp;TEXT(SUMPRODUCT(MAX((T_PlannedOrders[Part Name]=$A509)*(T_PlannedOrders[WeekIndex]=37)*(T_PlannedOrders[EffectiveQty]&gt;0)*T_PlannedOrders[Order_Month])),"m月")&amp;"発注)")</f>
        <v/>
      </c>
      <c r="AO587">
        <f>IF(SUMIFS(T_PlannedOrders[EffectiveQty],T_PlannedOrders[Part Name],$A509,T_PlannedOrders[WeekIndex],38)=0,"",SUMIFS(T_PlannedOrders[EffectiveQty],T_PlannedOrders[Part Name],$A509,T_PlannedOrders[WeekIndex],38)&amp;" ("&amp;TEXT(SUMPRODUCT(MAX((T_PlannedOrders[Part Name]=$A509)*(T_PlannedOrders[WeekIndex]=38)*(T_PlannedOrders[EffectiveQty]&gt;0)*T_PlannedOrders[Order_Month])),"m月")&amp;"発注)")</f>
        <v/>
      </c>
      <c r="AP587">
        <f>IF(SUMIFS(T_PlannedOrders[EffectiveQty],T_PlannedOrders[Part Name],$A509,T_PlannedOrders[WeekIndex],39)=0,"",SUMIFS(T_PlannedOrders[EffectiveQty],T_PlannedOrders[Part Name],$A509,T_PlannedOrders[WeekIndex],39)&amp;" ("&amp;TEXT(SUMPRODUCT(MAX((T_PlannedOrders[Part Name]=$A509)*(T_PlannedOrders[WeekIndex]=39)*(T_PlannedOrders[EffectiveQty]&gt;0)*T_PlannedOrders[Order_Month])),"m月")&amp;"発注)")</f>
        <v/>
      </c>
      <c r="AQ587">
        <f>IF(SUMIFS(T_PlannedOrders[EffectiveQty],T_PlannedOrders[Part Name],$A509,T_PlannedOrders[WeekIndex],40)=0,"",SUMIFS(T_PlannedOrders[EffectiveQty],T_PlannedOrders[Part Name],$A509,T_PlannedOrders[WeekIndex],40)&amp;" ("&amp;TEXT(SUMPRODUCT(MAX((T_PlannedOrders[Part Name]=$A509)*(T_PlannedOrders[WeekIndex]=40)*(T_PlannedOrders[EffectiveQty]&gt;0)*T_PlannedOrders[Order_Month])),"m月")&amp;"発注)")</f>
        <v/>
      </c>
      <c r="AR587">
        <f>IF(SUMIFS(T_PlannedOrders[EffectiveQty],T_PlannedOrders[Part Name],$A509,T_PlannedOrders[WeekIndex],41)=0,"",SUMIFS(T_PlannedOrders[EffectiveQty],T_PlannedOrders[Part Name],$A509,T_PlannedOrders[WeekIndex],41)&amp;" ("&amp;TEXT(SUMPRODUCT(MAX((T_PlannedOrders[Part Name]=$A509)*(T_PlannedOrders[WeekIndex]=41)*(T_PlannedOrders[EffectiveQty]&gt;0)*T_PlannedOrders[Order_Month])),"m月")&amp;"発注)")</f>
        <v/>
      </c>
      <c r="AS587">
        <f>IF(SUMIFS(T_PlannedOrders[EffectiveQty],T_PlannedOrders[Part Name],$A509,T_PlannedOrders[WeekIndex],42)=0,"",SUMIFS(T_PlannedOrders[EffectiveQty],T_PlannedOrders[Part Name],$A509,T_PlannedOrders[WeekIndex],42)&amp;" ("&amp;TEXT(SUMPRODUCT(MAX((T_PlannedOrders[Part Name]=$A509)*(T_PlannedOrders[WeekIndex]=42)*(T_PlannedOrders[EffectiveQty]&gt;0)*T_PlannedOrders[Order_Month])),"m月")&amp;"発注)")</f>
        <v/>
      </c>
      <c r="AT587">
        <f>IF(SUMIFS(T_PlannedOrders[EffectiveQty],T_PlannedOrders[Part Name],$A509,T_PlannedOrders[WeekIndex],43)=0,"",SUMIFS(T_PlannedOrders[EffectiveQty],T_PlannedOrders[Part Name],$A509,T_PlannedOrders[WeekIndex],43)&amp;" ("&amp;TEXT(SUMPRODUCT(MAX((T_PlannedOrders[Part Name]=$A509)*(T_PlannedOrders[WeekIndex]=43)*(T_PlannedOrders[EffectiveQty]&gt;0)*T_PlannedOrders[Order_Month])),"m月")&amp;"発注)")</f>
        <v/>
      </c>
      <c r="AU587">
        <f>IF(SUMIFS(T_PlannedOrders[EffectiveQty],T_PlannedOrders[Part Name],$A509,T_PlannedOrders[WeekIndex],44)=0,"",SUMIFS(T_PlannedOrders[EffectiveQty],T_PlannedOrders[Part Name],$A509,T_PlannedOrders[WeekIndex],44)&amp;" ("&amp;TEXT(SUMPRODUCT(MAX((T_PlannedOrders[Part Name]=$A509)*(T_PlannedOrders[WeekIndex]=44)*(T_PlannedOrders[EffectiveQty]&gt;0)*T_PlannedOrders[Order_Month])),"m月")&amp;"発注)")</f>
        <v/>
      </c>
      <c r="AV587">
        <f>IF(SUMIFS(T_PlannedOrders[EffectiveQty],T_PlannedOrders[Part Name],$A509,T_PlannedOrders[WeekIndex],45)=0,"",SUMIFS(T_PlannedOrders[EffectiveQty],T_PlannedOrders[Part Name],$A509,T_PlannedOrders[WeekIndex],45)&amp;" ("&amp;TEXT(SUMPRODUCT(MAX((T_PlannedOrders[Part Name]=$A509)*(T_PlannedOrders[WeekIndex]=45)*(T_PlannedOrders[EffectiveQty]&gt;0)*T_PlannedOrders[Order_Month])),"m月")&amp;"発注)")</f>
        <v/>
      </c>
      <c r="AW587">
        <f>IF(SUMIFS(T_PlannedOrders[EffectiveQty],T_PlannedOrders[Part Name],$A509,T_PlannedOrders[WeekIndex],46)=0,"",SUMIFS(T_PlannedOrders[EffectiveQty],T_PlannedOrders[Part Name],$A509,T_PlannedOrders[WeekIndex],46)&amp;" ("&amp;TEXT(SUMPRODUCT(MAX((T_PlannedOrders[Part Name]=$A509)*(T_PlannedOrders[WeekIndex]=46)*(T_PlannedOrders[EffectiveQty]&gt;0)*T_PlannedOrders[Order_Month])),"m月")&amp;"発注)")</f>
        <v/>
      </c>
      <c r="AX587">
        <f>IF(SUMIFS(T_PlannedOrders[EffectiveQty],T_PlannedOrders[Part Name],$A509,T_PlannedOrders[WeekIndex],47)=0,"",SUMIFS(T_PlannedOrders[EffectiveQty],T_PlannedOrders[Part Name],$A509,T_PlannedOrders[WeekIndex],47)&amp;" ("&amp;TEXT(SUMPRODUCT(MAX((T_PlannedOrders[Part Name]=$A509)*(T_PlannedOrders[WeekIndex]=47)*(T_PlannedOrders[EffectiveQty]&gt;0)*T_PlannedOrders[Order_Month])),"m月")&amp;"発注)")</f>
        <v/>
      </c>
      <c r="AY587">
        <f>IF(SUMIFS(T_PlannedOrders[EffectiveQty],T_PlannedOrders[Part Name],$A509,T_PlannedOrders[WeekIndex],48)=0,"",SUMIFS(T_PlannedOrders[EffectiveQty],T_PlannedOrders[Part Name],$A509,T_PlannedOrders[WeekIndex],48)&amp;" ("&amp;TEXT(SUMPRODUCT(MAX((T_PlannedOrders[Part Name]=$A509)*(T_PlannedOrders[WeekIndex]=48)*(T_PlannedOrders[EffectiveQty]&gt;0)*T_PlannedOrders[Order_Month])),"m月")&amp;"発注)")</f>
        <v/>
      </c>
      <c r="AZ587">
        <f>IF(SUMIFS(T_PlannedOrders[EffectiveQty],T_PlannedOrders[Part Name],$A509,T_PlannedOrders[WeekIndex],49)=0,"",SUMIFS(T_PlannedOrders[EffectiveQty],T_PlannedOrders[Part Name],$A509,T_PlannedOrders[WeekIndex],49)&amp;" ("&amp;TEXT(SUMPRODUCT(MAX((T_PlannedOrders[Part Name]=$A509)*(T_PlannedOrders[WeekIndex]=49)*(T_PlannedOrders[EffectiveQty]&gt;0)*T_PlannedOrders[Order_Month])),"m月")&amp;"発注)")</f>
        <v/>
      </c>
      <c r="BA587">
        <f>IF(SUMIFS(T_PlannedOrders[EffectiveQty],T_PlannedOrders[Part Name],$A509,T_PlannedOrders[WeekIndex],50)=0,"",SUMIFS(T_PlannedOrders[EffectiveQty],T_PlannedOrders[Part Name],$A509,T_PlannedOrders[WeekIndex],50)&amp;" ("&amp;TEXT(SUMPRODUCT(MAX((T_PlannedOrders[Part Name]=$A509)*(T_PlannedOrders[WeekIndex]=50)*(T_PlannedOrders[EffectiveQty]&gt;0)*T_PlannedOrders[Order_Month])),"m月")&amp;"発注)")</f>
        <v/>
      </c>
      <c r="BB587">
        <f>IF(SUMIFS(T_PlannedOrders[EffectiveQty],T_PlannedOrders[Part Name],$A509,T_PlannedOrders[WeekIndex],51)=0,"",SUMIFS(T_PlannedOrders[EffectiveQty],T_PlannedOrders[Part Name],$A509,T_PlannedOrders[WeekIndex],51)&amp;" ("&amp;TEXT(SUMPRODUCT(MAX((T_PlannedOrders[Part Name]=$A509)*(T_PlannedOrders[WeekIndex]=51)*(T_PlannedOrders[EffectiveQty]&gt;0)*T_PlannedOrders[Order_Month])),"m月")&amp;"発注)")</f>
        <v/>
      </c>
      <c r="BC587">
        <f>IF(SUMIFS(T_PlannedOrders[EffectiveQty],T_PlannedOrders[Part Name],$A509,T_PlannedOrders[WeekIndex],52)=0,"",SUMIFS(T_PlannedOrders[EffectiveQty],T_PlannedOrders[Part Name],$A509,T_PlannedOrders[WeekIndex],52)&amp;" ("&amp;TEXT(SUMPRODUCT(MAX((T_PlannedOrders[Part Name]=$A509)*(T_PlannedOrders[WeekIndex]=52)*(T_PlannedOrders[EffectiveQty]&gt;0)*T_PlannedOrders[Order_Month])),"m月")&amp;"発注)")</f>
        <v/>
      </c>
      <c r="BD587">
        <f>IF(SUMIFS(T_PlannedOrders[EffectiveQty],T_PlannedOrders[Part Name],$A509,T_PlannedOrders[WeekIndex],53)=0,"",SUMIFS(T_PlannedOrders[EffectiveQty],T_PlannedOrders[Part Name],$A509,T_PlannedOrders[WeekIndex],53)&amp;" ("&amp;TEXT(SUMPRODUCT(MAX((T_PlannedOrders[Part Name]=$A509)*(T_PlannedOrders[WeekIndex]=53)*(T_PlannedOrders[EffectiveQty]&gt;0)*T_PlannedOrders[Order_Month])),"m月")&amp;"発注)")</f>
        <v/>
      </c>
      <c r="BE587">
        <f>IF(SUMIFS(T_PlannedOrders[EffectiveQty],T_PlannedOrders[Part Name],$A509,T_PlannedOrders[WeekIndex],54)=0,"",SUMIFS(T_PlannedOrders[EffectiveQty],T_PlannedOrders[Part Name],$A509,T_PlannedOrders[WeekIndex],54)&amp;" ("&amp;TEXT(SUMPRODUCT(MAX((T_PlannedOrders[Part Name]=$A509)*(T_PlannedOrders[WeekIndex]=54)*(T_PlannedOrders[EffectiveQty]&gt;0)*T_PlannedOrders[Order_Month])),"m月")&amp;"発注)")</f>
        <v/>
      </c>
      <c r="BF587">
        <f>IF(SUMIFS(T_PlannedOrders[EffectiveQty],T_PlannedOrders[Part Name],$A509,T_PlannedOrders[WeekIndex],55)=0,"",SUMIFS(T_PlannedOrders[EffectiveQty],T_PlannedOrders[Part Name],$A509,T_PlannedOrders[WeekIndex],55)&amp;" ("&amp;TEXT(SUMPRODUCT(MAX((T_PlannedOrders[Part Name]=$A509)*(T_PlannedOrders[WeekIndex]=55)*(T_PlannedOrders[EffectiveQty]&gt;0)*T_PlannedOrders[Order_Month])),"m月")&amp;"発注)")</f>
        <v/>
      </c>
      <c r="BG587">
        <f>IF(SUMIFS(T_PlannedOrders[EffectiveQty],T_PlannedOrders[Part Name],$A509,T_PlannedOrders[WeekIndex],56)=0,"",SUMIFS(T_PlannedOrders[EffectiveQty],T_PlannedOrders[Part Name],$A509,T_PlannedOrders[WeekIndex],56)&amp;" ("&amp;TEXT(SUMPRODUCT(MAX((T_PlannedOrders[Part Name]=$A509)*(T_PlannedOrders[WeekIndex]=56)*(T_PlannedOrders[EffectiveQty]&gt;0)*T_PlannedOrders[Order_Month])),"m月")&amp;"発注)")</f>
        <v/>
      </c>
      <c r="BH587">
        <f>IF(SUMIFS(T_PlannedOrders[EffectiveQty],T_PlannedOrders[Part Name],$A509,T_PlannedOrders[WeekIndex],57)=0,"",SUMIFS(T_PlannedOrders[EffectiveQty],T_PlannedOrders[Part Name],$A509,T_PlannedOrders[WeekIndex],57)&amp;" ("&amp;TEXT(SUMPRODUCT(MAX((T_PlannedOrders[Part Name]=$A509)*(T_PlannedOrders[WeekIndex]=57)*(T_PlannedOrders[EffectiveQty]&gt;0)*T_PlannedOrders[Order_Month])),"m月")&amp;"発注)")</f>
        <v/>
      </c>
      <c r="BI587">
        <f>IF(SUMIFS(T_PlannedOrders[EffectiveQty],T_PlannedOrders[Part Name],$A509,T_PlannedOrders[WeekIndex],58)=0,"",SUMIFS(T_PlannedOrders[EffectiveQty],T_PlannedOrders[Part Name],$A509,T_PlannedOrders[WeekIndex],58)&amp;" ("&amp;TEXT(SUMPRODUCT(MAX((T_PlannedOrders[Part Name]=$A509)*(T_PlannedOrders[WeekIndex]=58)*(T_PlannedOrders[EffectiveQty]&gt;0)*T_PlannedOrders[Order_Month])),"m月")&amp;"発注)")</f>
        <v/>
      </c>
      <c r="BJ587">
        <f>IF(SUMIFS(T_PlannedOrders[EffectiveQty],T_PlannedOrders[Part Name],$A509,T_PlannedOrders[WeekIndex],59)=0,"",SUMIFS(T_PlannedOrders[EffectiveQty],T_PlannedOrders[Part Name],$A509,T_PlannedOrders[WeekIndex],59)&amp;" ("&amp;TEXT(SUMPRODUCT(MAX((T_PlannedOrders[Part Name]=$A509)*(T_PlannedOrders[WeekIndex]=59)*(T_PlannedOrders[EffectiveQty]&gt;0)*T_PlannedOrders[Order_Month])),"m月")&amp;"発注)")</f>
        <v/>
      </c>
      <c r="BK587">
        <f>IF(SUMIFS(T_PlannedOrders[EffectiveQty],T_PlannedOrders[Part Name],$A509,T_PlannedOrders[WeekIndex],60)=0,"",SUMIFS(T_PlannedOrders[EffectiveQty],T_PlannedOrders[Part Name],$A509,T_PlannedOrders[WeekIndex],60)&amp;" ("&amp;TEXT(SUMPRODUCT(MAX((T_PlannedOrders[Part Name]=$A509)*(T_PlannedOrders[WeekIndex]=60)*(T_PlannedOrders[EffectiveQty]&gt;0)*T_PlannedOrders[Order_Month])),"m月")&amp;"発注)")</f>
        <v/>
      </c>
      <c r="BL587">
        <f>IF(SUMIFS(T_PlannedOrders[EffectiveQty],T_PlannedOrders[Part Name],$A509,T_PlannedOrders[WeekIndex],61)=0,"",SUMIFS(T_PlannedOrders[EffectiveQty],T_PlannedOrders[Part Name],$A509,T_PlannedOrders[WeekIndex],61)&amp;" ("&amp;TEXT(SUMPRODUCT(MAX((T_PlannedOrders[Part Name]=$A509)*(T_PlannedOrders[WeekIndex]=61)*(T_PlannedOrders[EffectiveQty]&gt;0)*T_PlannedOrders[Order_Month])),"m月")&amp;"発注)")</f>
        <v/>
      </c>
      <c r="BM587">
        <f>IF(SUMIFS(T_PlannedOrders[EffectiveQty],T_PlannedOrders[Part Name],$A509,T_PlannedOrders[WeekIndex],62)=0,"",SUMIFS(T_PlannedOrders[EffectiveQty],T_PlannedOrders[Part Name],$A509,T_PlannedOrders[WeekIndex],62)&amp;" ("&amp;TEXT(SUMPRODUCT(MAX((T_PlannedOrders[Part Name]=$A509)*(T_PlannedOrders[WeekIndex]=62)*(T_PlannedOrders[EffectiveQty]&gt;0)*T_PlannedOrders[Order_Month])),"m月")&amp;"発注)")</f>
        <v/>
      </c>
      <c r="BN587">
        <f>IF(SUMIFS(T_PlannedOrders[EffectiveQty],T_PlannedOrders[Part Name],$A509,T_PlannedOrders[WeekIndex],63)=0,"",SUMIFS(T_PlannedOrders[EffectiveQty],T_PlannedOrders[Part Name],$A509,T_PlannedOrders[WeekIndex],63)&amp;" ("&amp;TEXT(SUMPRODUCT(MAX((T_PlannedOrders[Part Name]=$A509)*(T_PlannedOrders[WeekIndex]=63)*(T_PlannedOrders[EffectiveQty]&gt;0)*T_PlannedOrders[Order_Month])),"m月")&amp;"発注)")</f>
        <v/>
      </c>
      <c r="BO587">
        <f>IF(SUMIFS(T_PlannedOrders[EffectiveQty],T_PlannedOrders[Part Name],$A509,T_PlannedOrders[WeekIndex],64)=0,"",SUMIFS(T_PlannedOrders[EffectiveQty],T_PlannedOrders[Part Name],$A509,T_PlannedOrders[WeekIndex],64)&amp;" ("&amp;TEXT(SUMPRODUCT(MAX((T_PlannedOrders[Part Name]=$A509)*(T_PlannedOrders[WeekIndex]=64)*(T_PlannedOrders[EffectiveQty]&gt;0)*T_PlannedOrders[Order_Month])),"m月")&amp;"発注)")</f>
        <v/>
      </c>
      <c r="BP587">
        <f>IF(SUMIFS(T_PlannedOrders[EffectiveQty],T_PlannedOrders[Part Name],$A509,T_PlannedOrders[WeekIndex],65)=0,"",SUMIFS(T_PlannedOrders[EffectiveQty],T_PlannedOrders[Part Name],$A509,T_PlannedOrders[WeekIndex],65)&amp;" ("&amp;TEXT(SUMPRODUCT(MAX((T_PlannedOrders[Part Name]=$A509)*(T_PlannedOrders[WeekIndex]=65)*(T_PlannedOrders[EffectiveQty]&gt;0)*T_PlannedOrders[Order_Month])),"m月")&amp;"発注)")</f>
        <v/>
      </c>
      <c r="BQ587">
        <f>IF(SUMIFS(T_PlannedOrders[EffectiveQty],T_PlannedOrders[Part Name],$A509,T_PlannedOrders[WeekIndex],66)=0,"",SUMIFS(T_PlannedOrders[EffectiveQty],T_PlannedOrders[Part Name],$A509,T_PlannedOrders[WeekIndex],66)&amp;" ("&amp;TEXT(SUMPRODUCT(MAX((T_PlannedOrders[Part Name]=$A509)*(T_PlannedOrders[WeekIndex]=66)*(T_PlannedOrders[EffectiveQty]&gt;0)*T_PlannedOrders[Order_Month])),"m月")&amp;"発注)")</f>
        <v/>
      </c>
      <c r="BR587">
        <f>IF(SUMIFS(T_PlannedOrders[EffectiveQty],T_PlannedOrders[Part Name],$A509,T_PlannedOrders[WeekIndex],67)=0,"",SUMIFS(T_PlannedOrders[EffectiveQty],T_PlannedOrders[Part Name],$A509,T_PlannedOrders[WeekIndex],67)&amp;" ("&amp;TEXT(SUMPRODUCT(MAX((T_PlannedOrders[Part Name]=$A509)*(T_PlannedOrders[WeekIndex]=67)*(T_PlannedOrders[EffectiveQty]&gt;0)*T_PlannedOrders[Order_Month])),"m月")&amp;"発注)")</f>
        <v/>
      </c>
      <c r="BS587">
        <f>IF(SUMIFS(T_PlannedOrders[EffectiveQty],T_PlannedOrders[Part Name],$A509,T_PlannedOrders[WeekIndex],68)=0,"",SUMIFS(T_PlannedOrders[EffectiveQty],T_PlannedOrders[Part Name],$A509,T_PlannedOrders[WeekIndex],68)&amp;" ("&amp;TEXT(SUMPRODUCT(MAX((T_PlannedOrders[Part Name]=$A509)*(T_PlannedOrders[WeekIndex]=68)*(T_PlannedOrders[EffectiveQty]&gt;0)*T_PlannedOrders[Order_Month])),"m月")&amp;"発注)")</f>
        <v/>
      </c>
      <c r="BT587">
        <f>IF(SUMIFS(T_PlannedOrders[EffectiveQty],T_PlannedOrders[Part Name],$A509,T_PlannedOrders[WeekIndex],69)=0,"",SUMIFS(T_PlannedOrders[EffectiveQty],T_PlannedOrders[Part Name],$A509,T_PlannedOrders[WeekIndex],69)&amp;" ("&amp;TEXT(SUMPRODUCT(MAX((T_PlannedOrders[Part Name]=$A509)*(T_PlannedOrders[WeekIndex]=69)*(T_PlannedOrders[EffectiveQty]&gt;0)*T_PlannedOrders[Order_Month])),"m月")&amp;"発注)")</f>
        <v/>
      </c>
      <c r="BU587">
        <f>IF(SUMIFS(T_PlannedOrders[EffectiveQty],T_PlannedOrders[Part Name],$A509,T_PlannedOrders[WeekIndex],70)=0,"",SUMIFS(T_PlannedOrders[EffectiveQty],T_PlannedOrders[Part Name],$A509,T_PlannedOrders[WeekIndex],70)&amp;" ("&amp;TEXT(SUMPRODUCT(MAX((T_PlannedOrders[Part Name]=$A509)*(T_PlannedOrders[WeekIndex]=70)*(T_PlannedOrders[EffectiveQty]&gt;0)*T_PlannedOrders[Order_Month])),"m月")&amp;"発注)")</f>
        <v/>
      </c>
      <c r="BV587">
        <f>IF(SUMIFS(T_PlannedOrders[EffectiveQty],T_PlannedOrders[Part Name],$A509,T_PlannedOrders[WeekIndex],71)=0,"",SUMIFS(T_PlannedOrders[EffectiveQty],T_PlannedOrders[Part Name],$A509,T_PlannedOrders[WeekIndex],71)&amp;" ("&amp;TEXT(SUMPRODUCT(MAX((T_PlannedOrders[Part Name]=$A509)*(T_PlannedOrders[WeekIndex]=71)*(T_PlannedOrders[EffectiveQty]&gt;0)*T_PlannedOrders[Order_Month])),"m月")&amp;"発注)")</f>
        <v/>
      </c>
      <c r="BW587">
        <f>IF(SUMIFS(T_PlannedOrders[EffectiveQty],T_PlannedOrders[Part Name],$A509,T_PlannedOrders[WeekIndex],72)=0,"",SUMIFS(T_PlannedOrders[EffectiveQty],T_PlannedOrders[Part Name],$A509,T_PlannedOrders[WeekIndex],72)&amp;" ("&amp;TEXT(SUMPRODUCT(MAX((T_PlannedOrders[Part Name]=$A509)*(T_PlannedOrders[WeekIndex]=72)*(T_PlannedOrders[EffectiveQty]&gt;0)*T_PlannedOrders[Order_Month])),"m月")&amp;"発注)")</f>
        <v/>
      </c>
      <c r="BX587">
        <f>IF(SUMIFS(T_PlannedOrders[EffectiveQty],T_PlannedOrders[Part Name],$A509,T_PlannedOrders[WeekIndex],73)=0,"",SUMIFS(T_PlannedOrders[EffectiveQty],T_PlannedOrders[Part Name],$A509,T_PlannedOrders[WeekIndex],73)&amp;" ("&amp;TEXT(SUMPRODUCT(MAX((T_PlannedOrders[Part Name]=$A509)*(T_PlannedOrders[WeekIndex]=73)*(T_PlannedOrders[EffectiveQty]&gt;0)*T_PlannedOrders[Order_Month])),"m月")&amp;"発注)")</f>
        <v/>
      </c>
      <c r="BY587">
        <f>IF(SUMIFS(T_PlannedOrders[EffectiveQty],T_PlannedOrders[Part Name],$A509,T_PlannedOrders[WeekIndex],74)=0,"",SUMIFS(T_PlannedOrders[EffectiveQty],T_PlannedOrders[Part Name],$A509,T_PlannedOrders[WeekIndex],74)&amp;" ("&amp;TEXT(SUMPRODUCT(MAX((T_PlannedOrders[Part Name]=$A509)*(T_PlannedOrders[WeekIndex]=74)*(T_PlannedOrders[EffectiveQty]&gt;0)*T_PlannedOrders[Order_Month])),"m月")&amp;"発注)")</f>
        <v/>
      </c>
      <c r="BZ587">
        <f>IF(SUMIFS(T_PlannedOrders[EffectiveQty],T_PlannedOrders[Part Name],$A509,T_PlannedOrders[WeekIndex],75)=0,"",SUMIFS(T_PlannedOrders[EffectiveQty],T_PlannedOrders[Part Name],$A509,T_PlannedOrders[WeekIndex],75)&amp;" ("&amp;TEXT(SUMPRODUCT(MAX((T_PlannedOrders[Part Name]=$A509)*(T_PlannedOrders[WeekIndex]=75)*(T_PlannedOrders[EffectiveQty]&gt;0)*T_PlannedOrders[Order_Month])),"m月")&amp;"発注)")</f>
        <v/>
      </c>
      <c r="CA587">
        <f>IF(SUMIFS(T_PlannedOrders[EffectiveQty],T_PlannedOrders[Part Name],$A509,T_PlannedOrders[WeekIndex],76)=0,"",SUMIFS(T_PlannedOrders[EffectiveQty],T_PlannedOrders[Part Name],$A509,T_PlannedOrders[WeekIndex],76)&amp;" ("&amp;TEXT(SUMPRODUCT(MAX((T_PlannedOrders[Part Name]=$A509)*(T_PlannedOrders[WeekIndex]=76)*(T_PlannedOrders[EffectiveQty]&gt;0)*T_PlannedOrders[Order_Month])),"m月")&amp;"発注)")</f>
        <v/>
      </c>
      <c r="CB587">
        <f>IF(SUMIFS(T_PlannedOrders[EffectiveQty],T_PlannedOrders[Part Name],$A509,T_PlannedOrders[WeekIndex],77)=0,"",SUMIFS(T_PlannedOrders[EffectiveQty],T_PlannedOrders[Part Name],$A509,T_PlannedOrders[WeekIndex],77)&amp;" ("&amp;TEXT(SUMPRODUCT(MAX((T_PlannedOrders[Part Name]=$A509)*(T_PlannedOrders[WeekIndex]=77)*(T_PlannedOrders[EffectiveQty]&gt;0)*T_PlannedOrders[Order_Month])),"m月")&amp;"発注)")</f>
        <v/>
      </c>
      <c r="CC587">
        <f>IF(SUMIFS(T_PlannedOrders[EffectiveQty],T_PlannedOrders[Part Name],$A509,T_PlannedOrders[WeekIndex],78)=0,"",SUMIFS(T_PlannedOrders[EffectiveQty],T_PlannedOrders[Part Name],$A509,T_PlannedOrders[WeekIndex],78)&amp;" ("&amp;TEXT(SUMPRODUCT(MAX((T_PlannedOrders[Part Name]=$A509)*(T_PlannedOrders[WeekIndex]=78)*(T_PlannedOrders[EffectiveQty]&gt;0)*T_PlannedOrders[Order_Month])),"m月")&amp;"発注)")</f>
        <v/>
      </c>
      <c r="CD587">
        <f>IF(SUMIFS(T_PlannedOrders[EffectiveQty],T_PlannedOrders[Part Name],$A509,T_PlannedOrders[WeekIndex],79)=0,"",SUMIFS(T_PlannedOrders[EffectiveQty],T_PlannedOrders[Part Name],$A509,T_PlannedOrders[WeekIndex],79)&amp;" ("&amp;TEXT(SUMPRODUCT(MAX((T_PlannedOrders[Part Name]=$A509)*(T_PlannedOrders[WeekIndex]=79)*(T_PlannedOrders[EffectiveQty]&gt;0)*T_PlannedOrders[Order_Month])),"m月")&amp;"発注)")</f>
        <v/>
      </c>
      <c r="CE587">
        <f>IF(SUMIFS(T_PlannedOrders[EffectiveQty],T_PlannedOrders[Part Name],$A509,T_PlannedOrders[WeekIndex],80)=0,"",SUMIFS(T_PlannedOrders[EffectiveQty],T_PlannedOrders[Part Name],$A509,T_PlannedOrders[WeekIndex],80)&amp;" ("&amp;TEXT(SUMPRODUCT(MAX((T_PlannedOrders[Part Name]=$A509)*(T_PlannedOrders[WeekIndex]=80)*(T_PlannedOrders[EffectiveQty]&gt;0)*T_PlannedOrders[Order_Month])),"m月")&amp;"発注)")</f>
        <v/>
      </c>
      <c r="CF587">
        <f>IF(SUMIFS(T_PlannedOrders[EffectiveQty],T_PlannedOrders[Part Name],$A509,T_PlannedOrders[WeekIndex],81)=0,"",SUMIFS(T_PlannedOrders[EffectiveQty],T_PlannedOrders[Part Name],$A509,T_PlannedOrders[WeekIndex],81)&amp;" ("&amp;TEXT(SUMPRODUCT(MAX((T_PlannedOrders[Part Name]=$A509)*(T_PlannedOrders[WeekIndex]=81)*(T_PlannedOrders[EffectiveQty]&gt;0)*T_PlannedOrders[Order_Month])),"m月")&amp;"発注)")</f>
        <v/>
      </c>
      <c r="CG587">
        <f>IF(SUMIFS(T_PlannedOrders[EffectiveQty],T_PlannedOrders[Part Name],$A509,T_PlannedOrders[WeekIndex],82)=0,"",SUMIFS(T_PlannedOrders[EffectiveQty],T_PlannedOrders[Part Name],$A509,T_PlannedOrders[WeekIndex],82)&amp;" ("&amp;TEXT(SUMPRODUCT(MAX((T_PlannedOrders[Part Name]=$A509)*(T_PlannedOrders[WeekIndex]=82)*(T_PlannedOrders[EffectiveQty]&gt;0)*T_PlannedOrders[Order_Month])),"m月")&amp;"発注)")</f>
        <v/>
      </c>
      <c r="CH587">
        <f>IF(SUMIFS(T_PlannedOrders[EffectiveQty],T_PlannedOrders[Part Name],$A509,T_PlannedOrders[WeekIndex],83)=0,"",SUMIFS(T_PlannedOrders[EffectiveQty],T_PlannedOrders[Part Name],$A509,T_PlannedOrders[WeekIndex],83)&amp;" ("&amp;TEXT(SUMPRODUCT(MAX((T_PlannedOrders[Part Name]=$A509)*(T_PlannedOrders[WeekIndex]=83)*(T_PlannedOrders[EffectiveQty]&gt;0)*T_PlannedOrders[Order_Month])),"m月")&amp;"発注)")</f>
        <v/>
      </c>
      <c r="CI587">
        <f>IF(SUMIFS(T_PlannedOrders[EffectiveQty],T_PlannedOrders[Part Name],$A509,T_PlannedOrders[WeekIndex],84)=0,"",SUMIFS(T_PlannedOrders[EffectiveQty],T_PlannedOrders[Part Name],$A509,T_PlannedOrders[WeekIndex],84)&amp;" ("&amp;TEXT(SUMPRODUCT(MAX((T_PlannedOrders[Part Name]=$A509)*(T_PlannedOrders[WeekIndex]=84)*(T_PlannedOrders[EffectiveQty]&gt;0)*T_PlannedOrders[Order_Month])),"m月")&amp;"発注)")</f>
        <v/>
      </c>
      <c r="CJ587">
        <f>IF(SUMIFS(T_PlannedOrders[EffectiveQty],T_PlannedOrders[Part Name],$A509,T_PlannedOrders[WeekIndex],85)=0,"",SUMIFS(T_PlannedOrders[EffectiveQty],T_PlannedOrders[Part Name],$A509,T_PlannedOrders[WeekIndex],85)&amp;" ("&amp;TEXT(SUMPRODUCT(MAX((T_PlannedOrders[Part Name]=$A509)*(T_PlannedOrders[WeekIndex]=85)*(T_PlannedOrders[EffectiveQty]&gt;0)*T_PlannedOrders[Order_Month])),"m月")&amp;"発注)")</f>
        <v/>
      </c>
      <c r="CK587">
        <f>IF(SUMIFS(T_PlannedOrders[EffectiveQty],T_PlannedOrders[Part Name],$A509,T_PlannedOrders[WeekIndex],86)=0,"",SUMIFS(T_PlannedOrders[EffectiveQty],T_PlannedOrders[Part Name],$A509,T_PlannedOrders[WeekIndex],86)&amp;" ("&amp;TEXT(SUMPRODUCT(MAX((T_PlannedOrders[Part Name]=$A509)*(T_PlannedOrders[WeekIndex]=86)*(T_PlannedOrders[EffectiveQty]&gt;0)*T_PlannedOrders[Order_Month])),"m月")&amp;"発注)")</f>
        <v/>
      </c>
      <c r="CL587">
        <f>IF(SUMIFS(T_PlannedOrders[EffectiveQty],T_PlannedOrders[Part Name],$A509,T_PlannedOrders[WeekIndex],87)=0,"",SUMIFS(T_PlannedOrders[EffectiveQty],T_PlannedOrders[Part Name],$A509,T_PlannedOrders[WeekIndex],87)&amp;" ("&amp;TEXT(SUMPRODUCT(MAX((T_PlannedOrders[Part Name]=$A509)*(T_PlannedOrders[WeekIndex]=87)*(T_PlannedOrders[EffectiveQty]&gt;0)*T_PlannedOrders[Order_Month])),"m月")&amp;"発注)")</f>
        <v/>
      </c>
      <c r="CM587">
        <f>IF(SUMIFS(T_PlannedOrders[EffectiveQty],T_PlannedOrders[Part Name],$A509,T_PlannedOrders[WeekIndex],88)=0,"",SUMIFS(T_PlannedOrders[EffectiveQty],T_PlannedOrders[Part Name],$A509,T_PlannedOrders[WeekIndex],88)&amp;" ("&amp;TEXT(SUMPRODUCT(MAX((T_PlannedOrders[Part Name]=$A509)*(T_PlannedOrders[WeekIndex]=88)*(T_PlannedOrders[EffectiveQty]&gt;0)*T_PlannedOrders[Order_Month])),"m月")&amp;"発注)")</f>
        <v/>
      </c>
      <c r="CN587">
        <f>IF(SUMIFS(T_PlannedOrders[EffectiveQty],T_PlannedOrders[Part Name],$A509,T_PlannedOrders[WeekIndex],89)=0,"",SUMIFS(T_PlannedOrders[EffectiveQty],T_PlannedOrders[Part Name],$A509,T_PlannedOrders[WeekIndex],89)&amp;" ("&amp;TEXT(SUMPRODUCT(MAX((T_PlannedOrders[Part Name]=$A509)*(T_PlannedOrders[WeekIndex]=89)*(T_PlannedOrders[EffectiveQty]&gt;0)*T_PlannedOrders[Order_Month])),"m月")&amp;"発注)")</f>
        <v/>
      </c>
      <c r="CO587">
        <f>IF(SUMIFS(T_PlannedOrders[EffectiveQty],T_PlannedOrders[Part Name],$A509,T_PlannedOrders[WeekIndex],90)=0,"",SUMIFS(T_PlannedOrders[EffectiveQty],T_PlannedOrders[Part Name],$A509,T_PlannedOrders[WeekIndex],90)&amp;" ("&amp;TEXT(SUMPRODUCT(MAX((T_PlannedOrders[Part Name]=$A509)*(T_PlannedOrders[WeekIndex]=90)*(T_PlannedOrders[EffectiveQty]&gt;0)*T_PlannedOrders[Order_Month])),"m月")&amp;"発注)")</f>
        <v/>
      </c>
      <c r="CP587">
        <f>IF(SUMIFS(T_PlannedOrders[EffectiveQty],T_PlannedOrders[Part Name],$A509,T_PlannedOrders[WeekIndex],91)=0,"",SUMIFS(T_PlannedOrders[EffectiveQty],T_PlannedOrders[Part Name],$A509,T_PlannedOrders[WeekIndex],91)&amp;" ("&amp;TEXT(SUMPRODUCT(MAX((T_PlannedOrders[Part Name]=$A509)*(T_PlannedOrders[WeekIndex]=91)*(T_PlannedOrders[EffectiveQty]&gt;0)*T_PlannedOrders[Order_Month])),"m月")&amp;"発注)")</f>
        <v/>
      </c>
      <c r="CQ587">
        <f>IF(SUMIFS(T_PlannedOrders[EffectiveQty],T_PlannedOrders[Part Name],$A509,T_PlannedOrders[WeekIndex],92)=0,"",SUMIFS(T_PlannedOrders[EffectiveQty],T_PlannedOrders[Part Name],$A509,T_PlannedOrders[WeekIndex],92)&amp;" ("&amp;TEXT(SUMPRODUCT(MAX((T_PlannedOrders[Part Name]=$A509)*(T_PlannedOrders[WeekIndex]=92)*(T_PlannedOrders[EffectiveQty]&gt;0)*T_PlannedOrders[Order_Month])),"m月")&amp;"発注)")</f>
        <v/>
      </c>
      <c r="CR587">
        <f>IF(SUMIFS(T_PlannedOrders[EffectiveQty],T_PlannedOrders[Part Name],$A509,T_PlannedOrders[WeekIndex],93)=0,"",SUMIFS(T_PlannedOrders[EffectiveQty],T_PlannedOrders[Part Name],$A509,T_PlannedOrders[WeekIndex],93)&amp;" ("&amp;TEXT(SUMPRODUCT(MAX((T_PlannedOrders[Part Name]=$A509)*(T_PlannedOrders[WeekIndex]=93)*(T_PlannedOrders[EffectiveQty]&gt;0)*T_PlannedOrders[Order_Month])),"m月")&amp;"発注)")</f>
        <v/>
      </c>
      <c r="CS587">
        <f>IF(SUMIFS(T_PlannedOrders[EffectiveQty],T_PlannedOrders[Part Name],$A509,T_PlannedOrders[WeekIndex],94)=0,"",SUMIFS(T_PlannedOrders[EffectiveQty],T_PlannedOrders[Part Name],$A509,T_PlannedOrders[WeekIndex],94)&amp;" ("&amp;TEXT(SUMPRODUCT(MAX((T_PlannedOrders[Part Name]=$A509)*(T_PlannedOrders[WeekIndex]=94)*(T_PlannedOrders[EffectiveQty]&gt;0)*T_PlannedOrders[Order_Month])),"m月")&amp;"発注)")</f>
        <v/>
      </c>
      <c r="CT587">
        <f>IF(SUMIFS(T_PlannedOrders[EffectiveQty],T_PlannedOrders[Part Name],$A509,T_PlannedOrders[WeekIndex],95)=0,"",SUMIFS(T_PlannedOrders[EffectiveQty],T_PlannedOrders[Part Name],$A509,T_PlannedOrders[WeekIndex],95)&amp;" ("&amp;TEXT(SUMPRODUCT(MAX((T_PlannedOrders[Part Name]=$A509)*(T_PlannedOrders[WeekIndex]=95)*(T_PlannedOrders[EffectiveQty]&gt;0)*T_PlannedOrders[Order_Month])),"m月")&amp;"発注)")</f>
        <v/>
      </c>
      <c r="CU587">
        <f>IF(SUMIFS(T_PlannedOrders[EffectiveQty],T_PlannedOrders[Part Name],$A509,T_PlannedOrders[WeekIndex],96)=0,"",SUMIFS(T_PlannedOrders[EffectiveQty],T_PlannedOrders[Part Name],$A509,T_PlannedOrders[WeekIndex],96)&amp;" ("&amp;TEXT(SUMPRODUCT(MAX((T_PlannedOrders[Part Name]=$A509)*(T_PlannedOrders[WeekIndex]=96)*(T_PlannedOrders[EffectiveQty]&gt;0)*T_PlannedOrders[Order_Month])),"m月")&amp;"発注)")</f>
        <v/>
      </c>
      <c r="CV587">
        <f>IF(SUMIFS(T_PlannedOrders[EffectiveQty],T_PlannedOrders[Part Name],$A509,T_PlannedOrders[WeekIndex],97)=0,"",SUMIFS(T_PlannedOrders[EffectiveQty],T_PlannedOrders[Part Name],$A509,T_PlannedOrders[WeekIndex],97)&amp;" ("&amp;TEXT(SUMPRODUCT(MAX((T_PlannedOrders[Part Name]=$A509)*(T_PlannedOrders[WeekIndex]=97)*(T_PlannedOrders[EffectiveQty]&gt;0)*T_PlannedOrders[Order_Month])),"m月")&amp;"発注)")</f>
        <v/>
      </c>
      <c r="CW587">
        <f>IF(SUMIFS(T_PlannedOrders[EffectiveQty],T_PlannedOrders[Part Name],$A509,T_PlannedOrders[WeekIndex],98)=0,"",SUMIFS(T_PlannedOrders[EffectiveQty],T_PlannedOrders[Part Name],$A509,T_PlannedOrders[WeekIndex],98)&amp;" ("&amp;TEXT(SUMPRODUCT(MAX((T_PlannedOrders[Part Name]=$A509)*(T_PlannedOrders[WeekIndex]=98)*(T_PlannedOrders[EffectiveQty]&gt;0)*T_PlannedOrders[Order_Month])),"m月")&amp;"発注)")</f>
        <v/>
      </c>
      <c r="CX587">
        <f>IF(SUMIFS(T_PlannedOrders[EffectiveQty],T_PlannedOrders[Part Name],$A509,T_PlannedOrders[WeekIndex],99)=0,"",SUMIFS(T_PlannedOrders[EffectiveQty],T_PlannedOrders[Part Name],$A509,T_PlannedOrders[WeekIndex],99)&amp;" ("&amp;TEXT(SUMPRODUCT(MAX((T_PlannedOrders[Part Name]=$A509)*(T_PlannedOrders[WeekIndex]=99)*(T_PlannedOrders[EffectiveQty]&gt;0)*T_PlannedOrders[Order_Month])),"m月")&amp;"発注)")</f>
        <v/>
      </c>
      <c r="CY587">
        <f>IF(SUMIFS(T_PlannedOrders[EffectiveQty],T_PlannedOrders[Part Name],$A509,T_PlannedOrders[WeekIndex],100)=0,"",SUMIFS(T_PlannedOrders[EffectiveQty],T_PlannedOrders[Part Name],$A509,T_PlannedOrders[WeekIndex],100)&amp;" ("&amp;TEXT(SUMPRODUCT(MAX((T_PlannedOrders[Part Name]=$A509)*(T_PlannedOrders[WeekIndex]=100)*(T_PlannedOrders[EffectiveQty]&gt;0)*T_PlannedOrders[Order_Month])),"m月")&amp;"発注)")</f>
        <v/>
      </c>
      <c r="CZ587">
        <f>IF(SUMIFS(T_PlannedOrders[EffectiveQty],T_PlannedOrders[Part Name],$A509,T_PlannedOrders[WeekIndex],101)=0,"",SUMIFS(T_PlannedOrders[EffectiveQty],T_PlannedOrders[Part Name],$A509,T_PlannedOrders[WeekIndex],101)&amp;" ("&amp;TEXT(SUMPRODUCT(MAX((T_PlannedOrders[Part Name]=$A509)*(T_PlannedOrders[WeekIndex]=101)*(T_PlannedOrders[EffectiveQty]&gt;0)*T_PlannedOrders[Order_Month])),"m月")&amp;"発注)")</f>
        <v/>
      </c>
      <c r="DA587">
        <f>IF(SUMIFS(T_PlannedOrders[EffectiveQty],T_PlannedOrders[Part Name],$A509,T_PlannedOrders[WeekIndex],102)=0,"",SUMIFS(T_PlannedOrders[EffectiveQty],T_PlannedOrders[Part Name],$A509,T_PlannedOrders[WeekIndex],102)&amp;" ("&amp;TEXT(SUMPRODUCT(MAX((T_PlannedOrders[Part Name]=$A509)*(T_PlannedOrders[WeekIndex]=102)*(T_PlannedOrders[EffectiveQty]&gt;0)*T_PlannedOrders[Order_Month])),"m月")&amp;"発注)")</f>
        <v/>
      </c>
      <c r="DB587">
        <f>IF(SUMIFS(T_PlannedOrders[EffectiveQty],T_PlannedOrders[Part Name],$A509,T_PlannedOrders[WeekIndex],103)=0,"",SUMIFS(T_PlannedOrders[EffectiveQty],T_PlannedOrders[Part Name],$A509,T_PlannedOrders[WeekIndex],103)&amp;" ("&amp;TEXT(SUMPRODUCT(MAX((T_PlannedOrders[Part Name]=$A509)*(T_PlannedOrders[WeekIndex]=103)*(T_PlannedOrders[EffectiveQty]&gt;0)*T_PlannedOrders[Order_Month])),"m月")&amp;"発注)")</f>
        <v/>
      </c>
      <c r="DC587">
        <f>IF(SUMIFS(T_PlannedOrders[EffectiveQty],T_PlannedOrders[Part Name],$A509,T_PlannedOrders[WeekIndex],104)=0,"",SUMIFS(T_PlannedOrders[EffectiveQty],T_PlannedOrders[Part Name],$A509,T_PlannedOrders[WeekIndex],104)&amp;" ("&amp;TEXT(SUMPRODUCT(MAX((T_PlannedOrders[Part Name]=$A509)*(T_PlannedOrders[WeekIndex]=104)*(T_PlannedOrders[EffectiveQty]&gt;0)*T_PlannedOrders[Order_Month])),"m月")&amp;"発注)")</f>
        <v/>
      </c>
    </row>
    <row r="588">
      <c r="B588" s="5" t="inlineStr">
        <is>
          <t>合計在庫(週末時点,kg)</t>
        </is>
      </c>
      <c r="D588">
        <f>'Grid_Stock'!B13</f>
        <v/>
      </c>
      <c r="E588">
        <f>'Grid_Stock'!C13</f>
        <v/>
      </c>
      <c r="F588">
        <f>'Grid_Stock'!D13</f>
        <v/>
      </c>
      <c r="G588">
        <f>'Grid_Stock'!E13</f>
        <v/>
      </c>
      <c r="H588">
        <f>'Grid_Stock'!F13</f>
        <v/>
      </c>
      <c r="I588">
        <f>'Grid_Stock'!G13</f>
        <v/>
      </c>
      <c r="J588">
        <f>'Grid_Stock'!H13</f>
        <v/>
      </c>
      <c r="K588">
        <f>'Grid_Stock'!I13</f>
        <v/>
      </c>
      <c r="L588">
        <f>'Grid_Stock'!J13</f>
        <v/>
      </c>
      <c r="M588">
        <f>'Grid_Stock'!K13</f>
        <v/>
      </c>
      <c r="N588">
        <f>'Grid_Stock'!L13</f>
        <v/>
      </c>
      <c r="O588">
        <f>'Grid_Stock'!M13</f>
        <v/>
      </c>
      <c r="P588">
        <f>'Grid_Stock'!N13</f>
        <v/>
      </c>
      <c r="Q588">
        <f>'Grid_Stock'!O13</f>
        <v/>
      </c>
      <c r="R588">
        <f>'Grid_Stock'!P13</f>
        <v/>
      </c>
      <c r="S588">
        <f>'Grid_Stock'!Q13</f>
        <v/>
      </c>
      <c r="T588">
        <f>'Grid_Stock'!R13</f>
        <v/>
      </c>
      <c r="U588">
        <f>'Grid_Stock'!S13</f>
        <v/>
      </c>
      <c r="V588">
        <f>'Grid_Stock'!T13</f>
        <v/>
      </c>
      <c r="W588">
        <f>'Grid_Stock'!U13</f>
        <v/>
      </c>
      <c r="X588">
        <f>'Grid_Stock'!V13</f>
        <v/>
      </c>
      <c r="Y588">
        <f>'Grid_Stock'!W13</f>
        <v/>
      </c>
      <c r="Z588">
        <f>'Grid_Stock'!X13</f>
        <v/>
      </c>
      <c r="AA588">
        <f>'Grid_Stock'!Y13</f>
        <v/>
      </c>
      <c r="AB588">
        <f>'Grid_Stock'!Z13</f>
        <v/>
      </c>
      <c r="AC588">
        <f>'Grid_Stock'!AA13</f>
        <v/>
      </c>
      <c r="AD588">
        <f>'Grid_Stock'!AB13</f>
        <v/>
      </c>
      <c r="AE588">
        <f>'Grid_Stock'!AC13</f>
        <v/>
      </c>
      <c r="AF588">
        <f>'Grid_Stock'!AD13</f>
        <v/>
      </c>
      <c r="AG588">
        <f>'Grid_Stock'!AE13</f>
        <v/>
      </c>
      <c r="AH588">
        <f>'Grid_Stock'!AF13</f>
        <v/>
      </c>
      <c r="AI588">
        <f>'Grid_Stock'!AG13</f>
        <v/>
      </c>
      <c r="AJ588">
        <f>'Grid_Stock'!AH13</f>
        <v/>
      </c>
      <c r="AK588">
        <f>'Grid_Stock'!AI13</f>
        <v/>
      </c>
      <c r="AL588">
        <f>'Grid_Stock'!AJ13</f>
        <v/>
      </c>
      <c r="AM588">
        <f>'Grid_Stock'!AK13</f>
        <v/>
      </c>
      <c r="AN588">
        <f>'Grid_Stock'!AL13</f>
        <v/>
      </c>
      <c r="AO588">
        <f>'Grid_Stock'!AM13</f>
        <v/>
      </c>
      <c r="AP588">
        <f>'Grid_Stock'!AN13</f>
        <v/>
      </c>
      <c r="AQ588">
        <f>'Grid_Stock'!AO13</f>
        <v/>
      </c>
      <c r="AR588">
        <f>'Grid_Stock'!AP13</f>
        <v/>
      </c>
      <c r="AS588">
        <f>'Grid_Stock'!AQ13</f>
        <v/>
      </c>
      <c r="AT588">
        <f>'Grid_Stock'!AR13</f>
        <v/>
      </c>
      <c r="AU588">
        <f>'Grid_Stock'!AS13</f>
        <v/>
      </c>
      <c r="AV588">
        <f>'Grid_Stock'!AT13</f>
        <v/>
      </c>
      <c r="AW588">
        <f>'Grid_Stock'!AU13</f>
        <v/>
      </c>
      <c r="AX588">
        <f>'Grid_Stock'!AV13</f>
        <v/>
      </c>
      <c r="AY588">
        <f>'Grid_Stock'!AW13</f>
        <v/>
      </c>
      <c r="AZ588">
        <f>'Grid_Stock'!AX13</f>
        <v/>
      </c>
      <c r="BA588">
        <f>'Grid_Stock'!AY13</f>
        <v/>
      </c>
      <c r="BB588">
        <f>'Grid_Stock'!AZ13</f>
        <v/>
      </c>
      <c r="BC588">
        <f>'Grid_Stock'!BA13</f>
        <v/>
      </c>
      <c r="BD588">
        <f>'Grid_Stock'!BB13</f>
        <v/>
      </c>
      <c r="BE588">
        <f>'Grid_Stock'!BC13</f>
        <v/>
      </c>
      <c r="BF588">
        <f>'Grid_Stock'!BD13</f>
        <v/>
      </c>
      <c r="BG588">
        <f>'Grid_Stock'!BE13</f>
        <v/>
      </c>
      <c r="BH588">
        <f>'Grid_Stock'!BF13</f>
        <v/>
      </c>
      <c r="BI588">
        <f>'Grid_Stock'!BG13</f>
        <v/>
      </c>
      <c r="BJ588">
        <f>'Grid_Stock'!BH13</f>
        <v/>
      </c>
      <c r="BK588">
        <f>'Grid_Stock'!BI13</f>
        <v/>
      </c>
      <c r="BL588">
        <f>'Grid_Stock'!BJ13</f>
        <v/>
      </c>
      <c r="BM588">
        <f>'Grid_Stock'!BK13</f>
        <v/>
      </c>
      <c r="BN588">
        <f>'Grid_Stock'!BL13</f>
        <v/>
      </c>
      <c r="BO588">
        <f>'Grid_Stock'!BM13</f>
        <v/>
      </c>
      <c r="BP588">
        <f>'Grid_Stock'!BN13</f>
        <v/>
      </c>
      <c r="BQ588">
        <f>'Grid_Stock'!BO13</f>
        <v/>
      </c>
      <c r="BR588">
        <f>'Grid_Stock'!BP13</f>
        <v/>
      </c>
      <c r="BS588">
        <f>'Grid_Stock'!BQ13</f>
        <v/>
      </c>
      <c r="BT588">
        <f>'Grid_Stock'!BR13</f>
        <v/>
      </c>
      <c r="BU588">
        <f>'Grid_Stock'!BS13</f>
        <v/>
      </c>
      <c r="BV588">
        <f>'Grid_Stock'!BT13</f>
        <v/>
      </c>
      <c r="BW588">
        <f>'Grid_Stock'!BU13</f>
        <v/>
      </c>
      <c r="BX588">
        <f>'Grid_Stock'!BV13</f>
        <v/>
      </c>
      <c r="BY588">
        <f>'Grid_Stock'!BW13</f>
        <v/>
      </c>
      <c r="BZ588">
        <f>'Grid_Stock'!BX13</f>
        <v/>
      </c>
      <c r="CA588">
        <f>'Grid_Stock'!BY13</f>
        <v/>
      </c>
      <c r="CB588">
        <f>'Grid_Stock'!BZ13</f>
        <v/>
      </c>
      <c r="CC588">
        <f>'Grid_Stock'!CA13</f>
        <v/>
      </c>
      <c r="CD588">
        <f>'Grid_Stock'!CB13</f>
        <v/>
      </c>
      <c r="CE588">
        <f>'Grid_Stock'!CC13</f>
        <v/>
      </c>
      <c r="CF588">
        <f>'Grid_Stock'!CD13</f>
        <v/>
      </c>
      <c r="CG588">
        <f>'Grid_Stock'!CE13</f>
        <v/>
      </c>
      <c r="CH588">
        <f>'Grid_Stock'!CF13</f>
        <v/>
      </c>
      <c r="CI588">
        <f>'Grid_Stock'!CG13</f>
        <v/>
      </c>
      <c r="CJ588">
        <f>'Grid_Stock'!CH13</f>
        <v/>
      </c>
      <c r="CK588">
        <f>'Grid_Stock'!CI13</f>
        <v/>
      </c>
      <c r="CL588">
        <f>'Grid_Stock'!CJ13</f>
        <v/>
      </c>
      <c r="CM588">
        <f>'Grid_Stock'!CK13</f>
        <v/>
      </c>
      <c r="CN588">
        <f>'Grid_Stock'!CL13</f>
        <v/>
      </c>
      <c r="CO588">
        <f>'Grid_Stock'!CM13</f>
        <v/>
      </c>
      <c r="CP588">
        <f>'Grid_Stock'!CN13</f>
        <v/>
      </c>
      <c r="CQ588">
        <f>'Grid_Stock'!CO13</f>
        <v/>
      </c>
      <c r="CR588">
        <f>'Grid_Stock'!CP13</f>
        <v/>
      </c>
      <c r="CS588">
        <f>'Grid_Stock'!CQ13</f>
        <v/>
      </c>
      <c r="CT588">
        <f>'Grid_Stock'!CR13</f>
        <v/>
      </c>
      <c r="CU588">
        <f>'Grid_Stock'!CS13</f>
        <v/>
      </c>
      <c r="CV588">
        <f>'Grid_Stock'!CT13</f>
        <v/>
      </c>
      <c r="CW588">
        <f>'Grid_Stock'!CU13</f>
        <v/>
      </c>
      <c r="CX588">
        <f>'Grid_Stock'!CV13</f>
        <v/>
      </c>
      <c r="CY588">
        <f>'Grid_Stock'!CW13</f>
        <v/>
      </c>
      <c r="CZ588">
        <f>'Grid_Stock'!CX13</f>
        <v/>
      </c>
      <c r="DA588">
        <f>'Grid_Stock'!CY13</f>
        <v/>
      </c>
      <c r="DB588">
        <f>'Grid_Stock'!CZ13</f>
        <v/>
      </c>
      <c r="DC588">
        <f>'Grid_Stock'!DA13</f>
        <v/>
      </c>
    </row>
    <row r="589">
      <c r="B589" s="23" t="inlineStr">
        <is>
          <t>（発注の目安はDashboardの基準在庫[下限/上限]と色分けを参照）</t>
        </is>
      </c>
    </row>
    <row r="591">
      <c r="A591" s="21" t="inlineStr">
        <is>
          <t>CHEM-1430</t>
        </is>
      </c>
      <c r="B591" s="21" t="inlineStr">
        <is>
          <t>RCT22</t>
        </is>
      </c>
      <c r="C591" s="22" t="n"/>
      <c r="D591" s="21" t="n"/>
      <c r="E591" s="21" t="n"/>
      <c r="F591" s="21" t="n"/>
      <c r="G591" s="21" t="n"/>
      <c r="H591" s="2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  <c r="AA591" s="21" t="n"/>
      <c r="AB591" s="21" t="n"/>
      <c r="AC591" s="21" t="n"/>
      <c r="AD591" s="21" t="n"/>
      <c r="AE591" s="21" t="n"/>
      <c r="AF591" s="21" t="n"/>
      <c r="AG591" s="21" t="n"/>
      <c r="AH591" s="21" t="n"/>
      <c r="AI591" s="21" t="n"/>
      <c r="AJ591" s="21" t="n"/>
      <c r="AK591" s="21" t="n"/>
      <c r="AL591" s="21" t="n"/>
      <c r="AM591" s="21" t="n"/>
      <c r="AN591" s="21" t="n"/>
      <c r="AO591" s="21" t="n"/>
      <c r="AP591" s="21" t="n"/>
      <c r="AQ591" s="21" t="n"/>
      <c r="AR591" s="21" t="n"/>
      <c r="AS591" s="21" t="n"/>
      <c r="AT591" s="21" t="n"/>
      <c r="AU591" s="21" t="n"/>
      <c r="AV591" s="21" t="n"/>
      <c r="AW591" s="21" t="n"/>
      <c r="AX591" s="21" t="n"/>
      <c r="AY591" s="21" t="n"/>
      <c r="AZ591" s="21" t="n"/>
      <c r="BA591" s="21" t="n"/>
      <c r="BB591" s="21" t="n"/>
      <c r="BC591" s="21" t="n"/>
      <c r="BD591" s="21" t="n"/>
      <c r="BE591" s="21" t="n"/>
      <c r="BF591" s="21" t="n"/>
      <c r="BG591" s="21" t="n"/>
      <c r="BH591" s="21" t="n"/>
      <c r="BI591" s="21" t="n"/>
      <c r="BJ591" s="21" t="n"/>
      <c r="BK591" s="21" t="n"/>
      <c r="BL591" s="21" t="n"/>
      <c r="BM591" s="21" t="n"/>
      <c r="BN591" s="21" t="n"/>
      <c r="BO591" s="21" t="n"/>
      <c r="BP591" s="21" t="n"/>
      <c r="BQ591" s="21" t="n"/>
      <c r="BR591" s="21" t="n"/>
      <c r="BS591" s="21" t="n"/>
      <c r="BT591" s="21" t="n"/>
      <c r="BU591" s="21" t="n"/>
      <c r="BV591" s="21" t="n"/>
      <c r="BW591" s="21" t="n"/>
      <c r="BX591" s="21" t="n"/>
      <c r="BY591" s="21" t="n"/>
      <c r="BZ591" s="21" t="n"/>
      <c r="CA591" s="21" t="n"/>
      <c r="CB591" s="21" t="n"/>
      <c r="CC591" s="21" t="n"/>
      <c r="CD591" s="21" t="n"/>
      <c r="CE591" s="21" t="n"/>
      <c r="CF591" s="21" t="n"/>
      <c r="CG591" s="21" t="n"/>
      <c r="CH591" s="21" t="n"/>
      <c r="CI591" s="21" t="n"/>
      <c r="CJ591" s="21" t="n"/>
      <c r="CK591" s="21" t="n"/>
      <c r="CL591" s="21" t="n"/>
      <c r="CM591" s="21" t="n"/>
      <c r="CN591" s="21" t="n"/>
      <c r="CO591" s="21" t="n"/>
      <c r="CP591" s="21" t="n"/>
      <c r="CQ591" s="21" t="n"/>
      <c r="CR591" s="21" t="n"/>
      <c r="CS591" s="21" t="n"/>
      <c r="CT591" s="21" t="n"/>
      <c r="CU591" s="21" t="n"/>
      <c r="CV591" s="21" t="n"/>
      <c r="CW591" s="21" t="n"/>
      <c r="CX591" s="21" t="n"/>
      <c r="CY591" s="21" t="n"/>
      <c r="CZ591" s="21" t="n"/>
      <c r="DA591" s="21" t="n"/>
      <c r="DB591" s="21" t="n"/>
      <c r="DC591" s="21" t="n"/>
    </row>
    <row r="592">
      <c r="B592" t="inlineStr">
        <is>
          <t>TSP-050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Name],$A591)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TSP-078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Name],$A591)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TSP-080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Name],$A591)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TSP-105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Name],$A591)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TSP-225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Name],$A591)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s="5" t="inlineStr">
        <is>
          <t>合計使用量(kg)/週</t>
        </is>
      </c>
      <c r="D602">
        <f>'Grid_Requirement'!B26</f>
        <v/>
      </c>
      <c r="E602">
        <f>'Grid_Requirement'!C26</f>
        <v/>
      </c>
      <c r="F602">
        <f>'Grid_Requirement'!D26</f>
        <v/>
      </c>
      <c r="G602">
        <f>'Grid_Requirement'!E26</f>
        <v/>
      </c>
      <c r="H602">
        <f>'Grid_Requirement'!F26</f>
        <v/>
      </c>
      <c r="I602">
        <f>'Grid_Requirement'!G26</f>
        <v/>
      </c>
      <c r="J602">
        <f>'Grid_Requirement'!H26</f>
        <v/>
      </c>
      <c r="K602">
        <f>'Grid_Requirement'!I26</f>
        <v/>
      </c>
      <c r="L602">
        <f>'Grid_Requirement'!J26</f>
        <v/>
      </c>
      <c r="M602">
        <f>'Grid_Requirement'!K26</f>
        <v/>
      </c>
      <c r="N602">
        <f>'Grid_Requirement'!L26</f>
        <v/>
      </c>
      <c r="O602">
        <f>'Grid_Requirement'!M26</f>
        <v/>
      </c>
      <c r="P602">
        <f>'Grid_Requirement'!N26</f>
        <v/>
      </c>
      <c r="Q602">
        <f>'Grid_Requirement'!O26</f>
        <v/>
      </c>
      <c r="R602">
        <f>'Grid_Requirement'!P26</f>
        <v/>
      </c>
      <c r="S602">
        <f>'Grid_Requirement'!Q26</f>
        <v/>
      </c>
      <c r="T602">
        <f>'Grid_Requirement'!R26</f>
        <v/>
      </c>
      <c r="U602">
        <f>'Grid_Requirement'!S26</f>
        <v/>
      </c>
      <c r="V602">
        <f>'Grid_Requirement'!T26</f>
        <v/>
      </c>
      <c r="W602">
        <f>'Grid_Requirement'!U26</f>
        <v/>
      </c>
      <c r="X602">
        <f>'Grid_Requirement'!V26</f>
        <v/>
      </c>
      <c r="Y602">
        <f>'Grid_Requirement'!W26</f>
        <v/>
      </c>
      <c r="Z602">
        <f>'Grid_Requirement'!X26</f>
        <v/>
      </c>
      <c r="AA602">
        <f>'Grid_Requirement'!Y26</f>
        <v/>
      </c>
      <c r="AB602">
        <f>'Grid_Requirement'!Z26</f>
        <v/>
      </c>
      <c r="AC602">
        <f>'Grid_Requirement'!AA26</f>
        <v/>
      </c>
      <c r="AD602">
        <f>'Grid_Requirement'!AB26</f>
        <v/>
      </c>
      <c r="AE602">
        <f>'Grid_Requirement'!AC26</f>
        <v/>
      </c>
      <c r="AF602">
        <f>'Grid_Requirement'!AD26</f>
        <v/>
      </c>
      <c r="AG602">
        <f>'Grid_Requirement'!AE26</f>
        <v/>
      </c>
      <c r="AH602">
        <f>'Grid_Requirement'!AF26</f>
        <v/>
      </c>
      <c r="AI602">
        <f>'Grid_Requirement'!AG26</f>
        <v/>
      </c>
      <c r="AJ602">
        <f>'Grid_Requirement'!AH26</f>
        <v/>
      </c>
      <c r="AK602">
        <f>'Grid_Requirement'!AI26</f>
        <v/>
      </c>
      <c r="AL602">
        <f>'Grid_Requirement'!AJ26</f>
        <v/>
      </c>
      <c r="AM602">
        <f>'Grid_Requirement'!AK26</f>
        <v/>
      </c>
      <c r="AN602">
        <f>'Grid_Requirement'!AL26</f>
        <v/>
      </c>
      <c r="AO602">
        <f>'Grid_Requirement'!AM26</f>
        <v/>
      </c>
      <c r="AP602">
        <f>'Grid_Requirement'!AN26</f>
        <v/>
      </c>
      <c r="AQ602">
        <f>'Grid_Requirement'!AO26</f>
        <v/>
      </c>
      <c r="AR602">
        <f>'Grid_Requirement'!AP26</f>
        <v/>
      </c>
      <c r="AS602">
        <f>'Grid_Requirement'!AQ26</f>
        <v/>
      </c>
      <c r="AT602">
        <f>'Grid_Requirement'!AR26</f>
        <v/>
      </c>
      <c r="AU602">
        <f>'Grid_Requirement'!AS26</f>
        <v/>
      </c>
      <c r="AV602">
        <f>'Grid_Requirement'!AT26</f>
        <v/>
      </c>
      <c r="AW602">
        <f>'Grid_Requirement'!AU26</f>
        <v/>
      </c>
      <c r="AX602">
        <f>'Grid_Requirement'!AV26</f>
        <v/>
      </c>
      <c r="AY602">
        <f>'Grid_Requirement'!AW26</f>
        <v/>
      </c>
      <c r="AZ602">
        <f>'Grid_Requirement'!AX26</f>
        <v/>
      </c>
      <c r="BA602">
        <f>'Grid_Requirement'!AY26</f>
        <v/>
      </c>
      <c r="BB602">
        <f>'Grid_Requirement'!AZ26</f>
        <v/>
      </c>
      <c r="BC602">
        <f>'Grid_Requirement'!BA26</f>
        <v/>
      </c>
      <c r="BD602">
        <f>'Grid_Requirement'!BB26</f>
        <v/>
      </c>
      <c r="BE602">
        <f>'Grid_Requirement'!BC26</f>
        <v/>
      </c>
      <c r="BF602">
        <f>'Grid_Requirement'!BD26</f>
        <v/>
      </c>
      <c r="BG602">
        <f>'Grid_Requirement'!BE26</f>
        <v/>
      </c>
      <c r="BH602">
        <f>'Grid_Requirement'!BF26</f>
        <v/>
      </c>
      <c r="BI602">
        <f>'Grid_Requirement'!BG26</f>
        <v/>
      </c>
      <c r="BJ602">
        <f>'Grid_Requirement'!BH26</f>
        <v/>
      </c>
      <c r="BK602">
        <f>'Grid_Requirement'!BI26</f>
        <v/>
      </c>
      <c r="BL602">
        <f>'Grid_Requirement'!BJ26</f>
        <v/>
      </c>
      <c r="BM602">
        <f>'Grid_Requirement'!BK26</f>
        <v/>
      </c>
      <c r="BN602">
        <f>'Grid_Requirement'!BL26</f>
        <v/>
      </c>
      <c r="BO602">
        <f>'Grid_Requirement'!BM26</f>
        <v/>
      </c>
      <c r="BP602">
        <f>'Grid_Requirement'!BN26</f>
        <v/>
      </c>
      <c r="BQ602">
        <f>'Grid_Requirement'!BO26</f>
        <v/>
      </c>
      <c r="BR602">
        <f>'Grid_Requirement'!BP26</f>
        <v/>
      </c>
      <c r="BS602">
        <f>'Grid_Requirement'!BQ26</f>
        <v/>
      </c>
      <c r="BT602">
        <f>'Grid_Requirement'!BR26</f>
        <v/>
      </c>
      <c r="BU602">
        <f>'Grid_Requirement'!BS26</f>
        <v/>
      </c>
      <c r="BV602">
        <f>'Grid_Requirement'!BT26</f>
        <v/>
      </c>
      <c r="BW602">
        <f>'Grid_Requirement'!BU26</f>
        <v/>
      </c>
      <c r="BX602">
        <f>'Grid_Requirement'!BV26</f>
        <v/>
      </c>
      <c r="BY602">
        <f>'Grid_Requirement'!BW26</f>
        <v/>
      </c>
      <c r="BZ602">
        <f>'Grid_Requirement'!BX26</f>
        <v/>
      </c>
      <c r="CA602">
        <f>'Grid_Requirement'!BY26</f>
        <v/>
      </c>
      <c r="CB602">
        <f>'Grid_Requirement'!BZ26</f>
        <v/>
      </c>
      <c r="CC602">
        <f>'Grid_Requirement'!CA26</f>
        <v/>
      </c>
      <c r="CD602">
        <f>'Grid_Requirement'!CB26</f>
        <v/>
      </c>
      <c r="CE602">
        <f>'Grid_Requirement'!CC26</f>
        <v/>
      </c>
      <c r="CF602">
        <f>'Grid_Requirement'!CD26</f>
        <v/>
      </c>
      <c r="CG602">
        <f>'Grid_Requirement'!CE26</f>
        <v/>
      </c>
      <c r="CH602">
        <f>'Grid_Requirement'!CF26</f>
        <v/>
      </c>
      <c r="CI602">
        <f>'Grid_Requirement'!CG26</f>
        <v/>
      </c>
      <c r="CJ602">
        <f>'Grid_Requirement'!CH26</f>
        <v/>
      </c>
      <c r="CK602">
        <f>'Grid_Requirement'!CI26</f>
        <v/>
      </c>
      <c r="CL602">
        <f>'Grid_Requirement'!CJ26</f>
        <v/>
      </c>
      <c r="CM602">
        <f>'Grid_Requirement'!CK26</f>
        <v/>
      </c>
      <c r="CN602">
        <f>'Grid_Requirement'!CL26</f>
        <v/>
      </c>
      <c r="CO602">
        <f>'Grid_Requirement'!CM26</f>
        <v/>
      </c>
      <c r="CP602">
        <f>'Grid_Requirement'!CN26</f>
        <v/>
      </c>
      <c r="CQ602">
        <f>'Grid_Requirement'!CO26</f>
        <v/>
      </c>
      <c r="CR602">
        <f>'Grid_Requirement'!CP26</f>
        <v/>
      </c>
      <c r="CS602">
        <f>'Grid_Requirement'!CQ26</f>
        <v/>
      </c>
      <c r="CT602">
        <f>'Grid_Requirement'!CR26</f>
        <v/>
      </c>
      <c r="CU602">
        <f>'Grid_Requirement'!CS26</f>
        <v/>
      </c>
      <c r="CV602">
        <f>'Grid_Requirement'!CT26</f>
        <v/>
      </c>
      <c r="CW602">
        <f>'Grid_Requirement'!CU26</f>
        <v/>
      </c>
      <c r="CX602">
        <f>'Grid_Requirement'!CV26</f>
        <v/>
      </c>
      <c r="CY602">
        <f>'Grid_Requirement'!CW26</f>
        <v/>
      </c>
      <c r="CZ602">
        <f>'Grid_Requirement'!CX26</f>
        <v/>
      </c>
      <c r="DA602">
        <f>'Grid_Requirement'!CY26</f>
        <v/>
      </c>
      <c r="DB602">
        <f>'Grid_Requirement'!CZ26</f>
        <v/>
      </c>
      <c r="DC602">
        <f>'Grid_Requirement'!DA26</f>
        <v/>
      </c>
    </row>
    <row r="603">
      <c r="B603" t="inlineStr">
        <is>
          <t>TTAF在庫(実績,kg)</t>
        </is>
      </c>
      <c r="D603">
        <f>'T_TTAFStock'!B30</f>
        <v/>
      </c>
      <c r="E603">
        <f>'T_TTAFStock'!C30</f>
        <v/>
      </c>
      <c r="F603">
        <f>'T_TTAFStock'!D30</f>
        <v/>
      </c>
      <c r="G603">
        <f>'T_TTAFStock'!E30</f>
        <v/>
      </c>
      <c r="H603">
        <f>'T_TTAFStock'!F30</f>
        <v/>
      </c>
      <c r="I603">
        <f>'T_TTAFStock'!G30</f>
        <v/>
      </c>
      <c r="J603">
        <f>'T_TTAFStock'!H30</f>
        <v/>
      </c>
      <c r="K603">
        <f>'T_TTAFStock'!I30</f>
        <v/>
      </c>
      <c r="L603">
        <f>'T_TTAFStock'!J30</f>
        <v/>
      </c>
      <c r="M603">
        <f>'T_TTAFStock'!K30</f>
        <v/>
      </c>
      <c r="N603">
        <f>'T_TTAFStock'!L30</f>
        <v/>
      </c>
      <c r="O603">
        <f>'T_TTAFStock'!M30</f>
        <v/>
      </c>
      <c r="P603">
        <f>'T_TTAFStock'!N30</f>
        <v/>
      </c>
      <c r="Q603">
        <f>'T_TTAFStock'!O30</f>
        <v/>
      </c>
      <c r="R603">
        <f>'T_TTAFStock'!P30</f>
        <v/>
      </c>
      <c r="S603">
        <f>'T_TTAFStock'!Q30</f>
        <v/>
      </c>
      <c r="T603">
        <f>'T_TTAFStock'!R30</f>
        <v/>
      </c>
      <c r="U603">
        <f>'T_TTAFStock'!S30</f>
        <v/>
      </c>
      <c r="V603">
        <f>'T_TTAFStock'!T30</f>
        <v/>
      </c>
      <c r="W603">
        <f>'T_TTAFStock'!U30</f>
        <v/>
      </c>
      <c r="X603">
        <f>'T_TTAFStock'!V30</f>
        <v/>
      </c>
      <c r="Y603">
        <f>'T_TTAFStock'!W30</f>
        <v/>
      </c>
      <c r="Z603">
        <f>'T_TTAFStock'!X30</f>
        <v/>
      </c>
      <c r="AA603">
        <f>'T_TTAFStock'!Y30</f>
        <v/>
      </c>
      <c r="AB603">
        <f>'T_TTAFStock'!Z30</f>
        <v/>
      </c>
      <c r="AC603">
        <f>'T_TTAFStock'!AA30</f>
        <v/>
      </c>
      <c r="AD603">
        <f>'T_TTAFStock'!AB30</f>
        <v/>
      </c>
      <c r="AE603">
        <f>'T_TTAFStock'!AC30</f>
        <v/>
      </c>
      <c r="AF603">
        <f>'T_TTAFStock'!AD30</f>
        <v/>
      </c>
      <c r="AG603">
        <f>'T_TTAFStock'!AE30</f>
        <v/>
      </c>
      <c r="AH603">
        <f>'T_TTAFStock'!AF30</f>
        <v/>
      </c>
      <c r="AI603">
        <f>'T_TTAFStock'!AG30</f>
        <v/>
      </c>
      <c r="AJ603">
        <f>'T_TTAFStock'!AH30</f>
        <v/>
      </c>
      <c r="AK603">
        <f>'T_TTAFStock'!AI30</f>
        <v/>
      </c>
      <c r="AL603">
        <f>'T_TTAFStock'!AJ30</f>
        <v/>
      </c>
      <c r="AM603">
        <f>'T_TTAFStock'!AK30</f>
        <v/>
      </c>
      <c r="AN603">
        <f>'T_TTAFStock'!AL30</f>
        <v/>
      </c>
      <c r="AO603">
        <f>'T_TTAFStock'!AM30</f>
        <v/>
      </c>
      <c r="AP603">
        <f>'T_TTAFStock'!AN30</f>
        <v/>
      </c>
      <c r="AQ603">
        <f>'T_TTAFStock'!AO30</f>
        <v/>
      </c>
      <c r="AR603">
        <f>'T_TTAFStock'!AP30</f>
        <v/>
      </c>
      <c r="AS603">
        <f>'T_TTAFStock'!AQ30</f>
        <v/>
      </c>
      <c r="AT603">
        <f>'T_TTAFStock'!AR30</f>
        <v/>
      </c>
      <c r="AU603">
        <f>'T_TTAFStock'!AS30</f>
        <v/>
      </c>
      <c r="AV603">
        <f>'T_TTAFStock'!AT30</f>
        <v/>
      </c>
      <c r="AW603">
        <f>'T_TTAFStock'!AU30</f>
        <v/>
      </c>
      <c r="AX603">
        <f>'T_TTAFStock'!AV30</f>
        <v/>
      </c>
      <c r="AY603">
        <f>'T_TTAFStock'!AW30</f>
        <v/>
      </c>
      <c r="AZ603">
        <f>'T_TTAFStock'!AX30</f>
        <v/>
      </c>
      <c r="BA603">
        <f>'T_TTAFStock'!AY30</f>
        <v/>
      </c>
      <c r="BB603">
        <f>'T_TTAFStock'!AZ30</f>
        <v/>
      </c>
      <c r="BC603">
        <f>'T_TTAFStock'!BA30</f>
        <v/>
      </c>
      <c r="BD603">
        <f>'T_TTAFStock'!BB30</f>
        <v/>
      </c>
      <c r="BE603">
        <f>'T_TTAFStock'!BC30</f>
        <v/>
      </c>
      <c r="BF603">
        <f>'T_TTAFStock'!BD30</f>
        <v/>
      </c>
      <c r="BG603">
        <f>'T_TTAFStock'!BE30</f>
        <v/>
      </c>
      <c r="BH603">
        <f>'T_TTAFStock'!BF30</f>
        <v/>
      </c>
      <c r="BI603">
        <f>'T_TTAFStock'!BG30</f>
        <v/>
      </c>
      <c r="BJ603">
        <f>'T_TTAFStock'!BH30</f>
        <v/>
      </c>
      <c r="BK603">
        <f>'T_TTAFStock'!BI30</f>
        <v/>
      </c>
      <c r="BL603">
        <f>'T_TTAFStock'!BJ30</f>
        <v/>
      </c>
      <c r="BM603">
        <f>'T_TTAFStock'!BK30</f>
        <v/>
      </c>
      <c r="BN603">
        <f>'T_TTAFStock'!BL30</f>
        <v/>
      </c>
      <c r="BO603">
        <f>'T_TTAFStock'!BM30</f>
        <v/>
      </c>
      <c r="BP603">
        <f>'T_TTAFStock'!BN30</f>
        <v/>
      </c>
      <c r="BQ603">
        <f>'T_TTAFStock'!BO30</f>
        <v/>
      </c>
      <c r="BR603">
        <f>'T_TTAFStock'!BP30</f>
        <v/>
      </c>
      <c r="BS603">
        <f>'T_TTAFStock'!BQ30</f>
        <v/>
      </c>
      <c r="BT603">
        <f>'T_TTAFStock'!BR30</f>
        <v/>
      </c>
      <c r="BU603">
        <f>'T_TTAFStock'!BS30</f>
        <v/>
      </c>
      <c r="BV603">
        <f>'T_TTAFStock'!BT30</f>
        <v/>
      </c>
      <c r="BW603">
        <f>'T_TTAFStock'!BU30</f>
        <v/>
      </c>
      <c r="BX603">
        <f>'T_TTAFStock'!BV30</f>
        <v/>
      </c>
      <c r="BY603">
        <f>'T_TTAFStock'!BW30</f>
        <v/>
      </c>
      <c r="BZ603">
        <f>'T_TTAFStock'!BX30</f>
        <v/>
      </c>
      <c r="CA603">
        <f>'T_TTAFStock'!BY30</f>
        <v/>
      </c>
      <c r="CB603">
        <f>'T_TTAFStock'!BZ30</f>
        <v/>
      </c>
      <c r="CC603">
        <f>'T_TTAFStock'!CA30</f>
        <v/>
      </c>
      <c r="CD603">
        <f>'T_TTAFStock'!CB30</f>
        <v/>
      </c>
      <c r="CE603">
        <f>'T_TTAFStock'!CC30</f>
        <v/>
      </c>
      <c r="CF603">
        <f>'T_TTAFStock'!CD30</f>
        <v/>
      </c>
      <c r="CG603">
        <f>'T_TTAFStock'!CE30</f>
        <v/>
      </c>
      <c r="CH603">
        <f>'T_TTAFStock'!CF30</f>
        <v/>
      </c>
      <c r="CI603">
        <f>'T_TTAFStock'!CG30</f>
        <v/>
      </c>
      <c r="CJ603">
        <f>'T_TTAFStock'!CH30</f>
        <v/>
      </c>
      <c r="CK603">
        <f>'T_TTAFStock'!CI30</f>
        <v/>
      </c>
      <c r="CL603">
        <f>'T_TTAFStock'!CJ30</f>
        <v/>
      </c>
      <c r="CM603">
        <f>'T_TTAFStock'!CK30</f>
        <v/>
      </c>
      <c r="CN603">
        <f>'T_TTAFStock'!CL30</f>
        <v/>
      </c>
      <c r="CO603">
        <f>'T_TTAFStock'!CM30</f>
        <v/>
      </c>
      <c r="CP603">
        <f>'T_TTAFStock'!CN30</f>
        <v/>
      </c>
      <c r="CQ603">
        <f>'T_TTAFStock'!CO30</f>
        <v/>
      </c>
      <c r="CR603">
        <f>'T_TTAFStock'!CP30</f>
        <v/>
      </c>
      <c r="CS603">
        <f>'T_TTAFStock'!CQ30</f>
        <v/>
      </c>
      <c r="CT603">
        <f>'T_TTAFStock'!CR30</f>
        <v/>
      </c>
      <c r="CU603">
        <f>'T_TTAFStock'!CS30</f>
        <v/>
      </c>
      <c r="CV603">
        <f>'T_TTAFStock'!CT30</f>
        <v/>
      </c>
      <c r="CW603">
        <f>'T_TTAFStock'!CU30</f>
        <v/>
      </c>
      <c r="CX603">
        <f>'T_TTAFStock'!CV30</f>
        <v/>
      </c>
      <c r="CY603">
        <f>'T_TTAFStock'!CW30</f>
        <v/>
      </c>
      <c r="CZ603">
        <f>'T_TTAFStock'!CX30</f>
        <v/>
      </c>
      <c r="DA603">
        <f>'T_TTAFStock'!CY30</f>
        <v/>
      </c>
      <c r="DB603">
        <f>'T_TTAFStock'!CZ30</f>
        <v/>
      </c>
      <c r="DC603">
        <f>'T_TTAFStock'!DA30</f>
        <v/>
      </c>
    </row>
    <row r="604">
      <c r="B604" t="inlineStr">
        <is>
          <t>自社在庫(実績,kg)</t>
        </is>
      </c>
      <c r="D604">
        <f>'T_SelfStock'!B30</f>
        <v/>
      </c>
      <c r="E604">
        <f>'T_SelfStock'!C30</f>
        <v/>
      </c>
      <c r="F604">
        <f>'T_SelfStock'!D30</f>
        <v/>
      </c>
      <c r="G604">
        <f>'T_SelfStock'!E30</f>
        <v/>
      </c>
      <c r="H604">
        <f>'T_SelfStock'!F30</f>
        <v/>
      </c>
      <c r="I604">
        <f>'T_SelfStock'!G30</f>
        <v/>
      </c>
      <c r="J604">
        <f>'T_SelfStock'!H30</f>
        <v/>
      </c>
      <c r="K604">
        <f>'T_SelfStock'!I30</f>
        <v/>
      </c>
      <c r="L604">
        <f>'T_SelfStock'!J30</f>
        <v/>
      </c>
      <c r="M604">
        <f>'T_SelfStock'!K30</f>
        <v/>
      </c>
      <c r="N604">
        <f>'T_SelfStock'!L30</f>
        <v/>
      </c>
      <c r="O604">
        <f>'T_SelfStock'!M30</f>
        <v/>
      </c>
      <c r="P604">
        <f>'T_SelfStock'!N30</f>
        <v/>
      </c>
      <c r="Q604">
        <f>'T_SelfStock'!O30</f>
        <v/>
      </c>
      <c r="R604">
        <f>'T_SelfStock'!P30</f>
        <v/>
      </c>
      <c r="S604">
        <f>'T_SelfStock'!Q30</f>
        <v/>
      </c>
      <c r="T604">
        <f>'T_SelfStock'!R30</f>
        <v/>
      </c>
      <c r="U604">
        <f>'T_SelfStock'!S30</f>
        <v/>
      </c>
      <c r="V604">
        <f>'T_SelfStock'!T30</f>
        <v/>
      </c>
      <c r="W604">
        <f>'T_SelfStock'!U30</f>
        <v/>
      </c>
      <c r="X604">
        <f>'T_SelfStock'!V30</f>
        <v/>
      </c>
      <c r="Y604">
        <f>'T_SelfStock'!W30</f>
        <v/>
      </c>
      <c r="Z604">
        <f>'T_SelfStock'!X30</f>
        <v/>
      </c>
      <c r="AA604">
        <f>'T_SelfStock'!Y30</f>
        <v/>
      </c>
      <c r="AB604">
        <f>'T_SelfStock'!Z30</f>
        <v/>
      </c>
      <c r="AC604">
        <f>'T_SelfStock'!AA30</f>
        <v/>
      </c>
      <c r="AD604">
        <f>'T_SelfStock'!AB30</f>
        <v/>
      </c>
      <c r="AE604">
        <f>'T_SelfStock'!AC30</f>
        <v/>
      </c>
      <c r="AF604">
        <f>'T_SelfStock'!AD30</f>
        <v/>
      </c>
      <c r="AG604">
        <f>'T_SelfStock'!AE30</f>
        <v/>
      </c>
      <c r="AH604">
        <f>'T_SelfStock'!AF30</f>
        <v/>
      </c>
      <c r="AI604">
        <f>'T_SelfStock'!AG30</f>
        <v/>
      </c>
      <c r="AJ604">
        <f>'T_SelfStock'!AH30</f>
        <v/>
      </c>
      <c r="AK604">
        <f>'T_SelfStock'!AI30</f>
        <v/>
      </c>
      <c r="AL604">
        <f>'T_SelfStock'!AJ30</f>
        <v/>
      </c>
      <c r="AM604">
        <f>'T_SelfStock'!AK30</f>
        <v/>
      </c>
      <c r="AN604">
        <f>'T_SelfStock'!AL30</f>
        <v/>
      </c>
      <c r="AO604">
        <f>'T_SelfStock'!AM30</f>
        <v/>
      </c>
      <c r="AP604">
        <f>'T_SelfStock'!AN30</f>
        <v/>
      </c>
      <c r="AQ604">
        <f>'T_SelfStock'!AO30</f>
        <v/>
      </c>
      <c r="AR604">
        <f>'T_SelfStock'!AP30</f>
        <v/>
      </c>
      <c r="AS604">
        <f>'T_SelfStock'!AQ30</f>
        <v/>
      </c>
      <c r="AT604">
        <f>'T_SelfStock'!AR30</f>
        <v/>
      </c>
      <c r="AU604">
        <f>'T_SelfStock'!AS30</f>
        <v/>
      </c>
      <c r="AV604">
        <f>'T_SelfStock'!AT30</f>
        <v/>
      </c>
      <c r="AW604">
        <f>'T_SelfStock'!AU30</f>
        <v/>
      </c>
      <c r="AX604">
        <f>'T_SelfStock'!AV30</f>
        <v/>
      </c>
      <c r="AY604">
        <f>'T_SelfStock'!AW30</f>
        <v/>
      </c>
      <c r="AZ604">
        <f>'T_SelfStock'!AX30</f>
        <v/>
      </c>
      <c r="BA604">
        <f>'T_SelfStock'!AY30</f>
        <v/>
      </c>
      <c r="BB604">
        <f>'T_SelfStock'!AZ30</f>
        <v/>
      </c>
      <c r="BC604">
        <f>'T_SelfStock'!BA30</f>
        <v/>
      </c>
      <c r="BD604">
        <f>'T_SelfStock'!BB30</f>
        <v/>
      </c>
      <c r="BE604">
        <f>'T_SelfStock'!BC30</f>
        <v/>
      </c>
      <c r="BF604">
        <f>'T_SelfStock'!BD30</f>
        <v/>
      </c>
      <c r="BG604">
        <f>'T_SelfStock'!BE30</f>
        <v/>
      </c>
      <c r="BH604">
        <f>'T_SelfStock'!BF30</f>
        <v/>
      </c>
      <c r="BI604">
        <f>'T_SelfStock'!BG30</f>
        <v/>
      </c>
      <c r="BJ604">
        <f>'T_SelfStock'!BH30</f>
        <v/>
      </c>
      <c r="BK604">
        <f>'T_SelfStock'!BI30</f>
        <v/>
      </c>
      <c r="BL604">
        <f>'T_SelfStock'!BJ30</f>
        <v/>
      </c>
      <c r="BM604">
        <f>'T_SelfStock'!BK30</f>
        <v/>
      </c>
      <c r="BN604">
        <f>'T_SelfStock'!BL30</f>
        <v/>
      </c>
      <c r="BO604">
        <f>'T_SelfStock'!BM30</f>
        <v/>
      </c>
      <c r="BP604">
        <f>'T_SelfStock'!BN30</f>
        <v/>
      </c>
      <c r="BQ604">
        <f>'T_SelfStock'!BO30</f>
        <v/>
      </c>
      <c r="BR604">
        <f>'T_SelfStock'!BP30</f>
        <v/>
      </c>
      <c r="BS604">
        <f>'T_SelfStock'!BQ30</f>
        <v/>
      </c>
      <c r="BT604">
        <f>'T_SelfStock'!BR30</f>
        <v/>
      </c>
      <c r="BU604">
        <f>'T_SelfStock'!BS30</f>
        <v/>
      </c>
      <c r="BV604">
        <f>'T_SelfStock'!BT30</f>
        <v/>
      </c>
      <c r="BW604">
        <f>'T_SelfStock'!BU30</f>
        <v/>
      </c>
      <c r="BX604">
        <f>'T_SelfStock'!BV30</f>
        <v/>
      </c>
      <c r="BY604">
        <f>'T_SelfStock'!BW30</f>
        <v/>
      </c>
      <c r="BZ604">
        <f>'T_SelfStock'!BX30</f>
        <v/>
      </c>
      <c r="CA604">
        <f>'T_SelfStock'!BY30</f>
        <v/>
      </c>
      <c r="CB604">
        <f>'T_SelfStock'!BZ30</f>
        <v/>
      </c>
      <c r="CC604">
        <f>'T_SelfStock'!CA30</f>
        <v/>
      </c>
      <c r="CD604">
        <f>'T_SelfStock'!CB30</f>
        <v/>
      </c>
      <c r="CE604">
        <f>'T_SelfStock'!CC30</f>
        <v/>
      </c>
      <c r="CF604">
        <f>'T_SelfStock'!CD30</f>
        <v/>
      </c>
      <c r="CG604">
        <f>'T_SelfStock'!CE30</f>
        <v/>
      </c>
      <c r="CH604">
        <f>'T_SelfStock'!CF30</f>
        <v/>
      </c>
      <c r="CI604">
        <f>'T_SelfStock'!CG30</f>
        <v/>
      </c>
      <c r="CJ604">
        <f>'T_SelfStock'!CH30</f>
        <v/>
      </c>
      <c r="CK604">
        <f>'T_SelfStock'!CI30</f>
        <v/>
      </c>
      <c r="CL604">
        <f>'T_SelfStock'!CJ30</f>
        <v/>
      </c>
      <c r="CM604">
        <f>'T_SelfStock'!CK30</f>
        <v/>
      </c>
      <c r="CN604">
        <f>'T_SelfStock'!CL30</f>
        <v/>
      </c>
      <c r="CO604">
        <f>'T_SelfStock'!CM30</f>
        <v/>
      </c>
      <c r="CP604">
        <f>'T_SelfStock'!CN30</f>
        <v/>
      </c>
      <c r="CQ604">
        <f>'T_SelfStock'!CO30</f>
        <v/>
      </c>
      <c r="CR604">
        <f>'T_SelfStock'!CP30</f>
        <v/>
      </c>
      <c r="CS604">
        <f>'T_SelfStock'!CQ30</f>
        <v/>
      </c>
      <c r="CT604">
        <f>'T_SelfStock'!CR30</f>
        <v/>
      </c>
      <c r="CU604">
        <f>'T_SelfStock'!CS30</f>
        <v/>
      </c>
      <c r="CV604">
        <f>'T_SelfStock'!CT30</f>
        <v/>
      </c>
      <c r="CW604">
        <f>'T_SelfStock'!CU30</f>
        <v/>
      </c>
      <c r="CX604">
        <f>'T_SelfStock'!CV30</f>
        <v/>
      </c>
      <c r="CY604">
        <f>'T_SelfStock'!CW30</f>
        <v/>
      </c>
      <c r="CZ604">
        <f>'T_SelfStock'!CX30</f>
        <v/>
      </c>
      <c r="DA604">
        <f>'T_SelfStock'!CY30</f>
        <v/>
      </c>
      <c r="DB604">
        <f>'T_SelfStock'!CZ30</f>
        <v/>
      </c>
      <c r="DC604">
        <f>'T_SelfStock'!DA30</f>
        <v/>
      </c>
    </row>
    <row r="605">
      <c r="B605" t="inlineStr">
        <is>
          <t>Order(発注予定,kg)</t>
        </is>
      </c>
      <c r="D605">
        <f>IF(SUMIFS(T_PlannedOrders[EffectiveQty],T_PlannedOrders[Part Name],$A591,T_PlannedOrders[WeekIndex],1)=0,"",SUMIFS(T_PlannedOrders[EffectiveQty],T_PlannedOrders[Part Name],$A591,T_PlannedOrders[WeekIndex],1)&amp;" ("&amp;TEXT(SUMPRODUCT(MAX((T_PlannedOrders[Part Name]=$A591)*(T_PlannedOrders[WeekIndex]=1)*(T_PlannedOrders[EffectiveQty]&gt;0)*T_PlannedOrders[Order_Month])),"m月")&amp;"発注)")</f>
        <v/>
      </c>
      <c r="E605">
        <f>IF(SUMIFS(T_PlannedOrders[EffectiveQty],T_PlannedOrders[Part Name],$A591,T_PlannedOrders[WeekIndex],2)=0,"",SUMIFS(T_PlannedOrders[EffectiveQty],T_PlannedOrders[Part Name],$A591,T_PlannedOrders[WeekIndex],2)&amp;" ("&amp;TEXT(SUMPRODUCT(MAX((T_PlannedOrders[Part Name]=$A591)*(T_PlannedOrders[WeekIndex]=2)*(T_PlannedOrders[EffectiveQty]&gt;0)*T_PlannedOrders[Order_Month])),"m月")&amp;"発注)")</f>
        <v/>
      </c>
      <c r="F605">
        <f>IF(SUMIFS(T_PlannedOrders[EffectiveQty],T_PlannedOrders[Part Name],$A591,T_PlannedOrders[WeekIndex],3)=0,"",SUMIFS(T_PlannedOrders[EffectiveQty],T_PlannedOrders[Part Name],$A591,T_PlannedOrders[WeekIndex],3)&amp;" ("&amp;TEXT(SUMPRODUCT(MAX((T_PlannedOrders[Part Name]=$A591)*(T_PlannedOrders[WeekIndex]=3)*(T_PlannedOrders[EffectiveQty]&gt;0)*T_PlannedOrders[Order_Month])),"m月")&amp;"発注)")</f>
        <v/>
      </c>
      <c r="G605">
        <f>IF(SUMIFS(T_PlannedOrders[EffectiveQty],T_PlannedOrders[Part Name],$A591,T_PlannedOrders[WeekIndex],4)=0,"",SUMIFS(T_PlannedOrders[EffectiveQty],T_PlannedOrders[Part Name],$A591,T_PlannedOrders[WeekIndex],4)&amp;" ("&amp;TEXT(SUMPRODUCT(MAX((T_PlannedOrders[Part Name]=$A591)*(T_PlannedOrders[WeekIndex]=4)*(T_PlannedOrders[EffectiveQty]&gt;0)*T_PlannedOrders[Order_Month])),"m月")&amp;"発注)")</f>
        <v/>
      </c>
      <c r="H605">
        <f>IF(SUMIFS(T_PlannedOrders[EffectiveQty],T_PlannedOrders[Part Name],$A591,T_PlannedOrders[WeekIndex],5)=0,"",SUMIFS(T_PlannedOrders[EffectiveQty],T_PlannedOrders[Part Name],$A591,T_PlannedOrders[WeekIndex],5)&amp;" ("&amp;TEXT(SUMPRODUCT(MAX((T_PlannedOrders[Part Name]=$A591)*(T_PlannedOrders[WeekIndex]=5)*(T_PlannedOrders[EffectiveQty]&gt;0)*T_PlannedOrders[Order_Month])),"m月")&amp;"発注)")</f>
        <v/>
      </c>
      <c r="I605">
        <f>IF(SUMIFS(T_PlannedOrders[EffectiveQty],T_PlannedOrders[Part Name],$A591,T_PlannedOrders[WeekIndex],6)=0,"",SUMIFS(T_PlannedOrders[EffectiveQty],T_PlannedOrders[Part Name],$A591,T_PlannedOrders[WeekIndex],6)&amp;" ("&amp;TEXT(SUMPRODUCT(MAX((T_PlannedOrders[Part Name]=$A591)*(T_PlannedOrders[WeekIndex]=6)*(T_PlannedOrders[EffectiveQty]&gt;0)*T_PlannedOrders[Order_Month])),"m月")&amp;"発注)")</f>
        <v/>
      </c>
      <c r="J605">
        <f>IF(SUMIFS(T_PlannedOrders[EffectiveQty],T_PlannedOrders[Part Name],$A591,T_PlannedOrders[WeekIndex],7)=0,"",SUMIFS(T_PlannedOrders[EffectiveQty],T_PlannedOrders[Part Name],$A591,T_PlannedOrders[WeekIndex],7)&amp;" ("&amp;TEXT(SUMPRODUCT(MAX((T_PlannedOrders[Part Name]=$A591)*(T_PlannedOrders[WeekIndex]=7)*(T_PlannedOrders[EffectiveQty]&gt;0)*T_PlannedOrders[Order_Month])),"m月")&amp;"発注)")</f>
        <v/>
      </c>
      <c r="K605">
        <f>IF(SUMIFS(T_PlannedOrders[EffectiveQty],T_PlannedOrders[Part Name],$A591,T_PlannedOrders[WeekIndex],8)=0,"",SUMIFS(T_PlannedOrders[EffectiveQty],T_PlannedOrders[Part Name],$A591,T_PlannedOrders[WeekIndex],8)&amp;" ("&amp;TEXT(SUMPRODUCT(MAX((T_PlannedOrders[Part Name]=$A591)*(T_PlannedOrders[WeekIndex]=8)*(T_PlannedOrders[EffectiveQty]&gt;0)*T_PlannedOrders[Order_Month])),"m月")&amp;"発注)")</f>
        <v/>
      </c>
      <c r="L605">
        <f>IF(SUMIFS(T_PlannedOrders[EffectiveQty],T_PlannedOrders[Part Name],$A591,T_PlannedOrders[WeekIndex],9)=0,"",SUMIFS(T_PlannedOrders[EffectiveQty],T_PlannedOrders[Part Name],$A591,T_PlannedOrders[WeekIndex],9)&amp;" ("&amp;TEXT(SUMPRODUCT(MAX((T_PlannedOrders[Part Name]=$A591)*(T_PlannedOrders[WeekIndex]=9)*(T_PlannedOrders[EffectiveQty]&gt;0)*T_PlannedOrders[Order_Month])),"m月")&amp;"発注)")</f>
        <v/>
      </c>
      <c r="M605">
        <f>IF(SUMIFS(T_PlannedOrders[EffectiveQty],T_PlannedOrders[Part Name],$A591,T_PlannedOrders[WeekIndex],10)=0,"",SUMIFS(T_PlannedOrders[EffectiveQty],T_PlannedOrders[Part Name],$A591,T_PlannedOrders[WeekIndex],10)&amp;" ("&amp;TEXT(SUMPRODUCT(MAX((T_PlannedOrders[Part Name]=$A591)*(T_PlannedOrders[WeekIndex]=10)*(T_PlannedOrders[EffectiveQty]&gt;0)*T_PlannedOrders[Order_Month])),"m月")&amp;"発注)")</f>
        <v/>
      </c>
      <c r="N605">
        <f>IF(SUMIFS(T_PlannedOrders[EffectiveQty],T_PlannedOrders[Part Name],$A591,T_PlannedOrders[WeekIndex],11)=0,"",SUMIFS(T_PlannedOrders[EffectiveQty],T_PlannedOrders[Part Name],$A591,T_PlannedOrders[WeekIndex],11)&amp;" ("&amp;TEXT(SUMPRODUCT(MAX((T_PlannedOrders[Part Name]=$A591)*(T_PlannedOrders[WeekIndex]=11)*(T_PlannedOrders[EffectiveQty]&gt;0)*T_PlannedOrders[Order_Month])),"m月")&amp;"発注)")</f>
        <v/>
      </c>
      <c r="O605">
        <f>IF(SUMIFS(T_PlannedOrders[EffectiveQty],T_PlannedOrders[Part Name],$A591,T_PlannedOrders[WeekIndex],12)=0,"",SUMIFS(T_PlannedOrders[EffectiveQty],T_PlannedOrders[Part Name],$A591,T_PlannedOrders[WeekIndex],12)&amp;" ("&amp;TEXT(SUMPRODUCT(MAX((T_PlannedOrders[Part Name]=$A591)*(T_PlannedOrders[WeekIndex]=12)*(T_PlannedOrders[EffectiveQty]&gt;0)*T_PlannedOrders[Order_Month])),"m月")&amp;"発注)")</f>
        <v/>
      </c>
      <c r="P605">
        <f>IF(SUMIFS(T_PlannedOrders[EffectiveQty],T_PlannedOrders[Part Name],$A591,T_PlannedOrders[WeekIndex],13)=0,"",SUMIFS(T_PlannedOrders[EffectiveQty],T_PlannedOrders[Part Name],$A591,T_PlannedOrders[WeekIndex],13)&amp;" ("&amp;TEXT(SUMPRODUCT(MAX((T_PlannedOrders[Part Name]=$A591)*(T_PlannedOrders[WeekIndex]=13)*(T_PlannedOrders[EffectiveQty]&gt;0)*T_PlannedOrders[Order_Month])),"m月")&amp;"発注)")</f>
        <v/>
      </c>
      <c r="Q605">
        <f>IF(SUMIFS(T_PlannedOrders[EffectiveQty],T_PlannedOrders[Part Name],$A591,T_PlannedOrders[WeekIndex],14)=0,"",SUMIFS(T_PlannedOrders[EffectiveQty],T_PlannedOrders[Part Name],$A591,T_PlannedOrders[WeekIndex],14)&amp;" ("&amp;TEXT(SUMPRODUCT(MAX((T_PlannedOrders[Part Name]=$A591)*(T_PlannedOrders[WeekIndex]=14)*(T_PlannedOrders[EffectiveQty]&gt;0)*T_PlannedOrders[Order_Month])),"m月")&amp;"発注)")</f>
        <v/>
      </c>
      <c r="R605">
        <f>IF(SUMIFS(T_PlannedOrders[EffectiveQty],T_PlannedOrders[Part Name],$A591,T_PlannedOrders[WeekIndex],15)=0,"",SUMIFS(T_PlannedOrders[EffectiveQty],T_PlannedOrders[Part Name],$A591,T_PlannedOrders[WeekIndex],15)&amp;" ("&amp;TEXT(SUMPRODUCT(MAX((T_PlannedOrders[Part Name]=$A591)*(T_PlannedOrders[WeekIndex]=15)*(T_PlannedOrders[EffectiveQty]&gt;0)*T_PlannedOrders[Order_Month])),"m月")&amp;"発注)")</f>
        <v/>
      </c>
      <c r="S605">
        <f>IF(SUMIFS(T_PlannedOrders[EffectiveQty],T_PlannedOrders[Part Name],$A591,T_PlannedOrders[WeekIndex],16)=0,"",SUMIFS(T_PlannedOrders[EffectiveQty],T_PlannedOrders[Part Name],$A591,T_PlannedOrders[WeekIndex],16)&amp;" ("&amp;TEXT(SUMPRODUCT(MAX((T_PlannedOrders[Part Name]=$A591)*(T_PlannedOrders[WeekIndex]=16)*(T_PlannedOrders[EffectiveQty]&gt;0)*T_PlannedOrders[Order_Month])),"m月")&amp;"発注)")</f>
        <v/>
      </c>
      <c r="T605">
        <f>IF(SUMIFS(T_PlannedOrders[EffectiveQty],T_PlannedOrders[Part Name],$A591,T_PlannedOrders[WeekIndex],17)=0,"",SUMIFS(T_PlannedOrders[EffectiveQty],T_PlannedOrders[Part Name],$A591,T_PlannedOrders[WeekIndex],17)&amp;" ("&amp;TEXT(SUMPRODUCT(MAX((T_PlannedOrders[Part Name]=$A591)*(T_PlannedOrders[WeekIndex]=17)*(T_PlannedOrders[EffectiveQty]&gt;0)*T_PlannedOrders[Order_Month])),"m月")&amp;"発注)")</f>
        <v/>
      </c>
      <c r="U605">
        <f>IF(SUMIFS(T_PlannedOrders[EffectiveQty],T_PlannedOrders[Part Name],$A591,T_PlannedOrders[WeekIndex],18)=0,"",SUMIFS(T_PlannedOrders[EffectiveQty],T_PlannedOrders[Part Name],$A591,T_PlannedOrders[WeekIndex],18)&amp;" ("&amp;TEXT(SUMPRODUCT(MAX((T_PlannedOrders[Part Name]=$A591)*(T_PlannedOrders[WeekIndex]=18)*(T_PlannedOrders[EffectiveQty]&gt;0)*T_PlannedOrders[Order_Month])),"m月")&amp;"発注)")</f>
        <v/>
      </c>
      <c r="V605">
        <f>IF(SUMIFS(T_PlannedOrders[EffectiveQty],T_PlannedOrders[Part Name],$A591,T_PlannedOrders[WeekIndex],19)=0,"",SUMIFS(T_PlannedOrders[EffectiveQty],T_PlannedOrders[Part Name],$A591,T_PlannedOrders[WeekIndex],19)&amp;" ("&amp;TEXT(SUMPRODUCT(MAX((T_PlannedOrders[Part Name]=$A591)*(T_PlannedOrders[WeekIndex]=19)*(T_PlannedOrders[EffectiveQty]&gt;0)*T_PlannedOrders[Order_Month])),"m月")&amp;"発注)")</f>
        <v/>
      </c>
      <c r="W605">
        <f>IF(SUMIFS(T_PlannedOrders[EffectiveQty],T_PlannedOrders[Part Name],$A591,T_PlannedOrders[WeekIndex],20)=0,"",SUMIFS(T_PlannedOrders[EffectiveQty],T_PlannedOrders[Part Name],$A591,T_PlannedOrders[WeekIndex],20)&amp;" ("&amp;TEXT(SUMPRODUCT(MAX((T_PlannedOrders[Part Name]=$A591)*(T_PlannedOrders[WeekIndex]=20)*(T_PlannedOrders[EffectiveQty]&gt;0)*T_PlannedOrders[Order_Month])),"m月")&amp;"発注)")</f>
        <v/>
      </c>
      <c r="X605">
        <f>IF(SUMIFS(T_PlannedOrders[EffectiveQty],T_PlannedOrders[Part Name],$A591,T_PlannedOrders[WeekIndex],21)=0,"",SUMIFS(T_PlannedOrders[EffectiveQty],T_PlannedOrders[Part Name],$A591,T_PlannedOrders[WeekIndex],21)&amp;" ("&amp;TEXT(SUMPRODUCT(MAX((T_PlannedOrders[Part Name]=$A591)*(T_PlannedOrders[WeekIndex]=21)*(T_PlannedOrders[EffectiveQty]&gt;0)*T_PlannedOrders[Order_Month])),"m月")&amp;"発注)")</f>
        <v/>
      </c>
      <c r="Y605">
        <f>IF(SUMIFS(T_PlannedOrders[EffectiveQty],T_PlannedOrders[Part Name],$A591,T_PlannedOrders[WeekIndex],22)=0,"",SUMIFS(T_PlannedOrders[EffectiveQty],T_PlannedOrders[Part Name],$A591,T_PlannedOrders[WeekIndex],22)&amp;" ("&amp;TEXT(SUMPRODUCT(MAX((T_PlannedOrders[Part Name]=$A591)*(T_PlannedOrders[WeekIndex]=22)*(T_PlannedOrders[EffectiveQty]&gt;0)*T_PlannedOrders[Order_Month])),"m月")&amp;"発注)")</f>
        <v/>
      </c>
      <c r="Z605">
        <f>IF(SUMIFS(T_PlannedOrders[EffectiveQty],T_PlannedOrders[Part Name],$A591,T_PlannedOrders[WeekIndex],23)=0,"",SUMIFS(T_PlannedOrders[EffectiveQty],T_PlannedOrders[Part Name],$A591,T_PlannedOrders[WeekIndex],23)&amp;" ("&amp;TEXT(SUMPRODUCT(MAX((T_PlannedOrders[Part Name]=$A591)*(T_PlannedOrders[WeekIndex]=23)*(T_PlannedOrders[EffectiveQty]&gt;0)*T_PlannedOrders[Order_Month])),"m月")&amp;"発注)")</f>
        <v/>
      </c>
      <c r="AA605">
        <f>IF(SUMIFS(T_PlannedOrders[EffectiveQty],T_PlannedOrders[Part Name],$A591,T_PlannedOrders[WeekIndex],24)=0,"",SUMIFS(T_PlannedOrders[EffectiveQty],T_PlannedOrders[Part Name],$A591,T_PlannedOrders[WeekIndex],24)&amp;" ("&amp;TEXT(SUMPRODUCT(MAX((T_PlannedOrders[Part Name]=$A591)*(T_PlannedOrders[WeekIndex]=24)*(T_PlannedOrders[EffectiveQty]&gt;0)*T_PlannedOrders[Order_Month])),"m月")&amp;"発注)")</f>
        <v/>
      </c>
      <c r="AB605">
        <f>IF(SUMIFS(T_PlannedOrders[EffectiveQty],T_PlannedOrders[Part Name],$A591,T_PlannedOrders[WeekIndex],25)=0,"",SUMIFS(T_PlannedOrders[EffectiveQty],T_PlannedOrders[Part Name],$A591,T_PlannedOrders[WeekIndex],25)&amp;" ("&amp;TEXT(SUMPRODUCT(MAX((T_PlannedOrders[Part Name]=$A591)*(T_PlannedOrders[WeekIndex]=25)*(T_PlannedOrders[EffectiveQty]&gt;0)*T_PlannedOrders[Order_Month])),"m月")&amp;"発注)")</f>
        <v/>
      </c>
      <c r="AC605">
        <f>IF(SUMIFS(T_PlannedOrders[EffectiveQty],T_PlannedOrders[Part Name],$A591,T_PlannedOrders[WeekIndex],26)=0,"",SUMIFS(T_PlannedOrders[EffectiveQty],T_PlannedOrders[Part Name],$A591,T_PlannedOrders[WeekIndex],26)&amp;" ("&amp;TEXT(SUMPRODUCT(MAX((T_PlannedOrders[Part Name]=$A591)*(T_PlannedOrders[WeekIndex]=26)*(T_PlannedOrders[EffectiveQty]&gt;0)*T_PlannedOrders[Order_Month])),"m月")&amp;"発注)")</f>
        <v/>
      </c>
      <c r="AD605">
        <f>IF(SUMIFS(T_PlannedOrders[EffectiveQty],T_PlannedOrders[Part Name],$A591,T_PlannedOrders[WeekIndex],27)=0,"",SUMIFS(T_PlannedOrders[EffectiveQty],T_PlannedOrders[Part Name],$A591,T_PlannedOrders[WeekIndex],27)&amp;" ("&amp;TEXT(SUMPRODUCT(MAX((T_PlannedOrders[Part Name]=$A591)*(T_PlannedOrders[WeekIndex]=27)*(T_PlannedOrders[EffectiveQty]&gt;0)*T_PlannedOrders[Order_Month])),"m月")&amp;"発注)")</f>
        <v/>
      </c>
      <c r="AE605">
        <f>IF(SUMIFS(T_PlannedOrders[EffectiveQty],T_PlannedOrders[Part Name],$A591,T_PlannedOrders[WeekIndex],28)=0,"",SUMIFS(T_PlannedOrders[EffectiveQty],T_PlannedOrders[Part Name],$A591,T_PlannedOrders[WeekIndex],28)&amp;" ("&amp;TEXT(SUMPRODUCT(MAX((T_PlannedOrders[Part Name]=$A591)*(T_PlannedOrders[WeekIndex]=28)*(T_PlannedOrders[EffectiveQty]&gt;0)*T_PlannedOrders[Order_Month])),"m月")&amp;"発注)")</f>
        <v/>
      </c>
      <c r="AF605">
        <f>IF(SUMIFS(T_PlannedOrders[EffectiveQty],T_PlannedOrders[Part Name],$A591,T_PlannedOrders[WeekIndex],29)=0,"",SUMIFS(T_PlannedOrders[EffectiveQty],T_PlannedOrders[Part Name],$A591,T_PlannedOrders[WeekIndex],29)&amp;" ("&amp;TEXT(SUMPRODUCT(MAX((T_PlannedOrders[Part Name]=$A591)*(T_PlannedOrders[WeekIndex]=29)*(T_PlannedOrders[EffectiveQty]&gt;0)*T_PlannedOrders[Order_Month])),"m月")&amp;"発注)")</f>
        <v/>
      </c>
      <c r="AG605">
        <f>IF(SUMIFS(T_PlannedOrders[EffectiveQty],T_PlannedOrders[Part Name],$A591,T_PlannedOrders[WeekIndex],30)=0,"",SUMIFS(T_PlannedOrders[EffectiveQty],T_PlannedOrders[Part Name],$A591,T_PlannedOrders[WeekIndex],30)&amp;" ("&amp;TEXT(SUMPRODUCT(MAX((T_PlannedOrders[Part Name]=$A591)*(T_PlannedOrders[WeekIndex]=30)*(T_PlannedOrders[EffectiveQty]&gt;0)*T_PlannedOrders[Order_Month])),"m月")&amp;"発注)")</f>
        <v/>
      </c>
      <c r="AH605">
        <f>IF(SUMIFS(T_PlannedOrders[EffectiveQty],T_PlannedOrders[Part Name],$A591,T_PlannedOrders[WeekIndex],31)=0,"",SUMIFS(T_PlannedOrders[EffectiveQty],T_PlannedOrders[Part Name],$A591,T_PlannedOrders[WeekIndex],31)&amp;" ("&amp;TEXT(SUMPRODUCT(MAX((T_PlannedOrders[Part Name]=$A591)*(T_PlannedOrders[WeekIndex]=31)*(T_PlannedOrders[EffectiveQty]&gt;0)*T_PlannedOrders[Order_Month])),"m月")&amp;"発注)")</f>
        <v/>
      </c>
      <c r="AI605">
        <f>IF(SUMIFS(T_PlannedOrders[EffectiveQty],T_PlannedOrders[Part Name],$A591,T_PlannedOrders[WeekIndex],32)=0,"",SUMIFS(T_PlannedOrders[EffectiveQty],T_PlannedOrders[Part Name],$A591,T_PlannedOrders[WeekIndex],32)&amp;" ("&amp;TEXT(SUMPRODUCT(MAX((T_PlannedOrders[Part Name]=$A591)*(T_PlannedOrders[WeekIndex]=32)*(T_PlannedOrders[EffectiveQty]&gt;0)*T_PlannedOrders[Order_Month])),"m月")&amp;"発注)")</f>
        <v/>
      </c>
      <c r="AJ605">
        <f>IF(SUMIFS(T_PlannedOrders[EffectiveQty],T_PlannedOrders[Part Name],$A591,T_PlannedOrders[WeekIndex],33)=0,"",SUMIFS(T_PlannedOrders[EffectiveQty],T_PlannedOrders[Part Name],$A591,T_PlannedOrders[WeekIndex],33)&amp;" ("&amp;TEXT(SUMPRODUCT(MAX((T_PlannedOrders[Part Name]=$A591)*(T_PlannedOrders[WeekIndex]=33)*(T_PlannedOrders[EffectiveQty]&gt;0)*T_PlannedOrders[Order_Month])),"m月")&amp;"発注)")</f>
        <v/>
      </c>
      <c r="AK605">
        <f>IF(SUMIFS(T_PlannedOrders[EffectiveQty],T_PlannedOrders[Part Name],$A591,T_PlannedOrders[WeekIndex],34)=0,"",SUMIFS(T_PlannedOrders[EffectiveQty],T_PlannedOrders[Part Name],$A591,T_PlannedOrders[WeekIndex],34)&amp;" ("&amp;TEXT(SUMPRODUCT(MAX((T_PlannedOrders[Part Name]=$A591)*(T_PlannedOrders[WeekIndex]=34)*(T_PlannedOrders[EffectiveQty]&gt;0)*T_PlannedOrders[Order_Month])),"m月")&amp;"発注)")</f>
        <v/>
      </c>
      <c r="AL605">
        <f>IF(SUMIFS(T_PlannedOrders[EffectiveQty],T_PlannedOrders[Part Name],$A591,T_PlannedOrders[WeekIndex],35)=0,"",SUMIFS(T_PlannedOrders[EffectiveQty],T_PlannedOrders[Part Name],$A591,T_PlannedOrders[WeekIndex],35)&amp;" ("&amp;TEXT(SUMPRODUCT(MAX((T_PlannedOrders[Part Name]=$A591)*(T_PlannedOrders[WeekIndex]=35)*(T_PlannedOrders[EffectiveQty]&gt;0)*T_PlannedOrders[Order_Month])),"m月")&amp;"発注)")</f>
        <v/>
      </c>
      <c r="AM605">
        <f>IF(SUMIFS(T_PlannedOrders[EffectiveQty],T_PlannedOrders[Part Name],$A591,T_PlannedOrders[WeekIndex],36)=0,"",SUMIFS(T_PlannedOrders[EffectiveQty],T_PlannedOrders[Part Name],$A591,T_PlannedOrders[WeekIndex],36)&amp;" ("&amp;TEXT(SUMPRODUCT(MAX((T_PlannedOrders[Part Name]=$A591)*(T_PlannedOrders[WeekIndex]=36)*(T_PlannedOrders[EffectiveQty]&gt;0)*T_PlannedOrders[Order_Month])),"m月")&amp;"発注)")</f>
        <v/>
      </c>
      <c r="AN605">
        <f>IF(SUMIFS(T_PlannedOrders[EffectiveQty],T_PlannedOrders[Part Name],$A591,T_PlannedOrders[WeekIndex],37)=0,"",SUMIFS(T_PlannedOrders[EffectiveQty],T_PlannedOrders[Part Name],$A591,T_PlannedOrders[WeekIndex],37)&amp;" ("&amp;TEXT(SUMPRODUCT(MAX((T_PlannedOrders[Part Name]=$A591)*(T_PlannedOrders[WeekIndex]=37)*(T_PlannedOrders[EffectiveQty]&gt;0)*T_PlannedOrders[Order_Month])),"m月")&amp;"発注)")</f>
        <v/>
      </c>
      <c r="AO605">
        <f>IF(SUMIFS(T_PlannedOrders[EffectiveQty],T_PlannedOrders[Part Name],$A591,T_PlannedOrders[WeekIndex],38)=0,"",SUMIFS(T_PlannedOrders[EffectiveQty],T_PlannedOrders[Part Name],$A591,T_PlannedOrders[WeekIndex],38)&amp;" ("&amp;TEXT(SUMPRODUCT(MAX((T_PlannedOrders[Part Name]=$A591)*(T_PlannedOrders[WeekIndex]=38)*(T_PlannedOrders[EffectiveQty]&gt;0)*T_PlannedOrders[Order_Month])),"m月")&amp;"発注)")</f>
        <v/>
      </c>
      <c r="AP605">
        <f>IF(SUMIFS(T_PlannedOrders[EffectiveQty],T_PlannedOrders[Part Name],$A591,T_PlannedOrders[WeekIndex],39)=0,"",SUMIFS(T_PlannedOrders[EffectiveQty],T_PlannedOrders[Part Name],$A591,T_PlannedOrders[WeekIndex],39)&amp;" ("&amp;TEXT(SUMPRODUCT(MAX((T_PlannedOrders[Part Name]=$A591)*(T_PlannedOrders[WeekIndex]=39)*(T_PlannedOrders[EffectiveQty]&gt;0)*T_PlannedOrders[Order_Month])),"m月")&amp;"発注)")</f>
        <v/>
      </c>
      <c r="AQ605">
        <f>IF(SUMIFS(T_PlannedOrders[EffectiveQty],T_PlannedOrders[Part Name],$A591,T_PlannedOrders[WeekIndex],40)=0,"",SUMIFS(T_PlannedOrders[EffectiveQty],T_PlannedOrders[Part Name],$A591,T_PlannedOrders[WeekIndex],40)&amp;" ("&amp;TEXT(SUMPRODUCT(MAX((T_PlannedOrders[Part Name]=$A591)*(T_PlannedOrders[WeekIndex]=40)*(T_PlannedOrders[EffectiveQty]&gt;0)*T_PlannedOrders[Order_Month])),"m月")&amp;"発注)")</f>
        <v/>
      </c>
      <c r="AR605">
        <f>IF(SUMIFS(T_PlannedOrders[EffectiveQty],T_PlannedOrders[Part Name],$A591,T_PlannedOrders[WeekIndex],41)=0,"",SUMIFS(T_PlannedOrders[EffectiveQty],T_PlannedOrders[Part Name],$A591,T_PlannedOrders[WeekIndex],41)&amp;" ("&amp;TEXT(SUMPRODUCT(MAX((T_PlannedOrders[Part Name]=$A591)*(T_PlannedOrders[WeekIndex]=41)*(T_PlannedOrders[EffectiveQty]&gt;0)*T_PlannedOrders[Order_Month])),"m月")&amp;"発注)")</f>
        <v/>
      </c>
      <c r="AS605">
        <f>IF(SUMIFS(T_PlannedOrders[EffectiveQty],T_PlannedOrders[Part Name],$A591,T_PlannedOrders[WeekIndex],42)=0,"",SUMIFS(T_PlannedOrders[EffectiveQty],T_PlannedOrders[Part Name],$A591,T_PlannedOrders[WeekIndex],42)&amp;" ("&amp;TEXT(SUMPRODUCT(MAX((T_PlannedOrders[Part Name]=$A591)*(T_PlannedOrders[WeekIndex]=42)*(T_PlannedOrders[EffectiveQty]&gt;0)*T_PlannedOrders[Order_Month])),"m月")&amp;"発注)")</f>
        <v/>
      </c>
      <c r="AT605">
        <f>IF(SUMIFS(T_PlannedOrders[EffectiveQty],T_PlannedOrders[Part Name],$A591,T_PlannedOrders[WeekIndex],43)=0,"",SUMIFS(T_PlannedOrders[EffectiveQty],T_PlannedOrders[Part Name],$A591,T_PlannedOrders[WeekIndex],43)&amp;" ("&amp;TEXT(SUMPRODUCT(MAX((T_PlannedOrders[Part Name]=$A591)*(T_PlannedOrders[WeekIndex]=43)*(T_PlannedOrders[EffectiveQty]&gt;0)*T_PlannedOrders[Order_Month])),"m月")&amp;"発注)")</f>
        <v/>
      </c>
      <c r="AU605">
        <f>IF(SUMIFS(T_PlannedOrders[EffectiveQty],T_PlannedOrders[Part Name],$A591,T_PlannedOrders[WeekIndex],44)=0,"",SUMIFS(T_PlannedOrders[EffectiveQty],T_PlannedOrders[Part Name],$A591,T_PlannedOrders[WeekIndex],44)&amp;" ("&amp;TEXT(SUMPRODUCT(MAX((T_PlannedOrders[Part Name]=$A591)*(T_PlannedOrders[WeekIndex]=44)*(T_PlannedOrders[EffectiveQty]&gt;0)*T_PlannedOrders[Order_Month])),"m月")&amp;"発注)")</f>
        <v/>
      </c>
      <c r="AV605">
        <f>IF(SUMIFS(T_PlannedOrders[EffectiveQty],T_PlannedOrders[Part Name],$A591,T_PlannedOrders[WeekIndex],45)=0,"",SUMIFS(T_PlannedOrders[EffectiveQty],T_PlannedOrders[Part Name],$A591,T_PlannedOrders[WeekIndex],45)&amp;" ("&amp;TEXT(SUMPRODUCT(MAX((T_PlannedOrders[Part Name]=$A591)*(T_PlannedOrders[WeekIndex]=45)*(T_PlannedOrders[EffectiveQty]&gt;0)*T_PlannedOrders[Order_Month])),"m月")&amp;"発注)")</f>
        <v/>
      </c>
      <c r="AW605">
        <f>IF(SUMIFS(T_PlannedOrders[EffectiveQty],T_PlannedOrders[Part Name],$A591,T_PlannedOrders[WeekIndex],46)=0,"",SUMIFS(T_PlannedOrders[EffectiveQty],T_PlannedOrders[Part Name],$A591,T_PlannedOrders[WeekIndex],46)&amp;" ("&amp;TEXT(SUMPRODUCT(MAX((T_PlannedOrders[Part Name]=$A591)*(T_PlannedOrders[WeekIndex]=46)*(T_PlannedOrders[EffectiveQty]&gt;0)*T_PlannedOrders[Order_Month])),"m月")&amp;"発注)")</f>
        <v/>
      </c>
      <c r="AX605">
        <f>IF(SUMIFS(T_PlannedOrders[EffectiveQty],T_PlannedOrders[Part Name],$A591,T_PlannedOrders[WeekIndex],47)=0,"",SUMIFS(T_PlannedOrders[EffectiveQty],T_PlannedOrders[Part Name],$A591,T_PlannedOrders[WeekIndex],47)&amp;" ("&amp;TEXT(SUMPRODUCT(MAX((T_PlannedOrders[Part Name]=$A591)*(T_PlannedOrders[WeekIndex]=47)*(T_PlannedOrders[EffectiveQty]&gt;0)*T_PlannedOrders[Order_Month])),"m月")&amp;"発注)")</f>
        <v/>
      </c>
      <c r="AY605">
        <f>IF(SUMIFS(T_PlannedOrders[EffectiveQty],T_PlannedOrders[Part Name],$A591,T_PlannedOrders[WeekIndex],48)=0,"",SUMIFS(T_PlannedOrders[EffectiveQty],T_PlannedOrders[Part Name],$A591,T_PlannedOrders[WeekIndex],48)&amp;" ("&amp;TEXT(SUMPRODUCT(MAX((T_PlannedOrders[Part Name]=$A591)*(T_PlannedOrders[WeekIndex]=48)*(T_PlannedOrders[EffectiveQty]&gt;0)*T_PlannedOrders[Order_Month])),"m月")&amp;"発注)")</f>
        <v/>
      </c>
      <c r="AZ605">
        <f>IF(SUMIFS(T_PlannedOrders[EffectiveQty],T_PlannedOrders[Part Name],$A591,T_PlannedOrders[WeekIndex],49)=0,"",SUMIFS(T_PlannedOrders[EffectiveQty],T_PlannedOrders[Part Name],$A591,T_PlannedOrders[WeekIndex],49)&amp;" ("&amp;TEXT(SUMPRODUCT(MAX((T_PlannedOrders[Part Name]=$A591)*(T_PlannedOrders[WeekIndex]=49)*(T_PlannedOrders[EffectiveQty]&gt;0)*T_PlannedOrders[Order_Month])),"m月")&amp;"発注)")</f>
        <v/>
      </c>
      <c r="BA605">
        <f>IF(SUMIFS(T_PlannedOrders[EffectiveQty],T_PlannedOrders[Part Name],$A591,T_PlannedOrders[WeekIndex],50)=0,"",SUMIFS(T_PlannedOrders[EffectiveQty],T_PlannedOrders[Part Name],$A591,T_PlannedOrders[WeekIndex],50)&amp;" ("&amp;TEXT(SUMPRODUCT(MAX((T_PlannedOrders[Part Name]=$A591)*(T_PlannedOrders[WeekIndex]=50)*(T_PlannedOrders[EffectiveQty]&gt;0)*T_PlannedOrders[Order_Month])),"m月")&amp;"発注)")</f>
        <v/>
      </c>
      <c r="BB605">
        <f>IF(SUMIFS(T_PlannedOrders[EffectiveQty],T_PlannedOrders[Part Name],$A591,T_PlannedOrders[WeekIndex],51)=0,"",SUMIFS(T_PlannedOrders[EffectiveQty],T_PlannedOrders[Part Name],$A591,T_PlannedOrders[WeekIndex],51)&amp;" ("&amp;TEXT(SUMPRODUCT(MAX((T_PlannedOrders[Part Name]=$A591)*(T_PlannedOrders[WeekIndex]=51)*(T_PlannedOrders[EffectiveQty]&gt;0)*T_PlannedOrders[Order_Month])),"m月")&amp;"発注)")</f>
        <v/>
      </c>
      <c r="BC605">
        <f>IF(SUMIFS(T_PlannedOrders[EffectiveQty],T_PlannedOrders[Part Name],$A591,T_PlannedOrders[WeekIndex],52)=0,"",SUMIFS(T_PlannedOrders[EffectiveQty],T_PlannedOrders[Part Name],$A591,T_PlannedOrders[WeekIndex],52)&amp;" ("&amp;TEXT(SUMPRODUCT(MAX((T_PlannedOrders[Part Name]=$A591)*(T_PlannedOrders[WeekIndex]=52)*(T_PlannedOrders[EffectiveQty]&gt;0)*T_PlannedOrders[Order_Month])),"m月")&amp;"発注)")</f>
        <v/>
      </c>
      <c r="BD605">
        <f>IF(SUMIFS(T_PlannedOrders[EffectiveQty],T_PlannedOrders[Part Name],$A591,T_PlannedOrders[WeekIndex],53)=0,"",SUMIFS(T_PlannedOrders[EffectiveQty],T_PlannedOrders[Part Name],$A591,T_PlannedOrders[WeekIndex],53)&amp;" ("&amp;TEXT(SUMPRODUCT(MAX((T_PlannedOrders[Part Name]=$A591)*(T_PlannedOrders[WeekIndex]=53)*(T_PlannedOrders[EffectiveQty]&gt;0)*T_PlannedOrders[Order_Month])),"m月")&amp;"発注)")</f>
        <v/>
      </c>
      <c r="BE605">
        <f>IF(SUMIFS(T_PlannedOrders[EffectiveQty],T_PlannedOrders[Part Name],$A591,T_PlannedOrders[WeekIndex],54)=0,"",SUMIFS(T_PlannedOrders[EffectiveQty],T_PlannedOrders[Part Name],$A591,T_PlannedOrders[WeekIndex],54)&amp;" ("&amp;TEXT(SUMPRODUCT(MAX((T_PlannedOrders[Part Name]=$A591)*(T_PlannedOrders[WeekIndex]=54)*(T_PlannedOrders[EffectiveQty]&gt;0)*T_PlannedOrders[Order_Month])),"m月")&amp;"発注)")</f>
        <v/>
      </c>
      <c r="BF605">
        <f>IF(SUMIFS(T_PlannedOrders[EffectiveQty],T_PlannedOrders[Part Name],$A591,T_PlannedOrders[WeekIndex],55)=0,"",SUMIFS(T_PlannedOrders[EffectiveQty],T_PlannedOrders[Part Name],$A591,T_PlannedOrders[WeekIndex],55)&amp;" ("&amp;TEXT(SUMPRODUCT(MAX((T_PlannedOrders[Part Name]=$A591)*(T_PlannedOrders[WeekIndex]=55)*(T_PlannedOrders[EffectiveQty]&gt;0)*T_PlannedOrders[Order_Month])),"m月")&amp;"発注)")</f>
        <v/>
      </c>
      <c r="BG605">
        <f>IF(SUMIFS(T_PlannedOrders[EffectiveQty],T_PlannedOrders[Part Name],$A591,T_PlannedOrders[WeekIndex],56)=0,"",SUMIFS(T_PlannedOrders[EffectiveQty],T_PlannedOrders[Part Name],$A591,T_PlannedOrders[WeekIndex],56)&amp;" ("&amp;TEXT(SUMPRODUCT(MAX((T_PlannedOrders[Part Name]=$A591)*(T_PlannedOrders[WeekIndex]=56)*(T_PlannedOrders[EffectiveQty]&gt;0)*T_PlannedOrders[Order_Month])),"m月")&amp;"発注)")</f>
        <v/>
      </c>
      <c r="BH605">
        <f>IF(SUMIFS(T_PlannedOrders[EffectiveQty],T_PlannedOrders[Part Name],$A591,T_PlannedOrders[WeekIndex],57)=0,"",SUMIFS(T_PlannedOrders[EffectiveQty],T_PlannedOrders[Part Name],$A591,T_PlannedOrders[WeekIndex],57)&amp;" ("&amp;TEXT(SUMPRODUCT(MAX((T_PlannedOrders[Part Name]=$A591)*(T_PlannedOrders[WeekIndex]=57)*(T_PlannedOrders[EffectiveQty]&gt;0)*T_PlannedOrders[Order_Month])),"m月")&amp;"発注)")</f>
        <v/>
      </c>
      <c r="BI605">
        <f>IF(SUMIFS(T_PlannedOrders[EffectiveQty],T_PlannedOrders[Part Name],$A591,T_PlannedOrders[WeekIndex],58)=0,"",SUMIFS(T_PlannedOrders[EffectiveQty],T_PlannedOrders[Part Name],$A591,T_PlannedOrders[WeekIndex],58)&amp;" ("&amp;TEXT(SUMPRODUCT(MAX((T_PlannedOrders[Part Name]=$A591)*(T_PlannedOrders[WeekIndex]=58)*(T_PlannedOrders[EffectiveQty]&gt;0)*T_PlannedOrders[Order_Month])),"m月")&amp;"発注)")</f>
        <v/>
      </c>
      <c r="BJ605">
        <f>IF(SUMIFS(T_PlannedOrders[EffectiveQty],T_PlannedOrders[Part Name],$A591,T_PlannedOrders[WeekIndex],59)=0,"",SUMIFS(T_PlannedOrders[EffectiveQty],T_PlannedOrders[Part Name],$A591,T_PlannedOrders[WeekIndex],59)&amp;" ("&amp;TEXT(SUMPRODUCT(MAX((T_PlannedOrders[Part Name]=$A591)*(T_PlannedOrders[WeekIndex]=59)*(T_PlannedOrders[EffectiveQty]&gt;0)*T_PlannedOrders[Order_Month])),"m月")&amp;"発注)")</f>
        <v/>
      </c>
      <c r="BK605">
        <f>IF(SUMIFS(T_PlannedOrders[EffectiveQty],T_PlannedOrders[Part Name],$A591,T_PlannedOrders[WeekIndex],60)=0,"",SUMIFS(T_PlannedOrders[EffectiveQty],T_PlannedOrders[Part Name],$A591,T_PlannedOrders[WeekIndex],60)&amp;" ("&amp;TEXT(SUMPRODUCT(MAX((T_PlannedOrders[Part Name]=$A591)*(T_PlannedOrders[WeekIndex]=60)*(T_PlannedOrders[EffectiveQty]&gt;0)*T_PlannedOrders[Order_Month])),"m月")&amp;"発注)")</f>
        <v/>
      </c>
      <c r="BL605">
        <f>IF(SUMIFS(T_PlannedOrders[EffectiveQty],T_PlannedOrders[Part Name],$A591,T_PlannedOrders[WeekIndex],61)=0,"",SUMIFS(T_PlannedOrders[EffectiveQty],T_PlannedOrders[Part Name],$A591,T_PlannedOrders[WeekIndex],61)&amp;" ("&amp;TEXT(SUMPRODUCT(MAX((T_PlannedOrders[Part Name]=$A591)*(T_PlannedOrders[WeekIndex]=61)*(T_PlannedOrders[EffectiveQty]&gt;0)*T_PlannedOrders[Order_Month])),"m月")&amp;"発注)")</f>
        <v/>
      </c>
      <c r="BM605">
        <f>IF(SUMIFS(T_PlannedOrders[EffectiveQty],T_PlannedOrders[Part Name],$A591,T_PlannedOrders[WeekIndex],62)=0,"",SUMIFS(T_PlannedOrders[EffectiveQty],T_PlannedOrders[Part Name],$A591,T_PlannedOrders[WeekIndex],62)&amp;" ("&amp;TEXT(SUMPRODUCT(MAX((T_PlannedOrders[Part Name]=$A591)*(T_PlannedOrders[WeekIndex]=62)*(T_PlannedOrders[EffectiveQty]&gt;0)*T_PlannedOrders[Order_Month])),"m月")&amp;"発注)")</f>
        <v/>
      </c>
      <c r="BN605">
        <f>IF(SUMIFS(T_PlannedOrders[EffectiveQty],T_PlannedOrders[Part Name],$A591,T_PlannedOrders[WeekIndex],63)=0,"",SUMIFS(T_PlannedOrders[EffectiveQty],T_PlannedOrders[Part Name],$A591,T_PlannedOrders[WeekIndex],63)&amp;" ("&amp;TEXT(SUMPRODUCT(MAX((T_PlannedOrders[Part Name]=$A591)*(T_PlannedOrders[WeekIndex]=63)*(T_PlannedOrders[EffectiveQty]&gt;0)*T_PlannedOrders[Order_Month])),"m月")&amp;"発注)")</f>
        <v/>
      </c>
      <c r="BO605">
        <f>IF(SUMIFS(T_PlannedOrders[EffectiveQty],T_PlannedOrders[Part Name],$A591,T_PlannedOrders[WeekIndex],64)=0,"",SUMIFS(T_PlannedOrders[EffectiveQty],T_PlannedOrders[Part Name],$A591,T_PlannedOrders[WeekIndex],64)&amp;" ("&amp;TEXT(SUMPRODUCT(MAX((T_PlannedOrders[Part Name]=$A591)*(T_PlannedOrders[WeekIndex]=64)*(T_PlannedOrders[EffectiveQty]&gt;0)*T_PlannedOrders[Order_Month])),"m月")&amp;"発注)")</f>
        <v/>
      </c>
      <c r="BP605">
        <f>IF(SUMIFS(T_PlannedOrders[EffectiveQty],T_PlannedOrders[Part Name],$A591,T_PlannedOrders[WeekIndex],65)=0,"",SUMIFS(T_PlannedOrders[EffectiveQty],T_PlannedOrders[Part Name],$A591,T_PlannedOrders[WeekIndex],65)&amp;" ("&amp;TEXT(SUMPRODUCT(MAX((T_PlannedOrders[Part Name]=$A591)*(T_PlannedOrders[WeekIndex]=65)*(T_PlannedOrders[EffectiveQty]&gt;0)*T_PlannedOrders[Order_Month])),"m月")&amp;"発注)")</f>
        <v/>
      </c>
      <c r="BQ605">
        <f>IF(SUMIFS(T_PlannedOrders[EffectiveQty],T_PlannedOrders[Part Name],$A591,T_PlannedOrders[WeekIndex],66)=0,"",SUMIFS(T_PlannedOrders[EffectiveQty],T_PlannedOrders[Part Name],$A591,T_PlannedOrders[WeekIndex],66)&amp;" ("&amp;TEXT(SUMPRODUCT(MAX((T_PlannedOrders[Part Name]=$A591)*(T_PlannedOrders[WeekIndex]=66)*(T_PlannedOrders[EffectiveQty]&gt;0)*T_PlannedOrders[Order_Month])),"m月")&amp;"発注)")</f>
        <v/>
      </c>
      <c r="BR605">
        <f>IF(SUMIFS(T_PlannedOrders[EffectiveQty],T_PlannedOrders[Part Name],$A591,T_PlannedOrders[WeekIndex],67)=0,"",SUMIFS(T_PlannedOrders[EffectiveQty],T_PlannedOrders[Part Name],$A591,T_PlannedOrders[WeekIndex],67)&amp;" ("&amp;TEXT(SUMPRODUCT(MAX((T_PlannedOrders[Part Name]=$A591)*(T_PlannedOrders[WeekIndex]=67)*(T_PlannedOrders[EffectiveQty]&gt;0)*T_PlannedOrders[Order_Month])),"m月")&amp;"発注)")</f>
        <v/>
      </c>
      <c r="BS605">
        <f>IF(SUMIFS(T_PlannedOrders[EffectiveQty],T_PlannedOrders[Part Name],$A591,T_PlannedOrders[WeekIndex],68)=0,"",SUMIFS(T_PlannedOrders[EffectiveQty],T_PlannedOrders[Part Name],$A591,T_PlannedOrders[WeekIndex],68)&amp;" ("&amp;TEXT(SUMPRODUCT(MAX((T_PlannedOrders[Part Name]=$A591)*(T_PlannedOrders[WeekIndex]=68)*(T_PlannedOrders[EffectiveQty]&gt;0)*T_PlannedOrders[Order_Month])),"m月")&amp;"発注)")</f>
        <v/>
      </c>
      <c r="BT605">
        <f>IF(SUMIFS(T_PlannedOrders[EffectiveQty],T_PlannedOrders[Part Name],$A591,T_PlannedOrders[WeekIndex],69)=0,"",SUMIFS(T_PlannedOrders[EffectiveQty],T_PlannedOrders[Part Name],$A591,T_PlannedOrders[WeekIndex],69)&amp;" ("&amp;TEXT(SUMPRODUCT(MAX((T_PlannedOrders[Part Name]=$A591)*(T_PlannedOrders[WeekIndex]=69)*(T_PlannedOrders[EffectiveQty]&gt;0)*T_PlannedOrders[Order_Month])),"m月")&amp;"発注)")</f>
        <v/>
      </c>
      <c r="BU605">
        <f>IF(SUMIFS(T_PlannedOrders[EffectiveQty],T_PlannedOrders[Part Name],$A591,T_PlannedOrders[WeekIndex],70)=0,"",SUMIFS(T_PlannedOrders[EffectiveQty],T_PlannedOrders[Part Name],$A591,T_PlannedOrders[WeekIndex],70)&amp;" ("&amp;TEXT(SUMPRODUCT(MAX((T_PlannedOrders[Part Name]=$A591)*(T_PlannedOrders[WeekIndex]=70)*(T_PlannedOrders[EffectiveQty]&gt;0)*T_PlannedOrders[Order_Month])),"m月")&amp;"発注)")</f>
        <v/>
      </c>
      <c r="BV605">
        <f>IF(SUMIFS(T_PlannedOrders[EffectiveQty],T_PlannedOrders[Part Name],$A591,T_PlannedOrders[WeekIndex],71)=0,"",SUMIFS(T_PlannedOrders[EffectiveQty],T_PlannedOrders[Part Name],$A591,T_PlannedOrders[WeekIndex],71)&amp;" ("&amp;TEXT(SUMPRODUCT(MAX((T_PlannedOrders[Part Name]=$A591)*(T_PlannedOrders[WeekIndex]=71)*(T_PlannedOrders[EffectiveQty]&gt;0)*T_PlannedOrders[Order_Month])),"m月")&amp;"発注)")</f>
        <v/>
      </c>
      <c r="BW605">
        <f>IF(SUMIFS(T_PlannedOrders[EffectiveQty],T_PlannedOrders[Part Name],$A591,T_PlannedOrders[WeekIndex],72)=0,"",SUMIFS(T_PlannedOrders[EffectiveQty],T_PlannedOrders[Part Name],$A591,T_PlannedOrders[WeekIndex],72)&amp;" ("&amp;TEXT(SUMPRODUCT(MAX((T_PlannedOrders[Part Name]=$A591)*(T_PlannedOrders[WeekIndex]=72)*(T_PlannedOrders[EffectiveQty]&gt;0)*T_PlannedOrders[Order_Month])),"m月")&amp;"発注)")</f>
        <v/>
      </c>
      <c r="BX605">
        <f>IF(SUMIFS(T_PlannedOrders[EffectiveQty],T_PlannedOrders[Part Name],$A591,T_PlannedOrders[WeekIndex],73)=0,"",SUMIFS(T_PlannedOrders[EffectiveQty],T_PlannedOrders[Part Name],$A591,T_PlannedOrders[WeekIndex],73)&amp;" ("&amp;TEXT(SUMPRODUCT(MAX((T_PlannedOrders[Part Name]=$A591)*(T_PlannedOrders[WeekIndex]=73)*(T_PlannedOrders[EffectiveQty]&gt;0)*T_PlannedOrders[Order_Month])),"m月")&amp;"発注)")</f>
        <v/>
      </c>
      <c r="BY605">
        <f>IF(SUMIFS(T_PlannedOrders[EffectiveQty],T_PlannedOrders[Part Name],$A591,T_PlannedOrders[WeekIndex],74)=0,"",SUMIFS(T_PlannedOrders[EffectiveQty],T_PlannedOrders[Part Name],$A591,T_PlannedOrders[WeekIndex],74)&amp;" ("&amp;TEXT(SUMPRODUCT(MAX((T_PlannedOrders[Part Name]=$A591)*(T_PlannedOrders[WeekIndex]=74)*(T_PlannedOrders[EffectiveQty]&gt;0)*T_PlannedOrders[Order_Month])),"m月")&amp;"発注)")</f>
        <v/>
      </c>
      <c r="BZ605">
        <f>IF(SUMIFS(T_PlannedOrders[EffectiveQty],T_PlannedOrders[Part Name],$A591,T_PlannedOrders[WeekIndex],75)=0,"",SUMIFS(T_PlannedOrders[EffectiveQty],T_PlannedOrders[Part Name],$A591,T_PlannedOrders[WeekIndex],75)&amp;" ("&amp;TEXT(SUMPRODUCT(MAX((T_PlannedOrders[Part Name]=$A591)*(T_PlannedOrders[WeekIndex]=75)*(T_PlannedOrders[EffectiveQty]&gt;0)*T_PlannedOrders[Order_Month])),"m月")&amp;"発注)")</f>
        <v/>
      </c>
      <c r="CA605">
        <f>IF(SUMIFS(T_PlannedOrders[EffectiveQty],T_PlannedOrders[Part Name],$A591,T_PlannedOrders[WeekIndex],76)=0,"",SUMIFS(T_PlannedOrders[EffectiveQty],T_PlannedOrders[Part Name],$A591,T_PlannedOrders[WeekIndex],76)&amp;" ("&amp;TEXT(SUMPRODUCT(MAX((T_PlannedOrders[Part Name]=$A591)*(T_PlannedOrders[WeekIndex]=76)*(T_PlannedOrders[EffectiveQty]&gt;0)*T_PlannedOrders[Order_Month])),"m月")&amp;"発注)")</f>
        <v/>
      </c>
      <c r="CB605">
        <f>IF(SUMIFS(T_PlannedOrders[EffectiveQty],T_PlannedOrders[Part Name],$A591,T_PlannedOrders[WeekIndex],77)=0,"",SUMIFS(T_PlannedOrders[EffectiveQty],T_PlannedOrders[Part Name],$A591,T_PlannedOrders[WeekIndex],77)&amp;" ("&amp;TEXT(SUMPRODUCT(MAX((T_PlannedOrders[Part Name]=$A591)*(T_PlannedOrders[WeekIndex]=77)*(T_PlannedOrders[EffectiveQty]&gt;0)*T_PlannedOrders[Order_Month])),"m月")&amp;"発注)")</f>
        <v/>
      </c>
      <c r="CC605">
        <f>IF(SUMIFS(T_PlannedOrders[EffectiveQty],T_PlannedOrders[Part Name],$A591,T_PlannedOrders[WeekIndex],78)=0,"",SUMIFS(T_PlannedOrders[EffectiveQty],T_PlannedOrders[Part Name],$A591,T_PlannedOrders[WeekIndex],78)&amp;" ("&amp;TEXT(SUMPRODUCT(MAX((T_PlannedOrders[Part Name]=$A591)*(T_PlannedOrders[WeekIndex]=78)*(T_PlannedOrders[EffectiveQty]&gt;0)*T_PlannedOrders[Order_Month])),"m月")&amp;"発注)")</f>
        <v/>
      </c>
      <c r="CD605">
        <f>IF(SUMIFS(T_PlannedOrders[EffectiveQty],T_PlannedOrders[Part Name],$A591,T_PlannedOrders[WeekIndex],79)=0,"",SUMIFS(T_PlannedOrders[EffectiveQty],T_PlannedOrders[Part Name],$A591,T_PlannedOrders[WeekIndex],79)&amp;" ("&amp;TEXT(SUMPRODUCT(MAX((T_PlannedOrders[Part Name]=$A591)*(T_PlannedOrders[WeekIndex]=79)*(T_PlannedOrders[EffectiveQty]&gt;0)*T_PlannedOrders[Order_Month])),"m月")&amp;"発注)")</f>
        <v/>
      </c>
      <c r="CE605">
        <f>IF(SUMIFS(T_PlannedOrders[EffectiveQty],T_PlannedOrders[Part Name],$A591,T_PlannedOrders[WeekIndex],80)=0,"",SUMIFS(T_PlannedOrders[EffectiveQty],T_PlannedOrders[Part Name],$A591,T_PlannedOrders[WeekIndex],80)&amp;" ("&amp;TEXT(SUMPRODUCT(MAX((T_PlannedOrders[Part Name]=$A591)*(T_PlannedOrders[WeekIndex]=80)*(T_PlannedOrders[EffectiveQty]&gt;0)*T_PlannedOrders[Order_Month])),"m月")&amp;"発注)")</f>
        <v/>
      </c>
      <c r="CF605">
        <f>IF(SUMIFS(T_PlannedOrders[EffectiveQty],T_PlannedOrders[Part Name],$A591,T_PlannedOrders[WeekIndex],81)=0,"",SUMIFS(T_PlannedOrders[EffectiveQty],T_PlannedOrders[Part Name],$A591,T_PlannedOrders[WeekIndex],81)&amp;" ("&amp;TEXT(SUMPRODUCT(MAX((T_PlannedOrders[Part Name]=$A591)*(T_PlannedOrders[WeekIndex]=81)*(T_PlannedOrders[EffectiveQty]&gt;0)*T_PlannedOrders[Order_Month])),"m月")&amp;"発注)")</f>
        <v/>
      </c>
      <c r="CG605">
        <f>IF(SUMIFS(T_PlannedOrders[EffectiveQty],T_PlannedOrders[Part Name],$A591,T_PlannedOrders[WeekIndex],82)=0,"",SUMIFS(T_PlannedOrders[EffectiveQty],T_PlannedOrders[Part Name],$A591,T_PlannedOrders[WeekIndex],82)&amp;" ("&amp;TEXT(SUMPRODUCT(MAX((T_PlannedOrders[Part Name]=$A591)*(T_PlannedOrders[WeekIndex]=82)*(T_PlannedOrders[EffectiveQty]&gt;0)*T_PlannedOrders[Order_Month])),"m月")&amp;"発注)")</f>
        <v/>
      </c>
      <c r="CH605">
        <f>IF(SUMIFS(T_PlannedOrders[EffectiveQty],T_PlannedOrders[Part Name],$A591,T_PlannedOrders[WeekIndex],83)=0,"",SUMIFS(T_PlannedOrders[EffectiveQty],T_PlannedOrders[Part Name],$A591,T_PlannedOrders[WeekIndex],83)&amp;" ("&amp;TEXT(SUMPRODUCT(MAX((T_PlannedOrders[Part Name]=$A591)*(T_PlannedOrders[WeekIndex]=83)*(T_PlannedOrders[EffectiveQty]&gt;0)*T_PlannedOrders[Order_Month])),"m月")&amp;"発注)")</f>
        <v/>
      </c>
      <c r="CI605">
        <f>IF(SUMIFS(T_PlannedOrders[EffectiveQty],T_PlannedOrders[Part Name],$A591,T_PlannedOrders[WeekIndex],84)=0,"",SUMIFS(T_PlannedOrders[EffectiveQty],T_PlannedOrders[Part Name],$A591,T_PlannedOrders[WeekIndex],84)&amp;" ("&amp;TEXT(SUMPRODUCT(MAX((T_PlannedOrders[Part Name]=$A591)*(T_PlannedOrders[WeekIndex]=84)*(T_PlannedOrders[EffectiveQty]&gt;0)*T_PlannedOrders[Order_Month])),"m月")&amp;"発注)")</f>
        <v/>
      </c>
      <c r="CJ605">
        <f>IF(SUMIFS(T_PlannedOrders[EffectiveQty],T_PlannedOrders[Part Name],$A591,T_PlannedOrders[WeekIndex],85)=0,"",SUMIFS(T_PlannedOrders[EffectiveQty],T_PlannedOrders[Part Name],$A591,T_PlannedOrders[WeekIndex],85)&amp;" ("&amp;TEXT(SUMPRODUCT(MAX((T_PlannedOrders[Part Name]=$A591)*(T_PlannedOrders[WeekIndex]=85)*(T_PlannedOrders[EffectiveQty]&gt;0)*T_PlannedOrders[Order_Month])),"m月")&amp;"発注)")</f>
        <v/>
      </c>
      <c r="CK605">
        <f>IF(SUMIFS(T_PlannedOrders[EffectiveQty],T_PlannedOrders[Part Name],$A591,T_PlannedOrders[WeekIndex],86)=0,"",SUMIFS(T_PlannedOrders[EffectiveQty],T_PlannedOrders[Part Name],$A591,T_PlannedOrders[WeekIndex],86)&amp;" ("&amp;TEXT(SUMPRODUCT(MAX((T_PlannedOrders[Part Name]=$A591)*(T_PlannedOrders[WeekIndex]=86)*(T_PlannedOrders[EffectiveQty]&gt;0)*T_PlannedOrders[Order_Month])),"m月")&amp;"発注)")</f>
        <v/>
      </c>
      <c r="CL605">
        <f>IF(SUMIFS(T_PlannedOrders[EffectiveQty],T_PlannedOrders[Part Name],$A591,T_PlannedOrders[WeekIndex],87)=0,"",SUMIFS(T_PlannedOrders[EffectiveQty],T_PlannedOrders[Part Name],$A591,T_PlannedOrders[WeekIndex],87)&amp;" ("&amp;TEXT(SUMPRODUCT(MAX((T_PlannedOrders[Part Name]=$A591)*(T_PlannedOrders[WeekIndex]=87)*(T_PlannedOrders[EffectiveQty]&gt;0)*T_PlannedOrders[Order_Month])),"m月")&amp;"発注)")</f>
        <v/>
      </c>
      <c r="CM605">
        <f>IF(SUMIFS(T_PlannedOrders[EffectiveQty],T_PlannedOrders[Part Name],$A591,T_PlannedOrders[WeekIndex],88)=0,"",SUMIFS(T_PlannedOrders[EffectiveQty],T_PlannedOrders[Part Name],$A591,T_PlannedOrders[WeekIndex],88)&amp;" ("&amp;TEXT(SUMPRODUCT(MAX((T_PlannedOrders[Part Name]=$A591)*(T_PlannedOrders[WeekIndex]=88)*(T_PlannedOrders[EffectiveQty]&gt;0)*T_PlannedOrders[Order_Month])),"m月")&amp;"発注)")</f>
        <v/>
      </c>
      <c r="CN605">
        <f>IF(SUMIFS(T_PlannedOrders[EffectiveQty],T_PlannedOrders[Part Name],$A591,T_PlannedOrders[WeekIndex],89)=0,"",SUMIFS(T_PlannedOrders[EffectiveQty],T_PlannedOrders[Part Name],$A591,T_PlannedOrders[WeekIndex],89)&amp;" ("&amp;TEXT(SUMPRODUCT(MAX((T_PlannedOrders[Part Name]=$A591)*(T_PlannedOrders[WeekIndex]=89)*(T_PlannedOrders[EffectiveQty]&gt;0)*T_PlannedOrders[Order_Month])),"m月")&amp;"発注)")</f>
        <v/>
      </c>
      <c r="CO605">
        <f>IF(SUMIFS(T_PlannedOrders[EffectiveQty],T_PlannedOrders[Part Name],$A591,T_PlannedOrders[WeekIndex],90)=0,"",SUMIFS(T_PlannedOrders[EffectiveQty],T_PlannedOrders[Part Name],$A591,T_PlannedOrders[WeekIndex],90)&amp;" ("&amp;TEXT(SUMPRODUCT(MAX((T_PlannedOrders[Part Name]=$A591)*(T_PlannedOrders[WeekIndex]=90)*(T_PlannedOrders[EffectiveQty]&gt;0)*T_PlannedOrders[Order_Month])),"m月")&amp;"発注)")</f>
        <v/>
      </c>
      <c r="CP605">
        <f>IF(SUMIFS(T_PlannedOrders[EffectiveQty],T_PlannedOrders[Part Name],$A591,T_PlannedOrders[WeekIndex],91)=0,"",SUMIFS(T_PlannedOrders[EffectiveQty],T_PlannedOrders[Part Name],$A591,T_PlannedOrders[WeekIndex],91)&amp;" ("&amp;TEXT(SUMPRODUCT(MAX((T_PlannedOrders[Part Name]=$A591)*(T_PlannedOrders[WeekIndex]=91)*(T_PlannedOrders[EffectiveQty]&gt;0)*T_PlannedOrders[Order_Month])),"m月")&amp;"発注)")</f>
        <v/>
      </c>
      <c r="CQ605">
        <f>IF(SUMIFS(T_PlannedOrders[EffectiveQty],T_PlannedOrders[Part Name],$A591,T_PlannedOrders[WeekIndex],92)=0,"",SUMIFS(T_PlannedOrders[EffectiveQty],T_PlannedOrders[Part Name],$A591,T_PlannedOrders[WeekIndex],92)&amp;" ("&amp;TEXT(SUMPRODUCT(MAX((T_PlannedOrders[Part Name]=$A591)*(T_PlannedOrders[WeekIndex]=92)*(T_PlannedOrders[EffectiveQty]&gt;0)*T_PlannedOrders[Order_Month])),"m月")&amp;"発注)")</f>
        <v/>
      </c>
      <c r="CR605">
        <f>IF(SUMIFS(T_PlannedOrders[EffectiveQty],T_PlannedOrders[Part Name],$A591,T_PlannedOrders[WeekIndex],93)=0,"",SUMIFS(T_PlannedOrders[EffectiveQty],T_PlannedOrders[Part Name],$A591,T_PlannedOrders[WeekIndex],93)&amp;" ("&amp;TEXT(SUMPRODUCT(MAX((T_PlannedOrders[Part Name]=$A591)*(T_PlannedOrders[WeekIndex]=93)*(T_PlannedOrders[EffectiveQty]&gt;0)*T_PlannedOrders[Order_Month])),"m月")&amp;"発注)")</f>
        <v/>
      </c>
      <c r="CS605">
        <f>IF(SUMIFS(T_PlannedOrders[EffectiveQty],T_PlannedOrders[Part Name],$A591,T_PlannedOrders[WeekIndex],94)=0,"",SUMIFS(T_PlannedOrders[EffectiveQty],T_PlannedOrders[Part Name],$A591,T_PlannedOrders[WeekIndex],94)&amp;" ("&amp;TEXT(SUMPRODUCT(MAX((T_PlannedOrders[Part Name]=$A591)*(T_PlannedOrders[WeekIndex]=94)*(T_PlannedOrders[EffectiveQty]&gt;0)*T_PlannedOrders[Order_Month])),"m月")&amp;"発注)")</f>
        <v/>
      </c>
      <c r="CT605">
        <f>IF(SUMIFS(T_PlannedOrders[EffectiveQty],T_PlannedOrders[Part Name],$A591,T_PlannedOrders[WeekIndex],95)=0,"",SUMIFS(T_PlannedOrders[EffectiveQty],T_PlannedOrders[Part Name],$A591,T_PlannedOrders[WeekIndex],95)&amp;" ("&amp;TEXT(SUMPRODUCT(MAX((T_PlannedOrders[Part Name]=$A591)*(T_PlannedOrders[WeekIndex]=95)*(T_PlannedOrders[EffectiveQty]&gt;0)*T_PlannedOrders[Order_Month])),"m月")&amp;"発注)")</f>
        <v/>
      </c>
      <c r="CU605">
        <f>IF(SUMIFS(T_PlannedOrders[EffectiveQty],T_PlannedOrders[Part Name],$A591,T_PlannedOrders[WeekIndex],96)=0,"",SUMIFS(T_PlannedOrders[EffectiveQty],T_PlannedOrders[Part Name],$A591,T_PlannedOrders[WeekIndex],96)&amp;" ("&amp;TEXT(SUMPRODUCT(MAX((T_PlannedOrders[Part Name]=$A591)*(T_PlannedOrders[WeekIndex]=96)*(T_PlannedOrders[EffectiveQty]&gt;0)*T_PlannedOrders[Order_Month])),"m月")&amp;"発注)")</f>
        <v/>
      </c>
      <c r="CV605">
        <f>IF(SUMIFS(T_PlannedOrders[EffectiveQty],T_PlannedOrders[Part Name],$A591,T_PlannedOrders[WeekIndex],97)=0,"",SUMIFS(T_PlannedOrders[EffectiveQty],T_PlannedOrders[Part Name],$A591,T_PlannedOrders[WeekIndex],97)&amp;" ("&amp;TEXT(SUMPRODUCT(MAX((T_PlannedOrders[Part Name]=$A591)*(T_PlannedOrders[WeekIndex]=97)*(T_PlannedOrders[EffectiveQty]&gt;0)*T_PlannedOrders[Order_Month])),"m月")&amp;"発注)")</f>
        <v/>
      </c>
      <c r="CW605">
        <f>IF(SUMIFS(T_PlannedOrders[EffectiveQty],T_PlannedOrders[Part Name],$A591,T_PlannedOrders[WeekIndex],98)=0,"",SUMIFS(T_PlannedOrders[EffectiveQty],T_PlannedOrders[Part Name],$A591,T_PlannedOrders[WeekIndex],98)&amp;" ("&amp;TEXT(SUMPRODUCT(MAX((T_PlannedOrders[Part Name]=$A591)*(T_PlannedOrders[WeekIndex]=98)*(T_PlannedOrders[EffectiveQty]&gt;0)*T_PlannedOrders[Order_Month])),"m月")&amp;"発注)")</f>
        <v/>
      </c>
      <c r="CX605">
        <f>IF(SUMIFS(T_PlannedOrders[EffectiveQty],T_PlannedOrders[Part Name],$A591,T_PlannedOrders[WeekIndex],99)=0,"",SUMIFS(T_PlannedOrders[EffectiveQty],T_PlannedOrders[Part Name],$A591,T_PlannedOrders[WeekIndex],99)&amp;" ("&amp;TEXT(SUMPRODUCT(MAX((T_PlannedOrders[Part Name]=$A591)*(T_PlannedOrders[WeekIndex]=99)*(T_PlannedOrders[EffectiveQty]&gt;0)*T_PlannedOrders[Order_Month])),"m月")&amp;"発注)")</f>
        <v/>
      </c>
      <c r="CY605">
        <f>IF(SUMIFS(T_PlannedOrders[EffectiveQty],T_PlannedOrders[Part Name],$A591,T_PlannedOrders[WeekIndex],100)=0,"",SUMIFS(T_PlannedOrders[EffectiveQty],T_PlannedOrders[Part Name],$A591,T_PlannedOrders[WeekIndex],100)&amp;" ("&amp;TEXT(SUMPRODUCT(MAX((T_PlannedOrders[Part Name]=$A591)*(T_PlannedOrders[WeekIndex]=100)*(T_PlannedOrders[EffectiveQty]&gt;0)*T_PlannedOrders[Order_Month])),"m月")&amp;"発注)")</f>
        <v/>
      </c>
      <c r="CZ605">
        <f>IF(SUMIFS(T_PlannedOrders[EffectiveQty],T_PlannedOrders[Part Name],$A591,T_PlannedOrders[WeekIndex],101)=0,"",SUMIFS(T_PlannedOrders[EffectiveQty],T_PlannedOrders[Part Name],$A591,T_PlannedOrders[WeekIndex],101)&amp;" ("&amp;TEXT(SUMPRODUCT(MAX((T_PlannedOrders[Part Name]=$A591)*(T_PlannedOrders[WeekIndex]=101)*(T_PlannedOrders[EffectiveQty]&gt;0)*T_PlannedOrders[Order_Month])),"m月")&amp;"発注)")</f>
        <v/>
      </c>
      <c r="DA605">
        <f>IF(SUMIFS(T_PlannedOrders[EffectiveQty],T_PlannedOrders[Part Name],$A591,T_PlannedOrders[WeekIndex],102)=0,"",SUMIFS(T_PlannedOrders[EffectiveQty],T_PlannedOrders[Part Name],$A591,T_PlannedOrders[WeekIndex],102)&amp;" ("&amp;TEXT(SUMPRODUCT(MAX((T_PlannedOrders[Part Name]=$A591)*(T_PlannedOrders[WeekIndex]=102)*(T_PlannedOrders[EffectiveQty]&gt;0)*T_PlannedOrders[Order_Month])),"m月")&amp;"発注)")</f>
        <v/>
      </c>
      <c r="DB605">
        <f>IF(SUMIFS(T_PlannedOrders[EffectiveQty],T_PlannedOrders[Part Name],$A591,T_PlannedOrders[WeekIndex],103)=0,"",SUMIFS(T_PlannedOrders[EffectiveQty],T_PlannedOrders[Part Name],$A591,T_PlannedOrders[WeekIndex],103)&amp;" ("&amp;TEXT(SUMPRODUCT(MAX((T_PlannedOrders[Part Name]=$A591)*(T_PlannedOrders[WeekIndex]=103)*(T_PlannedOrders[EffectiveQty]&gt;0)*T_PlannedOrders[Order_Month])),"m月")&amp;"発注)")</f>
        <v/>
      </c>
      <c r="DC605">
        <f>IF(SUMIFS(T_PlannedOrders[EffectiveQty],T_PlannedOrders[Part Name],$A591,T_PlannedOrders[WeekIndex],104)=0,"",SUMIFS(T_PlannedOrders[EffectiveQty],T_PlannedOrders[Part Name],$A591,T_PlannedOrders[WeekIndex],104)&amp;" ("&amp;TEXT(SUMPRODUCT(MAX((T_PlannedOrders[Part Name]=$A591)*(T_PlannedOrders[WeekIndex]=104)*(T_PlannedOrders[EffectiveQty]&gt;0)*T_PlannedOrders[Order_Month])),"m月")&amp;"発注)")</f>
        <v/>
      </c>
    </row>
    <row r="606">
      <c r="B606" s="5" t="inlineStr">
        <is>
          <t>合計在庫(週末時点,kg)</t>
        </is>
      </c>
      <c r="D606">
        <f>'Grid_Stock'!B26</f>
        <v/>
      </c>
      <c r="E606">
        <f>'Grid_Stock'!C26</f>
        <v/>
      </c>
      <c r="F606">
        <f>'Grid_Stock'!D26</f>
        <v/>
      </c>
      <c r="G606">
        <f>'Grid_Stock'!E26</f>
        <v/>
      </c>
      <c r="H606">
        <f>'Grid_Stock'!F26</f>
        <v/>
      </c>
      <c r="I606">
        <f>'Grid_Stock'!G26</f>
        <v/>
      </c>
      <c r="J606">
        <f>'Grid_Stock'!H26</f>
        <v/>
      </c>
      <c r="K606">
        <f>'Grid_Stock'!I26</f>
        <v/>
      </c>
      <c r="L606">
        <f>'Grid_Stock'!J26</f>
        <v/>
      </c>
      <c r="M606">
        <f>'Grid_Stock'!K26</f>
        <v/>
      </c>
      <c r="N606">
        <f>'Grid_Stock'!L26</f>
        <v/>
      </c>
      <c r="O606">
        <f>'Grid_Stock'!M26</f>
        <v/>
      </c>
      <c r="P606">
        <f>'Grid_Stock'!N26</f>
        <v/>
      </c>
      <c r="Q606">
        <f>'Grid_Stock'!O26</f>
        <v/>
      </c>
      <c r="R606">
        <f>'Grid_Stock'!P26</f>
        <v/>
      </c>
      <c r="S606">
        <f>'Grid_Stock'!Q26</f>
        <v/>
      </c>
      <c r="T606">
        <f>'Grid_Stock'!R26</f>
        <v/>
      </c>
      <c r="U606">
        <f>'Grid_Stock'!S26</f>
        <v/>
      </c>
      <c r="V606">
        <f>'Grid_Stock'!T26</f>
        <v/>
      </c>
      <c r="W606">
        <f>'Grid_Stock'!U26</f>
        <v/>
      </c>
      <c r="X606">
        <f>'Grid_Stock'!V26</f>
        <v/>
      </c>
      <c r="Y606">
        <f>'Grid_Stock'!W26</f>
        <v/>
      </c>
      <c r="Z606">
        <f>'Grid_Stock'!X26</f>
        <v/>
      </c>
      <c r="AA606">
        <f>'Grid_Stock'!Y26</f>
        <v/>
      </c>
      <c r="AB606">
        <f>'Grid_Stock'!Z26</f>
        <v/>
      </c>
      <c r="AC606">
        <f>'Grid_Stock'!AA26</f>
        <v/>
      </c>
      <c r="AD606">
        <f>'Grid_Stock'!AB26</f>
        <v/>
      </c>
      <c r="AE606">
        <f>'Grid_Stock'!AC26</f>
        <v/>
      </c>
      <c r="AF606">
        <f>'Grid_Stock'!AD26</f>
        <v/>
      </c>
      <c r="AG606">
        <f>'Grid_Stock'!AE26</f>
        <v/>
      </c>
      <c r="AH606">
        <f>'Grid_Stock'!AF26</f>
        <v/>
      </c>
      <c r="AI606">
        <f>'Grid_Stock'!AG26</f>
        <v/>
      </c>
      <c r="AJ606">
        <f>'Grid_Stock'!AH26</f>
        <v/>
      </c>
      <c r="AK606">
        <f>'Grid_Stock'!AI26</f>
        <v/>
      </c>
      <c r="AL606">
        <f>'Grid_Stock'!AJ26</f>
        <v/>
      </c>
      <c r="AM606">
        <f>'Grid_Stock'!AK26</f>
        <v/>
      </c>
      <c r="AN606">
        <f>'Grid_Stock'!AL26</f>
        <v/>
      </c>
      <c r="AO606">
        <f>'Grid_Stock'!AM26</f>
        <v/>
      </c>
      <c r="AP606">
        <f>'Grid_Stock'!AN26</f>
        <v/>
      </c>
      <c r="AQ606">
        <f>'Grid_Stock'!AO26</f>
        <v/>
      </c>
      <c r="AR606">
        <f>'Grid_Stock'!AP26</f>
        <v/>
      </c>
      <c r="AS606">
        <f>'Grid_Stock'!AQ26</f>
        <v/>
      </c>
      <c r="AT606">
        <f>'Grid_Stock'!AR26</f>
        <v/>
      </c>
      <c r="AU606">
        <f>'Grid_Stock'!AS26</f>
        <v/>
      </c>
      <c r="AV606">
        <f>'Grid_Stock'!AT26</f>
        <v/>
      </c>
      <c r="AW606">
        <f>'Grid_Stock'!AU26</f>
        <v/>
      </c>
      <c r="AX606">
        <f>'Grid_Stock'!AV26</f>
        <v/>
      </c>
      <c r="AY606">
        <f>'Grid_Stock'!AW26</f>
        <v/>
      </c>
      <c r="AZ606">
        <f>'Grid_Stock'!AX26</f>
        <v/>
      </c>
      <c r="BA606">
        <f>'Grid_Stock'!AY26</f>
        <v/>
      </c>
      <c r="BB606">
        <f>'Grid_Stock'!AZ26</f>
        <v/>
      </c>
      <c r="BC606">
        <f>'Grid_Stock'!BA26</f>
        <v/>
      </c>
      <c r="BD606">
        <f>'Grid_Stock'!BB26</f>
        <v/>
      </c>
      <c r="BE606">
        <f>'Grid_Stock'!BC26</f>
        <v/>
      </c>
      <c r="BF606">
        <f>'Grid_Stock'!BD26</f>
        <v/>
      </c>
      <c r="BG606">
        <f>'Grid_Stock'!BE26</f>
        <v/>
      </c>
      <c r="BH606">
        <f>'Grid_Stock'!BF26</f>
        <v/>
      </c>
      <c r="BI606">
        <f>'Grid_Stock'!BG26</f>
        <v/>
      </c>
      <c r="BJ606">
        <f>'Grid_Stock'!BH26</f>
        <v/>
      </c>
      <c r="BK606">
        <f>'Grid_Stock'!BI26</f>
        <v/>
      </c>
      <c r="BL606">
        <f>'Grid_Stock'!BJ26</f>
        <v/>
      </c>
      <c r="BM606">
        <f>'Grid_Stock'!BK26</f>
        <v/>
      </c>
      <c r="BN606">
        <f>'Grid_Stock'!BL26</f>
        <v/>
      </c>
      <c r="BO606">
        <f>'Grid_Stock'!BM26</f>
        <v/>
      </c>
      <c r="BP606">
        <f>'Grid_Stock'!BN26</f>
        <v/>
      </c>
      <c r="BQ606">
        <f>'Grid_Stock'!BO26</f>
        <v/>
      </c>
      <c r="BR606">
        <f>'Grid_Stock'!BP26</f>
        <v/>
      </c>
      <c r="BS606">
        <f>'Grid_Stock'!BQ26</f>
        <v/>
      </c>
      <c r="BT606">
        <f>'Grid_Stock'!BR26</f>
        <v/>
      </c>
      <c r="BU606">
        <f>'Grid_Stock'!BS26</f>
        <v/>
      </c>
      <c r="BV606">
        <f>'Grid_Stock'!BT26</f>
        <v/>
      </c>
      <c r="BW606">
        <f>'Grid_Stock'!BU26</f>
        <v/>
      </c>
      <c r="BX606">
        <f>'Grid_Stock'!BV26</f>
        <v/>
      </c>
      <c r="BY606">
        <f>'Grid_Stock'!BW26</f>
        <v/>
      </c>
      <c r="BZ606">
        <f>'Grid_Stock'!BX26</f>
        <v/>
      </c>
      <c r="CA606">
        <f>'Grid_Stock'!BY26</f>
        <v/>
      </c>
      <c r="CB606">
        <f>'Grid_Stock'!BZ26</f>
        <v/>
      </c>
      <c r="CC606">
        <f>'Grid_Stock'!CA26</f>
        <v/>
      </c>
      <c r="CD606">
        <f>'Grid_Stock'!CB26</f>
        <v/>
      </c>
      <c r="CE606">
        <f>'Grid_Stock'!CC26</f>
        <v/>
      </c>
      <c r="CF606">
        <f>'Grid_Stock'!CD26</f>
        <v/>
      </c>
      <c r="CG606">
        <f>'Grid_Stock'!CE26</f>
        <v/>
      </c>
      <c r="CH606">
        <f>'Grid_Stock'!CF26</f>
        <v/>
      </c>
      <c r="CI606">
        <f>'Grid_Stock'!CG26</f>
        <v/>
      </c>
      <c r="CJ606">
        <f>'Grid_Stock'!CH26</f>
        <v/>
      </c>
      <c r="CK606">
        <f>'Grid_Stock'!CI26</f>
        <v/>
      </c>
      <c r="CL606">
        <f>'Grid_Stock'!CJ26</f>
        <v/>
      </c>
      <c r="CM606">
        <f>'Grid_Stock'!CK26</f>
        <v/>
      </c>
      <c r="CN606">
        <f>'Grid_Stock'!CL26</f>
        <v/>
      </c>
      <c r="CO606">
        <f>'Grid_Stock'!CM26</f>
        <v/>
      </c>
      <c r="CP606">
        <f>'Grid_Stock'!CN26</f>
        <v/>
      </c>
      <c r="CQ606">
        <f>'Grid_Stock'!CO26</f>
        <v/>
      </c>
      <c r="CR606">
        <f>'Grid_Stock'!CP26</f>
        <v/>
      </c>
      <c r="CS606">
        <f>'Grid_Stock'!CQ26</f>
        <v/>
      </c>
      <c r="CT606">
        <f>'Grid_Stock'!CR26</f>
        <v/>
      </c>
      <c r="CU606">
        <f>'Grid_Stock'!CS26</f>
        <v/>
      </c>
      <c r="CV606">
        <f>'Grid_Stock'!CT26</f>
        <v/>
      </c>
      <c r="CW606">
        <f>'Grid_Stock'!CU26</f>
        <v/>
      </c>
      <c r="CX606">
        <f>'Grid_Stock'!CV26</f>
        <v/>
      </c>
      <c r="CY606">
        <f>'Grid_Stock'!CW26</f>
        <v/>
      </c>
      <c r="CZ606">
        <f>'Grid_Stock'!CX26</f>
        <v/>
      </c>
      <c r="DA606">
        <f>'Grid_Stock'!CY26</f>
        <v/>
      </c>
      <c r="DB606">
        <f>'Grid_Stock'!CZ26</f>
        <v/>
      </c>
      <c r="DC606">
        <f>'Grid_Stock'!DA26</f>
        <v/>
      </c>
    </row>
    <row r="607">
      <c r="B607" s="23" t="inlineStr">
        <is>
          <t>（発注の目安はDashboardの基準在庫[下限/上限]と色分けを参照）</t>
        </is>
      </c>
    </row>
    <row r="609">
      <c r="A609" s="21" t="inlineStr">
        <is>
          <t>CHEM-1510</t>
        </is>
      </c>
      <c r="B609" s="21" t="inlineStr">
        <is>
          <t>BA-070</t>
        </is>
      </c>
      <c r="C609" s="22" t="n"/>
      <c r="D609" s="21" t="n"/>
      <c r="E609" s="21" t="n"/>
      <c r="F609" s="21" t="n"/>
      <c r="G609" s="21" t="n"/>
      <c r="H609" s="2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  <c r="AA609" s="21" t="n"/>
      <c r="AB609" s="21" t="n"/>
      <c r="AC609" s="21" t="n"/>
      <c r="AD609" s="21" t="n"/>
      <c r="AE609" s="21" t="n"/>
      <c r="AF609" s="21" t="n"/>
      <c r="AG609" s="21" t="n"/>
      <c r="AH609" s="21" t="n"/>
      <c r="AI609" s="21" t="n"/>
      <c r="AJ609" s="21" t="n"/>
      <c r="AK609" s="21" t="n"/>
      <c r="AL609" s="21" t="n"/>
      <c r="AM609" s="21" t="n"/>
      <c r="AN609" s="21" t="n"/>
      <c r="AO609" s="21" t="n"/>
      <c r="AP609" s="21" t="n"/>
      <c r="AQ609" s="21" t="n"/>
      <c r="AR609" s="21" t="n"/>
      <c r="AS609" s="21" t="n"/>
      <c r="AT609" s="21" t="n"/>
      <c r="AU609" s="21" t="n"/>
      <c r="AV609" s="21" t="n"/>
      <c r="AW609" s="21" t="n"/>
      <c r="AX609" s="21" t="n"/>
      <c r="AY609" s="21" t="n"/>
      <c r="AZ609" s="21" t="n"/>
      <c r="BA609" s="21" t="n"/>
      <c r="BB609" s="21" t="n"/>
      <c r="BC609" s="21" t="n"/>
      <c r="BD609" s="21" t="n"/>
      <c r="BE609" s="21" t="n"/>
      <c r="BF609" s="21" t="n"/>
      <c r="BG609" s="21" t="n"/>
      <c r="BH609" s="21" t="n"/>
      <c r="BI609" s="21" t="n"/>
      <c r="BJ609" s="21" t="n"/>
      <c r="BK609" s="21" t="n"/>
      <c r="BL609" s="21" t="n"/>
      <c r="BM609" s="21" t="n"/>
      <c r="BN609" s="21" t="n"/>
      <c r="BO609" s="21" t="n"/>
      <c r="BP609" s="21" t="n"/>
      <c r="BQ609" s="21" t="n"/>
      <c r="BR609" s="21" t="n"/>
      <c r="BS609" s="21" t="n"/>
      <c r="BT609" s="21" t="n"/>
      <c r="BU609" s="21" t="n"/>
      <c r="BV609" s="21" t="n"/>
      <c r="BW609" s="21" t="n"/>
      <c r="BX609" s="21" t="n"/>
      <c r="BY609" s="21" t="n"/>
      <c r="BZ609" s="21" t="n"/>
      <c r="CA609" s="21" t="n"/>
      <c r="CB609" s="21" t="n"/>
      <c r="CC609" s="21" t="n"/>
      <c r="CD609" s="21" t="n"/>
      <c r="CE609" s="21" t="n"/>
      <c r="CF609" s="21" t="n"/>
      <c r="CG609" s="21" t="n"/>
      <c r="CH609" s="21" t="n"/>
      <c r="CI609" s="21" t="n"/>
      <c r="CJ609" s="21" t="n"/>
      <c r="CK609" s="21" t="n"/>
      <c r="CL609" s="21" t="n"/>
      <c r="CM609" s="21" t="n"/>
      <c r="CN609" s="21" t="n"/>
      <c r="CO609" s="21" t="n"/>
      <c r="CP609" s="21" t="n"/>
      <c r="CQ609" s="21" t="n"/>
      <c r="CR609" s="21" t="n"/>
      <c r="CS609" s="21" t="n"/>
      <c r="CT609" s="21" t="n"/>
      <c r="CU609" s="21" t="n"/>
      <c r="CV609" s="21" t="n"/>
      <c r="CW609" s="21" t="n"/>
      <c r="CX609" s="21" t="n"/>
      <c r="CY609" s="21" t="n"/>
      <c r="CZ609" s="21" t="n"/>
      <c r="DA609" s="21" t="n"/>
      <c r="DB609" s="21" t="n"/>
      <c r="DC609" s="21" t="n"/>
    </row>
    <row r="610">
      <c r="B610" t="inlineStr">
        <is>
          <t>TSP-1388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Name],$A609)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TSP-360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Name],$A609)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TSP-367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Name],$A609)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TSP-544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Name],$A609)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TSP-618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Name],$A609)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TSP-710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Name],$A609)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TSP-924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Name],$A609)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TSP-925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Name],$A609)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TSZ-616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Name],$A609)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VSP-820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Name],$A609)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Name],$A609)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s="5" t="inlineStr">
        <is>
          <t>合計使用量(kg)/週</t>
        </is>
      </c>
      <c r="D632">
        <f>'Grid_Requirement'!B5</f>
        <v/>
      </c>
      <c r="E632">
        <f>'Grid_Requirement'!C5</f>
        <v/>
      </c>
      <c r="F632">
        <f>'Grid_Requirement'!D5</f>
        <v/>
      </c>
      <c r="G632">
        <f>'Grid_Requirement'!E5</f>
        <v/>
      </c>
      <c r="H632">
        <f>'Grid_Requirement'!F5</f>
        <v/>
      </c>
      <c r="I632">
        <f>'Grid_Requirement'!G5</f>
        <v/>
      </c>
      <c r="J632">
        <f>'Grid_Requirement'!H5</f>
        <v/>
      </c>
      <c r="K632">
        <f>'Grid_Requirement'!I5</f>
        <v/>
      </c>
      <c r="L632">
        <f>'Grid_Requirement'!J5</f>
        <v/>
      </c>
      <c r="M632">
        <f>'Grid_Requirement'!K5</f>
        <v/>
      </c>
      <c r="N632">
        <f>'Grid_Requirement'!L5</f>
        <v/>
      </c>
      <c r="O632">
        <f>'Grid_Requirement'!M5</f>
        <v/>
      </c>
      <c r="P632">
        <f>'Grid_Requirement'!N5</f>
        <v/>
      </c>
      <c r="Q632">
        <f>'Grid_Requirement'!O5</f>
        <v/>
      </c>
      <c r="R632">
        <f>'Grid_Requirement'!P5</f>
        <v/>
      </c>
      <c r="S632">
        <f>'Grid_Requirement'!Q5</f>
        <v/>
      </c>
      <c r="T632">
        <f>'Grid_Requirement'!R5</f>
        <v/>
      </c>
      <c r="U632">
        <f>'Grid_Requirement'!S5</f>
        <v/>
      </c>
      <c r="V632">
        <f>'Grid_Requirement'!T5</f>
        <v/>
      </c>
      <c r="W632">
        <f>'Grid_Requirement'!U5</f>
        <v/>
      </c>
      <c r="X632">
        <f>'Grid_Requirement'!V5</f>
        <v/>
      </c>
      <c r="Y632">
        <f>'Grid_Requirement'!W5</f>
        <v/>
      </c>
      <c r="Z632">
        <f>'Grid_Requirement'!X5</f>
        <v/>
      </c>
      <c r="AA632">
        <f>'Grid_Requirement'!Y5</f>
        <v/>
      </c>
      <c r="AB632">
        <f>'Grid_Requirement'!Z5</f>
        <v/>
      </c>
      <c r="AC632">
        <f>'Grid_Requirement'!AA5</f>
        <v/>
      </c>
      <c r="AD632">
        <f>'Grid_Requirement'!AB5</f>
        <v/>
      </c>
      <c r="AE632">
        <f>'Grid_Requirement'!AC5</f>
        <v/>
      </c>
      <c r="AF632">
        <f>'Grid_Requirement'!AD5</f>
        <v/>
      </c>
      <c r="AG632">
        <f>'Grid_Requirement'!AE5</f>
        <v/>
      </c>
      <c r="AH632">
        <f>'Grid_Requirement'!AF5</f>
        <v/>
      </c>
      <c r="AI632">
        <f>'Grid_Requirement'!AG5</f>
        <v/>
      </c>
      <c r="AJ632">
        <f>'Grid_Requirement'!AH5</f>
        <v/>
      </c>
      <c r="AK632">
        <f>'Grid_Requirement'!AI5</f>
        <v/>
      </c>
      <c r="AL632">
        <f>'Grid_Requirement'!AJ5</f>
        <v/>
      </c>
      <c r="AM632">
        <f>'Grid_Requirement'!AK5</f>
        <v/>
      </c>
      <c r="AN632">
        <f>'Grid_Requirement'!AL5</f>
        <v/>
      </c>
      <c r="AO632">
        <f>'Grid_Requirement'!AM5</f>
        <v/>
      </c>
      <c r="AP632">
        <f>'Grid_Requirement'!AN5</f>
        <v/>
      </c>
      <c r="AQ632">
        <f>'Grid_Requirement'!AO5</f>
        <v/>
      </c>
      <c r="AR632">
        <f>'Grid_Requirement'!AP5</f>
        <v/>
      </c>
      <c r="AS632">
        <f>'Grid_Requirement'!AQ5</f>
        <v/>
      </c>
      <c r="AT632">
        <f>'Grid_Requirement'!AR5</f>
        <v/>
      </c>
      <c r="AU632">
        <f>'Grid_Requirement'!AS5</f>
        <v/>
      </c>
      <c r="AV632">
        <f>'Grid_Requirement'!AT5</f>
        <v/>
      </c>
      <c r="AW632">
        <f>'Grid_Requirement'!AU5</f>
        <v/>
      </c>
      <c r="AX632">
        <f>'Grid_Requirement'!AV5</f>
        <v/>
      </c>
      <c r="AY632">
        <f>'Grid_Requirement'!AW5</f>
        <v/>
      </c>
      <c r="AZ632">
        <f>'Grid_Requirement'!AX5</f>
        <v/>
      </c>
      <c r="BA632">
        <f>'Grid_Requirement'!AY5</f>
        <v/>
      </c>
      <c r="BB632">
        <f>'Grid_Requirement'!AZ5</f>
        <v/>
      </c>
      <c r="BC632">
        <f>'Grid_Requirement'!BA5</f>
        <v/>
      </c>
      <c r="BD632">
        <f>'Grid_Requirement'!BB5</f>
        <v/>
      </c>
      <c r="BE632">
        <f>'Grid_Requirement'!BC5</f>
        <v/>
      </c>
      <c r="BF632">
        <f>'Grid_Requirement'!BD5</f>
        <v/>
      </c>
      <c r="BG632">
        <f>'Grid_Requirement'!BE5</f>
        <v/>
      </c>
      <c r="BH632">
        <f>'Grid_Requirement'!BF5</f>
        <v/>
      </c>
      <c r="BI632">
        <f>'Grid_Requirement'!BG5</f>
        <v/>
      </c>
      <c r="BJ632">
        <f>'Grid_Requirement'!BH5</f>
        <v/>
      </c>
      <c r="BK632">
        <f>'Grid_Requirement'!BI5</f>
        <v/>
      </c>
      <c r="BL632">
        <f>'Grid_Requirement'!BJ5</f>
        <v/>
      </c>
      <c r="BM632">
        <f>'Grid_Requirement'!BK5</f>
        <v/>
      </c>
      <c r="BN632">
        <f>'Grid_Requirement'!BL5</f>
        <v/>
      </c>
      <c r="BO632">
        <f>'Grid_Requirement'!BM5</f>
        <v/>
      </c>
      <c r="BP632">
        <f>'Grid_Requirement'!BN5</f>
        <v/>
      </c>
      <c r="BQ632">
        <f>'Grid_Requirement'!BO5</f>
        <v/>
      </c>
      <c r="BR632">
        <f>'Grid_Requirement'!BP5</f>
        <v/>
      </c>
      <c r="BS632">
        <f>'Grid_Requirement'!BQ5</f>
        <v/>
      </c>
      <c r="BT632">
        <f>'Grid_Requirement'!BR5</f>
        <v/>
      </c>
      <c r="BU632">
        <f>'Grid_Requirement'!BS5</f>
        <v/>
      </c>
      <c r="BV632">
        <f>'Grid_Requirement'!BT5</f>
        <v/>
      </c>
      <c r="BW632">
        <f>'Grid_Requirement'!BU5</f>
        <v/>
      </c>
      <c r="BX632">
        <f>'Grid_Requirement'!BV5</f>
        <v/>
      </c>
      <c r="BY632">
        <f>'Grid_Requirement'!BW5</f>
        <v/>
      </c>
      <c r="BZ632">
        <f>'Grid_Requirement'!BX5</f>
        <v/>
      </c>
      <c r="CA632">
        <f>'Grid_Requirement'!BY5</f>
        <v/>
      </c>
      <c r="CB632">
        <f>'Grid_Requirement'!BZ5</f>
        <v/>
      </c>
      <c r="CC632">
        <f>'Grid_Requirement'!CA5</f>
        <v/>
      </c>
      <c r="CD632">
        <f>'Grid_Requirement'!CB5</f>
        <v/>
      </c>
      <c r="CE632">
        <f>'Grid_Requirement'!CC5</f>
        <v/>
      </c>
      <c r="CF632">
        <f>'Grid_Requirement'!CD5</f>
        <v/>
      </c>
      <c r="CG632">
        <f>'Grid_Requirement'!CE5</f>
        <v/>
      </c>
      <c r="CH632">
        <f>'Grid_Requirement'!CF5</f>
        <v/>
      </c>
      <c r="CI632">
        <f>'Grid_Requirement'!CG5</f>
        <v/>
      </c>
      <c r="CJ632">
        <f>'Grid_Requirement'!CH5</f>
        <v/>
      </c>
      <c r="CK632">
        <f>'Grid_Requirement'!CI5</f>
        <v/>
      </c>
      <c r="CL632">
        <f>'Grid_Requirement'!CJ5</f>
        <v/>
      </c>
      <c r="CM632">
        <f>'Grid_Requirement'!CK5</f>
        <v/>
      </c>
      <c r="CN632">
        <f>'Grid_Requirement'!CL5</f>
        <v/>
      </c>
      <c r="CO632">
        <f>'Grid_Requirement'!CM5</f>
        <v/>
      </c>
      <c r="CP632">
        <f>'Grid_Requirement'!CN5</f>
        <v/>
      </c>
      <c r="CQ632">
        <f>'Grid_Requirement'!CO5</f>
        <v/>
      </c>
      <c r="CR632">
        <f>'Grid_Requirement'!CP5</f>
        <v/>
      </c>
      <c r="CS632">
        <f>'Grid_Requirement'!CQ5</f>
        <v/>
      </c>
      <c r="CT632">
        <f>'Grid_Requirement'!CR5</f>
        <v/>
      </c>
      <c r="CU632">
        <f>'Grid_Requirement'!CS5</f>
        <v/>
      </c>
      <c r="CV632">
        <f>'Grid_Requirement'!CT5</f>
        <v/>
      </c>
      <c r="CW632">
        <f>'Grid_Requirement'!CU5</f>
        <v/>
      </c>
      <c r="CX632">
        <f>'Grid_Requirement'!CV5</f>
        <v/>
      </c>
      <c r="CY632">
        <f>'Grid_Requirement'!CW5</f>
        <v/>
      </c>
      <c r="CZ632">
        <f>'Grid_Requirement'!CX5</f>
        <v/>
      </c>
      <c r="DA632">
        <f>'Grid_Requirement'!CY5</f>
        <v/>
      </c>
      <c r="DB632">
        <f>'Grid_Requirement'!CZ5</f>
        <v/>
      </c>
      <c r="DC632">
        <f>'Grid_Requirement'!DA5</f>
        <v/>
      </c>
    </row>
    <row r="633">
      <c r="B633" t="inlineStr">
        <is>
          <t>TTAF在庫(実績,kg)</t>
        </is>
      </c>
      <c r="D633">
        <f>'T_TTAFStock'!B9</f>
        <v/>
      </c>
      <c r="E633">
        <f>'T_TTAFStock'!C9</f>
        <v/>
      </c>
      <c r="F633">
        <f>'T_TTAFStock'!D9</f>
        <v/>
      </c>
      <c r="G633">
        <f>'T_TTAFStock'!E9</f>
        <v/>
      </c>
      <c r="H633">
        <f>'T_TTAFStock'!F9</f>
        <v/>
      </c>
      <c r="I633">
        <f>'T_TTAFStock'!G9</f>
        <v/>
      </c>
      <c r="J633">
        <f>'T_TTAFStock'!H9</f>
        <v/>
      </c>
      <c r="K633">
        <f>'T_TTAFStock'!I9</f>
        <v/>
      </c>
      <c r="L633">
        <f>'T_TTAFStock'!J9</f>
        <v/>
      </c>
      <c r="M633">
        <f>'T_TTAFStock'!K9</f>
        <v/>
      </c>
      <c r="N633">
        <f>'T_TTAFStock'!L9</f>
        <v/>
      </c>
      <c r="O633">
        <f>'T_TTAFStock'!M9</f>
        <v/>
      </c>
      <c r="P633">
        <f>'T_TTAFStock'!N9</f>
        <v/>
      </c>
      <c r="Q633">
        <f>'T_TTAFStock'!O9</f>
        <v/>
      </c>
      <c r="R633">
        <f>'T_TTAFStock'!P9</f>
        <v/>
      </c>
      <c r="S633">
        <f>'T_TTAFStock'!Q9</f>
        <v/>
      </c>
      <c r="T633">
        <f>'T_TTAFStock'!R9</f>
        <v/>
      </c>
      <c r="U633">
        <f>'T_TTAFStock'!S9</f>
        <v/>
      </c>
      <c r="V633">
        <f>'T_TTAFStock'!T9</f>
        <v/>
      </c>
      <c r="W633">
        <f>'T_TTAFStock'!U9</f>
        <v/>
      </c>
      <c r="X633">
        <f>'T_TTAFStock'!V9</f>
        <v/>
      </c>
      <c r="Y633">
        <f>'T_TTAFStock'!W9</f>
        <v/>
      </c>
      <c r="Z633">
        <f>'T_TTAFStock'!X9</f>
        <v/>
      </c>
      <c r="AA633">
        <f>'T_TTAFStock'!Y9</f>
        <v/>
      </c>
      <c r="AB633">
        <f>'T_TTAFStock'!Z9</f>
        <v/>
      </c>
      <c r="AC633">
        <f>'T_TTAFStock'!AA9</f>
        <v/>
      </c>
      <c r="AD633">
        <f>'T_TTAFStock'!AB9</f>
        <v/>
      </c>
      <c r="AE633">
        <f>'T_TTAFStock'!AC9</f>
        <v/>
      </c>
      <c r="AF633">
        <f>'T_TTAFStock'!AD9</f>
        <v/>
      </c>
      <c r="AG633">
        <f>'T_TTAFStock'!AE9</f>
        <v/>
      </c>
      <c r="AH633">
        <f>'T_TTAFStock'!AF9</f>
        <v/>
      </c>
      <c r="AI633">
        <f>'T_TTAFStock'!AG9</f>
        <v/>
      </c>
      <c r="AJ633">
        <f>'T_TTAFStock'!AH9</f>
        <v/>
      </c>
      <c r="AK633">
        <f>'T_TTAFStock'!AI9</f>
        <v/>
      </c>
      <c r="AL633">
        <f>'T_TTAFStock'!AJ9</f>
        <v/>
      </c>
      <c r="AM633">
        <f>'T_TTAFStock'!AK9</f>
        <v/>
      </c>
      <c r="AN633">
        <f>'T_TTAFStock'!AL9</f>
        <v/>
      </c>
      <c r="AO633">
        <f>'T_TTAFStock'!AM9</f>
        <v/>
      </c>
      <c r="AP633">
        <f>'T_TTAFStock'!AN9</f>
        <v/>
      </c>
      <c r="AQ633">
        <f>'T_TTAFStock'!AO9</f>
        <v/>
      </c>
      <c r="AR633">
        <f>'T_TTAFStock'!AP9</f>
        <v/>
      </c>
      <c r="AS633">
        <f>'T_TTAFStock'!AQ9</f>
        <v/>
      </c>
      <c r="AT633">
        <f>'T_TTAFStock'!AR9</f>
        <v/>
      </c>
      <c r="AU633">
        <f>'T_TTAFStock'!AS9</f>
        <v/>
      </c>
      <c r="AV633">
        <f>'T_TTAFStock'!AT9</f>
        <v/>
      </c>
      <c r="AW633">
        <f>'T_TTAFStock'!AU9</f>
        <v/>
      </c>
      <c r="AX633">
        <f>'T_TTAFStock'!AV9</f>
        <v/>
      </c>
      <c r="AY633">
        <f>'T_TTAFStock'!AW9</f>
        <v/>
      </c>
      <c r="AZ633">
        <f>'T_TTAFStock'!AX9</f>
        <v/>
      </c>
      <c r="BA633">
        <f>'T_TTAFStock'!AY9</f>
        <v/>
      </c>
      <c r="BB633">
        <f>'T_TTAFStock'!AZ9</f>
        <v/>
      </c>
      <c r="BC633">
        <f>'T_TTAFStock'!BA9</f>
        <v/>
      </c>
      <c r="BD633">
        <f>'T_TTAFStock'!BB9</f>
        <v/>
      </c>
      <c r="BE633">
        <f>'T_TTAFStock'!BC9</f>
        <v/>
      </c>
      <c r="BF633">
        <f>'T_TTAFStock'!BD9</f>
        <v/>
      </c>
      <c r="BG633">
        <f>'T_TTAFStock'!BE9</f>
        <v/>
      </c>
      <c r="BH633">
        <f>'T_TTAFStock'!BF9</f>
        <v/>
      </c>
      <c r="BI633">
        <f>'T_TTAFStock'!BG9</f>
        <v/>
      </c>
      <c r="BJ633">
        <f>'T_TTAFStock'!BH9</f>
        <v/>
      </c>
      <c r="BK633">
        <f>'T_TTAFStock'!BI9</f>
        <v/>
      </c>
      <c r="BL633">
        <f>'T_TTAFStock'!BJ9</f>
        <v/>
      </c>
      <c r="BM633">
        <f>'T_TTAFStock'!BK9</f>
        <v/>
      </c>
      <c r="BN633">
        <f>'T_TTAFStock'!BL9</f>
        <v/>
      </c>
      <c r="BO633">
        <f>'T_TTAFStock'!BM9</f>
        <v/>
      </c>
      <c r="BP633">
        <f>'T_TTAFStock'!BN9</f>
        <v/>
      </c>
      <c r="BQ633">
        <f>'T_TTAFStock'!BO9</f>
        <v/>
      </c>
      <c r="BR633">
        <f>'T_TTAFStock'!BP9</f>
        <v/>
      </c>
      <c r="BS633">
        <f>'T_TTAFStock'!BQ9</f>
        <v/>
      </c>
      <c r="BT633">
        <f>'T_TTAFStock'!BR9</f>
        <v/>
      </c>
      <c r="BU633">
        <f>'T_TTAFStock'!BS9</f>
        <v/>
      </c>
      <c r="BV633">
        <f>'T_TTAFStock'!BT9</f>
        <v/>
      </c>
      <c r="BW633">
        <f>'T_TTAFStock'!BU9</f>
        <v/>
      </c>
      <c r="BX633">
        <f>'T_TTAFStock'!BV9</f>
        <v/>
      </c>
      <c r="BY633">
        <f>'T_TTAFStock'!BW9</f>
        <v/>
      </c>
      <c r="BZ633">
        <f>'T_TTAFStock'!BX9</f>
        <v/>
      </c>
      <c r="CA633">
        <f>'T_TTAFStock'!BY9</f>
        <v/>
      </c>
      <c r="CB633">
        <f>'T_TTAFStock'!BZ9</f>
        <v/>
      </c>
      <c r="CC633">
        <f>'T_TTAFStock'!CA9</f>
        <v/>
      </c>
      <c r="CD633">
        <f>'T_TTAFStock'!CB9</f>
        <v/>
      </c>
      <c r="CE633">
        <f>'T_TTAFStock'!CC9</f>
        <v/>
      </c>
      <c r="CF633">
        <f>'T_TTAFStock'!CD9</f>
        <v/>
      </c>
      <c r="CG633">
        <f>'T_TTAFStock'!CE9</f>
        <v/>
      </c>
      <c r="CH633">
        <f>'T_TTAFStock'!CF9</f>
        <v/>
      </c>
      <c r="CI633">
        <f>'T_TTAFStock'!CG9</f>
        <v/>
      </c>
      <c r="CJ633">
        <f>'T_TTAFStock'!CH9</f>
        <v/>
      </c>
      <c r="CK633">
        <f>'T_TTAFStock'!CI9</f>
        <v/>
      </c>
      <c r="CL633">
        <f>'T_TTAFStock'!CJ9</f>
        <v/>
      </c>
      <c r="CM633">
        <f>'T_TTAFStock'!CK9</f>
        <v/>
      </c>
      <c r="CN633">
        <f>'T_TTAFStock'!CL9</f>
        <v/>
      </c>
      <c r="CO633">
        <f>'T_TTAFStock'!CM9</f>
        <v/>
      </c>
      <c r="CP633">
        <f>'T_TTAFStock'!CN9</f>
        <v/>
      </c>
      <c r="CQ633">
        <f>'T_TTAFStock'!CO9</f>
        <v/>
      </c>
      <c r="CR633">
        <f>'T_TTAFStock'!CP9</f>
        <v/>
      </c>
      <c r="CS633">
        <f>'T_TTAFStock'!CQ9</f>
        <v/>
      </c>
      <c r="CT633">
        <f>'T_TTAFStock'!CR9</f>
        <v/>
      </c>
      <c r="CU633">
        <f>'T_TTAFStock'!CS9</f>
        <v/>
      </c>
      <c r="CV633">
        <f>'T_TTAFStock'!CT9</f>
        <v/>
      </c>
      <c r="CW633">
        <f>'T_TTAFStock'!CU9</f>
        <v/>
      </c>
      <c r="CX633">
        <f>'T_TTAFStock'!CV9</f>
        <v/>
      </c>
      <c r="CY633">
        <f>'T_TTAFStock'!CW9</f>
        <v/>
      </c>
      <c r="CZ633">
        <f>'T_TTAFStock'!CX9</f>
        <v/>
      </c>
      <c r="DA633">
        <f>'T_TTAFStock'!CY9</f>
        <v/>
      </c>
      <c r="DB633">
        <f>'T_TTAFStock'!CZ9</f>
        <v/>
      </c>
      <c r="DC633">
        <f>'T_TTAFStock'!DA9</f>
        <v/>
      </c>
    </row>
    <row r="634">
      <c r="B634" t="inlineStr">
        <is>
          <t>自社在庫(実績,kg)</t>
        </is>
      </c>
      <c r="D634">
        <f>'T_SelfStock'!B9</f>
        <v/>
      </c>
      <c r="E634">
        <f>'T_SelfStock'!C9</f>
        <v/>
      </c>
      <c r="F634">
        <f>'T_SelfStock'!D9</f>
        <v/>
      </c>
      <c r="G634">
        <f>'T_SelfStock'!E9</f>
        <v/>
      </c>
      <c r="H634">
        <f>'T_SelfStock'!F9</f>
        <v/>
      </c>
      <c r="I634">
        <f>'T_SelfStock'!G9</f>
        <v/>
      </c>
      <c r="J634">
        <f>'T_SelfStock'!H9</f>
        <v/>
      </c>
      <c r="K634">
        <f>'T_SelfStock'!I9</f>
        <v/>
      </c>
      <c r="L634">
        <f>'T_SelfStock'!J9</f>
        <v/>
      </c>
      <c r="M634">
        <f>'T_SelfStock'!K9</f>
        <v/>
      </c>
      <c r="N634">
        <f>'T_SelfStock'!L9</f>
        <v/>
      </c>
      <c r="O634">
        <f>'T_SelfStock'!M9</f>
        <v/>
      </c>
      <c r="P634">
        <f>'T_SelfStock'!N9</f>
        <v/>
      </c>
      <c r="Q634">
        <f>'T_SelfStock'!O9</f>
        <v/>
      </c>
      <c r="R634">
        <f>'T_SelfStock'!P9</f>
        <v/>
      </c>
      <c r="S634">
        <f>'T_SelfStock'!Q9</f>
        <v/>
      </c>
      <c r="T634">
        <f>'T_SelfStock'!R9</f>
        <v/>
      </c>
      <c r="U634">
        <f>'T_SelfStock'!S9</f>
        <v/>
      </c>
      <c r="V634">
        <f>'T_SelfStock'!T9</f>
        <v/>
      </c>
      <c r="W634">
        <f>'T_SelfStock'!U9</f>
        <v/>
      </c>
      <c r="X634">
        <f>'T_SelfStock'!V9</f>
        <v/>
      </c>
      <c r="Y634">
        <f>'T_SelfStock'!W9</f>
        <v/>
      </c>
      <c r="Z634">
        <f>'T_SelfStock'!X9</f>
        <v/>
      </c>
      <c r="AA634">
        <f>'T_SelfStock'!Y9</f>
        <v/>
      </c>
      <c r="AB634">
        <f>'T_SelfStock'!Z9</f>
        <v/>
      </c>
      <c r="AC634">
        <f>'T_SelfStock'!AA9</f>
        <v/>
      </c>
      <c r="AD634">
        <f>'T_SelfStock'!AB9</f>
        <v/>
      </c>
      <c r="AE634">
        <f>'T_SelfStock'!AC9</f>
        <v/>
      </c>
      <c r="AF634">
        <f>'T_SelfStock'!AD9</f>
        <v/>
      </c>
      <c r="AG634">
        <f>'T_SelfStock'!AE9</f>
        <v/>
      </c>
      <c r="AH634">
        <f>'T_SelfStock'!AF9</f>
        <v/>
      </c>
      <c r="AI634">
        <f>'T_SelfStock'!AG9</f>
        <v/>
      </c>
      <c r="AJ634">
        <f>'T_SelfStock'!AH9</f>
        <v/>
      </c>
      <c r="AK634">
        <f>'T_SelfStock'!AI9</f>
        <v/>
      </c>
      <c r="AL634">
        <f>'T_SelfStock'!AJ9</f>
        <v/>
      </c>
      <c r="AM634">
        <f>'T_SelfStock'!AK9</f>
        <v/>
      </c>
      <c r="AN634">
        <f>'T_SelfStock'!AL9</f>
        <v/>
      </c>
      <c r="AO634">
        <f>'T_SelfStock'!AM9</f>
        <v/>
      </c>
      <c r="AP634">
        <f>'T_SelfStock'!AN9</f>
        <v/>
      </c>
      <c r="AQ634">
        <f>'T_SelfStock'!AO9</f>
        <v/>
      </c>
      <c r="AR634">
        <f>'T_SelfStock'!AP9</f>
        <v/>
      </c>
      <c r="AS634">
        <f>'T_SelfStock'!AQ9</f>
        <v/>
      </c>
      <c r="AT634">
        <f>'T_SelfStock'!AR9</f>
        <v/>
      </c>
      <c r="AU634">
        <f>'T_SelfStock'!AS9</f>
        <v/>
      </c>
      <c r="AV634">
        <f>'T_SelfStock'!AT9</f>
        <v/>
      </c>
      <c r="AW634">
        <f>'T_SelfStock'!AU9</f>
        <v/>
      </c>
      <c r="AX634">
        <f>'T_SelfStock'!AV9</f>
        <v/>
      </c>
      <c r="AY634">
        <f>'T_SelfStock'!AW9</f>
        <v/>
      </c>
      <c r="AZ634">
        <f>'T_SelfStock'!AX9</f>
        <v/>
      </c>
      <c r="BA634">
        <f>'T_SelfStock'!AY9</f>
        <v/>
      </c>
      <c r="BB634">
        <f>'T_SelfStock'!AZ9</f>
        <v/>
      </c>
      <c r="BC634">
        <f>'T_SelfStock'!BA9</f>
        <v/>
      </c>
      <c r="BD634">
        <f>'T_SelfStock'!BB9</f>
        <v/>
      </c>
      <c r="BE634">
        <f>'T_SelfStock'!BC9</f>
        <v/>
      </c>
      <c r="BF634">
        <f>'T_SelfStock'!BD9</f>
        <v/>
      </c>
      <c r="BG634">
        <f>'T_SelfStock'!BE9</f>
        <v/>
      </c>
      <c r="BH634">
        <f>'T_SelfStock'!BF9</f>
        <v/>
      </c>
      <c r="BI634">
        <f>'T_SelfStock'!BG9</f>
        <v/>
      </c>
      <c r="BJ634">
        <f>'T_SelfStock'!BH9</f>
        <v/>
      </c>
      <c r="BK634">
        <f>'T_SelfStock'!BI9</f>
        <v/>
      </c>
      <c r="BL634">
        <f>'T_SelfStock'!BJ9</f>
        <v/>
      </c>
      <c r="BM634">
        <f>'T_SelfStock'!BK9</f>
        <v/>
      </c>
      <c r="BN634">
        <f>'T_SelfStock'!BL9</f>
        <v/>
      </c>
      <c r="BO634">
        <f>'T_SelfStock'!BM9</f>
        <v/>
      </c>
      <c r="BP634">
        <f>'T_SelfStock'!BN9</f>
        <v/>
      </c>
      <c r="BQ634">
        <f>'T_SelfStock'!BO9</f>
        <v/>
      </c>
      <c r="BR634">
        <f>'T_SelfStock'!BP9</f>
        <v/>
      </c>
      <c r="BS634">
        <f>'T_SelfStock'!BQ9</f>
        <v/>
      </c>
      <c r="BT634">
        <f>'T_SelfStock'!BR9</f>
        <v/>
      </c>
      <c r="BU634">
        <f>'T_SelfStock'!BS9</f>
        <v/>
      </c>
      <c r="BV634">
        <f>'T_SelfStock'!BT9</f>
        <v/>
      </c>
      <c r="BW634">
        <f>'T_SelfStock'!BU9</f>
        <v/>
      </c>
      <c r="BX634">
        <f>'T_SelfStock'!BV9</f>
        <v/>
      </c>
      <c r="BY634">
        <f>'T_SelfStock'!BW9</f>
        <v/>
      </c>
      <c r="BZ634">
        <f>'T_SelfStock'!BX9</f>
        <v/>
      </c>
      <c r="CA634">
        <f>'T_SelfStock'!BY9</f>
        <v/>
      </c>
      <c r="CB634">
        <f>'T_SelfStock'!BZ9</f>
        <v/>
      </c>
      <c r="CC634">
        <f>'T_SelfStock'!CA9</f>
        <v/>
      </c>
      <c r="CD634">
        <f>'T_SelfStock'!CB9</f>
        <v/>
      </c>
      <c r="CE634">
        <f>'T_SelfStock'!CC9</f>
        <v/>
      </c>
      <c r="CF634">
        <f>'T_SelfStock'!CD9</f>
        <v/>
      </c>
      <c r="CG634">
        <f>'T_SelfStock'!CE9</f>
        <v/>
      </c>
      <c r="CH634">
        <f>'T_SelfStock'!CF9</f>
        <v/>
      </c>
      <c r="CI634">
        <f>'T_SelfStock'!CG9</f>
        <v/>
      </c>
      <c r="CJ634">
        <f>'T_SelfStock'!CH9</f>
        <v/>
      </c>
      <c r="CK634">
        <f>'T_SelfStock'!CI9</f>
        <v/>
      </c>
      <c r="CL634">
        <f>'T_SelfStock'!CJ9</f>
        <v/>
      </c>
      <c r="CM634">
        <f>'T_SelfStock'!CK9</f>
        <v/>
      </c>
      <c r="CN634">
        <f>'T_SelfStock'!CL9</f>
        <v/>
      </c>
      <c r="CO634">
        <f>'T_SelfStock'!CM9</f>
        <v/>
      </c>
      <c r="CP634">
        <f>'T_SelfStock'!CN9</f>
        <v/>
      </c>
      <c r="CQ634">
        <f>'T_SelfStock'!CO9</f>
        <v/>
      </c>
      <c r="CR634">
        <f>'T_SelfStock'!CP9</f>
        <v/>
      </c>
      <c r="CS634">
        <f>'T_SelfStock'!CQ9</f>
        <v/>
      </c>
      <c r="CT634">
        <f>'T_SelfStock'!CR9</f>
        <v/>
      </c>
      <c r="CU634">
        <f>'T_SelfStock'!CS9</f>
        <v/>
      </c>
      <c r="CV634">
        <f>'T_SelfStock'!CT9</f>
        <v/>
      </c>
      <c r="CW634">
        <f>'T_SelfStock'!CU9</f>
        <v/>
      </c>
      <c r="CX634">
        <f>'T_SelfStock'!CV9</f>
        <v/>
      </c>
      <c r="CY634">
        <f>'T_SelfStock'!CW9</f>
        <v/>
      </c>
      <c r="CZ634">
        <f>'T_SelfStock'!CX9</f>
        <v/>
      </c>
      <c r="DA634">
        <f>'T_SelfStock'!CY9</f>
        <v/>
      </c>
      <c r="DB634">
        <f>'T_SelfStock'!CZ9</f>
        <v/>
      </c>
      <c r="DC634">
        <f>'T_SelfStock'!DA9</f>
        <v/>
      </c>
    </row>
    <row r="635">
      <c r="B635" t="inlineStr">
        <is>
          <t>Order(発注予定,kg)</t>
        </is>
      </c>
      <c r="D635">
        <f>IF(SUMIFS(T_PlannedOrders[EffectiveQty],T_PlannedOrders[Part Name],$A609,T_PlannedOrders[WeekIndex],1)=0,"",SUMIFS(T_PlannedOrders[EffectiveQty],T_PlannedOrders[Part Name],$A609,T_PlannedOrders[WeekIndex],1)&amp;" ("&amp;TEXT(SUMPRODUCT(MAX((T_PlannedOrders[Part Name]=$A609)*(T_PlannedOrders[WeekIndex]=1)*(T_PlannedOrders[EffectiveQty]&gt;0)*T_PlannedOrders[Order_Month])),"m月")&amp;"発注)")</f>
        <v/>
      </c>
      <c r="E635">
        <f>IF(SUMIFS(T_PlannedOrders[EffectiveQty],T_PlannedOrders[Part Name],$A609,T_PlannedOrders[WeekIndex],2)=0,"",SUMIFS(T_PlannedOrders[EffectiveQty],T_PlannedOrders[Part Name],$A609,T_PlannedOrders[WeekIndex],2)&amp;" ("&amp;TEXT(SUMPRODUCT(MAX((T_PlannedOrders[Part Name]=$A609)*(T_PlannedOrders[WeekIndex]=2)*(T_PlannedOrders[EffectiveQty]&gt;0)*T_PlannedOrders[Order_Month])),"m月")&amp;"発注)")</f>
        <v/>
      </c>
      <c r="F635">
        <f>IF(SUMIFS(T_PlannedOrders[EffectiveQty],T_PlannedOrders[Part Name],$A609,T_PlannedOrders[WeekIndex],3)=0,"",SUMIFS(T_PlannedOrders[EffectiveQty],T_PlannedOrders[Part Name],$A609,T_PlannedOrders[WeekIndex],3)&amp;" ("&amp;TEXT(SUMPRODUCT(MAX((T_PlannedOrders[Part Name]=$A609)*(T_PlannedOrders[WeekIndex]=3)*(T_PlannedOrders[EffectiveQty]&gt;0)*T_PlannedOrders[Order_Month])),"m月")&amp;"発注)")</f>
        <v/>
      </c>
      <c r="G635">
        <f>IF(SUMIFS(T_PlannedOrders[EffectiveQty],T_PlannedOrders[Part Name],$A609,T_PlannedOrders[WeekIndex],4)=0,"",SUMIFS(T_PlannedOrders[EffectiveQty],T_PlannedOrders[Part Name],$A609,T_PlannedOrders[WeekIndex],4)&amp;" ("&amp;TEXT(SUMPRODUCT(MAX((T_PlannedOrders[Part Name]=$A609)*(T_PlannedOrders[WeekIndex]=4)*(T_PlannedOrders[EffectiveQty]&gt;0)*T_PlannedOrders[Order_Month])),"m月")&amp;"発注)")</f>
        <v/>
      </c>
      <c r="H635">
        <f>IF(SUMIFS(T_PlannedOrders[EffectiveQty],T_PlannedOrders[Part Name],$A609,T_PlannedOrders[WeekIndex],5)=0,"",SUMIFS(T_PlannedOrders[EffectiveQty],T_PlannedOrders[Part Name],$A609,T_PlannedOrders[WeekIndex],5)&amp;" ("&amp;TEXT(SUMPRODUCT(MAX((T_PlannedOrders[Part Name]=$A609)*(T_PlannedOrders[WeekIndex]=5)*(T_PlannedOrders[EffectiveQty]&gt;0)*T_PlannedOrders[Order_Month])),"m月")&amp;"発注)")</f>
        <v/>
      </c>
      <c r="I635">
        <f>IF(SUMIFS(T_PlannedOrders[EffectiveQty],T_PlannedOrders[Part Name],$A609,T_PlannedOrders[WeekIndex],6)=0,"",SUMIFS(T_PlannedOrders[EffectiveQty],T_PlannedOrders[Part Name],$A609,T_PlannedOrders[WeekIndex],6)&amp;" ("&amp;TEXT(SUMPRODUCT(MAX((T_PlannedOrders[Part Name]=$A609)*(T_PlannedOrders[WeekIndex]=6)*(T_PlannedOrders[EffectiveQty]&gt;0)*T_PlannedOrders[Order_Month])),"m月")&amp;"発注)")</f>
        <v/>
      </c>
      <c r="J635">
        <f>IF(SUMIFS(T_PlannedOrders[EffectiveQty],T_PlannedOrders[Part Name],$A609,T_PlannedOrders[WeekIndex],7)=0,"",SUMIFS(T_PlannedOrders[EffectiveQty],T_PlannedOrders[Part Name],$A609,T_PlannedOrders[WeekIndex],7)&amp;" ("&amp;TEXT(SUMPRODUCT(MAX((T_PlannedOrders[Part Name]=$A609)*(T_PlannedOrders[WeekIndex]=7)*(T_PlannedOrders[EffectiveQty]&gt;0)*T_PlannedOrders[Order_Month])),"m月")&amp;"発注)")</f>
        <v/>
      </c>
      <c r="K635">
        <f>IF(SUMIFS(T_PlannedOrders[EffectiveQty],T_PlannedOrders[Part Name],$A609,T_PlannedOrders[WeekIndex],8)=0,"",SUMIFS(T_PlannedOrders[EffectiveQty],T_PlannedOrders[Part Name],$A609,T_PlannedOrders[WeekIndex],8)&amp;" ("&amp;TEXT(SUMPRODUCT(MAX((T_PlannedOrders[Part Name]=$A609)*(T_PlannedOrders[WeekIndex]=8)*(T_PlannedOrders[EffectiveQty]&gt;0)*T_PlannedOrders[Order_Month])),"m月")&amp;"発注)")</f>
        <v/>
      </c>
      <c r="L635">
        <f>IF(SUMIFS(T_PlannedOrders[EffectiveQty],T_PlannedOrders[Part Name],$A609,T_PlannedOrders[WeekIndex],9)=0,"",SUMIFS(T_PlannedOrders[EffectiveQty],T_PlannedOrders[Part Name],$A609,T_PlannedOrders[WeekIndex],9)&amp;" ("&amp;TEXT(SUMPRODUCT(MAX((T_PlannedOrders[Part Name]=$A609)*(T_PlannedOrders[WeekIndex]=9)*(T_PlannedOrders[EffectiveQty]&gt;0)*T_PlannedOrders[Order_Month])),"m月")&amp;"発注)")</f>
        <v/>
      </c>
      <c r="M635">
        <f>IF(SUMIFS(T_PlannedOrders[EffectiveQty],T_PlannedOrders[Part Name],$A609,T_PlannedOrders[WeekIndex],10)=0,"",SUMIFS(T_PlannedOrders[EffectiveQty],T_PlannedOrders[Part Name],$A609,T_PlannedOrders[WeekIndex],10)&amp;" ("&amp;TEXT(SUMPRODUCT(MAX((T_PlannedOrders[Part Name]=$A609)*(T_PlannedOrders[WeekIndex]=10)*(T_PlannedOrders[EffectiveQty]&gt;0)*T_PlannedOrders[Order_Month])),"m月")&amp;"発注)")</f>
        <v/>
      </c>
      <c r="N635">
        <f>IF(SUMIFS(T_PlannedOrders[EffectiveQty],T_PlannedOrders[Part Name],$A609,T_PlannedOrders[WeekIndex],11)=0,"",SUMIFS(T_PlannedOrders[EffectiveQty],T_PlannedOrders[Part Name],$A609,T_PlannedOrders[WeekIndex],11)&amp;" ("&amp;TEXT(SUMPRODUCT(MAX((T_PlannedOrders[Part Name]=$A609)*(T_PlannedOrders[WeekIndex]=11)*(T_PlannedOrders[EffectiveQty]&gt;0)*T_PlannedOrders[Order_Month])),"m月")&amp;"発注)")</f>
        <v/>
      </c>
      <c r="O635">
        <f>IF(SUMIFS(T_PlannedOrders[EffectiveQty],T_PlannedOrders[Part Name],$A609,T_PlannedOrders[WeekIndex],12)=0,"",SUMIFS(T_PlannedOrders[EffectiveQty],T_PlannedOrders[Part Name],$A609,T_PlannedOrders[WeekIndex],12)&amp;" ("&amp;TEXT(SUMPRODUCT(MAX((T_PlannedOrders[Part Name]=$A609)*(T_PlannedOrders[WeekIndex]=12)*(T_PlannedOrders[EffectiveQty]&gt;0)*T_PlannedOrders[Order_Month])),"m月")&amp;"発注)")</f>
        <v/>
      </c>
      <c r="P635">
        <f>IF(SUMIFS(T_PlannedOrders[EffectiveQty],T_PlannedOrders[Part Name],$A609,T_PlannedOrders[WeekIndex],13)=0,"",SUMIFS(T_PlannedOrders[EffectiveQty],T_PlannedOrders[Part Name],$A609,T_PlannedOrders[WeekIndex],13)&amp;" ("&amp;TEXT(SUMPRODUCT(MAX((T_PlannedOrders[Part Name]=$A609)*(T_PlannedOrders[WeekIndex]=13)*(T_PlannedOrders[EffectiveQty]&gt;0)*T_PlannedOrders[Order_Month])),"m月")&amp;"発注)")</f>
        <v/>
      </c>
      <c r="Q635">
        <f>IF(SUMIFS(T_PlannedOrders[EffectiveQty],T_PlannedOrders[Part Name],$A609,T_PlannedOrders[WeekIndex],14)=0,"",SUMIFS(T_PlannedOrders[EffectiveQty],T_PlannedOrders[Part Name],$A609,T_PlannedOrders[WeekIndex],14)&amp;" ("&amp;TEXT(SUMPRODUCT(MAX((T_PlannedOrders[Part Name]=$A609)*(T_PlannedOrders[WeekIndex]=14)*(T_PlannedOrders[EffectiveQty]&gt;0)*T_PlannedOrders[Order_Month])),"m月")&amp;"発注)")</f>
        <v/>
      </c>
      <c r="R635">
        <f>IF(SUMIFS(T_PlannedOrders[EffectiveQty],T_PlannedOrders[Part Name],$A609,T_PlannedOrders[WeekIndex],15)=0,"",SUMIFS(T_PlannedOrders[EffectiveQty],T_PlannedOrders[Part Name],$A609,T_PlannedOrders[WeekIndex],15)&amp;" ("&amp;TEXT(SUMPRODUCT(MAX((T_PlannedOrders[Part Name]=$A609)*(T_PlannedOrders[WeekIndex]=15)*(T_PlannedOrders[EffectiveQty]&gt;0)*T_PlannedOrders[Order_Month])),"m月")&amp;"発注)")</f>
        <v/>
      </c>
      <c r="S635">
        <f>IF(SUMIFS(T_PlannedOrders[EffectiveQty],T_PlannedOrders[Part Name],$A609,T_PlannedOrders[WeekIndex],16)=0,"",SUMIFS(T_PlannedOrders[EffectiveQty],T_PlannedOrders[Part Name],$A609,T_PlannedOrders[WeekIndex],16)&amp;" ("&amp;TEXT(SUMPRODUCT(MAX((T_PlannedOrders[Part Name]=$A609)*(T_PlannedOrders[WeekIndex]=16)*(T_PlannedOrders[EffectiveQty]&gt;0)*T_PlannedOrders[Order_Month])),"m月")&amp;"発注)")</f>
        <v/>
      </c>
      <c r="T635">
        <f>IF(SUMIFS(T_PlannedOrders[EffectiveQty],T_PlannedOrders[Part Name],$A609,T_PlannedOrders[WeekIndex],17)=0,"",SUMIFS(T_PlannedOrders[EffectiveQty],T_PlannedOrders[Part Name],$A609,T_PlannedOrders[WeekIndex],17)&amp;" ("&amp;TEXT(SUMPRODUCT(MAX((T_PlannedOrders[Part Name]=$A609)*(T_PlannedOrders[WeekIndex]=17)*(T_PlannedOrders[EffectiveQty]&gt;0)*T_PlannedOrders[Order_Month])),"m月")&amp;"発注)")</f>
        <v/>
      </c>
      <c r="U635">
        <f>IF(SUMIFS(T_PlannedOrders[EffectiveQty],T_PlannedOrders[Part Name],$A609,T_PlannedOrders[WeekIndex],18)=0,"",SUMIFS(T_PlannedOrders[EffectiveQty],T_PlannedOrders[Part Name],$A609,T_PlannedOrders[WeekIndex],18)&amp;" ("&amp;TEXT(SUMPRODUCT(MAX((T_PlannedOrders[Part Name]=$A609)*(T_PlannedOrders[WeekIndex]=18)*(T_PlannedOrders[EffectiveQty]&gt;0)*T_PlannedOrders[Order_Month])),"m月")&amp;"発注)")</f>
        <v/>
      </c>
      <c r="V635">
        <f>IF(SUMIFS(T_PlannedOrders[EffectiveQty],T_PlannedOrders[Part Name],$A609,T_PlannedOrders[WeekIndex],19)=0,"",SUMIFS(T_PlannedOrders[EffectiveQty],T_PlannedOrders[Part Name],$A609,T_PlannedOrders[WeekIndex],19)&amp;" ("&amp;TEXT(SUMPRODUCT(MAX((T_PlannedOrders[Part Name]=$A609)*(T_PlannedOrders[WeekIndex]=19)*(T_PlannedOrders[EffectiveQty]&gt;0)*T_PlannedOrders[Order_Month])),"m月")&amp;"発注)")</f>
        <v/>
      </c>
      <c r="W635">
        <f>IF(SUMIFS(T_PlannedOrders[EffectiveQty],T_PlannedOrders[Part Name],$A609,T_PlannedOrders[WeekIndex],20)=0,"",SUMIFS(T_PlannedOrders[EffectiveQty],T_PlannedOrders[Part Name],$A609,T_PlannedOrders[WeekIndex],20)&amp;" ("&amp;TEXT(SUMPRODUCT(MAX((T_PlannedOrders[Part Name]=$A609)*(T_PlannedOrders[WeekIndex]=20)*(T_PlannedOrders[EffectiveQty]&gt;0)*T_PlannedOrders[Order_Month])),"m月")&amp;"発注)")</f>
        <v/>
      </c>
      <c r="X635">
        <f>IF(SUMIFS(T_PlannedOrders[EffectiveQty],T_PlannedOrders[Part Name],$A609,T_PlannedOrders[WeekIndex],21)=0,"",SUMIFS(T_PlannedOrders[EffectiveQty],T_PlannedOrders[Part Name],$A609,T_PlannedOrders[WeekIndex],21)&amp;" ("&amp;TEXT(SUMPRODUCT(MAX((T_PlannedOrders[Part Name]=$A609)*(T_PlannedOrders[WeekIndex]=21)*(T_PlannedOrders[EffectiveQty]&gt;0)*T_PlannedOrders[Order_Month])),"m月")&amp;"発注)")</f>
        <v/>
      </c>
      <c r="Y635">
        <f>IF(SUMIFS(T_PlannedOrders[EffectiveQty],T_PlannedOrders[Part Name],$A609,T_PlannedOrders[WeekIndex],22)=0,"",SUMIFS(T_PlannedOrders[EffectiveQty],T_PlannedOrders[Part Name],$A609,T_PlannedOrders[WeekIndex],22)&amp;" ("&amp;TEXT(SUMPRODUCT(MAX((T_PlannedOrders[Part Name]=$A609)*(T_PlannedOrders[WeekIndex]=22)*(T_PlannedOrders[EffectiveQty]&gt;0)*T_PlannedOrders[Order_Month])),"m月")&amp;"発注)")</f>
        <v/>
      </c>
      <c r="Z635">
        <f>IF(SUMIFS(T_PlannedOrders[EffectiveQty],T_PlannedOrders[Part Name],$A609,T_PlannedOrders[WeekIndex],23)=0,"",SUMIFS(T_PlannedOrders[EffectiveQty],T_PlannedOrders[Part Name],$A609,T_PlannedOrders[WeekIndex],23)&amp;" ("&amp;TEXT(SUMPRODUCT(MAX((T_PlannedOrders[Part Name]=$A609)*(T_PlannedOrders[WeekIndex]=23)*(T_PlannedOrders[EffectiveQty]&gt;0)*T_PlannedOrders[Order_Month])),"m月")&amp;"発注)")</f>
        <v/>
      </c>
      <c r="AA635">
        <f>IF(SUMIFS(T_PlannedOrders[EffectiveQty],T_PlannedOrders[Part Name],$A609,T_PlannedOrders[WeekIndex],24)=0,"",SUMIFS(T_PlannedOrders[EffectiveQty],T_PlannedOrders[Part Name],$A609,T_PlannedOrders[WeekIndex],24)&amp;" ("&amp;TEXT(SUMPRODUCT(MAX((T_PlannedOrders[Part Name]=$A609)*(T_PlannedOrders[WeekIndex]=24)*(T_PlannedOrders[EffectiveQty]&gt;0)*T_PlannedOrders[Order_Month])),"m月")&amp;"発注)")</f>
        <v/>
      </c>
      <c r="AB635">
        <f>IF(SUMIFS(T_PlannedOrders[EffectiveQty],T_PlannedOrders[Part Name],$A609,T_PlannedOrders[WeekIndex],25)=0,"",SUMIFS(T_PlannedOrders[EffectiveQty],T_PlannedOrders[Part Name],$A609,T_PlannedOrders[WeekIndex],25)&amp;" ("&amp;TEXT(SUMPRODUCT(MAX((T_PlannedOrders[Part Name]=$A609)*(T_PlannedOrders[WeekIndex]=25)*(T_PlannedOrders[EffectiveQty]&gt;0)*T_PlannedOrders[Order_Month])),"m月")&amp;"発注)")</f>
        <v/>
      </c>
      <c r="AC635">
        <f>IF(SUMIFS(T_PlannedOrders[EffectiveQty],T_PlannedOrders[Part Name],$A609,T_PlannedOrders[WeekIndex],26)=0,"",SUMIFS(T_PlannedOrders[EffectiveQty],T_PlannedOrders[Part Name],$A609,T_PlannedOrders[WeekIndex],26)&amp;" ("&amp;TEXT(SUMPRODUCT(MAX((T_PlannedOrders[Part Name]=$A609)*(T_PlannedOrders[WeekIndex]=26)*(T_PlannedOrders[EffectiveQty]&gt;0)*T_PlannedOrders[Order_Month])),"m月")&amp;"発注)")</f>
        <v/>
      </c>
      <c r="AD635">
        <f>IF(SUMIFS(T_PlannedOrders[EffectiveQty],T_PlannedOrders[Part Name],$A609,T_PlannedOrders[WeekIndex],27)=0,"",SUMIFS(T_PlannedOrders[EffectiveQty],T_PlannedOrders[Part Name],$A609,T_PlannedOrders[WeekIndex],27)&amp;" ("&amp;TEXT(SUMPRODUCT(MAX((T_PlannedOrders[Part Name]=$A609)*(T_PlannedOrders[WeekIndex]=27)*(T_PlannedOrders[EffectiveQty]&gt;0)*T_PlannedOrders[Order_Month])),"m月")&amp;"発注)")</f>
        <v/>
      </c>
      <c r="AE635">
        <f>IF(SUMIFS(T_PlannedOrders[EffectiveQty],T_PlannedOrders[Part Name],$A609,T_PlannedOrders[WeekIndex],28)=0,"",SUMIFS(T_PlannedOrders[EffectiveQty],T_PlannedOrders[Part Name],$A609,T_PlannedOrders[WeekIndex],28)&amp;" ("&amp;TEXT(SUMPRODUCT(MAX((T_PlannedOrders[Part Name]=$A609)*(T_PlannedOrders[WeekIndex]=28)*(T_PlannedOrders[EffectiveQty]&gt;0)*T_PlannedOrders[Order_Month])),"m月")&amp;"発注)")</f>
        <v/>
      </c>
      <c r="AF635">
        <f>IF(SUMIFS(T_PlannedOrders[EffectiveQty],T_PlannedOrders[Part Name],$A609,T_PlannedOrders[WeekIndex],29)=0,"",SUMIFS(T_PlannedOrders[EffectiveQty],T_PlannedOrders[Part Name],$A609,T_PlannedOrders[WeekIndex],29)&amp;" ("&amp;TEXT(SUMPRODUCT(MAX((T_PlannedOrders[Part Name]=$A609)*(T_PlannedOrders[WeekIndex]=29)*(T_PlannedOrders[EffectiveQty]&gt;0)*T_PlannedOrders[Order_Month])),"m月")&amp;"発注)")</f>
        <v/>
      </c>
      <c r="AG635">
        <f>IF(SUMIFS(T_PlannedOrders[EffectiveQty],T_PlannedOrders[Part Name],$A609,T_PlannedOrders[WeekIndex],30)=0,"",SUMIFS(T_PlannedOrders[EffectiveQty],T_PlannedOrders[Part Name],$A609,T_PlannedOrders[WeekIndex],30)&amp;" ("&amp;TEXT(SUMPRODUCT(MAX((T_PlannedOrders[Part Name]=$A609)*(T_PlannedOrders[WeekIndex]=30)*(T_PlannedOrders[EffectiveQty]&gt;0)*T_PlannedOrders[Order_Month])),"m月")&amp;"発注)")</f>
        <v/>
      </c>
      <c r="AH635">
        <f>IF(SUMIFS(T_PlannedOrders[EffectiveQty],T_PlannedOrders[Part Name],$A609,T_PlannedOrders[WeekIndex],31)=0,"",SUMIFS(T_PlannedOrders[EffectiveQty],T_PlannedOrders[Part Name],$A609,T_PlannedOrders[WeekIndex],31)&amp;" ("&amp;TEXT(SUMPRODUCT(MAX((T_PlannedOrders[Part Name]=$A609)*(T_PlannedOrders[WeekIndex]=31)*(T_PlannedOrders[EffectiveQty]&gt;0)*T_PlannedOrders[Order_Month])),"m月")&amp;"発注)")</f>
        <v/>
      </c>
      <c r="AI635">
        <f>IF(SUMIFS(T_PlannedOrders[EffectiveQty],T_PlannedOrders[Part Name],$A609,T_PlannedOrders[WeekIndex],32)=0,"",SUMIFS(T_PlannedOrders[EffectiveQty],T_PlannedOrders[Part Name],$A609,T_PlannedOrders[WeekIndex],32)&amp;" ("&amp;TEXT(SUMPRODUCT(MAX((T_PlannedOrders[Part Name]=$A609)*(T_PlannedOrders[WeekIndex]=32)*(T_PlannedOrders[EffectiveQty]&gt;0)*T_PlannedOrders[Order_Month])),"m月")&amp;"発注)")</f>
        <v/>
      </c>
      <c r="AJ635">
        <f>IF(SUMIFS(T_PlannedOrders[EffectiveQty],T_PlannedOrders[Part Name],$A609,T_PlannedOrders[WeekIndex],33)=0,"",SUMIFS(T_PlannedOrders[EffectiveQty],T_PlannedOrders[Part Name],$A609,T_PlannedOrders[WeekIndex],33)&amp;" ("&amp;TEXT(SUMPRODUCT(MAX((T_PlannedOrders[Part Name]=$A609)*(T_PlannedOrders[WeekIndex]=33)*(T_PlannedOrders[EffectiveQty]&gt;0)*T_PlannedOrders[Order_Month])),"m月")&amp;"発注)")</f>
        <v/>
      </c>
      <c r="AK635">
        <f>IF(SUMIFS(T_PlannedOrders[EffectiveQty],T_PlannedOrders[Part Name],$A609,T_PlannedOrders[WeekIndex],34)=0,"",SUMIFS(T_PlannedOrders[EffectiveQty],T_PlannedOrders[Part Name],$A609,T_PlannedOrders[WeekIndex],34)&amp;" ("&amp;TEXT(SUMPRODUCT(MAX((T_PlannedOrders[Part Name]=$A609)*(T_PlannedOrders[WeekIndex]=34)*(T_PlannedOrders[EffectiveQty]&gt;0)*T_PlannedOrders[Order_Month])),"m月")&amp;"発注)")</f>
        <v/>
      </c>
      <c r="AL635">
        <f>IF(SUMIFS(T_PlannedOrders[EffectiveQty],T_PlannedOrders[Part Name],$A609,T_PlannedOrders[WeekIndex],35)=0,"",SUMIFS(T_PlannedOrders[EffectiveQty],T_PlannedOrders[Part Name],$A609,T_PlannedOrders[WeekIndex],35)&amp;" ("&amp;TEXT(SUMPRODUCT(MAX((T_PlannedOrders[Part Name]=$A609)*(T_PlannedOrders[WeekIndex]=35)*(T_PlannedOrders[EffectiveQty]&gt;0)*T_PlannedOrders[Order_Month])),"m月")&amp;"発注)")</f>
        <v/>
      </c>
      <c r="AM635">
        <f>IF(SUMIFS(T_PlannedOrders[EffectiveQty],T_PlannedOrders[Part Name],$A609,T_PlannedOrders[WeekIndex],36)=0,"",SUMIFS(T_PlannedOrders[EffectiveQty],T_PlannedOrders[Part Name],$A609,T_PlannedOrders[WeekIndex],36)&amp;" ("&amp;TEXT(SUMPRODUCT(MAX((T_PlannedOrders[Part Name]=$A609)*(T_PlannedOrders[WeekIndex]=36)*(T_PlannedOrders[EffectiveQty]&gt;0)*T_PlannedOrders[Order_Month])),"m月")&amp;"発注)")</f>
        <v/>
      </c>
      <c r="AN635">
        <f>IF(SUMIFS(T_PlannedOrders[EffectiveQty],T_PlannedOrders[Part Name],$A609,T_PlannedOrders[WeekIndex],37)=0,"",SUMIFS(T_PlannedOrders[EffectiveQty],T_PlannedOrders[Part Name],$A609,T_PlannedOrders[WeekIndex],37)&amp;" ("&amp;TEXT(SUMPRODUCT(MAX((T_PlannedOrders[Part Name]=$A609)*(T_PlannedOrders[WeekIndex]=37)*(T_PlannedOrders[EffectiveQty]&gt;0)*T_PlannedOrders[Order_Month])),"m月")&amp;"発注)")</f>
        <v/>
      </c>
      <c r="AO635">
        <f>IF(SUMIFS(T_PlannedOrders[EffectiveQty],T_PlannedOrders[Part Name],$A609,T_PlannedOrders[WeekIndex],38)=0,"",SUMIFS(T_PlannedOrders[EffectiveQty],T_PlannedOrders[Part Name],$A609,T_PlannedOrders[WeekIndex],38)&amp;" ("&amp;TEXT(SUMPRODUCT(MAX((T_PlannedOrders[Part Name]=$A609)*(T_PlannedOrders[WeekIndex]=38)*(T_PlannedOrders[EffectiveQty]&gt;0)*T_PlannedOrders[Order_Month])),"m月")&amp;"発注)")</f>
        <v/>
      </c>
      <c r="AP635">
        <f>IF(SUMIFS(T_PlannedOrders[EffectiveQty],T_PlannedOrders[Part Name],$A609,T_PlannedOrders[WeekIndex],39)=0,"",SUMIFS(T_PlannedOrders[EffectiveQty],T_PlannedOrders[Part Name],$A609,T_PlannedOrders[WeekIndex],39)&amp;" ("&amp;TEXT(SUMPRODUCT(MAX((T_PlannedOrders[Part Name]=$A609)*(T_PlannedOrders[WeekIndex]=39)*(T_PlannedOrders[EffectiveQty]&gt;0)*T_PlannedOrders[Order_Month])),"m月")&amp;"発注)")</f>
        <v/>
      </c>
      <c r="AQ635">
        <f>IF(SUMIFS(T_PlannedOrders[EffectiveQty],T_PlannedOrders[Part Name],$A609,T_PlannedOrders[WeekIndex],40)=0,"",SUMIFS(T_PlannedOrders[EffectiveQty],T_PlannedOrders[Part Name],$A609,T_PlannedOrders[WeekIndex],40)&amp;" ("&amp;TEXT(SUMPRODUCT(MAX((T_PlannedOrders[Part Name]=$A609)*(T_PlannedOrders[WeekIndex]=40)*(T_PlannedOrders[EffectiveQty]&gt;0)*T_PlannedOrders[Order_Month])),"m月")&amp;"発注)")</f>
        <v/>
      </c>
      <c r="AR635">
        <f>IF(SUMIFS(T_PlannedOrders[EffectiveQty],T_PlannedOrders[Part Name],$A609,T_PlannedOrders[WeekIndex],41)=0,"",SUMIFS(T_PlannedOrders[EffectiveQty],T_PlannedOrders[Part Name],$A609,T_PlannedOrders[WeekIndex],41)&amp;" ("&amp;TEXT(SUMPRODUCT(MAX((T_PlannedOrders[Part Name]=$A609)*(T_PlannedOrders[WeekIndex]=41)*(T_PlannedOrders[EffectiveQty]&gt;0)*T_PlannedOrders[Order_Month])),"m月")&amp;"発注)")</f>
        <v/>
      </c>
      <c r="AS635">
        <f>IF(SUMIFS(T_PlannedOrders[EffectiveQty],T_PlannedOrders[Part Name],$A609,T_PlannedOrders[WeekIndex],42)=0,"",SUMIFS(T_PlannedOrders[EffectiveQty],T_PlannedOrders[Part Name],$A609,T_PlannedOrders[WeekIndex],42)&amp;" ("&amp;TEXT(SUMPRODUCT(MAX((T_PlannedOrders[Part Name]=$A609)*(T_PlannedOrders[WeekIndex]=42)*(T_PlannedOrders[EffectiveQty]&gt;0)*T_PlannedOrders[Order_Month])),"m月")&amp;"発注)")</f>
        <v/>
      </c>
      <c r="AT635">
        <f>IF(SUMIFS(T_PlannedOrders[EffectiveQty],T_PlannedOrders[Part Name],$A609,T_PlannedOrders[WeekIndex],43)=0,"",SUMIFS(T_PlannedOrders[EffectiveQty],T_PlannedOrders[Part Name],$A609,T_PlannedOrders[WeekIndex],43)&amp;" ("&amp;TEXT(SUMPRODUCT(MAX((T_PlannedOrders[Part Name]=$A609)*(T_PlannedOrders[WeekIndex]=43)*(T_PlannedOrders[EffectiveQty]&gt;0)*T_PlannedOrders[Order_Month])),"m月")&amp;"発注)")</f>
        <v/>
      </c>
      <c r="AU635">
        <f>IF(SUMIFS(T_PlannedOrders[EffectiveQty],T_PlannedOrders[Part Name],$A609,T_PlannedOrders[WeekIndex],44)=0,"",SUMIFS(T_PlannedOrders[EffectiveQty],T_PlannedOrders[Part Name],$A609,T_PlannedOrders[WeekIndex],44)&amp;" ("&amp;TEXT(SUMPRODUCT(MAX((T_PlannedOrders[Part Name]=$A609)*(T_PlannedOrders[WeekIndex]=44)*(T_PlannedOrders[EffectiveQty]&gt;0)*T_PlannedOrders[Order_Month])),"m月")&amp;"発注)")</f>
        <v/>
      </c>
      <c r="AV635">
        <f>IF(SUMIFS(T_PlannedOrders[EffectiveQty],T_PlannedOrders[Part Name],$A609,T_PlannedOrders[WeekIndex],45)=0,"",SUMIFS(T_PlannedOrders[EffectiveQty],T_PlannedOrders[Part Name],$A609,T_PlannedOrders[WeekIndex],45)&amp;" ("&amp;TEXT(SUMPRODUCT(MAX((T_PlannedOrders[Part Name]=$A609)*(T_PlannedOrders[WeekIndex]=45)*(T_PlannedOrders[EffectiveQty]&gt;0)*T_PlannedOrders[Order_Month])),"m月")&amp;"発注)")</f>
        <v/>
      </c>
      <c r="AW635">
        <f>IF(SUMIFS(T_PlannedOrders[EffectiveQty],T_PlannedOrders[Part Name],$A609,T_PlannedOrders[WeekIndex],46)=0,"",SUMIFS(T_PlannedOrders[EffectiveQty],T_PlannedOrders[Part Name],$A609,T_PlannedOrders[WeekIndex],46)&amp;" ("&amp;TEXT(SUMPRODUCT(MAX((T_PlannedOrders[Part Name]=$A609)*(T_PlannedOrders[WeekIndex]=46)*(T_PlannedOrders[EffectiveQty]&gt;0)*T_PlannedOrders[Order_Month])),"m月")&amp;"発注)")</f>
        <v/>
      </c>
      <c r="AX635">
        <f>IF(SUMIFS(T_PlannedOrders[EffectiveQty],T_PlannedOrders[Part Name],$A609,T_PlannedOrders[WeekIndex],47)=0,"",SUMIFS(T_PlannedOrders[EffectiveQty],T_PlannedOrders[Part Name],$A609,T_PlannedOrders[WeekIndex],47)&amp;" ("&amp;TEXT(SUMPRODUCT(MAX((T_PlannedOrders[Part Name]=$A609)*(T_PlannedOrders[WeekIndex]=47)*(T_PlannedOrders[EffectiveQty]&gt;0)*T_PlannedOrders[Order_Month])),"m月")&amp;"発注)")</f>
        <v/>
      </c>
      <c r="AY635">
        <f>IF(SUMIFS(T_PlannedOrders[EffectiveQty],T_PlannedOrders[Part Name],$A609,T_PlannedOrders[WeekIndex],48)=0,"",SUMIFS(T_PlannedOrders[EffectiveQty],T_PlannedOrders[Part Name],$A609,T_PlannedOrders[WeekIndex],48)&amp;" ("&amp;TEXT(SUMPRODUCT(MAX((T_PlannedOrders[Part Name]=$A609)*(T_PlannedOrders[WeekIndex]=48)*(T_PlannedOrders[EffectiveQty]&gt;0)*T_PlannedOrders[Order_Month])),"m月")&amp;"発注)")</f>
        <v/>
      </c>
      <c r="AZ635">
        <f>IF(SUMIFS(T_PlannedOrders[EffectiveQty],T_PlannedOrders[Part Name],$A609,T_PlannedOrders[WeekIndex],49)=0,"",SUMIFS(T_PlannedOrders[EffectiveQty],T_PlannedOrders[Part Name],$A609,T_PlannedOrders[WeekIndex],49)&amp;" ("&amp;TEXT(SUMPRODUCT(MAX((T_PlannedOrders[Part Name]=$A609)*(T_PlannedOrders[WeekIndex]=49)*(T_PlannedOrders[EffectiveQty]&gt;0)*T_PlannedOrders[Order_Month])),"m月")&amp;"発注)")</f>
        <v/>
      </c>
      <c r="BA635">
        <f>IF(SUMIFS(T_PlannedOrders[EffectiveQty],T_PlannedOrders[Part Name],$A609,T_PlannedOrders[WeekIndex],50)=0,"",SUMIFS(T_PlannedOrders[EffectiveQty],T_PlannedOrders[Part Name],$A609,T_PlannedOrders[WeekIndex],50)&amp;" ("&amp;TEXT(SUMPRODUCT(MAX((T_PlannedOrders[Part Name]=$A609)*(T_PlannedOrders[WeekIndex]=50)*(T_PlannedOrders[EffectiveQty]&gt;0)*T_PlannedOrders[Order_Month])),"m月")&amp;"発注)")</f>
        <v/>
      </c>
      <c r="BB635">
        <f>IF(SUMIFS(T_PlannedOrders[EffectiveQty],T_PlannedOrders[Part Name],$A609,T_PlannedOrders[WeekIndex],51)=0,"",SUMIFS(T_PlannedOrders[EffectiveQty],T_PlannedOrders[Part Name],$A609,T_PlannedOrders[WeekIndex],51)&amp;" ("&amp;TEXT(SUMPRODUCT(MAX((T_PlannedOrders[Part Name]=$A609)*(T_PlannedOrders[WeekIndex]=51)*(T_PlannedOrders[EffectiveQty]&gt;0)*T_PlannedOrders[Order_Month])),"m月")&amp;"発注)")</f>
        <v/>
      </c>
      <c r="BC635">
        <f>IF(SUMIFS(T_PlannedOrders[EffectiveQty],T_PlannedOrders[Part Name],$A609,T_PlannedOrders[WeekIndex],52)=0,"",SUMIFS(T_PlannedOrders[EffectiveQty],T_PlannedOrders[Part Name],$A609,T_PlannedOrders[WeekIndex],52)&amp;" ("&amp;TEXT(SUMPRODUCT(MAX((T_PlannedOrders[Part Name]=$A609)*(T_PlannedOrders[WeekIndex]=52)*(T_PlannedOrders[EffectiveQty]&gt;0)*T_PlannedOrders[Order_Month])),"m月")&amp;"発注)")</f>
        <v/>
      </c>
      <c r="BD635">
        <f>IF(SUMIFS(T_PlannedOrders[EffectiveQty],T_PlannedOrders[Part Name],$A609,T_PlannedOrders[WeekIndex],53)=0,"",SUMIFS(T_PlannedOrders[EffectiveQty],T_PlannedOrders[Part Name],$A609,T_PlannedOrders[WeekIndex],53)&amp;" ("&amp;TEXT(SUMPRODUCT(MAX((T_PlannedOrders[Part Name]=$A609)*(T_PlannedOrders[WeekIndex]=53)*(T_PlannedOrders[EffectiveQty]&gt;0)*T_PlannedOrders[Order_Month])),"m月")&amp;"発注)")</f>
        <v/>
      </c>
      <c r="BE635">
        <f>IF(SUMIFS(T_PlannedOrders[EffectiveQty],T_PlannedOrders[Part Name],$A609,T_PlannedOrders[WeekIndex],54)=0,"",SUMIFS(T_PlannedOrders[EffectiveQty],T_PlannedOrders[Part Name],$A609,T_PlannedOrders[WeekIndex],54)&amp;" ("&amp;TEXT(SUMPRODUCT(MAX((T_PlannedOrders[Part Name]=$A609)*(T_PlannedOrders[WeekIndex]=54)*(T_PlannedOrders[EffectiveQty]&gt;0)*T_PlannedOrders[Order_Month])),"m月")&amp;"発注)")</f>
        <v/>
      </c>
      <c r="BF635">
        <f>IF(SUMIFS(T_PlannedOrders[EffectiveQty],T_PlannedOrders[Part Name],$A609,T_PlannedOrders[WeekIndex],55)=0,"",SUMIFS(T_PlannedOrders[EffectiveQty],T_PlannedOrders[Part Name],$A609,T_PlannedOrders[WeekIndex],55)&amp;" ("&amp;TEXT(SUMPRODUCT(MAX((T_PlannedOrders[Part Name]=$A609)*(T_PlannedOrders[WeekIndex]=55)*(T_PlannedOrders[EffectiveQty]&gt;0)*T_PlannedOrders[Order_Month])),"m月")&amp;"発注)")</f>
        <v/>
      </c>
      <c r="BG635">
        <f>IF(SUMIFS(T_PlannedOrders[EffectiveQty],T_PlannedOrders[Part Name],$A609,T_PlannedOrders[WeekIndex],56)=0,"",SUMIFS(T_PlannedOrders[EffectiveQty],T_PlannedOrders[Part Name],$A609,T_PlannedOrders[WeekIndex],56)&amp;" ("&amp;TEXT(SUMPRODUCT(MAX((T_PlannedOrders[Part Name]=$A609)*(T_PlannedOrders[WeekIndex]=56)*(T_PlannedOrders[EffectiveQty]&gt;0)*T_PlannedOrders[Order_Month])),"m月")&amp;"発注)")</f>
        <v/>
      </c>
      <c r="BH635">
        <f>IF(SUMIFS(T_PlannedOrders[EffectiveQty],T_PlannedOrders[Part Name],$A609,T_PlannedOrders[WeekIndex],57)=0,"",SUMIFS(T_PlannedOrders[EffectiveQty],T_PlannedOrders[Part Name],$A609,T_PlannedOrders[WeekIndex],57)&amp;" ("&amp;TEXT(SUMPRODUCT(MAX((T_PlannedOrders[Part Name]=$A609)*(T_PlannedOrders[WeekIndex]=57)*(T_PlannedOrders[EffectiveQty]&gt;0)*T_PlannedOrders[Order_Month])),"m月")&amp;"発注)")</f>
        <v/>
      </c>
      <c r="BI635">
        <f>IF(SUMIFS(T_PlannedOrders[EffectiveQty],T_PlannedOrders[Part Name],$A609,T_PlannedOrders[WeekIndex],58)=0,"",SUMIFS(T_PlannedOrders[EffectiveQty],T_PlannedOrders[Part Name],$A609,T_PlannedOrders[WeekIndex],58)&amp;" ("&amp;TEXT(SUMPRODUCT(MAX((T_PlannedOrders[Part Name]=$A609)*(T_PlannedOrders[WeekIndex]=58)*(T_PlannedOrders[EffectiveQty]&gt;0)*T_PlannedOrders[Order_Month])),"m月")&amp;"発注)")</f>
        <v/>
      </c>
      <c r="BJ635">
        <f>IF(SUMIFS(T_PlannedOrders[EffectiveQty],T_PlannedOrders[Part Name],$A609,T_PlannedOrders[WeekIndex],59)=0,"",SUMIFS(T_PlannedOrders[EffectiveQty],T_PlannedOrders[Part Name],$A609,T_PlannedOrders[WeekIndex],59)&amp;" ("&amp;TEXT(SUMPRODUCT(MAX((T_PlannedOrders[Part Name]=$A609)*(T_PlannedOrders[WeekIndex]=59)*(T_PlannedOrders[EffectiveQty]&gt;0)*T_PlannedOrders[Order_Month])),"m月")&amp;"発注)")</f>
        <v/>
      </c>
      <c r="BK635">
        <f>IF(SUMIFS(T_PlannedOrders[EffectiveQty],T_PlannedOrders[Part Name],$A609,T_PlannedOrders[WeekIndex],60)=0,"",SUMIFS(T_PlannedOrders[EffectiveQty],T_PlannedOrders[Part Name],$A609,T_PlannedOrders[WeekIndex],60)&amp;" ("&amp;TEXT(SUMPRODUCT(MAX((T_PlannedOrders[Part Name]=$A609)*(T_PlannedOrders[WeekIndex]=60)*(T_PlannedOrders[EffectiveQty]&gt;0)*T_PlannedOrders[Order_Month])),"m月")&amp;"発注)")</f>
        <v/>
      </c>
      <c r="BL635">
        <f>IF(SUMIFS(T_PlannedOrders[EffectiveQty],T_PlannedOrders[Part Name],$A609,T_PlannedOrders[WeekIndex],61)=0,"",SUMIFS(T_PlannedOrders[EffectiveQty],T_PlannedOrders[Part Name],$A609,T_PlannedOrders[WeekIndex],61)&amp;" ("&amp;TEXT(SUMPRODUCT(MAX((T_PlannedOrders[Part Name]=$A609)*(T_PlannedOrders[WeekIndex]=61)*(T_PlannedOrders[EffectiveQty]&gt;0)*T_PlannedOrders[Order_Month])),"m月")&amp;"発注)")</f>
        <v/>
      </c>
      <c r="BM635">
        <f>IF(SUMIFS(T_PlannedOrders[EffectiveQty],T_PlannedOrders[Part Name],$A609,T_PlannedOrders[WeekIndex],62)=0,"",SUMIFS(T_PlannedOrders[EffectiveQty],T_PlannedOrders[Part Name],$A609,T_PlannedOrders[WeekIndex],62)&amp;" ("&amp;TEXT(SUMPRODUCT(MAX((T_PlannedOrders[Part Name]=$A609)*(T_PlannedOrders[WeekIndex]=62)*(T_PlannedOrders[EffectiveQty]&gt;0)*T_PlannedOrders[Order_Month])),"m月")&amp;"発注)")</f>
        <v/>
      </c>
      <c r="BN635">
        <f>IF(SUMIFS(T_PlannedOrders[EffectiveQty],T_PlannedOrders[Part Name],$A609,T_PlannedOrders[WeekIndex],63)=0,"",SUMIFS(T_PlannedOrders[EffectiveQty],T_PlannedOrders[Part Name],$A609,T_PlannedOrders[WeekIndex],63)&amp;" ("&amp;TEXT(SUMPRODUCT(MAX((T_PlannedOrders[Part Name]=$A609)*(T_PlannedOrders[WeekIndex]=63)*(T_PlannedOrders[EffectiveQty]&gt;0)*T_PlannedOrders[Order_Month])),"m月")&amp;"発注)")</f>
        <v/>
      </c>
      <c r="BO635">
        <f>IF(SUMIFS(T_PlannedOrders[EffectiveQty],T_PlannedOrders[Part Name],$A609,T_PlannedOrders[WeekIndex],64)=0,"",SUMIFS(T_PlannedOrders[EffectiveQty],T_PlannedOrders[Part Name],$A609,T_PlannedOrders[WeekIndex],64)&amp;" ("&amp;TEXT(SUMPRODUCT(MAX((T_PlannedOrders[Part Name]=$A609)*(T_PlannedOrders[WeekIndex]=64)*(T_PlannedOrders[EffectiveQty]&gt;0)*T_PlannedOrders[Order_Month])),"m月")&amp;"発注)")</f>
        <v/>
      </c>
      <c r="BP635">
        <f>IF(SUMIFS(T_PlannedOrders[EffectiveQty],T_PlannedOrders[Part Name],$A609,T_PlannedOrders[WeekIndex],65)=0,"",SUMIFS(T_PlannedOrders[EffectiveQty],T_PlannedOrders[Part Name],$A609,T_PlannedOrders[WeekIndex],65)&amp;" ("&amp;TEXT(SUMPRODUCT(MAX((T_PlannedOrders[Part Name]=$A609)*(T_PlannedOrders[WeekIndex]=65)*(T_PlannedOrders[EffectiveQty]&gt;0)*T_PlannedOrders[Order_Month])),"m月")&amp;"発注)")</f>
        <v/>
      </c>
      <c r="BQ635">
        <f>IF(SUMIFS(T_PlannedOrders[EffectiveQty],T_PlannedOrders[Part Name],$A609,T_PlannedOrders[WeekIndex],66)=0,"",SUMIFS(T_PlannedOrders[EffectiveQty],T_PlannedOrders[Part Name],$A609,T_PlannedOrders[WeekIndex],66)&amp;" ("&amp;TEXT(SUMPRODUCT(MAX((T_PlannedOrders[Part Name]=$A609)*(T_PlannedOrders[WeekIndex]=66)*(T_PlannedOrders[EffectiveQty]&gt;0)*T_PlannedOrders[Order_Month])),"m月")&amp;"発注)")</f>
        <v/>
      </c>
      <c r="BR635">
        <f>IF(SUMIFS(T_PlannedOrders[EffectiveQty],T_PlannedOrders[Part Name],$A609,T_PlannedOrders[WeekIndex],67)=0,"",SUMIFS(T_PlannedOrders[EffectiveQty],T_PlannedOrders[Part Name],$A609,T_PlannedOrders[WeekIndex],67)&amp;" ("&amp;TEXT(SUMPRODUCT(MAX((T_PlannedOrders[Part Name]=$A609)*(T_PlannedOrders[WeekIndex]=67)*(T_PlannedOrders[EffectiveQty]&gt;0)*T_PlannedOrders[Order_Month])),"m月")&amp;"発注)")</f>
        <v/>
      </c>
      <c r="BS635">
        <f>IF(SUMIFS(T_PlannedOrders[EffectiveQty],T_PlannedOrders[Part Name],$A609,T_PlannedOrders[WeekIndex],68)=0,"",SUMIFS(T_PlannedOrders[EffectiveQty],T_PlannedOrders[Part Name],$A609,T_PlannedOrders[WeekIndex],68)&amp;" ("&amp;TEXT(SUMPRODUCT(MAX((T_PlannedOrders[Part Name]=$A609)*(T_PlannedOrders[WeekIndex]=68)*(T_PlannedOrders[EffectiveQty]&gt;0)*T_PlannedOrders[Order_Month])),"m月")&amp;"発注)")</f>
        <v/>
      </c>
      <c r="BT635">
        <f>IF(SUMIFS(T_PlannedOrders[EffectiveQty],T_PlannedOrders[Part Name],$A609,T_PlannedOrders[WeekIndex],69)=0,"",SUMIFS(T_PlannedOrders[EffectiveQty],T_PlannedOrders[Part Name],$A609,T_PlannedOrders[WeekIndex],69)&amp;" ("&amp;TEXT(SUMPRODUCT(MAX((T_PlannedOrders[Part Name]=$A609)*(T_PlannedOrders[WeekIndex]=69)*(T_PlannedOrders[EffectiveQty]&gt;0)*T_PlannedOrders[Order_Month])),"m月")&amp;"発注)")</f>
        <v/>
      </c>
      <c r="BU635">
        <f>IF(SUMIFS(T_PlannedOrders[EffectiveQty],T_PlannedOrders[Part Name],$A609,T_PlannedOrders[WeekIndex],70)=0,"",SUMIFS(T_PlannedOrders[EffectiveQty],T_PlannedOrders[Part Name],$A609,T_PlannedOrders[WeekIndex],70)&amp;" ("&amp;TEXT(SUMPRODUCT(MAX((T_PlannedOrders[Part Name]=$A609)*(T_PlannedOrders[WeekIndex]=70)*(T_PlannedOrders[EffectiveQty]&gt;0)*T_PlannedOrders[Order_Month])),"m月")&amp;"発注)")</f>
        <v/>
      </c>
      <c r="BV635">
        <f>IF(SUMIFS(T_PlannedOrders[EffectiveQty],T_PlannedOrders[Part Name],$A609,T_PlannedOrders[WeekIndex],71)=0,"",SUMIFS(T_PlannedOrders[EffectiveQty],T_PlannedOrders[Part Name],$A609,T_PlannedOrders[WeekIndex],71)&amp;" ("&amp;TEXT(SUMPRODUCT(MAX((T_PlannedOrders[Part Name]=$A609)*(T_PlannedOrders[WeekIndex]=71)*(T_PlannedOrders[EffectiveQty]&gt;0)*T_PlannedOrders[Order_Month])),"m月")&amp;"発注)")</f>
        <v/>
      </c>
      <c r="BW635">
        <f>IF(SUMIFS(T_PlannedOrders[EffectiveQty],T_PlannedOrders[Part Name],$A609,T_PlannedOrders[WeekIndex],72)=0,"",SUMIFS(T_PlannedOrders[EffectiveQty],T_PlannedOrders[Part Name],$A609,T_PlannedOrders[WeekIndex],72)&amp;" ("&amp;TEXT(SUMPRODUCT(MAX((T_PlannedOrders[Part Name]=$A609)*(T_PlannedOrders[WeekIndex]=72)*(T_PlannedOrders[EffectiveQty]&gt;0)*T_PlannedOrders[Order_Month])),"m月")&amp;"発注)")</f>
        <v/>
      </c>
      <c r="BX635">
        <f>IF(SUMIFS(T_PlannedOrders[EffectiveQty],T_PlannedOrders[Part Name],$A609,T_PlannedOrders[WeekIndex],73)=0,"",SUMIFS(T_PlannedOrders[EffectiveQty],T_PlannedOrders[Part Name],$A609,T_PlannedOrders[WeekIndex],73)&amp;" ("&amp;TEXT(SUMPRODUCT(MAX((T_PlannedOrders[Part Name]=$A609)*(T_PlannedOrders[WeekIndex]=73)*(T_PlannedOrders[EffectiveQty]&gt;0)*T_PlannedOrders[Order_Month])),"m月")&amp;"発注)")</f>
        <v/>
      </c>
      <c r="BY635">
        <f>IF(SUMIFS(T_PlannedOrders[EffectiveQty],T_PlannedOrders[Part Name],$A609,T_PlannedOrders[WeekIndex],74)=0,"",SUMIFS(T_PlannedOrders[EffectiveQty],T_PlannedOrders[Part Name],$A609,T_PlannedOrders[WeekIndex],74)&amp;" ("&amp;TEXT(SUMPRODUCT(MAX((T_PlannedOrders[Part Name]=$A609)*(T_PlannedOrders[WeekIndex]=74)*(T_PlannedOrders[EffectiveQty]&gt;0)*T_PlannedOrders[Order_Month])),"m月")&amp;"発注)")</f>
        <v/>
      </c>
      <c r="BZ635">
        <f>IF(SUMIFS(T_PlannedOrders[EffectiveQty],T_PlannedOrders[Part Name],$A609,T_PlannedOrders[WeekIndex],75)=0,"",SUMIFS(T_PlannedOrders[EffectiveQty],T_PlannedOrders[Part Name],$A609,T_PlannedOrders[WeekIndex],75)&amp;" ("&amp;TEXT(SUMPRODUCT(MAX((T_PlannedOrders[Part Name]=$A609)*(T_PlannedOrders[WeekIndex]=75)*(T_PlannedOrders[EffectiveQty]&gt;0)*T_PlannedOrders[Order_Month])),"m月")&amp;"発注)")</f>
        <v/>
      </c>
      <c r="CA635">
        <f>IF(SUMIFS(T_PlannedOrders[EffectiveQty],T_PlannedOrders[Part Name],$A609,T_PlannedOrders[WeekIndex],76)=0,"",SUMIFS(T_PlannedOrders[EffectiveQty],T_PlannedOrders[Part Name],$A609,T_PlannedOrders[WeekIndex],76)&amp;" ("&amp;TEXT(SUMPRODUCT(MAX((T_PlannedOrders[Part Name]=$A609)*(T_PlannedOrders[WeekIndex]=76)*(T_PlannedOrders[EffectiveQty]&gt;0)*T_PlannedOrders[Order_Month])),"m月")&amp;"発注)")</f>
        <v/>
      </c>
      <c r="CB635">
        <f>IF(SUMIFS(T_PlannedOrders[EffectiveQty],T_PlannedOrders[Part Name],$A609,T_PlannedOrders[WeekIndex],77)=0,"",SUMIFS(T_PlannedOrders[EffectiveQty],T_PlannedOrders[Part Name],$A609,T_PlannedOrders[WeekIndex],77)&amp;" ("&amp;TEXT(SUMPRODUCT(MAX((T_PlannedOrders[Part Name]=$A609)*(T_PlannedOrders[WeekIndex]=77)*(T_PlannedOrders[EffectiveQty]&gt;0)*T_PlannedOrders[Order_Month])),"m月")&amp;"発注)")</f>
        <v/>
      </c>
      <c r="CC635">
        <f>IF(SUMIFS(T_PlannedOrders[EffectiveQty],T_PlannedOrders[Part Name],$A609,T_PlannedOrders[WeekIndex],78)=0,"",SUMIFS(T_PlannedOrders[EffectiveQty],T_PlannedOrders[Part Name],$A609,T_PlannedOrders[WeekIndex],78)&amp;" ("&amp;TEXT(SUMPRODUCT(MAX((T_PlannedOrders[Part Name]=$A609)*(T_PlannedOrders[WeekIndex]=78)*(T_PlannedOrders[EffectiveQty]&gt;0)*T_PlannedOrders[Order_Month])),"m月")&amp;"発注)")</f>
        <v/>
      </c>
      <c r="CD635">
        <f>IF(SUMIFS(T_PlannedOrders[EffectiveQty],T_PlannedOrders[Part Name],$A609,T_PlannedOrders[WeekIndex],79)=0,"",SUMIFS(T_PlannedOrders[EffectiveQty],T_PlannedOrders[Part Name],$A609,T_PlannedOrders[WeekIndex],79)&amp;" ("&amp;TEXT(SUMPRODUCT(MAX((T_PlannedOrders[Part Name]=$A609)*(T_PlannedOrders[WeekIndex]=79)*(T_PlannedOrders[EffectiveQty]&gt;0)*T_PlannedOrders[Order_Month])),"m月")&amp;"発注)")</f>
        <v/>
      </c>
      <c r="CE635">
        <f>IF(SUMIFS(T_PlannedOrders[EffectiveQty],T_PlannedOrders[Part Name],$A609,T_PlannedOrders[WeekIndex],80)=0,"",SUMIFS(T_PlannedOrders[EffectiveQty],T_PlannedOrders[Part Name],$A609,T_PlannedOrders[WeekIndex],80)&amp;" ("&amp;TEXT(SUMPRODUCT(MAX((T_PlannedOrders[Part Name]=$A609)*(T_PlannedOrders[WeekIndex]=80)*(T_PlannedOrders[EffectiveQty]&gt;0)*T_PlannedOrders[Order_Month])),"m月")&amp;"発注)")</f>
        <v/>
      </c>
      <c r="CF635">
        <f>IF(SUMIFS(T_PlannedOrders[EffectiveQty],T_PlannedOrders[Part Name],$A609,T_PlannedOrders[WeekIndex],81)=0,"",SUMIFS(T_PlannedOrders[EffectiveQty],T_PlannedOrders[Part Name],$A609,T_PlannedOrders[WeekIndex],81)&amp;" ("&amp;TEXT(SUMPRODUCT(MAX((T_PlannedOrders[Part Name]=$A609)*(T_PlannedOrders[WeekIndex]=81)*(T_PlannedOrders[EffectiveQty]&gt;0)*T_PlannedOrders[Order_Month])),"m月")&amp;"発注)")</f>
        <v/>
      </c>
      <c r="CG635">
        <f>IF(SUMIFS(T_PlannedOrders[EffectiveQty],T_PlannedOrders[Part Name],$A609,T_PlannedOrders[WeekIndex],82)=0,"",SUMIFS(T_PlannedOrders[EffectiveQty],T_PlannedOrders[Part Name],$A609,T_PlannedOrders[WeekIndex],82)&amp;" ("&amp;TEXT(SUMPRODUCT(MAX((T_PlannedOrders[Part Name]=$A609)*(T_PlannedOrders[WeekIndex]=82)*(T_PlannedOrders[EffectiveQty]&gt;0)*T_PlannedOrders[Order_Month])),"m月")&amp;"発注)")</f>
        <v/>
      </c>
      <c r="CH635">
        <f>IF(SUMIFS(T_PlannedOrders[EffectiveQty],T_PlannedOrders[Part Name],$A609,T_PlannedOrders[WeekIndex],83)=0,"",SUMIFS(T_PlannedOrders[EffectiveQty],T_PlannedOrders[Part Name],$A609,T_PlannedOrders[WeekIndex],83)&amp;" ("&amp;TEXT(SUMPRODUCT(MAX((T_PlannedOrders[Part Name]=$A609)*(T_PlannedOrders[WeekIndex]=83)*(T_PlannedOrders[EffectiveQty]&gt;0)*T_PlannedOrders[Order_Month])),"m月")&amp;"発注)")</f>
        <v/>
      </c>
      <c r="CI635">
        <f>IF(SUMIFS(T_PlannedOrders[EffectiveQty],T_PlannedOrders[Part Name],$A609,T_PlannedOrders[WeekIndex],84)=0,"",SUMIFS(T_PlannedOrders[EffectiveQty],T_PlannedOrders[Part Name],$A609,T_PlannedOrders[WeekIndex],84)&amp;" ("&amp;TEXT(SUMPRODUCT(MAX((T_PlannedOrders[Part Name]=$A609)*(T_PlannedOrders[WeekIndex]=84)*(T_PlannedOrders[EffectiveQty]&gt;0)*T_PlannedOrders[Order_Month])),"m月")&amp;"発注)")</f>
        <v/>
      </c>
      <c r="CJ635">
        <f>IF(SUMIFS(T_PlannedOrders[EffectiveQty],T_PlannedOrders[Part Name],$A609,T_PlannedOrders[WeekIndex],85)=0,"",SUMIFS(T_PlannedOrders[EffectiveQty],T_PlannedOrders[Part Name],$A609,T_PlannedOrders[WeekIndex],85)&amp;" ("&amp;TEXT(SUMPRODUCT(MAX((T_PlannedOrders[Part Name]=$A609)*(T_PlannedOrders[WeekIndex]=85)*(T_PlannedOrders[EffectiveQty]&gt;0)*T_PlannedOrders[Order_Month])),"m月")&amp;"発注)")</f>
        <v/>
      </c>
      <c r="CK635">
        <f>IF(SUMIFS(T_PlannedOrders[EffectiveQty],T_PlannedOrders[Part Name],$A609,T_PlannedOrders[WeekIndex],86)=0,"",SUMIFS(T_PlannedOrders[EffectiveQty],T_PlannedOrders[Part Name],$A609,T_PlannedOrders[WeekIndex],86)&amp;" ("&amp;TEXT(SUMPRODUCT(MAX((T_PlannedOrders[Part Name]=$A609)*(T_PlannedOrders[WeekIndex]=86)*(T_PlannedOrders[EffectiveQty]&gt;0)*T_PlannedOrders[Order_Month])),"m月")&amp;"発注)")</f>
        <v/>
      </c>
      <c r="CL635">
        <f>IF(SUMIFS(T_PlannedOrders[EffectiveQty],T_PlannedOrders[Part Name],$A609,T_PlannedOrders[WeekIndex],87)=0,"",SUMIFS(T_PlannedOrders[EffectiveQty],T_PlannedOrders[Part Name],$A609,T_PlannedOrders[WeekIndex],87)&amp;" ("&amp;TEXT(SUMPRODUCT(MAX((T_PlannedOrders[Part Name]=$A609)*(T_PlannedOrders[WeekIndex]=87)*(T_PlannedOrders[EffectiveQty]&gt;0)*T_PlannedOrders[Order_Month])),"m月")&amp;"発注)")</f>
        <v/>
      </c>
      <c r="CM635">
        <f>IF(SUMIFS(T_PlannedOrders[EffectiveQty],T_PlannedOrders[Part Name],$A609,T_PlannedOrders[WeekIndex],88)=0,"",SUMIFS(T_PlannedOrders[EffectiveQty],T_PlannedOrders[Part Name],$A609,T_PlannedOrders[WeekIndex],88)&amp;" ("&amp;TEXT(SUMPRODUCT(MAX((T_PlannedOrders[Part Name]=$A609)*(T_PlannedOrders[WeekIndex]=88)*(T_PlannedOrders[EffectiveQty]&gt;0)*T_PlannedOrders[Order_Month])),"m月")&amp;"発注)")</f>
        <v/>
      </c>
      <c r="CN635">
        <f>IF(SUMIFS(T_PlannedOrders[EffectiveQty],T_PlannedOrders[Part Name],$A609,T_PlannedOrders[WeekIndex],89)=0,"",SUMIFS(T_PlannedOrders[EffectiveQty],T_PlannedOrders[Part Name],$A609,T_PlannedOrders[WeekIndex],89)&amp;" ("&amp;TEXT(SUMPRODUCT(MAX((T_PlannedOrders[Part Name]=$A609)*(T_PlannedOrders[WeekIndex]=89)*(T_PlannedOrders[EffectiveQty]&gt;0)*T_PlannedOrders[Order_Month])),"m月")&amp;"発注)")</f>
        <v/>
      </c>
      <c r="CO635">
        <f>IF(SUMIFS(T_PlannedOrders[EffectiveQty],T_PlannedOrders[Part Name],$A609,T_PlannedOrders[WeekIndex],90)=0,"",SUMIFS(T_PlannedOrders[EffectiveQty],T_PlannedOrders[Part Name],$A609,T_PlannedOrders[WeekIndex],90)&amp;" ("&amp;TEXT(SUMPRODUCT(MAX((T_PlannedOrders[Part Name]=$A609)*(T_PlannedOrders[WeekIndex]=90)*(T_PlannedOrders[EffectiveQty]&gt;0)*T_PlannedOrders[Order_Month])),"m月")&amp;"発注)")</f>
        <v/>
      </c>
      <c r="CP635">
        <f>IF(SUMIFS(T_PlannedOrders[EffectiveQty],T_PlannedOrders[Part Name],$A609,T_PlannedOrders[WeekIndex],91)=0,"",SUMIFS(T_PlannedOrders[EffectiveQty],T_PlannedOrders[Part Name],$A609,T_PlannedOrders[WeekIndex],91)&amp;" ("&amp;TEXT(SUMPRODUCT(MAX((T_PlannedOrders[Part Name]=$A609)*(T_PlannedOrders[WeekIndex]=91)*(T_PlannedOrders[EffectiveQty]&gt;0)*T_PlannedOrders[Order_Month])),"m月")&amp;"発注)")</f>
        <v/>
      </c>
      <c r="CQ635">
        <f>IF(SUMIFS(T_PlannedOrders[EffectiveQty],T_PlannedOrders[Part Name],$A609,T_PlannedOrders[WeekIndex],92)=0,"",SUMIFS(T_PlannedOrders[EffectiveQty],T_PlannedOrders[Part Name],$A609,T_PlannedOrders[WeekIndex],92)&amp;" ("&amp;TEXT(SUMPRODUCT(MAX((T_PlannedOrders[Part Name]=$A609)*(T_PlannedOrders[WeekIndex]=92)*(T_PlannedOrders[EffectiveQty]&gt;0)*T_PlannedOrders[Order_Month])),"m月")&amp;"発注)")</f>
        <v/>
      </c>
      <c r="CR635">
        <f>IF(SUMIFS(T_PlannedOrders[EffectiveQty],T_PlannedOrders[Part Name],$A609,T_PlannedOrders[WeekIndex],93)=0,"",SUMIFS(T_PlannedOrders[EffectiveQty],T_PlannedOrders[Part Name],$A609,T_PlannedOrders[WeekIndex],93)&amp;" ("&amp;TEXT(SUMPRODUCT(MAX((T_PlannedOrders[Part Name]=$A609)*(T_PlannedOrders[WeekIndex]=93)*(T_PlannedOrders[EffectiveQty]&gt;0)*T_PlannedOrders[Order_Month])),"m月")&amp;"発注)")</f>
        <v/>
      </c>
      <c r="CS635">
        <f>IF(SUMIFS(T_PlannedOrders[EffectiveQty],T_PlannedOrders[Part Name],$A609,T_PlannedOrders[WeekIndex],94)=0,"",SUMIFS(T_PlannedOrders[EffectiveQty],T_PlannedOrders[Part Name],$A609,T_PlannedOrders[WeekIndex],94)&amp;" ("&amp;TEXT(SUMPRODUCT(MAX((T_PlannedOrders[Part Name]=$A609)*(T_PlannedOrders[WeekIndex]=94)*(T_PlannedOrders[EffectiveQty]&gt;0)*T_PlannedOrders[Order_Month])),"m月")&amp;"発注)")</f>
        <v/>
      </c>
      <c r="CT635">
        <f>IF(SUMIFS(T_PlannedOrders[EffectiveQty],T_PlannedOrders[Part Name],$A609,T_PlannedOrders[WeekIndex],95)=0,"",SUMIFS(T_PlannedOrders[EffectiveQty],T_PlannedOrders[Part Name],$A609,T_PlannedOrders[WeekIndex],95)&amp;" ("&amp;TEXT(SUMPRODUCT(MAX((T_PlannedOrders[Part Name]=$A609)*(T_PlannedOrders[WeekIndex]=95)*(T_PlannedOrders[EffectiveQty]&gt;0)*T_PlannedOrders[Order_Month])),"m月")&amp;"発注)")</f>
        <v/>
      </c>
      <c r="CU635">
        <f>IF(SUMIFS(T_PlannedOrders[EffectiveQty],T_PlannedOrders[Part Name],$A609,T_PlannedOrders[WeekIndex],96)=0,"",SUMIFS(T_PlannedOrders[EffectiveQty],T_PlannedOrders[Part Name],$A609,T_PlannedOrders[WeekIndex],96)&amp;" ("&amp;TEXT(SUMPRODUCT(MAX((T_PlannedOrders[Part Name]=$A609)*(T_PlannedOrders[WeekIndex]=96)*(T_PlannedOrders[EffectiveQty]&gt;0)*T_PlannedOrders[Order_Month])),"m月")&amp;"発注)")</f>
        <v/>
      </c>
      <c r="CV635">
        <f>IF(SUMIFS(T_PlannedOrders[EffectiveQty],T_PlannedOrders[Part Name],$A609,T_PlannedOrders[WeekIndex],97)=0,"",SUMIFS(T_PlannedOrders[EffectiveQty],T_PlannedOrders[Part Name],$A609,T_PlannedOrders[WeekIndex],97)&amp;" ("&amp;TEXT(SUMPRODUCT(MAX((T_PlannedOrders[Part Name]=$A609)*(T_PlannedOrders[WeekIndex]=97)*(T_PlannedOrders[EffectiveQty]&gt;0)*T_PlannedOrders[Order_Month])),"m月")&amp;"発注)")</f>
        <v/>
      </c>
      <c r="CW635">
        <f>IF(SUMIFS(T_PlannedOrders[EffectiveQty],T_PlannedOrders[Part Name],$A609,T_PlannedOrders[WeekIndex],98)=0,"",SUMIFS(T_PlannedOrders[EffectiveQty],T_PlannedOrders[Part Name],$A609,T_PlannedOrders[WeekIndex],98)&amp;" ("&amp;TEXT(SUMPRODUCT(MAX((T_PlannedOrders[Part Name]=$A609)*(T_PlannedOrders[WeekIndex]=98)*(T_PlannedOrders[EffectiveQty]&gt;0)*T_PlannedOrders[Order_Month])),"m月")&amp;"発注)")</f>
        <v/>
      </c>
      <c r="CX635">
        <f>IF(SUMIFS(T_PlannedOrders[EffectiveQty],T_PlannedOrders[Part Name],$A609,T_PlannedOrders[WeekIndex],99)=0,"",SUMIFS(T_PlannedOrders[EffectiveQty],T_PlannedOrders[Part Name],$A609,T_PlannedOrders[WeekIndex],99)&amp;" ("&amp;TEXT(SUMPRODUCT(MAX((T_PlannedOrders[Part Name]=$A609)*(T_PlannedOrders[WeekIndex]=99)*(T_PlannedOrders[EffectiveQty]&gt;0)*T_PlannedOrders[Order_Month])),"m月")&amp;"発注)")</f>
        <v/>
      </c>
      <c r="CY635">
        <f>IF(SUMIFS(T_PlannedOrders[EffectiveQty],T_PlannedOrders[Part Name],$A609,T_PlannedOrders[WeekIndex],100)=0,"",SUMIFS(T_PlannedOrders[EffectiveQty],T_PlannedOrders[Part Name],$A609,T_PlannedOrders[WeekIndex],100)&amp;" ("&amp;TEXT(SUMPRODUCT(MAX((T_PlannedOrders[Part Name]=$A609)*(T_PlannedOrders[WeekIndex]=100)*(T_PlannedOrders[EffectiveQty]&gt;0)*T_PlannedOrders[Order_Month])),"m月")&amp;"発注)")</f>
        <v/>
      </c>
      <c r="CZ635">
        <f>IF(SUMIFS(T_PlannedOrders[EffectiveQty],T_PlannedOrders[Part Name],$A609,T_PlannedOrders[WeekIndex],101)=0,"",SUMIFS(T_PlannedOrders[EffectiveQty],T_PlannedOrders[Part Name],$A609,T_PlannedOrders[WeekIndex],101)&amp;" ("&amp;TEXT(SUMPRODUCT(MAX((T_PlannedOrders[Part Name]=$A609)*(T_PlannedOrders[WeekIndex]=101)*(T_PlannedOrders[EffectiveQty]&gt;0)*T_PlannedOrders[Order_Month])),"m月")&amp;"発注)")</f>
        <v/>
      </c>
      <c r="DA635">
        <f>IF(SUMIFS(T_PlannedOrders[EffectiveQty],T_PlannedOrders[Part Name],$A609,T_PlannedOrders[WeekIndex],102)=0,"",SUMIFS(T_PlannedOrders[EffectiveQty],T_PlannedOrders[Part Name],$A609,T_PlannedOrders[WeekIndex],102)&amp;" ("&amp;TEXT(SUMPRODUCT(MAX((T_PlannedOrders[Part Name]=$A609)*(T_PlannedOrders[WeekIndex]=102)*(T_PlannedOrders[EffectiveQty]&gt;0)*T_PlannedOrders[Order_Month])),"m月")&amp;"発注)")</f>
        <v/>
      </c>
      <c r="DB635">
        <f>IF(SUMIFS(T_PlannedOrders[EffectiveQty],T_PlannedOrders[Part Name],$A609,T_PlannedOrders[WeekIndex],103)=0,"",SUMIFS(T_PlannedOrders[EffectiveQty],T_PlannedOrders[Part Name],$A609,T_PlannedOrders[WeekIndex],103)&amp;" ("&amp;TEXT(SUMPRODUCT(MAX((T_PlannedOrders[Part Name]=$A609)*(T_PlannedOrders[WeekIndex]=103)*(T_PlannedOrders[EffectiveQty]&gt;0)*T_PlannedOrders[Order_Month])),"m月")&amp;"発注)")</f>
        <v/>
      </c>
      <c r="DC635">
        <f>IF(SUMIFS(T_PlannedOrders[EffectiveQty],T_PlannedOrders[Part Name],$A609,T_PlannedOrders[WeekIndex],104)=0,"",SUMIFS(T_PlannedOrders[EffectiveQty],T_PlannedOrders[Part Name],$A609,T_PlannedOrders[WeekIndex],104)&amp;" ("&amp;TEXT(SUMPRODUCT(MAX((T_PlannedOrders[Part Name]=$A609)*(T_PlannedOrders[WeekIndex]=104)*(T_PlannedOrders[EffectiveQty]&gt;0)*T_PlannedOrders[Order_Month])),"m月")&amp;"発注)")</f>
        <v/>
      </c>
    </row>
    <row r="636">
      <c r="B636" s="5" t="inlineStr">
        <is>
          <t>合計在庫(週末時点,kg)</t>
        </is>
      </c>
      <c r="D636">
        <f>'Grid_Stock'!B5</f>
        <v/>
      </c>
      <c r="E636">
        <f>'Grid_Stock'!C5</f>
        <v/>
      </c>
      <c r="F636">
        <f>'Grid_Stock'!D5</f>
        <v/>
      </c>
      <c r="G636">
        <f>'Grid_Stock'!E5</f>
        <v/>
      </c>
      <c r="H636">
        <f>'Grid_Stock'!F5</f>
        <v/>
      </c>
      <c r="I636">
        <f>'Grid_Stock'!G5</f>
        <v/>
      </c>
      <c r="J636">
        <f>'Grid_Stock'!H5</f>
        <v/>
      </c>
      <c r="K636">
        <f>'Grid_Stock'!I5</f>
        <v/>
      </c>
      <c r="L636">
        <f>'Grid_Stock'!J5</f>
        <v/>
      </c>
      <c r="M636">
        <f>'Grid_Stock'!K5</f>
        <v/>
      </c>
      <c r="N636">
        <f>'Grid_Stock'!L5</f>
        <v/>
      </c>
      <c r="O636">
        <f>'Grid_Stock'!M5</f>
        <v/>
      </c>
      <c r="P636">
        <f>'Grid_Stock'!N5</f>
        <v/>
      </c>
      <c r="Q636">
        <f>'Grid_Stock'!O5</f>
        <v/>
      </c>
      <c r="R636">
        <f>'Grid_Stock'!P5</f>
        <v/>
      </c>
      <c r="S636">
        <f>'Grid_Stock'!Q5</f>
        <v/>
      </c>
      <c r="T636">
        <f>'Grid_Stock'!R5</f>
        <v/>
      </c>
      <c r="U636">
        <f>'Grid_Stock'!S5</f>
        <v/>
      </c>
      <c r="V636">
        <f>'Grid_Stock'!T5</f>
        <v/>
      </c>
      <c r="W636">
        <f>'Grid_Stock'!U5</f>
        <v/>
      </c>
      <c r="X636">
        <f>'Grid_Stock'!V5</f>
        <v/>
      </c>
      <c r="Y636">
        <f>'Grid_Stock'!W5</f>
        <v/>
      </c>
      <c r="Z636">
        <f>'Grid_Stock'!X5</f>
        <v/>
      </c>
      <c r="AA636">
        <f>'Grid_Stock'!Y5</f>
        <v/>
      </c>
      <c r="AB636">
        <f>'Grid_Stock'!Z5</f>
        <v/>
      </c>
      <c r="AC636">
        <f>'Grid_Stock'!AA5</f>
        <v/>
      </c>
      <c r="AD636">
        <f>'Grid_Stock'!AB5</f>
        <v/>
      </c>
      <c r="AE636">
        <f>'Grid_Stock'!AC5</f>
        <v/>
      </c>
      <c r="AF636">
        <f>'Grid_Stock'!AD5</f>
        <v/>
      </c>
      <c r="AG636">
        <f>'Grid_Stock'!AE5</f>
        <v/>
      </c>
      <c r="AH636">
        <f>'Grid_Stock'!AF5</f>
        <v/>
      </c>
      <c r="AI636">
        <f>'Grid_Stock'!AG5</f>
        <v/>
      </c>
      <c r="AJ636">
        <f>'Grid_Stock'!AH5</f>
        <v/>
      </c>
      <c r="AK636">
        <f>'Grid_Stock'!AI5</f>
        <v/>
      </c>
      <c r="AL636">
        <f>'Grid_Stock'!AJ5</f>
        <v/>
      </c>
      <c r="AM636">
        <f>'Grid_Stock'!AK5</f>
        <v/>
      </c>
      <c r="AN636">
        <f>'Grid_Stock'!AL5</f>
        <v/>
      </c>
      <c r="AO636">
        <f>'Grid_Stock'!AM5</f>
        <v/>
      </c>
      <c r="AP636">
        <f>'Grid_Stock'!AN5</f>
        <v/>
      </c>
      <c r="AQ636">
        <f>'Grid_Stock'!AO5</f>
        <v/>
      </c>
      <c r="AR636">
        <f>'Grid_Stock'!AP5</f>
        <v/>
      </c>
      <c r="AS636">
        <f>'Grid_Stock'!AQ5</f>
        <v/>
      </c>
      <c r="AT636">
        <f>'Grid_Stock'!AR5</f>
        <v/>
      </c>
      <c r="AU636">
        <f>'Grid_Stock'!AS5</f>
        <v/>
      </c>
      <c r="AV636">
        <f>'Grid_Stock'!AT5</f>
        <v/>
      </c>
      <c r="AW636">
        <f>'Grid_Stock'!AU5</f>
        <v/>
      </c>
      <c r="AX636">
        <f>'Grid_Stock'!AV5</f>
        <v/>
      </c>
      <c r="AY636">
        <f>'Grid_Stock'!AW5</f>
        <v/>
      </c>
      <c r="AZ636">
        <f>'Grid_Stock'!AX5</f>
        <v/>
      </c>
      <c r="BA636">
        <f>'Grid_Stock'!AY5</f>
        <v/>
      </c>
      <c r="BB636">
        <f>'Grid_Stock'!AZ5</f>
        <v/>
      </c>
      <c r="BC636">
        <f>'Grid_Stock'!BA5</f>
        <v/>
      </c>
      <c r="BD636">
        <f>'Grid_Stock'!BB5</f>
        <v/>
      </c>
      <c r="BE636">
        <f>'Grid_Stock'!BC5</f>
        <v/>
      </c>
      <c r="BF636">
        <f>'Grid_Stock'!BD5</f>
        <v/>
      </c>
      <c r="BG636">
        <f>'Grid_Stock'!BE5</f>
        <v/>
      </c>
      <c r="BH636">
        <f>'Grid_Stock'!BF5</f>
        <v/>
      </c>
      <c r="BI636">
        <f>'Grid_Stock'!BG5</f>
        <v/>
      </c>
      <c r="BJ636">
        <f>'Grid_Stock'!BH5</f>
        <v/>
      </c>
      <c r="BK636">
        <f>'Grid_Stock'!BI5</f>
        <v/>
      </c>
      <c r="BL636">
        <f>'Grid_Stock'!BJ5</f>
        <v/>
      </c>
      <c r="BM636">
        <f>'Grid_Stock'!BK5</f>
        <v/>
      </c>
      <c r="BN636">
        <f>'Grid_Stock'!BL5</f>
        <v/>
      </c>
      <c r="BO636">
        <f>'Grid_Stock'!BM5</f>
        <v/>
      </c>
      <c r="BP636">
        <f>'Grid_Stock'!BN5</f>
        <v/>
      </c>
      <c r="BQ636">
        <f>'Grid_Stock'!BO5</f>
        <v/>
      </c>
      <c r="BR636">
        <f>'Grid_Stock'!BP5</f>
        <v/>
      </c>
      <c r="BS636">
        <f>'Grid_Stock'!BQ5</f>
        <v/>
      </c>
      <c r="BT636">
        <f>'Grid_Stock'!BR5</f>
        <v/>
      </c>
      <c r="BU636">
        <f>'Grid_Stock'!BS5</f>
        <v/>
      </c>
      <c r="BV636">
        <f>'Grid_Stock'!BT5</f>
        <v/>
      </c>
      <c r="BW636">
        <f>'Grid_Stock'!BU5</f>
        <v/>
      </c>
      <c r="BX636">
        <f>'Grid_Stock'!BV5</f>
        <v/>
      </c>
      <c r="BY636">
        <f>'Grid_Stock'!BW5</f>
        <v/>
      </c>
      <c r="BZ636">
        <f>'Grid_Stock'!BX5</f>
        <v/>
      </c>
      <c r="CA636">
        <f>'Grid_Stock'!BY5</f>
        <v/>
      </c>
      <c r="CB636">
        <f>'Grid_Stock'!BZ5</f>
        <v/>
      </c>
      <c r="CC636">
        <f>'Grid_Stock'!CA5</f>
        <v/>
      </c>
      <c r="CD636">
        <f>'Grid_Stock'!CB5</f>
        <v/>
      </c>
      <c r="CE636">
        <f>'Grid_Stock'!CC5</f>
        <v/>
      </c>
      <c r="CF636">
        <f>'Grid_Stock'!CD5</f>
        <v/>
      </c>
      <c r="CG636">
        <f>'Grid_Stock'!CE5</f>
        <v/>
      </c>
      <c r="CH636">
        <f>'Grid_Stock'!CF5</f>
        <v/>
      </c>
      <c r="CI636">
        <f>'Grid_Stock'!CG5</f>
        <v/>
      </c>
      <c r="CJ636">
        <f>'Grid_Stock'!CH5</f>
        <v/>
      </c>
      <c r="CK636">
        <f>'Grid_Stock'!CI5</f>
        <v/>
      </c>
      <c r="CL636">
        <f>'Grid_Stock'!CJ5</f>
        <v/>
      </c>
      <c r="CM636">
        <f>'Grid_Stock'!CK5</f>
        <v/>
      </c>
      <c r="CN636">
        <f>'Grid_Stock'!CL5</f>
        <v/>
      </c>
      <c r="CO636">
        <f>'Grid_Stock'!CM5</f>
        <v/>
      </c>
      <c r="CP636">
        <f>'Grid_Stock'!CN5</f>
        <v/>
      </c>
      <c r="CQ636">
        <f>'Grid_Stock'!CO5</f>
        <v/>
      </c>
      <c r="CR636">
        <f>'Grid_Stock'!CP5</f>
        <v/>
      </c>
      <c r="CS636">
        <f>'Grid_Stock'!CQ5</f>
        <v/>
      </c>
      <c r="CT636">
        <f>'Grid_Stock'!CR5</f>
        <v/>
      </c>
      <c r="CU636">
        <f>'Grid_Stock'!CS5</f>
        <v/>
      </c>
      <c r="CV636">
        <f>'Grid_Stock'!CT5</f>
        <v/>
      </c>
      <c r="CW636">
        <f>'Grid_Stock'!CU5</f>
        <v/>
      </c>
      <c r="CX636">
        <f>'Grid_Stock'!CV5</f>
        <v/>
      </c>
      <c r="CY636">
        <f>'Grid_Stock'!CW5</f>
        <v/>
      </c>
      <c r="CZ636">
        <f>'Grid_Stock'!CX5</f>
        <v/>
      </c>
      <c r="DA636">
        <f>'Grid_Stock'!CY5</f>
        <v/>
      </c>
      <c r="DB636">
        <f>'Grid_Stock'!CZ5</f>
        <v/>
      </c>
      <c r="DC636">
        <f>'Grid_Stock'!DA5</f>
        <v/>
      </c>
    </row>
    <row r="637">
      <c r="B637" s="23" t="inlineStr">
        <is>
          <t>（発注の目安はDashboardの基準在庫[下限/上限]と色分けを参照）</t>
        </is>
      </c>
    </row>
    <row r="639">
      <c r="A639" s="21" t="inlineStr">
        <is>
          <t>CHEM-1570</t>
        </is>
      </c>
      <c r="B639" s="21" t="inlineStr">
        <is>
          <t>NOPAGOAL A</t>
        </is>
      </c>
      <c r="C639" s="22" t="n"/>
      <c r="D639" s="21" t="n"/>
      <c r="E639" s="21" t="n"/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  <c r="AA639" s="21" t="n"/>
      <c r="AB639" s="21" t="n"/>
      <c r="AC639" s="21" t="n"/>
      <c r="AD639" s="21" t="n"/>
      <c r="AE639" s="21" t="n"/>
      <c r="AF639" s="21" t="n"/>
      <c r="AG639" s="21" t="n"/>
      <c r="AH639" s="21" t="n"/>
      <c r="AI639" s="21" t="n"/>
      <c r="AJ639" s="21" t="n"/>
      <c r="AK639" s="21" t="n"/>
      <c r="AL639" s="21" t="n"/>
      <c r="AM639" s="21" t="n"/>
      <c r="AN639" s="21" t="n"/>
      <c r="AO639" s="21" t="n"/>
      <c r="AP639" s="21" t="n"/>
      <c r="AQ639" s="21" t="n"/>
      <c r="AR639" s="21" t="n"/>
      <c r="AS639" s="21" t="n"/>
      <c r="AT639" s="21" t="n"/>
      <c r="AU639" s="21" t="n"/>
      <c r="AV639" s="21" t="n"/>
      <c r="AW639" s="21" t="n"/>
      <c r="AX639" s="21" t="n"/>
      <c r="AY639" s="21" t="n"/>
      <c r="AZ639" s="21" t="n"/>
      <c r="BA639" s="21" t="n"/>
      <c r="BB639" s="21" t="n"/>
      <c r="BC639" s="21" t="n"/>
      <c r="BD639" s="21" t="n"/>
      <c r="BE639" s="21" t="n"/>
      <c r="BF639" s="21" t="n"/>
      <c r="BG639" s="21" t="n"/>
      <c r="BH639" s="21" t="n"/>
      <c r="BI639" s="21" t="n"/>
      <c r="BJ639" s="21" t="n"/>
      <c r="BK639" s="21" t="n"/>
      <c r="BL639" s="21" t="n"/>
      <c r="BM639" s="21" t="n"/>
      <c r="BN639" s="21" t="n"/>
      <c r="BO639" s="21" t="n"/>
      <c r="BP639" s="21" t="n"/>
      <c r="BQ639" s="21" t="n"/>
      <c r="BR639" s="21" t="n"/>
      <c r="BS639" s="21" t="n"/>
      <c r="BT639" s="21" t="n"/>
      <c r="BU639" s="21" t="n"/>
      <c r="BV639" s="21" t="n"/>
      <c r="BW639" s="21" t="n"/>
      <c r="BX639" s="21" t="n"/>
      <c r="BY639" s="21" t="n"/>
      <c r="BZ639" s="21" t="n"/>
      <c r="CA639" s="21" t="n"/>
      <c r="CB639" s="21" t="n"/>
      <c r="CC639" s="21" t="n"/>
      <c r="CD639" s="21" t="n"/>
      <c r="CE639" s="21" t="n"/>
      <c r="CF639" s="21" t="n"/>
      <c r="CG639" s="21" t="n"/>
      <c r="CH639" s="21" t="n"/>
      <c r="CI639" s="21" t="n"/>
      <c r="CJ639" s="21" t="n"/>
      <c r="CK639" s="21" t="n"/>
      <c r="CL639" s="21" t="n"/>
      <c r="CM639" s="21" t="n"/>
      <c r="CN639" s="21" t="n"/>
      <c r="CO639" s="21" t="n"/>
      <c r="CP639" s="21" t="n"/>
      <c r="CQ639" s="21" t="n"/>
      <c r="CR639" s="21" t="n"/>
      <c r="CS639" s="21" t="n"/>
      <c r="CT639" s="21" t="n"/>
      <c r="CU639" s="21" t="n"/>
      <c r="CV639" s="21" t="n"/>
      <c r="CW639" s="21" t="n"/>
      <c r="CX639" s="21" t="n"/>
      <c r="CY639" s="21" t="n"/>
      <c r="CZ639" s="21" t="n"/>
      <c r="DA639" s="21" t="n"/>
      <c r="DB639" s="21" t="n"/>
      <c r="DC639" s="21" t="n"/>
    </row>
    <row r="640">
      <c r="B640" t="inlineStr">
        <is>
          <t>TSP-1388</t>
        </is>
      </c>
      <c r="C640" t="inlineStr">
        <is>
          <t>No. of batches</t>
        </is>
      </c>
      <c r="D640">
        <f>IFERROR(INDEX(PP_Grid[#Data],$DD640,2),0)</f>
        <v/>
      </c>
      <c r="E640">
        <f>IFERROR(INDEX(PP_Grid[#Data],$DD640,3),0)</f>
        <v/>
      </c>
      <c r="F640">
        <f>IFERROR(INDEX(PP_Grid[#Data],$DD640,4),0)</f>
        <v/>
      </c>
      <c r="G640">
        <f>IFERROR(INDEX(PP_Grid[#Data],$DD640,5),0)</f>
        <v/>
      </c>
      <c r="H640">
        <f>IFERROR(INDEX(PP_Grid[#Data],$DD640,6),0)</f>
        <v/>
      </c>
      <c r="I640">
        <f>IFERROR(INDEX(PP_Grid[#Data],$DD640,7),0)</f>
        <v/>
      </c>
      <c r="J640">
        <f>IFERROR(INDEX(PP_Grid[#Data],$DD640,8),0)</f>
        <v/>
      </c>
      <c r="K640">
        <f>IFERROR(INDEX(PP_Grid[#Data],$DD640,9),0)</f>
        <v/>
      </c>
      <c r="L640">
        <f>IFERROR(INDEX(PP_Grid[#Data],$DD640,10),0)</f>
        <v/>
      </c>
      <c r="M640">
        <f>IFERROR(INDEX(PP_Grid[#Data],$DD640,11),0)</f>
        <v/>
      </c>
      <c r="N640">
        <f>IFERROR(INDEX(PP_Grid[#Data],$DD640,12),0)</f>
        <v/>
      </c>
      <c r="O640">
        <f>IFERROR(INDEX(PP_Grid[#Data],$DD640,13),0)</f>
        <v/>
      </c>
      <c r="P640">
        <f>IFERROR(INDEX(PP_Grid[#Data],$DD640,14),0)</f>
        <v/>
      </c>
      <c r="Q640">
        <f>IFERROR(INDEX(PP_Grid[#Data],$DD640,15),0)</f>
        <v/>
      </c>
      <c r="R640">
        <f>IFERROR(INDEX(PP_Grid[#Data],$DD640,16),0)</f>
        <v/>
      </c>
      <c r="S640">
        <f>IFERROR(INDEX(PP_Grid[#Data],$DD640,17),0)</f>
        <v/>
      </c>
      <c r="T640">
        <f>IFERROR(INDEX(PP_Grid[#Data],$DD640,18),0)</f>
        <v/>
      </c>
      <c r="U640">
        <f>IFERROR(INDEX(PP_Grid[#Data],$DD640,19),0)</f>
        <v/>
      </c>
      <c r="V640">
        <f>IFERROR(INDEX(PP_Grid[#Data],$DD640,20),0)</f>
        <v/>
      </c>
      <c r="W640">
        <f>IFERROR(INDEX(PP_Grid[#Data],$DD640,21),0)</f>
        <v/>
      </c>
      <c r="X640">
        <f>IFERROR(INDEX(PP_Grid[#Data],$DD640,22),0)</f>
        <v/>
      </c>
      <c r="Y640">
        <f>IFERROR(INDEX(PP_Grid[#Data],$DD640,23),0)</f>
        <v/>
      </c>
      <c r="Z640">
        <f>IFERROR(INDEX(PP_Grid[#Data],$DD640,24),0)</f>
        <v/>
      </c>
      <c r="AA640">
        <f>IFERROR(INDEX(PP_Grid[#Data],$DD640,25),0)</f>
        <v/>
      </c>
      <c r="AB640">
        <f>IFERROR(INDEX(PP_Grid[#Data],$DD640,26),0)</f>
        <v/>
      </c>
      <c r="AC640">
        <f>IFERROR(INDEX(PP_Grid[#Data],$DD640,27),0)</f>
        <v/>
      </c>
      <c r="AD640">
        <f>IFERROR(INDEX(PP_Grid[#Data],$DD640,28),0)</f>
        <v/>
      </c>
      <c r="AE640">
        <f>IFERROR(INDEX(PP_Grid[#Data],$DD640,29),0)</f>
        <v/>
      </c>
      <c r="AF640">
        <f>IFERROR(INDEX(PP_Grid[#Data],$DD640,30),0)</f>
        <v/>
      </c>
      <c r="AG640">
        <f>IFERROR(INDEX(PP_Grid[#Data],$DD640,31),0)</f>
        <v/>
      </c>
      <c r="AH640">
        <f>IFERROR(INDEX(PP_Grid[#Data],$DD640,32),0)</f>
        <v/>
      </c>
      <c r="AI640">
        <f>IFERROR(INDEX(PP_Grid[#Data],$DD640,33),0)</f>
        <v/>
      </c>
      <c r="AJ640">
        <f>IFERROR(INDEX(PP_Grid[#Data],$DD640,34),0)</f>
        <v/>
      </c>
      <c r="AK640">
        <f>IFERROR(INDEX(PP_Grid[#Data],$DD640,35),0)</f>
        <v/>
      </c>
      <c r="AL640">
        <f>IFERROR(INDEX(PP_Grid[#Data],$DD640,36),0)</f>
        <v/>
      </c>
      <c r="AM640">
        <f>IFERROR(INDEX(PP_Grid[#Data],$DD640,37),0)</f>
        <v/>
      </c>
      <c r="AN640">
        <f>IFERROR(INDEX(PP_Grid[#Data],$DD640,38),0)</f>
        <v/>
      </c>
      <c r="AO640">
        <f>IFERROR(INDEX(PP_Grid[#Data],$DD640,39),0)</f>
        <v/>
      </c>
      <c r="AP640">
        <f>IFERROR(INDEX(PP_Grid[#Data],$DD640,40),0)</f>
        <v/>
      </c>
      <c r="AQ640">
        <f>IFERROR(INDEX(PP_Grid[#Data],$DD640,41),0)</f>
        <v/>
      </c>
      <c r="AR640">
        <f>IFERROR(INDEX(PP_Grid[#Data],$DD640,42),0)</f>
        <v/>
      </c>
      <c r="AS640">
        <f>IFERROR(INDEX(PP_Grid[#Data],$DD640,43),0)</f>
        <v/>
      </c>
      <c r="AT640">
        <f>IFERROR(INDEX(PP_Grid[#Data],$DD640,44),0)</f>
        <v/>
      </c>
      <c r="AU640">
        <f>IFERROR(INDEX(PP_Grid[#Data],$DD640,45),0)</f>
        <v/>
      </c>
      <c r="AV640">
        <f>IFERROR(INDEX(PP_Grid[#Data],$DD640,46),0)</f>
        <v/>
      </c>
      <c r="AW640">
        <f>IFERROR(INDEX(PP_Grid[#Data],$DD640,47),0)</f>
        <v/>
      </c>
      <c r="AX640">
        <f>IFERROR(INDEX(PP_Grid[#Data],$DD640,48),0)</f>
        <v/>
      </c>
      <c r="AY640">
        <f>IFERROR(INDEX(PP_Grid[#Data],$DD640,49),0)</f>
        <v/>
      </c>
      <c r="AZ640">
        <f>IFERROR(INDEX(PP_Grid[#Data],$DD640,50),0)</f>
        <v/>
      </c>
      <c r="BA640">
        <f>IFERROR(INDEX(PP_Grid[#Data],$DD640,51),0)</f>
        <v/>
      </c>
      <c r="BB640">
        <f>IFERROR(INDEX(PP_Grid[#Data],$DD640,52),0)</f>
        <v/>
      </c>
      <c r="BC640">
        <f>IFERROR(INDEX(PP_Grid[#Data],$DD640,53),0)</f>
        <v/>
      </c>
      <c r="BD640">
        <f>IFERROR(INDEX(PP_Grid[#Data],$DD640,54),0)</f>
        <v/>
      </c>
      <c r="BE640">
        <f>IFERROR(INDEX(PP_Grid[#Data],$DD640,55),0)</f>
        <v/>
      </c>
      <c r="BF640">
        <f>IFERROR(INDEX(PP_Grid[#Data],$DD640,56),0)</f>
        <v/>
      </c>
      <c r="BG640">
        <f>IFERROR(INDEX(PP_Grid[#Data],$DD640,57),0)</f>
        <v/>
      </c>
      <c r="BH640">
        <f>IFERROR(INDEX(PP_Grid[#Data],$DD640,58),0)</f>
        <v/>
      </c>
      <c r="BI640">
        <f>IFERROR(INDEX(PP_Grid[#Data],$DD640,59),0)</f>
        <v/>
      </c>
      <c r="BJ640">
        <f>IFERROR(INDEX(PP_Grid[#Data],$DD640,60),0)</f>
        <v/>
      </c>
      <c r="BK640">
        <f>IFERROR(INDEX(PP_Grid[#Data],$DD640,61),0)</f>
        <v/>
      </c>
      <c r="BL640">
        <f>IFERROR(INDEX(PP_Grid[#Data],$DD640,62),0)</f>
        <v/>
      </c>
      <c r="BM640">
        <f>IFERROR(INDEX(PP_Grid[#Data],$DD640,63),0)</f>
        <v/>
      </c>
      <c r="BN640">
        <f>IFERROR(INDEX(PP_Grid[#Data],$DD640,64),0)</f>
        <v/>
      </c>
      <c r="BO640">
        <f>IFERROR(INDEX(PP_Grid[#Data],$DD640,65),0)</f>
        <v/>
      </c>
      <c r="BP640">
        <f>IFERROR(INDEX(PP_Grid[#Data],$DD640,66),0)</f>
        <v/>
      </c>
      <c r="BQ640">
        <f>IFERROR(INDEX(PP_Grid[#Data],$DD640,67),0)</f>
        <v/>
      </c>
      <c r="BR640">
        <f>IFERROR(INDEX(PP_Grid[#Data],$DD640,68),0)</f>
        <v/>
      </c>
      <c r="BS640">
        <f>IFERROR(INDEX(PP_Grid[#Data],$DD640,69),0)</f>
        <v/>
      </c>
      <c r="BT640">
        <f>IFERROR(INDEX(PP_Grid[#Data],$DD640,70),0)</f>
        <v/>
      </c>
      <c r="BU640">
        <f>IFERROR(INDEX(PP_Grid[#Data],$DD640,71),0)</f>
        <v/>
      </c>
      <c r="BV640">
        <f>IFERROR(INDEX(PP_Grid[#Data],$DD640,72),0)</f>
        <v/>
      </c>
      <c r="BW640">
        <f>IFERROR(INDEX(PP_Grid[#Data],$DD640,73),0)</f>
        <v/>
      </c>
      <c r="BX640">
        <f>IFERROR(INDEX(PP_Grid[#Data],$DD640,74),0)</f>
        <v/>
      </c>
      <c r="BY640">
        <f>IFERROR(INDEX(PP_Grid[#Data],$DD640,75),0)</f>
        <v/>
      </c>
      <c r="BZ640">
        <f>IFERROR(INDEX(PP_Grid[#Data],$DD640,76),0)</f>
        <v/>
      </c>
      <c r="CA640">
        <f>IFERROR(INDEX(PP_Grid[#Data],$DD640,77),0)</f>
        <v/>
      </c>
      <c r="CB640">
        <f>IFERROR(INDEX(PP_Grid[#Data],$DD640,78),0)</f>
        <v/>
      </c>
      <c r="CC640">
        <f>IFERROR(INDEX(PP_Grid[#Data],$DD640,79),0)</f>
        <v/>
      </c>
      <c r="CD640">
        <f>IFERROR(INDEX(PP_Grid[#Data],$DD640,80),0)</f>
        <v/>
      </c>
      <c r="CE640">
        <f>IFERROR(INDEX(PP_Grid[#Data],$DD640,81),0)</f>
        <v/>
      </c>
      <c r="CF640">
        <f>IFERROR(INDEX(PP_Grid[#Data],$DD640,82),0)</f>
        <v/>
      </c>
      <c r="CG640">
        <f>IFERROR(INDEX(PP_Grid[#Data],$DD640,83),0)</f>
        <v/>
      </c>
      <c r="CH640">
        <f>IFERROR(INDEX(PP_Grid[#Data],$DD640,84),0)</f>
        <v/>
      </c>
      <c r="CI640">
        <f>IFERROR(INDEX(PP_Grid[#Data],$DD640,85),0)</f>
        <v/>
      </c>
      <c r="CJ640">
        <f>IFERROR(INDEX(PP_Grid[#Data],$DD640,86),0)</f>
        <v/>
      </c>
      <c r="CK640">
        <f>IFERROR(INDEX(PP_Grid[#Data],$DD640,87),0)</f>
        <v/>
      </c>
      <c r="CL640">
        <f>IFERROR(INDEX(PP_Grid[#Data],$DD640,88),0)</f>
        <v/>
      </c>
      <c r="CM640">
        <f>IFERROR(INDEX(PP_Grid[#Data],$DD640,89),0)</f>
        <v/>
      </c>
      <c r="CN640">
        <f>IFERROR(INDEX(PP_Grid[#Data],$DD640,90),0)</f>
        <v/>
      </c>
      <c r="CO640">
        <f>IFERROR(INDEX(PP_Grid[#Data],$DD640,91),0)</f>
        <v/>
      </c>
      <c r="CP640">
        <f>IFERROR(INDEX(PP_Grid[#Data],$DD640,92),0)</f>
        <v/>
      </c>
      <c r="CQ640">
        <f>IFERROR(INDEX(PP_Grid[#Data],$DD640,93),0)</f>
        <v/>
      </c>
      <c r="CR640">
        <f>IFERROR(INDEX(PP_Grid[#Data],$DD640,94),0)</f>
        <v/>
      </c>
      <c r="CS640">
        <f>IFERROR(INDEX(PP_Grid[#Data],$DD640,95),0)</f>
        <v/>
      </c>
      <c r="CT640">
        <f>IFERROR(INDEX(PP_Grid[#Data],$DD640,96),0)</f>
        <v/>
      </c>
      <c r="CU640">
        <f>IFERROR(INDEX(PP_Grid[#Data],$DD640,97),0)</f>
        <v/>
      </c>
      <c r="CV640">
        <f>IFERROR(INDEX(PP_Grid[#Data],$DD640,98),0)</f>
        <v/>
      </c>
      <c r="CW640">
        <f>IFERROR(INDEX(PP_Grid[#Data],$DD640,99),0)</f>
        <v/>
      </c>
      <c r="CX640">
        <f>IFERROR(INDEX(PP_Grid[#Data],$DD640,100),0)</f>
        <v/>
      </c>
      <c r="CY640">
        <f>IFERROR(INDEX(PP_Grid[#Data],$DD640,101),0)</f>
        <v/>
      </c>
      <c r="CZ640">
        <f>IFERROR(INDEX(PP_Grid[#Data],$DD640,102),0)</f>
        <v/>
      </c>
      <c r="DA640">
        <f>IFERROR(INDEX(PP_Grid[#Data],$DD640,103),0)</f>
        <v/>
      </c>
      <c r="DB640">
        <f>IFERROR(INDEX(PP_Grid[#Data],$DD640,104),0)</f>
        <v/>
      </c>
      <c r="DC640">
        <f>IFERROR(INDEX(PP_Grid[#Data],$DD640,105),0)</f>
        <v/>
      </c>
      <c r="DD640" s="12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SUMIFS(M_BOM[RM_Qty_Per_Batch],M_BOM[Intermediate],$B640,M_BOM[Part Name],$A639)</f>
        <v/>
      </c>
      <c r="D641">
        <f>$C641*D640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</row>
    <row r="642">
      <c r="B642" t="inlineStr">
        <is>
          <t>TSP-1448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Name],$A639)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TSP-1449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Name],$A639)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TSP-558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Name],$A639)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TSP-618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Name],$A639)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TSP-620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Name],$A639)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TSP-623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Name],$A639)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TSP-655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Name],$A639)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TSP-656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Name],$A639)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TSP-828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Name],$A639)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TSP-903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Name],$A639)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TSP-924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Name],$A639)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TSP-925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Name],$A639)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TSP-934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Name],$A639)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TSP-935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Name],$A639)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TSP-936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Name],$A639)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TSP-937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Name],$A639)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TSP-959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Name],$A639)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TSP-966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Name],$A639)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TSZ-616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Name],$A639)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TSZ-938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Name],$A639)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TVS-267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Name],$A639)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TVS-500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Name],$A639)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TVS-664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Name],$A639)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TVS-833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Name],$A639)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VSP-820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Name],$A639)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VSP-822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Name],$A639)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VSP-910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Name],$A639)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VSP-989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Name],$A639)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VSP-990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Name],$A639)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s="5" t="inlineStr">
        <is>
          <t>合計使用量(kg)/週</t>
        </is>
      </c>
      <c r="D700">
        <f>'Grid_Requirement'!B23</f>
        <v/>
      </c>
      <c r="E700">
        <f>'Grid_Requirement'!C23</f>
        <v/>
      </c>
      <c r="F700">
        <f>'Grid_Requirement'!D23</f>
        <v/>
      </c>
      <c r="G700">
        <f>'Grid_Requirement'!E23</f>
        <v/>
      </c>
      <c r="H700">
        <f>'Grid_Requirement'!F23</f>
        <v/>
      </c>
      <c r="I700">
        <f>'Grid_Requirement'!G23</f>
        <v/>
      </c>
      <c r="J700">
        <f>'Grid_Requirement'!H23</f>
        <v/>
      </c>
      <c r="K700">
        <f>'Grid_Requirement'!I23</f>
        <v/>
      </c>
      <c r="L700">
        <f>'Grid_Requirement'!J23</f>
        <v/>
      </c>
      <c r="M700">
        <f>'Grid_Requirement'!K23</f>
        <v/>
      </c>
      <c r="N700">
        <f>'Grid_Requirement'!L23</f>
        <v/>
      </c>
      <c r="O700">
        <f>'Grid_Requirement'!M23</f>
        <v/>
      </c>
      <c r="P700">
        <f>'Grid_Requirement'!N23</f>
        <v/>
      </c>
      <c r="Q700">
        <f>'Grid_Requirement'!O23</f>
        <v/>
      </c>
      <c r="R700">
        <f>'Grid_Requirement'!P23</f>
        <v/>
      </c>
      <c r="S700">
        <f>'Grid_Requirement'!Q23</f>
        <v/>
      </c>
      <c r="T700">
        <f>'Grid_Requirement'!R23</f>
        <v/>
      </c>
      <c r="U700">
        <f>'Grid_Requirement'!S23</f>
        <v/>
      </c>
      <c r="V700">
        <f>'Grid_Requirement'!T23</f>
        <v/>
      </c>
      <c r="W700">
        <f>'Grid_Requirement'!U23</f>
        <v/>
      </c>
      <c r="X700">
        <f>'Grid_Requirement'!V23</f>
        <v/>
      </c>
      <c r="Y700">
        <f>'Grid_Requirement'!W23</f>
        <v/>
      </c>
      <c r="Z700">
        <f>'Grid_Requirement'!X23</f>
        <v/>
      </c>
      <c r="AA700">
        <f>'Grid_Requirement'!Y23</f>
        <v/>
      </c>
      <c r="AB700">
        <f>'Grid_Requirement'!Z23</f>
        <v/>
      </c>
      <c r="AC700">
        <f>'Grid_Requirement'!AA23</f>
        <v/>
      </c>
      <c r="AD700">
        <f>'Grid_Requirement'!AB23</f>
        <v/>
      </c>
      <c r="AE700">
        <f>'Grid_Requirement'!AC23</f>
        <v/>
      </c>
      <c r="AF700">
        <f>'Grid_Requirement'!AD23</f>
        <v/>
      </c>
      <c r="AG700">
        <f>'Grid_Requirement'!AE23</f>
        <v/>
      </c>
      <c r="AH700">
        <f>'Grid_Requirement'!AF23</f>
        <v/>
      </c>
      <c r="AI700">
        <f>'Grid_Requirement'!AG23</f>
        <v/>
      </c>
      <c r="AJ700">
        <f>'Grid_Requirement'!AH23</f>
        <v/>
      </c>
      <c r="AK700">
        <f>'Grid_Requirement'!AI23</f>
        <v/>
      </c>
      <c r="AL700">
        <f>'Grid_Requirement'!AJ23</f>
        <v/>
      </c>
      <c r="AM700">
        <f>'Grid_Requirement'!AK23</f>
        <v/>
      </c>
      <c r="AN700">
        <f>'Grid_Requirement'!AL23</f>
        <v/>
      </c>
      <c r="AO700">
        <f>'Grid_Requirement'!AM23</f>
        <v/>
      </c>
      <c r="AP700">
        <f>'Grid_Requirement'!AN23</f>
        <v/>
      </c>
      <c r="AQ700">
        <f>'Grid_Requirement'!AO23</f>
        <v/>
      </c>
      <c r="AR700">
        <f>'Grid_Requirement'!AP23</f>
        <v/>
      </c>
      <c r="AS700">
        <f>'Grid_Requirement'!AQ23</f>
        <v/>
      </c>
      <c r="AT700">
        <f>'Grid_Requirement'!AR23</f>
        <v/>
      </c>
      <c r="AU700">
        <f>'Grid_Requirement'!AS23</f>
        <v/>
      </c>
      <c r="AV700">
        <f>'Grid_Requirement'!AT23</f>
        <v/>
      </c>
      <c r="AW700">
        <f>'Grid_Requirement'!AU23</f>
        <v/>
      </c>
      <c r="AX700">
        <f>'Grid_Requirement'!AV23</f>
        <v/>
      </c>
      <c r="AY700">
        <f>'Grid_Requirement'!AW23</f>
        <v/>
      </c>
      <c r="AZ700">
        <f>'Grid_Requirement'!AX23</f>
        <v/>
      </c>
      <c r="BA700">
        <f>'Grid_Requirement'!AY23</f>
        <v/>
      </c>
      <c r="BB700">
        <f>'Grid_Requirement'!AZ23</f>
        <v/>
      </c>
      <c r="BC700">
        <f>'Grid_Requirement'!BA23</f>
        <v/>
      </c>
      <c r="BD700">
        <f>'Grid_Requirement'!BB23</f>
        <v/>
      </c>
      <c r="BE700">
        <f>'Grid_Requirement'!BC23</f>
        <v/>
      </c>
      <c r="BF700">
        <f>'Grid_Requirement'!BD23</f>
        <v/>
      </c>
      <c r="BG700">
        <f>'Grid_Requirement'!BE23</f>
        <v/>
      </c>
      <c r="BH700">
        <f>'Grid_Requirement'!BF23</f>
        <v/>
      </c>
      <c r="BI700">
        <f>'Grid_Requirement'!BG23</f>
        <v/>
      </c>
      <c r="BJ700">
        <f>'Grid_Requirement'!BH23</f>
        <v/>
      </c>
      <c r="BK700">
        <f>'Grid_Requirement'!BI23</f>
        <v/>
      </c>
      <c r="BL700">
        <f>'Grid_Requirement'!BJ23</f>
        <v/>
      </c>
      <c r="BM700">
        <f>'Grid_Requirement'!BK23</f>
        <v/>
      </c>
      <c r="BN700">
        <f>'Grid_Requirement'!BL23</f>
        <v/>
      </c>
      <c r="BO700">
        <f>'Grid_Requirement'!BM23</f>
        <v/>
      </c>
      <c r="BP700">
        <f>'Grid_Requirement'!BN23</f>
        <v/>
      </c>
      <c r="BQ700">
        <f>'Grid_Requirement'!BO23</f>
        <v/>
      </c>
      <c r="BR700">
        <f>'Grid_Requirement'!BP23</f>
        <v/>
      </c>
      <c r="BS700">
        <f>'Grid_Requirement'!BQ23</f>
        <v/>
      </c>
      <c r="BT700">
        <f>'Grid_Requirement'!BR23</f>
        <v/>
      </c>
      <c r="BU700">
        <f>'Grid_Requirement'!BS23</f>
        <v/>
      </c>
      <c r="BV700">
        <f>'Grid_Requirement'!BT23</f>
        <v/>
      </c>
      <c r="BW700">
        <f>'Grid_Requirement'!BU23</f>
        <v/>
      </c>
      <c r="BX700">
        <f>'Grid_Requirement'!BV23</f>
        <v/>
      </c>
      <c r="BY700">
        <f>'Grid_Requirement'!BW23</f>
        <v/>
      </c>
      <c r="BZ700">
        <f>'Grid_Requirement'!BX23</f>
        <v/>
      </c>
      <c r="CA700">
        <f>'Grid_Requirement'!BY23</f>
        <v/>
      </c>
      <c r="CB700">
        <f>'Grid_Requirement'!BZ23</f>
        <v/>
      </c>
      <c r="CC700">
        <f>'Grid_Requirement'!CA23</f>
        <v/>
      </c>
      <c r="CD700">
        <f>'Grid_Requirement'!CB23</f>
        <v/>
      </c>
      <c r="CE700">
        <f>'Grid_Requirement'!CC23</f>
        <v/>
      </c>
      <c r="CF700">
        <f>'Grid_Requirement'!CD23</f>
        <v/>
      </c>
      <c r="CG700">
        <f>'Grid_Requirement'!CE23</f>
        <v/>
      </c>
      <c r="CH700">
        <f>'Grid_Requirement'!CF23</f>
        <v/>
      </c>
      <c r="CI700">
        <f>'Grid_Requirement'!CG23</f>
        <v/>
      </c>
      <c r="CJ700">
        <f>'Grid_Requirement'!CH23</f>
        <v/>
      </c>
      <c r="CK700">
        <f>'Grid_Requirement'!CI23</f>
        <v/>
      </c>
      <c r="CL700">
        <f>'Grid_Requirement'!CJ23</f>
        <v/>
      </c>
      <c r="CM700">
        <f>'Grid_Requirement'!CK23</f>
        <v/>
      </c>
      <c r="CN700">
        <f>'Grid_Requirement'!CL23</f>
        <v/>
      </c>
      <c r="CO700">
        <f>'Grid_Requirement'!CM23</f>
        <v/>
      </c>
      <c r="CP700">
        <f>'Grid_Requirement'!CN23</f>
        <v/>
      </c>
      <c r="CQ700">
        <f>'Grid_Requirement'!CO23</f>
        <v/>
      </c>
      <c r="CR700">
        <f>'Grid_Requirement'!CP23</f>
        <v/>
      </c>
      <c r="CS700">
        <f>'Grid_Requirement'!CQ23</f>
        <v/>
      </c>
      <c r="CT700">
        <f>'Grid_Requirement'!CR23</f>
        <v/>
      </c>
      <c r="CU700">
        <f>'Grid_Requirement'!CS23</f>
        <v/>
      </c>
      <c r="CV700">
        <f>'Grid_Requirement'!CT23</f>
        <v/>
      </c>
      <c r="CW700">
        <f>'Grid_Requirement'!CU23</f>
        <v/>
      </c>
      <c r="CX700">
        <f>'Grid_Requirement'!CV23</f>
        <v/>
      </c>
      <c r="CY700">
        <f>'Grid_Requirement'!CW23</f>
        <v/>
      </c>
      <c r="CZ700">
        <f>'Grid_Requirement'!CX23</f>
        <v/>
      </c>
      <c r="DA700">
        <f>'Grid_Requirement'!CY23</f>
        <v/>
      </c>
      <c r="DB700">
        <f>'Grid_Requirement'!CZ23</f>
        <v/>
      </c>
      <c r="DC700">
        <f>'Grid_Requirement'!DA23</f>
        <v/>
      </c>
    </row>
    <row r="701">
      <c r="B701" t="inlineStr">
        <is>
          <t>TTAF在庫(実績,kg)</t>
        </is>
      </c>
      <c r="D701">
        <f>'T_TTAFStock'!B27</f>
        <v/>
      </c>
      <c r="E701">
        <f>'T_TTAFStock'!C27</f>
        <v/>
      </c>
      <c r="F701">
        <f>'T_TTAFStock'!D27</f>
        <v/>
      </c>
      <c r="G701">
        <f>'T_TTAFStock'!E27</f>
        <v/>
      </c>
      <c r="H701">
        <f>'T_TTAFStock'!F27</f>
        <v/>
      </c>
      <c r="I701">
        <f>'T_TTAFStock'!G27</f>
        <v/>
      </c>
      <c r="J701">
        <f>'T_TTAFStock'!H27</f>
        <v/>
      </c>
      <c r="K701">
        <f>'T_TTAFStock'!I27</f>
        <v/>
      </c>
      <c r="L701">
        <f>'T_TTAFStock'!J27</f>
        <v/>
      </c>
      <c r="M701">
        <f>'T_TTAFStock'!K27</f>
        <v/>
      </c>
      <c r="N701">
        <f>'T_TTAFStock'!L27</f>
        <v/>
      </c>
      <c r="O701">
        <f>'T_TTAFStock'!M27</f>
        <v/>
      </c>
      <c r="P701">
        <f>'T_TTAFStock'!N27</f>
        <v/>
      </c>
      <c r="Q701">
        <f>'T_TTAFStock'!O27</f>
        <v/>
      </c>
      <c r="R701">
        <f>'T_TTAFStock'!P27</f>
        <v/>
      </c>
      <c r="S701">
        <f>'T_TTAFStock'!Q27</f>
        <v/>
      </c>
      <c r="T701">
        <f>'T_TTAFStock'!R27</f>
        <v/>
      </c>
      <c r="U701">
        <f>'T_TTAFStock'!S27</f>
        <v/>
      </c>
      <c r="V701">
        <f>'T_TTAFStock'!T27</f>
        <v/>
      </c>
      <c r="W701">
        <f>'T_TTAFStock'!U27</f>
        <v/>
      </c>
      <c r="X701">
        <f>'T_TTAFStock'!V27</f>
        <v/>
      </c>
      <c r="Y701">
        <f>'T_TTAFStock'!W27</f>
        <v/>
      </c>
      <c r="Z701">
        <f>'T_TTAFStock'!X27</f>
        <v/>
      </c>
      <c r="AA701">
        <f>'T_TTAFStock'!Y27</f>
        <v/>
      </c>
      <c r="AB701">
        <f>'T_TTAFStock'!Z27</f>
        <v/>
      </c>
      <c r="AC701">
        <f>'T_TTAFStock'!AA27</f>
        <v/>
      </c>
      <c r="AD701">
        <f>'T_TTAFStock'!AB27</f>
        <v/>
      </c>
      <c r="AE701">
        <f>'T_TTAFStock'!AC27</f>
        <v/>
      </c>
      <c r="AF701">
        <f>'T_TTAFStock'!AD27</f>
        <v/>
      </c>
      <c r="AG701">
        <f>'T_TTAFStock'!AE27</f>
        <v/>
      </c>
      <c r="AH701">
        <f>'T_TTAFStock'!AF27</f>
        <v/>
      </c>
      <c r="AI701">
        <f>'T_TTAFStock'!AG27</f>
        <v/>
      </c>
      <c r="AJ701">
        <f>'T_TTAFStock'!AH27</f>
        <v/>
      </c>
      <c r="AK701">
        <f>'T_TTAFStock'!AI27</f>
        <v/>
      </c>
      <c r="AL701">
        <f>'T_TTAFStock'!AJ27</f>
        <v/>
      </c>
      <c r="AM701">
        <f>'T_TTAFStock'!AK27</f>
        <v/>
      </c>
      <c r="AN701">
        <f>'T_TTAFStock'!AL27</f>
        <v/>
      </c>
      <c r="AO701">
        <f>'T_TTAFStock'!AM27</f>
        <v/>
      </c>
      <c r="AP701">
        <f>'T_TTAFStock'!AN27</f>
        <v/>
      </c>
      <c r="AQ701">
        <f>'T_TTAFStock'!AO27</f>
        <v/>
      </c>
      <c r="AR701">
        <f>'T_TTAFStock'!AP27</f>
        <v/>
      </c>
      <c r="AS701">
        <f>'T_TTAFStock'!AQ27</f>
        <v/>
      </c>
      <c r="AT701">
        <f>'T_TTAFStock'!AR27</f>
        <v/>
      </c>
      <c r="AU701">
        <f>'T_TTAFStock'!AS27</f>
        <v/>
      </c>
      <c r="AV701">
        <f>'T_TTAFStock'!AT27</f>
        <v/>
      </c>
      <c r="AW701">
        <f>'T_TTAFStock'!AU27</f>
        <v/>
      </c>
      <c r="AX701">
        <f>'T_TTAFStock'!AV27</f>
        <v/>
      </c>
      <c r="AY701">
        <f>'T_TTAFStock'!AW27</f>
        <v/>
      </c>
      <c r="AZ701">
        <f>'T_TTAFStock'!AX27</f>
        <v/>
      </c>
      <c r="BA701">
        <f>'T_TTAFStock'!AY27</f>
        <v/>
      </c>
      <c r="BB701">
        <f>'T_TTAFStock'!AZ27</f>
        <v/>
      </c>
      <c r="BC701">
        <f>'T_TTAFStock'!BA27</f>
        <v/>
      </c>
      <c r="BD701">
        <f>'T_TTAFStock'!BB27</f>
        <v/>
      </c>
      <c r="BE701">
        <f>'T_TTAFStock'!BC27</f>
        <v/>
      </c>
      <c r="BF701">
        <f>'T_TTAFStock'!BD27</f>
        <v/>
      </c>
      <c r="BG701">
        <f>'T_TTAFStock'!BE27</f>
        <v/>
      </c>
      <c r="BH701">
        <f>'T_TTAFStock'!BF27</f>
        <v/>
      </c>
      <c r="BI701">
        <f>'T_TTAFStock'!BG27</f>
        <v/>
      </c>
      <c r="BJ701">
        <f>'T_TTAFStock'!BH27</f>
        <v/>
      </c>
      <c r="BK701">
        <f>'T_TTAFStock'!BI27</f>
        <v/>
      </c>
      <c r="BL701">
        <f>'T_TTAFStock'!BJ27</f>
        <v/>
      </c>
      <c r="BM701">
        <f>'T_TTAFStock'!BK27</f>
        <v/>
      </c>
      <c r="BN701">
        <f>'T_TTAFStock'!BL27</f>
        <v/>
      </c>
      <c r="BO701">
        <f>'T_TTAFStock'!BM27</f>
        <v/>
      </c>
      <c r="BP701">
        <f>'T_TTAFStock'!BN27</f>
        <v/>
      </c>
      <c r="BQ701">
        <f>'T_TTAFStock'!BO27</f>
        <v/>
      </c>
      <c r="BR701">
        <f>'T_TTAFStock'!BP27</f>
        <v/>
      </c>
      <c r="BS701">
        <f>'T_TTAFStock'!BQ27</f>
        <v/>
      </c>
      <c r="BT701">
        <f>'T_TTAFStock'!BR27</f>
        <v/>
      </c>
      <c r="BU701">
        <f>'T_TTAFStock'!BS27</f>
        <v/>
      </c>
      <c r="BV701">
        <f>'T_TTAFStock'!BT27</f>
        <v/>
      </c>
      <c r="BW701">
        <f>'T_TTAFStock'!BU27</f>
        <v/>
      </c>
      <c r="BX701">
        <f>'T_TTAFStock'!BV27</f>
        <v/>
      </c>
      <c r="BY701">
        <f>'T_TTAFStock'!BW27</f>
        <v/>
      </c>
      <c r="BZ701">
        <f>'T_TTAFStock'!BX27</f>
        <v/>
      </c>
      <c r="CA701">
        <f>'T_TTAFStock'!BY27</f>
        <v/>
      </c>
      <c r="CB701">
        <f>'T_TTAFStock'!BZ27</f>
        <v/>
      </c>
      <c r="CC701">
        <f>'T_TTAFStock'!CA27</f>
        <v/>
      </c>
      <c r="CD701">
        <f>'T_TTAFStock'!CB27</f>
        <v/>
      </c>
      <c r="CE701">
        <f>'T_TTAFStock'!CC27</f>
        <v/>
      </c>
      <c r="CF701">
        <f>'T_TTAFStock'!CD27</f>
        <v/>
      </c>
      <c r="CG701">
        <f>'T_TTAFStock'!CE27</f>
        <v/>
      </c>
      <c r="CH701">
        <f>'T_TTAFStock'!CF27</f>
        <v/>
      </c>
      <c r="CI701">
        <f>'T_TTAFStock'!CG27</f>
        <v/>
      </c>
      <c r="CJ701">
        <f>'T_TTAFStock'!CH27</f>
        <v/>
      </c>
      <c r="CK701">
        <f>'T_TTAFStock'!CI27</f>
        <v/>
      </c>
      <c r="CL701">
        <f>'T_TTAFStock'!CJ27</f>
        <v/>
      </c>
      <c r="CM701">
        <f>'T_TTAFStock'!CK27</f>
        <v/>
      </c>
      <c r="CN701">
        <f>'T_TTAFStock'!CL27</f>
        <v/>
      </c>
      <c r="CO701">
        <f>'T_TTAFStock'!CM27</f>
        <v/>
      </c>
      <c r="CP701">
        <f>'T_TTAFStock'!CN27</f>
        <v/>
      </c>
      <c r="CQ701">
        <f>'T_TTAFStock'!CO27</f>
        <v/>
      </c>
      <c r="CR701">
        <f>'T_TTAFStock'!CP27</f>
        <v/>
      </c>
      <c r="CS701">
        <f>'T_TTAFStock'!CQ27</f>
        <v/>
      </c>
      <c r="CT701">
        <f>'T_TTAFStock'!CR27</f>
        <v/>
      </c>
      <c r="CU701">
        <f>'T_TTAFStock'!CS27</f>
        <v/>
      </c>
      <c r="CV701">
        <f>'T_TTAFStock'!CT27</f>
        <v/>
      </c>
      <c r="CW701">
        <f>'T_TTAFStock'!CU27</f>
        <v/>
      </c>
      <c r="CX701">
        <f>'T_TTAFStock'!CV27</f>
        <v/>
      </c>
      <c r="CY701">
        <f>'T_TTAFStock'!CW27</f>
        <v/>
      </c>
      <c r="CZ701">
        <f>'T_TTAFStock'!CX27</f>
        <v/>
      </c>
      <c r="DA701">
        <f>'T_TTAFStock'!CY27</f>
        <v/>
      </c>
      <c r="DB701">
        <f>'T_TTAFStock'!CZ27</f>
        <v/>
      </c>
      <c r="DC701">
        <f>'T_TTAFStock'!DA27</f>
        <v/>
      </c>
    </row>
    <row r="702">
      <c r="B702" t="inlineStr">
        <is>
          <t>自社在庫(実績,kg)</t>
        </is>
      </c>
      <c r="D702">
        <f>'T_SelfStock'!B27</f>
        <v/>
      </c>
      <c r="E702">
        <f>'T_SelfStock'!C27</f>
        <v/>
      </c>
      <c r="F702">
        <f>'T_SelfStock'!D27</f>
        <v/>
      </c>
      <c r="G702">
        <f>'T_SelfStock'!E27</f>
        <v/>
      </c>
      <c r="H702">
        <f>'T_SelfStock'!F27</f>
        <v/>
      </c>
      <c r="I702">
        <f>'T_SelfStock'!G27</f>
        <v/>
      </c>
      <c r="J702">
        <f>'T_SelfStock'!H27</f>
        <v/>
      </c>
      <c r="K702">
        <f>'T_SelfStock'!I27</f>
        <v/>
      </c>
      <c r="L702">
        <f>'T_SelfStock'!J27</f>
        <v/>
      </c>
      <c r="M702">
        <f>'T_SelfStock'!K27</f>
        <v/>
      </c>
      <c r="N702">
        <f>'T_SelfStock'!L27</f>
        <v/>
      </c>
      <c r="O702">
        <f>'T_SelfStock'!M27</f>
        <v/>
      </c>
      <c r="P702">
        <f>'T_SelfStock'!N27</f>
        <v/>
      </c>
      <c r="Q702">
        <f>'T_SelfStock'!O27</f>
        <v/>
      </c>
      <c r="R702">
        <f>'T_SelfStock'!P27</f>
        <v/>
      </c>
      <c r="S702">
        <f>'T_SelfStock'!Q27</f>
        <v/>
      </c>
      <c r="T702">
        <f>'T_SelfStock'!R27</f>
        <v/>
      </c>
      <c r="U702">
        <f>'T_SelfStock'!S27</f>
        <v/>
      </c>
      <c r="V702">
        <f>'T_SelfStock'!T27</f>
        <v/>
      </c>
      <c r="W702">
        <f>'T_SelfStock'!U27</f>
        <v/>
      </c>
      <c r="X702">
        <f>'T_SelfStock'!V27</f>
        <v/>
      </c>
      <c r="Y702">
        <f>'T_SelfStock'!W27</f>
        <v/>
      </c>
      <c r="Z702">
        <f>'T_SelfStock'!X27</f>
        <v/>
      </c>
      <c r="AA702">
        <f>'T_SelfStock'!Y27</f>
        <v/>
      </c>
      <c r="AB702">
        <f>'T_SelfStock'!Z27</f>
        <v/>
      </c>
      <c r="AC702">
        <f>'T_SelfStock'!AA27</f>
        <v/>
      </c>
      <c r="AD702">
        <f>'T_SelfStock'!AB27</f>
        <v/>
      </c>
      <c r="AE702">
        <f>'T_SelfStock'!AC27</f>
        <v/>
      </c>
      <c r="AF702">
        <f>'T_SelfStock'!AD27</f>
        <v/>
      </c>
      <c r="AG702">
        <f>'T_SelfStock'!AE27</f>
        <v/>
      </c>
      <c r="AH702">
        <f>'T_SelfStock'!AF27</f>
        <v/>
      </c>
      <c r="AI702">
        <f>'T_SelfStock'!AG27</f>
        <v/>
      </c>
      <c r="AJ702">
        <f>'T_SelfStock'!AH27</f>
        <v/>
      </c>
      <c r="AK702">
        <f>'T_SelfStock'!AI27</f>
        <v/>
      </c>
      <c r="AL702">
        <f>'T_SelfStock'!AJ27</f>
        <v/>
      </c>
      <c r="AM702">
        <f>'T_SelfStock'!AK27</f>
        <v/>
      </c>
      <c r="AN702">
        <f>'T_SelfStock'!AL27</f>
        <v/>
      </c>
      <c r="AO702">
        <f>'T_SelfStock'!AM27</f>
        <v/>
      </c>
      <c r="AP702">
        <f>'T_SelfStock'!AN27</f>
        <v/>
      </c>
      <c r="AQ702">
        <f>'T_SelfStock'!AO27</f>
        <v/>
      </c>
      <c r="AR702">
        <f>'T_SelfStock'!AP27</f>
        <v/>
      </c>
      <c r="AS702">
        <f>'T_SelfStock'!AQ27</f>
        <v/>
      </c>
      <c r="AT702">
        <f>'T_SelfStock'!AR27</f>
        <v/>
      </c>
      <c r="AU702">
        <f>'T_SelfStock'!AS27</f>
        <v/>
      </c>
      <c r="AV702">
        <f>'T_SelfStock'!AT27</f>
        <v/>
      </c>
      <c r="AW702">
        <f>'T_SelfStock'!AU27</f>
        <v/>
      </c>
      <c r="AX702">
        <f>'T_SelfStock'!AV27</f>
        <v/>
      </c>
      <c r="AY702">
        <f>'T_SelfStock'!AW27</f>
        <v/>
      </c>
      <c r="AZ702">
        <f>'T_SelfStock'!AX27</f>
        <v/>
      </c>
      <c r="BA702">
        <f>'T_SelfStock'!AY27</f>
        <v/>
      </c>
      <c r="BB702">
        <f>'T_SelfStock'!AZ27</f>
        <v/>
      </c>
      <c r="BC702">
        <f>'T_SelfStock'!BA27</f>
        <v/>
      </c>
      <c r="BD702">
        <f>'T_SelfStock'!BB27</f>
        <v/>
      </c>
      <c r="BE702">
        <f>'T_SelfStock'!BC27</f>
        <v/>
      </c>
      <c r="BF702">
        <f>'T_SelfStock'!BD27</f>
        <v/>
      </c>
      <c r="BG702">
        <f>'T_SelfStock'!BE27</f>
        <v/>
      </c>
      <c r="BH702">
        <f>'T_SelfStock'!BF27</f>
        <v/>
      </c>
      <c r="BI702">
        <f>'T_SelfStock'!BG27</f>
        <v/>
      </c>
      <c r="BJ702">
        <f>'T_SelfStock'!BH27</f>
        <v/>
      </c>
      <c r="BK702">
        <f>'T_SelfStock'!BI27</f>
        <v/>
      </c>
      <c r="BL702">
        <f>'T_SelfStock'!BJ27</f>
        <v/>
      </c>
      <c r="BM702">
        <f>'T_SelfStock'!BK27</f>
        <v/>
      </c>
      <c r="BN702">
        <f>'T_SelfStock'!BL27</f>
        <v/>
      </c>
      <c r="BO702">
        <f>'T_SelfStock'!BM27</f>
        <v/>
      </c>
      <c r="BP702">
        <f>'T_SelfStock'!BN27</f>
        <v/>
      </c>
      <c r="BQ702">
        <f>'T_SelfStock'!BO27</f>
        <v/>
      </c>
      <c r="BR702">
        <f>'T_SelfStock'!BP27</f>
        <v/>
      </c>
      <c r="BS702">
        <f>'T_SelfStock'!BQ27</f>
        <v/>
      </c>
      <c r="BT702">
        <f>'T_SelfStock'!BR27</f>
        <v/>
      </c>
      <c r="BU702">
        <f>'T_SelfStock'!BS27</f>
        <v/>
      </c>
      <c r="BV702">
        <f>'T_SelfStock'!BT27</f>
        <v/>
      </c>
      <c r="BW702">
        <f>'T_SelfStock'!BU27</f>
        <v/>
      </c>
      <c r="BX702">
        <f>'T_SelfStock'!BV27</f>
        <v/>
      </c>
      <c r="BY702">
        <f>'T_SelfStock'!BW27</f>
        <v/>
      </c>
      <c r="BZ702">
        <f>'T_SelfStock'!BX27</f>
        <v/>
      </c>
      <c r="CA702">
        <f>'T_SelfStock'!BY27</f>
        <v/>
      </c>
      <c r="CB702">
        <f>'T_SelfStock'!BZ27</f>
        <v/>
      </c>
      <c r="CC702">
        <f>'T_SelfStock'!CA27</f>
        <v/>
      </c>
      <c r="CD702">
        <f>'T_SelfStock'!CB27</f>
        <v/>
      </c>
      <c r="CE702">
        <f>'T_SelfStock'!CC27</f>
        <v/>
      </c>
      <c r="CF702">
        <f>'T_SelfStock'!CD27</f>
        <v/>
      </c>
      <c r="CG702">
        <f>'T_SelfStock'!CE27</f>
        <v/>
      </c>
      <c r="CH702">
        <f>'T_SelfStock'!CF27</f>
        <v/>
      </c>
      <c r="CI702">
        <f>'T_SelfStock'!CG27</f>
        <v/>
      </c>
      <c r="CJ702">
        <f>'T_SelfStock'!CH27</f>
        <v/>
      </c>
      <c r="CK702">
        <f>'T_SelfStock'!CI27</f>
        <v/>
      </c>
      <c r="CL702">
        <f>'T_SelfStock'!CJ27</f>
        <v/>
      </c>
      <c r="CM702">
        <f>'T_SelfStock'!CK27</f>
        <v/>
      </c>
      <c r="CN702">
        <f>'T_SelfStock'!CL27</f>
        <v/>
      </c>
      <c r="CO702">
        <f>'T_SelfStock'!CM27</f>
        <v/>
      </c>
      <c r="CP702">
        <f>'T_SelfStock'!CN27</f>
        <v/>
      </c>
      <c r="CQ702">
        <f>'T_SelfStock'!CO27</f>
        <v/>
      </c>
      <c r="CR702">
        <f>'T_SelfStock'!CP27</f>
        <v/>
      </c>
      <c r="CS702">
        <f>'T_SelfStock'!CQ27</f>
        <v/>
      </c>
      <c r="CT702">
        <f>'T_SelfStock'!CR27</f>
        <v/>
      </c>
      <c r="CU702">
        <f>'T_SelfStock'!CS27</f>
        <v/>
      </c>
      <c r="CV702">
        <f>'T_SelfStock'!CT27</f>
        <v/>
      </c>
      <c r="CW702">
        <f>'T_SelfStock'!CU27</f>
        <v/>
      </c>
      <c r="CX702">
        <f>'T_SelfStock'!CV27</f>
        <v/>
      </c>
      <c r="CY702">
        <f>'T_SelfStock'!CW27</f>
        <v/>
      </c>
      <c r="CZ702">
        <f>'T_SelfStock'!CX27</f>
        <v/>
      </c>
      <c r="DA702">
        <f>'T_SelfStock'!CY27</f>
        <v/>
      </c>
      <c r="DB702">
        <f>'T_SelfStock'!CZ27</f>
        <v/>
      </c>
      <c r="DC702">
        <f>'T_SelfStock'!DA27</f>
        <v/>
      </c>
    </row>
    <row r="703">
      <c r="B703" t="inlineStr">
        <is>
          <t>Order(発注予定,kg)</t>
        </is>
      </c>
      <c r="D703">
        <f>IF(SUMIFS(T_PlannedOrders[EffectiveQty],T_PlannedOrders[Part Name],$A639,T_PlannedOrders[WeekIndex],1)=0,"",SUMIFS(T_PlannedOrders[EffectiveQty],T_PlannedOrders[Part Name],$A639,T_PlannedOrders[WeekIndex],1)&amp;" ("&amp;TEXT(SUMPRODUCT(MAX((T_PlannedOrders[Part Name]=$A639)*(T_PlannedOrders[WeekIndex]=1)*(T_PlannedOrders[EffectiveQty]&gt;0)*T_PlannedOrders[Order_Month])),"m月")&amp;"発注)")</f>
        <v/>
      </c>
      <c r="E703">
        <f>IF(SUMIFS(T_PlannedOrders[EffectiveQty],T_PlannedOrders[Part Name],$A639,T_PlannedOrders[WeekIndex],2)=0,"",SUMIFS(T_PlannedOrders[EffectiveQty],T_PlannedOrders[Part Name],$A639,T_PlannedOrders[WeekIndex],2)&amp;" ("&amp;TEXT(SUMPRODUCT(MAX((T_PlannedOrders[Part Name]=$A639)*(T_PlannedOrders[WeekIndex]=2)*(T_PlannedOrders[EffectiveQty]&gt;0)*T_PlannedOrders[Order_Month])),"m月")&amp;"発注)")</f>
        <v/>
      </c>
      <c r="F703">
        <f>IF(SUMIFS(T_PlannedOrders[EffectiveQty],T_PlannedOrders[Part Name],$A639,T_PlannedOrders[WeekIndex],3)=0,"",SUMIFS(T_PlannedOrders[EffectiveQty],T_PlannedOrders[Part Name],$A639,T_PlannedOrders[WeekIndex],3)&amp;" ("&amp;TEXT(SUMPRODUCT(MAX((T_PlannedOrders[Part Name]=$A639)*(T_PlannedOrders[WeekIndex]=3)*(T_PlannedOrders[EffectiveQty]&gt;0)*T_PlannedOrders[Order_Month])),"m月")&amp;"発注)")</f>
        <v/>
      </c>
      <c r="G703">
        <f>IF(SUMIFS(T_PlannedOrders[EffectiveQty],T_PlannedOrders[Part Name],$A639,T_PlannedOrders[WeekIndex],4)=0,"",SUMIFS(T_PlannedOrders[EffectiveQty],T_PlannedOrders[Part Name],$A639,T_PlannedOrders[WeekIndex],4)&amp;" ("&amp;TEXT(SUMPRODUCT(MAX((T_PlannedOrders[Part Name]=$A639)*(T_PlannedOrders[WeekIndex]=4)*(T_PlannedOrders[EffectiveQty]&gt;0)*T_PlannedOrders[Order_Month])),"m月")&amp;"発注)")</f>
        <v/>
      </c>
      <c r="H703">
        <f>IF(SUMIFS(T_PlannedOrders[EffectiveQty],T_PlannedOrders[Part Name],$A639,T_PlannedOrders[WeekIndex],5)=0,"",SUMIFS(T_PlannedOrders[EffectiveQty],T_PlannedOrders[Part Name],$A639,T_PlannedOrders[WeekIndex],5)&amp;" ("&amp;TEXT(SUMPRODUCT(MAX((T_PlannedOrders[Part Name]=$A639)*(T_PlannedOrders[WeekIndex]=5)*(T_PlannedOrders[EffectiveQty]&gt;0)*T_PlannedOrders[Order_Month])),"m月")&amp;"発注)")</f>
        <v/>
      </c>
      <c r="I703">
        <f>IF(SUMIFS(T_PlannedOrders[EffectiveQty],T_PlannedOrders[Part Name],$A639,T_PlannedOrders[WeekIndex],6)=0,"",SUMIFS(T_PlannedOrders[EffectiveQty],T_PlannedOrders[Part Name],$A639,T_PlannedOrders[WeekIndex],6)&amp;" ("&amp;TEXT(SUMPRODUCT(MAX((T_PlannedOrders[Part Name]=$A639)*(T_PlannedOrders[WeekIndex]=6)*(T_PlannedOrders[EffectiveQty]&gt;0)*T_PlannedOrders[Order_Month])),"m月")&amp;"発注)")</f>
        <v/>
      </c>
      <c r="J703">
        <f>IF(SUMIFS(T_PlannedOrders[EffectiveQty],T_PlannedOrders[Part Name],$A639,T_PlannedOrders[WeekIndex],7)=0,"",SUMIFS(T_PlannedOrders[EffectiveQty],T_PlannedOrders[Part Name],$A639,T_PlannedOrders[WeekIndex],7)&amp;" ("&amp;TEXT(SUMPRODUCT(MAX((T_PlannedOrders[Part Name]=$A639)*(T_PlannedOrders[WeekIndex]=7)*(T_PlannedOrders[EffectiveQty]&gt;0)*T_PlannedOrders[Order_Month])),"m月")&amp;"発注)")</f>
        <v/>
      </c>
      <c r="K703">
        <f>IF(SUMIFS(T_PlannedOrders[EffectiveQty],T_PlannedOrders[Part Name],$A639,T_PlannedOrders[WeekIndex],8)=0,"",SUMIFS(T_PlannedOrders[EffectiveQty],T_PlannedOrders[Part Name],$A639,T_PlannedOrders[WeekIndex],8)&amp;" ("&amp;TEXT(SUMPRODUCT(MAX((T_PlannedOrders[Part Name]=$A639)*(T_PlannedOrders[WeekIndex]=8)*(T_PlannedOrders[EffectiveQty]&gt;0)*T_PlannedOrders[Order_Month])),"m月")&amp;"発注)")</f>
        <v/>
      </c>
      <c r="L703">
        <f>IF(SUMIFS(T_PlannedOrders[EffectiveQty],T_PlannedOrders[Part Name],$A639,T_PlannedOrders[WeekIndex],9)=0,"",SUMIFS(T_PlannedOrders[EffectiveQty],T_PlannedOrders[Part Name],$A639,T_PlannedOrders[WeekIndex],9)&amp;" ("&amp;TEXT(SUMPRODUCT(MAX((T_PlannedOrders[Part Name]=$A639)*(T_PlannedOrders[WeekIndex]=9)*(T_PlannedOrders[EffectiveQty]&gt;0)*T_PlannedOrders[Order_Month])),"m月")&amp;"発注)")</f>
        <v/>
      </c>
      <c r="M703">
        <f>IF(SUMIFS(T_PlannedOrders[EffectiveQty],T_PlannedOrders[Part Name],$A639,T_PlannedOrders[WeekIndex],10)=0,"",SUMIFS(T_PlannedOrders[EffectiveQty],T_PlannedOrders[Part Name],$A639,T_PlannedOrders[WeekIndex],10)&amp;" ("&amp;TEXT(SUMPRODUCT(MAX((T_PlannedOrders[Part Name]=$A639)*(T_PlannedOrders[WeekIndex]=10)*(T_PlannedOrders[EffectiveQty]&gt;0)*T_PlannedOrders[Order_Month])),"m月")&amp;"発注)")</f>
        <v/>
      </c>
      <c r="N703">
        <f>IF(SUMIFS(T_PlannedOrders[EffectiveQty],T_PlannedOrders[Part Name],$A639,T_PlannedOrders[WeekIndex],11)=0,"",SUMIFS(T_PlannedOrders[EffectiveQty],T_PlannedOrders[Part Name],$A639,T_PlannedOrders[WeekIndex],11)&amp;" ("&amp;TEXT(SUMPRODUCT(MAX((T_PlannedOrders[Part Name]=$A639)*(T_PlannedOrders[WeekIndex]=11)*(T_PlannedOrders[EffectiveQty]&gt;0)*T_PlannedOrders[Order_Month])),"m月")&amp;"発注)")</f>
        <v/>
      </c>
      <c r="O703">
        <f>IF(SUMIFS(T_PlannedOrders[EffectiveQty],T_PlannedOrders[Part Name],$A639,T_PlannedOrders[WeekIndex],12)=0,"",SUMIFS(T_PlannedOrders[EffectiveQty],T_PlannedOrders[Part Name],$A639,T_PlannedOrders[WeekIndex],12)&amp;" ("&amp;TEXT(SUMPRODUCT(MAX((T_PlannedOrders[Part Name]=$A639)*(T_PlannedOrders[WeekIndex]=12)*(T_PlannedOrders[EffectiveQty]&gt;0)*T_PlannedOrders[Order_Month])),"m月")&amp;"発注)")</f>
        <v/>
      </c>
      <c r="P703">
        <f>IF(SUMIFS(T_PlannedOrders[EffectiveQty],T_PlannedOrders[Part Name],$A639,T_PlannedOrders[WeekIndex],13)=0,"",SUMIFS(T_PlannedOrders[EffectiveQty],T_PlannedOrders[Part Name],$A639,T_PlannedOrders[WeekIndex],13)&amp;" ("&amp;TEXT(SUMPRODUCT(MAX((T_PlannedOrders[Part Name]=$A639)*(T_PlannedOrders[WeekIndex]=13)*(T_PlannedOrders[EffectiveQty]&gt;0)*T_PlannedOrders[Order_Month])),"m月")&amp;"発注)")</f>
        <v/>
      </c>
      <c r="Q703">
        <f>IF(SUMIFS(T_PlannedOrders[EffectiveQty],T_PlannedOrders[Part Name],$A639,T_PlannedOrders[WeekIndex],14)=0,"",SUMIFS(T_PlannedOrders[EffectiveQty],T_PlannedOrders[Part Name],$A639,T_PlannedOrders[WeekIndex],14)&amp;" ("&amp;TEXT(SUMPRODUCT(MAX((T_PlannedOrders[Part Name]=$A639)*(T_PlannedOrders[WeekIndex]=14)*(T_PlannedOrders[EffectiveQty]&gt;0)*T_PlannedOrders[Order_Month])),"m月")&amp;"発注)")</f>
        <v/>
      </c>
      <c r="R703">
        <f>IF(SUMIFS(T_PlannedOrders[EffectiveQty],T_PlannedOrders[Part Name],$A639,T_PlannedOrders[WeekIndex],15)=0,"",SUMIFS(T_PlannedOrders[EffectiveQty],T_PlannedOrders[Part Name],$A639,T_PlannedOrders[WeekIndex],15)&amp;" ("&amp;TEXT(SUMPRODUCT(MAX((T_PlannedOrders[Part Name]=$A639)*(T_PlannedOrders[WeekIndex]=15)*(T_PlannedOrders[EffectiveQty]&gt;0)*T_PlannedOrders[Order_Month])),"m月")&amp;"発注)")</f>
        <v/>
      </c>
      <c r="S703">
        <f>IF(SUMIFS(T_PlannedOrders[EffectiveQty],T_PlannedOrders[Part Name],$A639,T_PlannedOrders[WeekIndex],16)=0,"",SUMIFS(T_PlannedOrders[EffectiveQty],T_PlannedOrders[Part Name],$A639,T_PlannedOrders[WeekIndex],16)&amp;" ("&amp;TEXT(SUMPRODUCT(MAX((T_PlannedOrders[Part Name]=$A639)*(T_PlannedOrders[WeekIndex]=16)*(T_PlannedOrders[EffectiveQty]&gt;0)*T_PlannedOrders[Order_Month])),"m月")&amp;"発注)")</f>
        <v/>
      </c>
      <c r="T703">
        <f>IF(SUMIFS(T_PlannedOrders[EffectiveQty],T_PlannedOrders[Part Name],$A639,T_PlannedOrders[WeekIndex],17)=0,"",SUMIFS(T_PlannedOrders[EffectiveQty],T_PlannedOrders[Part Name],$A639,T_PlannedOrders[WeekIndex],17)&amp;" ("&amp;TEXT(SUMPRODUCT(MAX((T_PlannedOrders[Part Name]=$A639)*(T_PlannedOrders[WeekIndex]=17)*(T_PlannedOrders[EffectiveQty]&gt;0)*T_PlannedOrders[Order_Month])),"m月")&amp;"発注)")</f>
        <v/>
      </c>
      <c r="U703">
        <f>IF(SUMIFS(T_PlannedOrders[EffectiveQty],T_PlannedOrders[Part Name],$A639,T_PlannedOrders[WeekIndex],18)=0,"",SUMIFS(T_PlannedOrders[EffectiveQty],T_PlannedOrders[Part Name],$A639,T_PlannedOrders[WeekIndex],18)&amp;" ("&amp;TEXT(SUMPRODUCT(MAX((T_PlannedOrders[Part Name]=$A639)*(T_PlannedOrders[WeekIndex]=18)*(T_PlannedOrders[EffectiveQty]&gt;0)*T_PlannedOrders[Order_Month])),"m月")&amp;"発注)")</f>
        <v/>
      </c>
      <c r="V703">
        <f>IF(SUMIFS(T_PlannedOrders[EffectiveQty],T_PlannedOrders[Part Name],$A639,T_PlannedOrders[WeekIndex],19)=0,"",SUMIFS(T_PlannedOrders[EffectiveQty],T_PlannedOrders[Part Name],$A639,T_PlannedOrders[WeekIndex],19)&amp;" ("&amp;TEXT(SUMPRODUCT(MAX((T_PlannedOrders[Part Name]=$A639)*(T_PlannedOrders[WeekIndex]=19)*(T_PlannedOrders[EffectiveQty]&gt;0)*T_PlannedOrders[Order_Month])),"m月")&amp;"発注)")</f>
        <v/>
      </c>
      <c r="W703">
        <f>IF(SUMIFS(T_PlannedOrders[EffectiveQty],T_PlannedOrders[Part Name],$A639,T_PlannedOrders[WeekIndex],20)=0,"",SUMIFS(T_PlannedOrders[EffectiveQty],T_PlannedOrders[Part Name],$A639,T_PlannedOrders[WeekIndex],20)&amp;" ("&amp;TEXT(SUMPRODUCT(MAX((T_PlannedOrders[Part Name]=$A639)*(T_PlannedOrders[WeekIndex]=20)*(T_PlannedOrders[EffectiveQty]&gt;0)*T_PlannedOrders[Order_Month])),"m月")&amp;"発注)")</f>
        <v/>
      </c>
      <c r="X703">
        <f>IF(SUMIFS(T_PlannedOrders[EffectiveQty],T_PlannedOrders[Part Name],$A639,T_PlannedOrders[WeekIndex],21)=0,"",SUMIFS(T_PlannedOrders[EffectiveQty],T_PlannedOrders[Part Name],$A639,T_PlannedOrders[WeekIndex],21)&amp;" ("&amp;TEXT(SUMPRODUCT(MAX((T_PlannedOrders[Part Name]=$A639)*(T_PlannedOrders[WeekIndex]=21)*(T_PlannedOrders[EffectiveQty]&gt;0)*T_PlannedOrders[Order_Month])),"m月")&amp;"発注)")</f>
        <v/>
      </c>
      <c r="Y703">
        <f>IF(SUMIFS(T_PlannedOrders[EffectiveQty],T_PlannedOrders[Part Name],$A639,T_PlannedOrders[WeekIndex],22)=0,"",SUMIFS(T_PlannedOrders[EffectiveQty],T_PlannedOrders[Part Name],$A639,T_PlannedOrders[WeekIndex],22)&amp;" ("&amp;TEXT(SUMPRODUCT(MAX((T_PlannedOrders[Part Name]=$A639)*(T_PlannedOrders[WeekIndex]=22)*(T_PlannedOrders[EffectiveQty]&gt;0)*T_PlannedOrders[Order_Month])),"m月")&amp;"発注)")</f>
        <v/>
      </c>
      <c r="Z703">
        <f>IF(SUMIFS(T_PlannedOrders[EffectiveQty],T_PlannedOrders[Part Name],$A639,T_PlannedOrders[WeekIndex],23)=0,"",SUMIFS(T_PlannedOrders[EffectiveQty],T_PlannedOrders[Part Name],$A639,T_PlannedOrders[WeekIndex],23)&amp;" ("&amp;TEXT(SUMPRODUCT(MAX((T_PlannedOrders[Part Name]=$A639)*(T_PlannedOrders[WeekIndex]=23)*(T_PlannedOrders[EffectiveQty]&gt;0)*T_PlannedOrders[Order_Month])),"m月")&amp;"発注)")</f>
        <v/>
      </c>
      <c r="AA703">
        <f>IF(SUMIFS(T_PlannedOrders[EffectiveQty],T_PlannedOrders[Part Name],$A639,T_PlannedOrders[WeekIndex],24)=0,"",SUMIFS(T_PlannedOrders[EffectiveQty],T_PlannedOrders[Part Name],$A639,T_PlannedOrders[WeekIndex],24)&amp;" ("&amp;TEXT(SUMPRODUCT(MAX((T_PlannedOrders[Part Name]=$A639)*(T_PlannedOrders[WeekIndex]=24)*(T_PlannedOrders[EffectiveQty]&gt;0)*T_PlannedOrders[Order_Month])),"m月")&amp;"発注)")</f>
        <v/>
      </c>
      <c r="AB703">
        <f>IF(SUMIFS(T_PlannedOrders[EffectiveQty],T_PlannedOrders[Part Name],$A639,T_PlannedOrders[WeekIndex],25)=0,"",SUMIFS(T_PlannedOrders[EffectiveQty],T_PlannedOrders[Part Name],$A639,T_PlannedOrders[WeekIndex],25)&amp;" ("&amp;TEXT(SUMPRODUCT(MAX((T_PlannedOrders[Part Name]=$A639)*(T_PlannedOrders[WeekIndex]=25)*(T_PlannedOrders[EffectiveQty]&gt;0)*T_PlannedOrders[Order_Month])),"m月")&amp;"発注)")</f>
        <v/>
      </c>
      <c r="AC703">
        <f>IF(SUMIFS(T_PlannedOrders[EffectiveQty],T_PlannedOrders[Part Name],$A639,T_PlannedOrders[WeekIndex],26)=0,"",SUMIFS(T_PlannedOrders[EffectiveQty],T_PlannedOrders[Part Name],$A639,T_PlannedOrders[WeekIndex],26)&amp;" ("&amp;TEXT(SUMPRODUCT(MAX((T_PlannedOrders[Part Name]=$A639)*(T_PlannedOrders[WeekIndex]=26)*(T_PlannedOrders[EffectiveQty]&gt;0)*T_PlannedOrders[Order_Month])),"m月")&amp;"発注)")</f>
        <v/>
      </c>
      <c r="AD703">
        <f>IF(SUMIFS(T_PlannedOrders[EffectiveQty],T_PlannedOrders[Part Name],$A639,T_PlannedOrders[WeekIndex],27)=0,"",SUMIFS(T_PlannedOrders[EffectiveQty],T_PlannedOrders[Part Name],$A639,T_PlannedOrders[WeekIndex],27)&amp;" ("&amp;TEXT(SUMPRODUCT(MAX((T_PlannedOrders[Part Name]=$A639)*(T_PlannedOrders[WeekIndex]=27)*(T_PlannedOrders[EffectiveQty]&gt;0)*T_PlannedOrders[Order_Month])),"m月")&amp;"発注)")</f>
        <v/>
      </c>
      <c r="AE703">
        <f>IF(SUMIFS(T_PlannedOrders[EffectiveQty],T_PlannedOrders[Part Name],$A639,T_PlannedOrders[WeekIndex],28)=0,"",SUMIFS(T_PlannedOrders[EffectiveQty],T_PlannedOrders[Part Name],$A639,T_PlannedOrders[WeekIndex],28)&amp;" ("&amp;TEXT(SUMPRODUCT(MAX((T_PlannedOrders[Part Name]=$A639)*(T_PlannedOrders[WeekIndex]=28)*(T_PlannedOrders[EffectiveQty]&gt;0)*T_PlannedOrders[Order_Month])),"m月")&amp;"発注)")</f>
        <v/>
      </c>
      <c r="AF703">
        <f>IF(SUMIFS(T_PlannedOrders[EffectiveQty],T_PlannedOrders[Part Name],$A639,T_PlannedOrders[WeekIndex],29)=0,"",SUMIFS(T_PlannedOrders[EffectiveQty],T_PlannedOrders[Part Name],$A639,T_PlannedOrders[WeekIndex],29)&amp;" ("&amp;TEXT(SUMPRODUCT(MAX((T_PlannedOrders[Part Name]=$A639)*(T_PlannedOrders[WeekIndex]=29)*(T_PlannedOrders[EffectiveQty]&gt;0)*T_PlannedOrders[Order_Month])),"m月")&amp;"発注)")</f>
        <v/>
      </c>
      <c r="AG703">
        <f>IF(SUMIFS(T_PlannedOrders[EffectiveQty],T_PlannedOrders[Part Name],$A639,T_PlannedOrders[WeekIndex],30)=0,"",SUMIFS(T_PlannedOrders[EffectiveQty],T_PlannedOrders[Part Name],$A639,T_PlannedOrders[WeekIndex],30)&amp;" ("&amp;TEXT(SUMPRODUCT(MAX((T_PlannedOrders[Part Name]=$A639)*(T_PlannedOrders[WeekIndex]=30)*(T_PlannedOrders[EffectiveQty]&gt;0)*T_PlannedOrders[Order_Month])),"m月")&amp;"発注)")</f>
        <v/>
      </c>
      <c r="AH703">
        <f>IF(SUMIFS(T_PlannedOrders[EffectiveQty],T_PlannedOrders[Part Name],$A639,T_PlannedOrders[WeekIndex],31)=0,"",SUMIFS(T_PlannedOrders[EffectiveQty],T_PlannedOrders[Part Name],$A639,T_PlannedOrders[WeekIndex],31)&amp;" ("&amp;TEXT(SUMPRODUCT(MAX((T_PlannedOrders[Part Name]=$A639)*(T_PlannedOrders[WeekIndex]=31)*(T_PlannedOrders[EffectiveQty]&gt;0)*T_PlannedOrders[Order_Month])),"m月")&amp;"発注)")</f>
        <v/>
      </c>
      <c r="AI703">
        <f>IF(SUMIFS(T_PlannedOrders[EffectiveQty],T_PlannedOrders[Part Name],$A639,T_PlannedOrders[WeekIndex],32)=0,"",SUMIFS(T_PlannedOrders[EffectiveQty],T_PlannedOrders[Part Name],$A639,T_PlannedOrders[WeekIndex],32)&amp;" ("&amp;TEXT(SUMPRODUCT(MAX((T_PlannedOrders[Part Name]=$A639)*(T_PlannedOrders[WeekIndex]=32)*(T_PlannedOrders[EffectiveQty]&gt;0)*T_PlannedOrders[Order_Month])),"m月")&amp;"発注)")</f>
        <v/>
      </c>
      <c r="AJ703">
        <f>IF(SUMIFS(T_PlannedOrders[EffectiveQty],T_PlannedOrders[Part Name],$A639,T_PlannedOrders[WeekIndex],33)=0,"",SUMIFS(T_PlannedOrders[EffectiveQty],T_PlannedOrders[Part Name],$A639,T_PlannedOrders[WeekIndex],33)&amp;" ("&amp;TEXT(SUMPRODUCT(MAX((T_PlannedOrders[Part Name]=$A639)*(T_PlannedOrders[WeekIndex]=33)*(T_PlannedOrders[EffectiveQty]&gt;0)*T_PlannedOrders[Order_Month])),"m月")&amp;"発注)")</f>
        <v/>
      </c>
      <c r="AK703">
        <f>IF(SUMIFS(T_PlannedOrders[EffectiveQty],T_PlannedOrders[Part Name],$A639,T_PlannedOrders[WeekIndex],34)=0,"",SUMIFS(T_PlannedOrders[EffectiveQty],T_PlannedOrders[Part Name],$A639,T_PlannedOrders[WeekIndex],34)&amp;" ("&amp;TEXT(SUMPRODUCT(MAX((T_PlannedOrders[Part Name]=$A639)*(T_PlannedOrders[WeekIndex]=34)*(T_PlannedOrders[EffectiveQty]&gt;0)*T_PlannedOrders[Order_Month])),"m月")&amp;"発注)")</f>
        <v/>
      </c>
      <c r="AL703">
        <f>IF(SUMIFS(T_PlannedOrders[EffectiveQty],T_PlannedOrders[Part Name],$A639,T_PlannedOrders[WeekIndex],35)=0,"",SUMIFS(T_PlannedOrders[EffectiveQty],T_PlannedOrders[Part Name],$A639,T_PlannedOrders[WeekIndex],35)&amp;" ("&amp;TEXT(SUMPRODUCT(MAX((T_PlannedOrders[Part Name]=$A639)*(T_PlannedOrders[WeekIndex]=35)*(T_PlannedOrders[EffectiveQty]&gt;0)*T_PlannedOrders[Order_Month])),"m月")&amp;"発注)")</f>
        <v/>
      </c>
      <c r="AM703">
        <f>IF(SUMIFS(T_PlannedOrders[EffectiveQty],T_PlannedOrders[Part Name],$A639,T_PlannedOrders[WeekIndex],36)=0,"",SUMIFS(T_PlannedOrders[EffectiveQty],T_PlannedOrders[Part Name],$A639,T_PlannedOrders[WeekIndex],36)&amp;" ("&amp;TEXT(SUMPRODUCT(MAX((T_PlannedOrders[Part Name]=$A639)*(T_PlannedOrders[WeekIndex]=36)*(T_PlannedOrders[EffectiveQty]&gt;0)*T_PlannedOrders[Order_Month])),"m月")&amp;"発注)")</f>
        <v/>
      </c>
      <c r="AN703">
        <f>IF(SUMIFS(T_PlannedOrders[EffectiveQty],T_PlannedOrders[Part Name],$A639,T_PlannedOrders[WeekIndex],37)=0,"",SUMIFS(T_PlannedOrders[EffectiveQty],T_PlannedOrders[Part Name],$A639,T_PlannedOrders[WeekIndex],37)&amp;" ("&amp;TEXT(SUMPRODUCT(MAX((T_PlannedOrders[Part Name]=$A639)*(T_PlannedOrders[WeekIndex]=37)*(T_PlannedOrders[EffectiveQty]&gt;0)*T_PlannedOrders[Order_Month])),"m月")&amp;"発注)")</f>
        <v/>
      </c>
      <c r="AO703">
        <f>IF(SUMIFS(T_PlannedOrders[EffectiveQty],T_PlannedOrders[Part Name],$A639,T_PlannedOrders[WeekIndex],38)=0,"",SUMIFS(T_PlannedOrders[EffectiveQty],T_PlannedOrders[Part Name],$A639,T_PlannedOrders[WeekIndex],38)&amp;" ("&amp;TEXT(SUMPRODUCT(MAX((T_PlannedOrders[Part Name]=$A639)*(T_PlannedOrders[WeekIndex]=38)*(T_PlannedOrders[EffectiveQty]&gt;0)*T_PlannedOrders[Order_Month])),"m月")&amp;"発注)")</f>
        <v/>
      </c>
      <c r="AP703">
        <f>IF(SUMIFS(T_PlannedOrders[EffectiveQty],T_PlannedOrders[Part Name],$A639,T_PlannedOrders[WeekIndex],39)=0,"",SUMIFS(T_PlannedOrders[EffectiveQty],T_PlannedOrders[Part Name],$A639,T_PlannedOrders[WeekIndex],39)&amp;" ("&amp;TEXT(SUMPRODUCT(MAX((T_PlannedOrders[Part Name]=$A639)*(T_PlannedOrders[WeekIndex]=39)*(T_PlannedOrders[EffectiveQty]&gt;0)*T_PlannedOrders[Order_Month])),"m月")&amp;"発注)")</f>
        <v/>
      </c>
      <c r="AQ703">
        <f>IF(SUMIFS(T_PlannedOrders[EffectiveQty],T_PlannedOrders[Part Name],$A639,T_PlannedOrders[WeekIndex],40)=0,"",SUMIFS(T_PlannedOrders[EffectiveQty],T_PlannedOrders[Part Name],$A639,T_PlannedOrders[WeekIndex],40)&amp;" ("&amp;TEXT(SUMPRODUCT(MAX((T_PlannedOrders[Part Name]=$A639)*(T_PlannedOrders[WeekIndex]=40)*(T_PlannedOrders[EffectiveQty]&gt;0)*T_PlannedOrders[Order_Month])),"m月")&amp;"発注)")</f>
        <v/>
      </c>
      <c r="AR703">
        <f>IF(SUMIFS(T_PlannedOrders[EffectiveQty],T_PlannedOrders[Part Name],$A639,T_PlannedOrders[WeekIndex],41)=0,"",SUMIFS(T_PlannedOrders[EffectiveQty],T_PlannedOrders[Part Name],$A639,T_PlannedOrders[WeekIndex],41)&amp;" ("&amp;TEXT(SUMPRODUCT(MAX((T_PlannedOrders[Part Name]=$A639)*(T_PlannedOrders[WeekIndex]=41)*(T_PlannedOrders[EffectiveQty]&gt;0)*T_PlannedOrders[Order_Month])),"m月")&amp;"発注)")</f>
        <v/>
      </c>
      <c r="AS703">
        <f>IF(SUMIFS(T_PlannedOrders[EffectiveQty],T_PlannedOrders[Part Name],$A639,T_PlannedOrders[WeekIndex],42)=0,"",SUMIFS(T_PlannedOrders[EffectiveQty],T_PlannedOrders[Part Name],$A639,T_PlannedOrders[WeekIndex],42)&amp;" ("&amp;TEXT(SUMPRODUCT(MAX((T_PlannedOrders[Part Name]=$A639)*(T_PlannedOrders[WeekIndex]=42)*(T_PlannedOrders[EffectiveQty]&gt;0)*T_PlannedOrders[Order_Month])),"m月")&amp;"発注)")</f>
        <v/>
      </c>
      <c r="AT703">
        <f>IF(SUMIFS(T_PlannedOrders[EffectiveQty],T_PlannedOrders[Part Name],$A639,T_PlannedOrders[WeekIndex],43)=0,"",SUMIFS(T_PlannedOrders[EffectiveQty],T_PlannedOrders[Part Name],$A639,T_PlannedOrders[WeekIndex],43)&amp;" ("&amp;TEXT(SUMPRODUCT(MAX((T_PlannedOrders[Part Name]=$A639)*(T_PlannedOrders[WeekIndex]=43)*(T_PlannedOrders[EffectiveQty]&gt;0)*T_PlannedOrders[Order_Month])),"m月")&amp;"発注)")</f>
        <v/>
      </c>
      <c r="AU703">
        <f>IF(SUMIFS(T_PlannedOrders[EffectiveQty],T_PlannedOrders[Part Name],$A639,T_PlannedOrders[WeekIndex],44)=0,"",SUMIFS(T_PlannedOrders[EffectiveQty],T_PlannedOrders[Part Name],$A639,T_PlannedOrders[WeekIndex],44)&amp;" ("&amp;TEXT(SUMPRODUCT(MAX((T_PlannedOrders[Part Name]=$A639)*(T_PlannedOrders[WeekIndex]=44)*(T_PlannedOrders[EffectiveQty]&gt;0)*T_PlannedOrders[Order_Month])),"m月")&amp;"発注)")</f>
        <v/>
      </c>
      <c r="AV703">
        <f>IF(SUMIFS(T_PlannedOrders[EffectiveQty],T_PlannedOrders[Part Name],$A639,T_PlannedOrders[WeekIndex],45)=0,"",SUMIFS(T_PlannedOrders[EffectiveQty],T_PlannedOrders[Part Name],$A639,T_PlannedOrders[WeekIndex],45)&amp;" ("&amp;TEXT(SUMPRODUCT(MAX((T_PlannedOrders[Part Name]=$A639)*(T_PlannedOrders[WeekIndex]=45)*(T_PlannedOrders[EffectiveQty]&gt;0)*T_PlannedOrders[Order_Month])),"m月")&amp;"発注)")</f>
        <v/>
      </c>
      <c r="AW703">
        <f>IF(SUMIFS(T_PlannedOrders[EffectiveQty],T_PlannedOrders[Part Name],$A639,T_PlannedOrders[WeekIndex],46)=0,"",SUMIFS(T_PlannedOrders[EffectiveQty],T_PlannedOrders[Part Name],$A639,T_PlannedOrders[WeekIndex],46)&amp;" ("&amp;TEXT(SUMPRODUCT(MAX((T_PlannedOrders[Part Name]=$A639)*(T_PlannedOrders[WeekIndex]=46)*(T_PlannedOrders[EffectiveQty]&gt;0)*T_PlannedOrders[Order_Month])),"m月")&amp;"発注)")</f>
        <v/>
      </c>
      <c r="AX703">
        <f>IF(SUMIFS(T_PlannedOrders[EffectiveQty],T_PlannedOrders[Part Name],$A639,T_PlannedOrders[WeekIndex],47)=0,"",SUMIFS(T_PlannedOrders[EffectiveQty],T_PlannedOrders[Part Name],$A639,T_PlannedOrders[WeekIndex],47)&amp;" ("&amp;TEXT(SUMPRODUCT(MAX((T_PlannedOrders[Part Name]=$A639)*(T_PlannedOrders[WeekIndex]=47)*(T_PlannedOrders[EffectiveQty]&gt;0)*T_PlannedOrders[Order_Month])),"m月")&amp;"発注)")</f>
        <v/>
      </c>
      <c r="AY703">
        <f>IF(SUMIFS(T_PlannedOrders[EffectiveQty],T_PlannedOrders[Part Name],$A639,T_PlannedOrders[WeekIndex],48)=0,"",SUMIFS(T_PlannedOrders[EffectiveQty],T_PlannedOrders[Part Name],$A639,T_PlannedOrders[WeekIndex],48)&amp;" ("&amp;TEXT(SUMPRODUCT(MAX((T_PlannedOrders[Part Name]=$A639)*(T_PlannedOrders[WeekIndex]=48)*(T_PlannedOrders[EffectiveQty]&gt;0)*T_PlannedOrders[Order_Month])),"m月")&amp;"発注)")</f>
        <v/>
      </c>
      <c r="AZ703">
        <f>IF(SUMIFS(T_PlannedOrders[EffectiveQty],T_PlannedOrders[Part Name],$A639,T_PlannedOrders[WeekIndex],49)=0,"",SUMIFS(T_PlannedOrders[EffectiveQty],T_PlannedOrders[Part Name],$A639,T_PlannedOrders[WeekIndex],49)&amp;" ("&amp;TEXT(SUMPRODUCT(MAX((T_PlannedOrders[Part Name]=$A639)*(T_PlannedOrders[WeekIndex]=49)*(T_PlannedOrders[EffectiveQty]&gt;0)*T_PlannedOrders[Order_Month])),"m月")&amp;"発注)")</f>
        <v/>
      </c>
      <c r="BA703">
        <f>IF(SUMIFS(T_PlannedOrders[EffectiveQty],T_PlannedOrders[Part Name],$A639,T_PlannedOrders[WeekIndex],50)=0,"",SUMIFS(T_PlannedOrders[EffectiveQty],T_PlannedOrders[Part Name],$A639,T_PlannedOrders[WeekIndex],50)&amp;" ("&amp;TEXT(SUMPRODUCT(MAX((T_PlannedOrders[Part Name]=$A639)*(T_PlannedOrders[WeekIndex]=50)*(T_PlannedOrders[EffectiveQty]&gt;0)*T_PlannedOrders[Order_Month])),"m月")&amp;"発注)")</f>
        <v/>
      </c>
      <c r="BB703">
        <f>IF(SUMIFS(T_PlannedOrders[EffectiveQty],T_PlannedOrders[Part Name],$A639,T_PlannedOrders[WeekIndex],51)=0,"",SUMIFS(T_PlannedOrders[EffectiveQty],T_PlannedOrders[Part Name],$A639,T_PlannedOrders[WeekIndex],51)&amp;" ("&amp;TEXT(SUMPRODUCT(MAX((T_PlannedOrders[Part Name]=$A639)*(T_PlannedOrders[WeekIndex]=51)*(T_PlannedOrders[EffectiveQty]&gt;0)*T_PlannedOrders[Order_Month])),"m月")&amp;"発注)")</f>
        <v/>
      </c>
      <c r="BC703">
        <f>IF(SUMIFS(T_PlannedOrders[EffectiveQty],T_PlannedOrders[Part Name],$A639,T_PlannedOrders[WeekIndex],52)=0,"",SUMIFS(T_PlannedOrders[EffectiveQty],T_PlannedOrders[Part Name],$A639,T_PlannedOrders[WeekIndex],52)&amp;" ("&amp;TEXT(SUMPRODUCT(MAX((T_PlannedOrders[Part Name]=$A639)*(T_PlannedOrders[WeekIndex]=52)*(T_PlannedOrders[EffectiveQty]&gt;0)*T_PlannedOrders[Order_Month])),"m月")&amp;"発注)")</f>
        <v/>
      </c>
      <c r="BD703">
        <f>IF(SUMIFS(T_PlannedOrders[EffectiveQty],T_PlannedOrders[Part Name],$A639,T_PlannedOrders[WeekIndex],53)=0,"",SUMIFS(T_PlannedOrders[EffectiveQty],T_PlannedOrders[Part Name],$A639,T_PlannedOrders[WeekIndex],53)&amp;" ("&amp;TEXT(SUMPRODUCT(MAX((T_PlannedOrders[Part Name]=$A639)*(T_PlannedOrders[WeekIndex]=53)*(T_PlannedOrders[EffectiveQty]&gt;0)*T_PlannedOrders[Order_Month])),"m月")&amp;"発注)")</f>
        <v/>
      </c>
      <c r="BE703">
        <f>IF(SUMIFS(T_PlannedOrders[EffectiveQty],T_PlannedOrders[Part Name],$A639,T_PlannedOrders[WeekIndex],54)=0,"",SUMIFS(T_PlannedOrders[EffectiveQty],T_PlannedOrders[Part Name],$A639,T_PlannedOrders[WeekIndex],54)&amp;" ("&amp;TEXT(SUMPRODUCT(MAX((T_PlannedOrders[Part Name]=$A639)*(T_PlannedOrders[WeekIndex]=54)*(T_PlannedOrders[EffectiveQty]&gt;0)*T_PlannedOrders[Order_Month])),"m月")&amp;"発注)")</f>
        <v/>
      </c>
      <c r="BF703">
        <f>IF(SUMIFS(T_PlannedOrders[EffectiveQty],T_PlannedOrders[Part Name],$A639,T_PlannedOrders[WeekIndex],55)=0,"",SUMIFS(T_PlannedOrders[EffectiveQty],T_PlannedOrders[Part Name],$A639,T_PlannedOrders[WeekIndex],55)&amp;" ("&amp;TEXT(SUMPRODUCT(MAX((T_PlannedOrders[Part Name]=$A639)*(T_PlannedOrders[WeekIndex]=55)*(T_PlannedOrders[EffectiveQty]&gt;0)*T_PlannedOrders[Order_Month])),"m月")&amp;"発注)")</f>
        <v/>
      </c>
      <c r="BG703">
        <f>IF(SUMIFS(T_PlannedOrders[EffectiveQty],T_PlannedOrders[Part Name],$A639,T_PlannedOrders[WeekIndex],56)=0,"",SUMIFS(T_PlannedOrders[EffectiveQty],T_PlannedOrders[Part Name],$A639,T_PlannedOrders[WeekIndex],56)&amp;" ("&amp;TEXT(SUMPRODUCT(MAX((T_PlannedOrders[Part Name]=$A639)*(T_PlannedOrders[WeekIndex]=56)*(T_PlannedOrders[EffectiveQty]&gt;0)*T_PlannedOrders[Order_Month])),"m月")&amp;"発注)")</f>
        <v/>
      </c>
      <c r="BH703">
        <f>IF(SUMIFS(T_PlannedOrders[EffectiveQty],T_PlannedOrders[Part Name],$A639,T_PlannedOrders[WeekIndex],57)=0,"",SUMIFS(T_PlannedOrders[EffectiveQty],T_PlannedOrders[Part Name],$A639,T_PlannedOrders[WeekIndex],57)&amp;" ("&amp;TEXT(SUMPRODUCT(MAX((T_PlannedOrders[Part Name]=$A639)*(T_PlannedOrders[WeekIndex]=57)*(T_PlannedOrders[EffectiveQty]&gt;0)*T_PlannedOrders[Order_Month])),"m月")&amp;"発注)")</f>
        <v/>
      </c>
      <c r="BI703">
        <f>IF(SUMIFS(T_PlannedOrders[EffectiveQty],T_PlannedOrders[Part Name],$A639,T_PlannedOrders[WeekIndex],58)=0,"",SUMIFS(T_PlannedOrders[EffectiveQty],T_PlannedOrders[Part Name],$A639,T_PlannedOrders[WeekIndex],58)&amp;" ("&amp;TEXT(SUMPRODUCT(MAX((T_PlannedOrders[Part Name]=$A639)*(T_PlannedOrders[WeekIndex]=58)*(T_PlannedOrders[EffectiveQty]&gt;0)*T_PlannedOrders[Order_Month])),"m月")&amp;"発注)")</f>
        <v/>
      </c>
      <c r="BJ703">
        <f>IF(SUMIFS(T_PlannedOrders[EffectiveQty],T_PlannedOrders[Part Name],$A639,T_PlannedOrders[WeekIndex],59)=0,"",SUMIFS(T_PlannedOrders[EffectiveQty],T_PlannedOrders[Part Name],$A639,T_PlannedOrders[WeekIndex],59)&amp;" ("&amp;TEXT(SUMPRODUCT(MAX((T_PlannedOrders[Part Name]=$A639)*(T_PlannedOrders[WeekIndex]=59)*(T_PlannedOrders[EffectiveQty]&gt;0)*T_PlannedOrders[Order_Month])),"m月")&amp;"発注)")</f>
        <v/>
      </c>
      <c r="BK703">
        <f>IF(SUMIFS(T_PlannedOrders[EffectiveQty],T_PlannedOrders[Part Name],$A639,T_PlannedOrders[WeekIndex],60)=0,"",SUMIFS(T_PlannedOrders[EffectiveQty],T_PlannedOrders[Part Name],$A639,T_PlannedOrders[WeekIndex],60)&amp;" ("&amp;TEXT(SUMPRODUCT(MAX((T_PlannedOrders[Part Name]=$A639)*(T_PlannedOrders[WeekIndex]=60)*(T_PlannedOrders[EffectiveQty]&gt;0)*T_PlannedOrders[Order_Month])),"m月")&amp;"発注)")</f>
        <v/>
      </c>
      <c r="BL703">
        <f>IF(SUMIFS(T_PlannedOrders[EffectiveQty],T_PlannedOrders[Part Name],$A639,T_PlannedOrders[WeekIndex],61)=0,"",SUMIFS(T_PlannedOrders[EffectiveQty],T_PlannedOrders[Part Name],$A639,T_PlannedOrders[WeekIndex],61)&amp;" ("&amp;TEXT(SUMPRODUCT(MAX((T_PlannedOrders[Part Name]=$A639)*(T_PlannedOrders[WeekIndex]=61)*(T_PlannedOrders[EffectiveQty]&gt;0)*T_PlannedOrders[Order_Month])),"m月")&amp;"発注)")</f>
        <v/>
      </c>
      <c r="BM703">
        <f>IF(SUMIFS(T_PlannedOrders[EffectiveQty],T_PlannedOrders[Part Name],$A639,T_PlannedOrders[WeekIndex],62)=0,"",SUMIFS(T_PlannedOrders[EffectiveQty],T_PlannedOrders[Part Name],$A639,T_PlannedOrders[WeekIndex],62)&amp;" ("&amp;TEXT(SUMPRODUCT(MAX((T_PlannedOrders[Part Name]=$A639)*(T_PlannedOrders[WeekIndex]=62)*(T_PlannedOrders[EffectiveQty]&gt;0)*T_PlannedOrders[Order_Month])),"m月")&amp;"発注)")</f>
        <v/>
      </c>
      <c r="BN703">
        <f>IF(SUMIFS(T_PlannedOrders[EffectiveQty],T_PlannedOrders[Part Name],$A639,T_PlannedOrders[WeekIndex],63)=0,"",SUMIFS(T_PlannedOrders[EffectiveQty],T_PlannedOrders[Part Name],$A639,T_PlannedOrders[WeekIndex],63)&amp;" ("&amp;TEXT(SUMPRODUCT(MAX((T_PlannedOrders[Part Name]=$A639)*(T_PlannedOrders[WeekIndex]=63)*(T_PlannedOrders[EffectiveQty]&gt;0)*T_PlannedOrders[Order_Month])),"m月")&amp;"発注)")</f>
        <v/>
      </c>
      <c r="BO703">
        <f>IF(SUMIFS(T_PlannedOrders[EffectiveQty],T_PlannedOrders[Part Name],$A639,T_PlannedOrders[WeekIndex],64)=0,"",SUMIFS(T_PlannedOrders[EffectiveQty],T_PlannedOrders[Part Name],$A639,T_PlannedOrders[WeekIndex],64)&amp;" ("&amp;TEXT(SUMPRODUCT(MAX((T_PlannedOrders[Part Name]=$A639)*(T_PlannedOrders[WeekIndex]=64)*(T_PlannedOrders[EffectiveQty]&gt;0)*T_PlannedOrders[Order_Month])),"m月")&amp;"発注)")</f>
        <v/>
      </c>
      <c r="BP703">
        <f>IF(SUMIFS(T_PlannedOrders[EffectiveQty],T_PlannedOrders[Part Name],$A639,T_PlannedOrders[WeekIndex],65)=0,"",SUMIFS(T_PlannedOrders[EffectiveQty],T_PlannedOrders[Part Name],$A639,T_PlannedOrders[WeekIndex],65)&amp;" ("&amp;TEXT(SUMPRODUCT(MAX((T_PlannedOrders[Part Name]=$A639)*(T_PlannedOrders[WeekIndex]=65)*(T_PlannedOrders[EffectiveQty]&gt;0)*T_PlannedOrders[Order_Month])),"m月")&amp;"発注)")</f>
        <v/>
      </c>
      <c r="BQ703">
        <f>IF(SUMIFS(T_PlannedOrders[EffectiveQty],T_PlannedOrders[Part Name],$A639,T_PlannedOrders[WeekIndex],66)=0,"",SUMIFS(T_PlannedOrders[EffectiveQty],T_PlannedOrders[Part Name],$A639,T_PlannedOrders[WeekIndex],66)&amp;" ("&amp;TEXT(SUMPRODUCT(MAX((T_PlannedOrders[Part Name]=$A639)*(T_PlannedOrders[WeekIndex]=66)*(T_PlannedOrders[EffectiveQty]&gt;0)*T_PlannedOrders[Order_Month])),"m月")&amp;"発注)")</f>
        <v/>
      </c>
      <c r="BR703">
        <f>IF(SUMIFS(T_PlannedOrders[EffectiveQty],T_PlannedOrders[Part Name],$A639,T_PlannedOrders[WeekIndex],67)=0,"",SUMIFS(T_PlannedOrders[EffectiveQty],T_PlannedOrders[Part Name],$A639,T_PlannedOrders[WeekIndex],67)&amp;" ("&amp;TEXT(SUMPRODUCT(MAX((T_PlannedOrders[Part Name]=$A639)*(T_PlannedOrders[WeekIndex]=67)*(T_PlannedOrders[EffectiveQty]&gt;0)*T_PlannedOrders[Order_Month])),"m月")&amp;"発注)")</f>
        <v/>
      </c>
      <c r="BS703">
        <f>IF(SUMIFS(T_PlannedOrders[EffectiveQty],T_PlannedOrders[Part Name],$A639,T_PlannedOrders[WeekIndex],68)=0,"",SUMIFS(T_PlannedOrders[EffectiveQty],T_PlannedOrders[Part Name],$A639,T_PlannedOrders[WeekIndex],68)&amp;" ("&amp;TEXT(SUMPRODUCT(MAX((T_PlannedOrders[Part Name]=$A639)*(T_PlannedOrders[WeekIndex]=68)*(T_PlannedOrders[EffectiveQty]&gt;0)*T_PlannedOrders[Order_Month])),"m月")&amp;"発注)")</f>
        <v/>
      </c>
      <c r="BT703">
        <f>IF(SUMIFS(T_PlannedOrders[EffectiveQty],T_PlannedOrders[Part Name],$A639,T_PlannedOrders[WeekIndex],69)=0,"",SUMIFS(T_PlannedOrders[EffectiveQty],T_PlannedOrders[Part Name],$A639,T_PlannedOrders[WeekIndex],69)&amp;" ("&amp;TEXT(SUMPRODUCT(MAX((T_PlannedOrders[Part Name]=$A639)*(T_PlannedOrders[WeekIndex]=69)*(T_PlannedOrders[EffectiveQty]&gt;0)*T_PlannedOrders[Order_Month])),"m月")&amp;"発注)")</f>
        <v/>
      </c>
      <c r="BU703">
        <f>IF(SUMIFS(T_PlannedOrders[EffectiveQty],T_PlannedOrders[Part Name],$A639,T_PlannedOrders[WeekIndex],70)=0,"",SUMIFS(T_PlannedOrders[EffectiveQty],T_PlannedOrders[Part Name],$A639,T_PlannedOrders[WeekIndex],70)&amp;" ("&amp;TEXT(SUMPRODUCT(MAX((T_PlannedOrders[Part Name]=$A639)*(T_PlannedOrders[WeekIndex]=70)*(T_PlannedOrders[EffectiveQty]&gt;0)*T_PlannedOrders[Order_Month])),"m月")&amp;"発注)")</f>
        <v/>
      </c>
      <c r="BV703">
        <f>IF(SUMIFS(T_PlannedOrders[EffectiveQty],T_PlannedOrders[Part Name],$A639,T_PlannedOrders[WeekIndex],71)=0,"",SUMIFS(T_PlannedOrders[EffectiveQty],T_PlannedOrders[Part Name],$A639,T_PlannedOrders[WeekIndex],71)&amp;" ("&amp;TEXT(SUMPRODUCT(MAX((T_PlannedOrders[Part Name]=$A639)*(T_PlannedOrders[WeekIndex]=71)*(T_PlannedOrders[EffectiveQty]&gt;0)*T_PlannedOrders[Order_Month])),"m月")&amp;"発注)")</f>
        <v/>
      </c>
      <c r="BW703">
        <f>IF(SUMIFS(T_PlannedOrders[EffectiveQty],T_PlannedOrders[Part Name],$A639,T_PlannedOrders[WeekIndex],72)=0,"",SUMIFS(T_PlannedOrders[EffectiveQty],T_PlannedOrders[Part Name],$A639,T_PlannedOrders[WeekIndex],72)&amp;" ("&amp;TEXT(SUMPRODUCT(MAX((T_PlannedOrders[Part Name]=$A639)*(T_PlannedOrders[WeekIndex]=72)*(T_PlannedOrders[EffectiveQty]&gt;0)*T_PlannedOrders[Order_Month])),"m月")&amp;"発注)")</f>
        <v/>
      </c>
      <c r="BX703">
        <f>IF(SUMIFS(T_PlannedOrders[EffectiveQty],T_PlannedOrders[Part Name],$A639,T_PlannedOrders[WeekIndex],73)=0,"",SUMIFS(T_PlannedOrders[EffectiveQty],T_PlannedOrders[Part Name],$A639,T_PlannedOrders[WeekIndex],73)&amp;" ("&amp;TEXT(SUMPRODUCT(MAX((T_PlannedOrders[Part Name]=$A639)*(T_PlannedOrders[WeekIndex]=73)*(T_PlannedOrders[EffectiveQty]&gt;0)*T_PlannedOrders[Order_Month])),"m月")&amp;"発注)")</f>
        <v/>
      </c>
      <c r="BY703">
        <f>IF(SUMIFS(T_PlannedOrders[EffectiveQty],T_PlannedOrders[Part Name],$A639,T_PlannedOrders[WeekIndex],74)=0,"",SUMIFS(T_PlannedOrders[EffectiveQty],T_PlannedOrders[Part Name],$A639,T_PlannedOrders[WeekIndex],74)&amp;" ("&amp;TEXT(SUMPRODUCT(MAX((T_PlannedOrders[Part Name]=$A639)*(T_PlannedOrders[WeekIndex]=74)*(T_PlannedOrders[EffectiveQty]&gt;0)*T_PlannedOrders[Order_Month])),"m月")&amp;"発注)")</f>
        <v/>
      </c>
      <c r="BZ703">
        <f>IF(SUMIFS(T_PlannedOrders[EffectiveQty],T_PlannedOrders[Part Name],$A639,T_PlannedOrders[WeekIndex],75)=0,"",SUMIFS(T_PlannedOrders[EffectiveQty],T_PlannedOrders[Part Name],$A639,T_PlannedOrders[WeekIndex],75)&amp;" ("&amp;TEXT(SUMPRODUCT(MAX((T_PlannedOrders[Part Name]=$A639)*(T_PlannedOrders[WeekIndex]=75)*(T_PlannedOrders[EffectiveQty]&gt;0)*T_PlannedOrders[Order_Month])),"m月")&amp;"発注)")</f>
        <v/>
      </c>
      <c r="CA703">
        <f>IF(SUMIFS(T_PlannedOrders[EffectiveQty],T_PlannedOrders[Part Name],$A639,T_PlannedOrders[WeekIndex],76)=0,"",SUMIFS(T_PlannedOrders[EffectiveQty],T_PlannedOrders[Part Name],$A639,T_PlannedOrders[WeekIndex],76)&amp;" ("&amp;TEXT(SUMPRODUCT(MAX((T_PlannedOrders[Part Name]=$A639)*(T_PlannedOrders[WeekIndex]=76)*(T_PlannedOrders[EffectiveQty]&gt;0)*T_PlannedOrders[Order_Month])),"m月")&amp;"発注)")</f>
        <v/>
      </c>
      <c r="CB703">
        <f>IF(SUMIFS(T_PlannedOrders[EffectiveQty],T_PlannedOrders[Part Name],$A639,T_PlannedOrders[WeekIndex],77)=0,"",SUMIFS(T_PlannedOrders[EffectiveQty],T_PlannedOrders[Part Name],$A639,T_PlannedOrders[WeekIndex],77)&amp;" ("&amp;TEXT(SUMPRODUCT(MAX((T_PlannedOrders[Part Name]=$A639)*(T_PlannedOrders[WeekIndex]=77)*(T_PlannedOrders[EffectiveQty]&gt;0)*T_PlannedOrders[Order_Month])),"m月")&amp;"発注)")</f>
        <v/>
      </c>
      <c r="CC703">
        <f>IF(SUMIFS(T_PlannedOrders[EffectiveQty],T_PlannedOrders[Part Name],$A639,T_PlannedOrders[WeekIndex],78)=0,"",SUMIFS(T_PlannedOrders[EffectiveQty],T_PlannedOrders[Part Name],$A639,T_PlannedOrders[WeekIndex],78)&amp;" ("&amp;TEXT(SUMPRODUCT(MAX((T_PlannedOrders[Part Name]=$A639)*(T_PlannedOrders[WeekIndex]=78)*(T_PlannedOrders[EffectiveQty]&gt;0)*T_PlannedOrders[Order_Month])),"m月")&amp;"発注)")</f>
        <v/>
      </c>
      <c r="CD703">
        <f>IF(SUMIFS(T_PlannedOrders[EffectiveQty],T_PlannedOrders[Part Name],$A639,T_PlannedOrders[WeekIndex],79)=0,"",SUMIFS(T_PlannedOrders[EffectiveQty],T_PlannedOrders[Part Name],$A639,T_PlannedOrders[WeekIndex],79)&amp;" ("&amp;TEXT(SUMPRODUCT(MAX((T_PlannedOrders[Part Name]=$A639)*(T_PlannedOrders[WeekIndex]=79)*(T_PlannedOrders[EffectiveQty]&gt;0)*T_PlannedOrders[Order_Month])),"m月")&amp;"発注)")</f>
        <v/>
      </c>
      <c r="CE703">
        <f>IF(SUMIFS(T_PlannedOrders[EffectiveQty],T_PlannedOrders[Part Name],$A639,T_PlannedOrders[WeekIndex],80)=0,"",SUMIFS(T_PlannedOrders[EffectiveQty],T_PlannedOrders[Part Name],$A639,T_PlannedOrders[WeekIndex],80)&amp;" ("&amp;TEXT(SUMPRODUCT(MAX((T_PlannedOrders[Part Name]=$A639)*(T_PlannedOrders[WeekIndex]=80)*(T_PlannedOrders[EffectiveQty]&gt;0)*T_PlannedOrders[Order_Month])),"m月")&amp;"発注)")</f>
        <v/>
      </c>
      <c r="CF703">
        <f>IF(SUMIFS(T_PlannedOrders[EffectiveQty],T_PlannedOrders[Part Name],$A639,T_PlannedOrders[WeekIndex],81)=0,"",SUMIFS(T_PlannedOrders[EffectiveQty],T_PlannedOrders[Part Name],$A639,T_PlannedOrders[WeekIndex],81)&amp;" ("&amp;TEXT(SUMPRODUCT(MAX((T_PlannedOrders[Part Name]=$A639)*(T_PlannedOrders[WeekIndex]=81)*(T_PlannedOrders[EffectiveQty]&gt;0)*T_PlannedOrders[Order_Month])),"m月")&amp;"発注)")</f>
        <v/>
      </c>
      <c r="CG703">
        <f>IF(SUMIFS(T_PlannedOrders[EffectiveQty],T_PlannedOrders[Part Name],$A639,T_PlannedOrders[WeekIndex],82)=0,"",SUMIFS(T_PlannedOrders[EffectiveQty],T_PlannedOrders[Part Name],$A639,T_PlannedOrders[WeekIndex],82)&amp;" ("&amp;TEXT(SUMPRODUCT(MAX((T_PlannedOrders[Part Name]=$A639)*(T_PlannedOrders[WeekIndex]=82)*(T_PlannedOrders[EffectiveQty]&gt;0)*T_PlannedOrders[Order_Month])),"m月")&amp;"発注)")</f>
        <v/>
      </c>
      <c r="CH703">
        <f>IF(SUMIFS(T_PlannedOrders[EffectiveQty],T_PlannedOrders[Part Name],$A639,T_PlannedOrders[WeekIndex],83)=0,"",SUMIFS(T_PlannedOrders[EffectiveQty],T_PlannedOrders[Part Name],$A639,T_PlannedOrders[WeekIndex],83)&amp;" ("&amp;TEXT(SUMPRODUCT(MAX((T_PlannedOrders[Part Name]=$A639)*(T_PlannedOrders[WeekIndex]=83)*(T_PlannedOrders[EffectiveQty]&gt;0)*T_PlannedOrders[Order_Month])),"m月")&amp;"発注)")</f>
        <v/>
      </c>
      <c r="CI703">
        <f>IF(SUMIFS(T_PlannedOrders[EffectiveQty],T_PlannedOrders[Part Name],$A639,T_PlannedOrders[WeekIndex],84)=0,"",SUMIFS(T_PlannedOrders[EffectiveQty],T_PlannedOrders[Part Name],$A639,T_PlannedOrders[WeekIndex],84)&amp;" ("&amp;TEXT(SUMPRODUCT(MAX((T_PlannedOrders[Part Name]=$A639)*(T_PlannedOrders[WeekIndex]=84)*(T_PlannedOrders[EffectiveQty]&gt;0)*T_PlannedOrders[Order_Month])),"m月")&amp;"発注)")</f>
        <v/>
      </c>
      <c r="CJ703">
        <f>IF(SUMIFS(T_PlannedOrders[EffectiveQty],T_PlannedOrders[Part Name],$A639,T_PlannedOrders[WeekIndex],85)=0,"",SUMIFS(T_PlannedOrders[EffectiveQty],T_PlannedOrders[Part Name],$A639,T_PlannedOrders[WeekIndex],85)&amp;" ("&amp;TEXT(SUMPRODUCT(MAX((T_PlannedOrders[Part Name]=$A639)*(T_PlannedOrders[WeekIndex]=85)*(T_PlannedOrders[EffectiveQty]&gt;0)*T_PlannedOrders[Order_Month])),"m月")&amp;"発注)")</f>
        <v/>
      </c>
      <c r="CK703">
        <f>IF(SUMIFS(T_PlannedOrders[EffectiveQty],T_PlannedOrders[Part Name],$A639,T_PlannedOrders[WeekIndex],86)=0,"",SUMIFS(T_PlannedOrders[EffectiveQty],T_PlannedOrders[Part Name],$A639,T_PlannedOrders[WeekIndex],86)&amp;" ("&amp;TEXT(SUMPRODUCT(MAX((T_PlannedOrders[Part Name]=$A639)*(T_PlannedOrders[WeekIndex]=86)*(T_PlannedOrders[EffectiveQty]&gt;0)*T_PlannedOrders[Order_Month])),"m月")&amp;"発注)")</f>
        <v/>
      </c>
      <c r="CL703">
        <f>IF(SUMIFS(T_PlannedOrders[EffectiveQty],T_PlannedOrders[Part Name],$A639,T_PlannedOrders[WeekIndex],87)=0,"",SUMIFS(T_PlannedOrders[EffectiveQty],T_PlannedOrders[Part Name],$A639,T_PlannedOrders[WeekIndex],87)&amp;" ("&amp;TEXT(SUMPRODUCT(MAX((T_PlannedOrders[Part Name]=$A639)*(T_PlannedOrders[WeekIndex]=87)*(T_PlannedOrders[EffectiveQty]&gt;0)*T_PlannedOrders[Order_Month])),"m月")&amp;"発注)")</f>
        <v/>
      </c>
      <c r="CM703">
        <f>IF(SUMIFS(T_PlannedOrders[EffectiveQty],T_PlannedOrders[Part Name],$A639,T_PlannedOrders[WeekIndex],88)=0,"",SUMIFS(T_PlannedOrders[EffectiveQty],T_PlannedOrders[Part Name],$A639,T_PlannedOrders[WeekIndex],88)&amp;" ("&amp;TEXT(SUMPRODUCT(MAX((T_PlannedOrders[Part Name]=$A639)*(T_PlannedOrders[WeekIndex]=88)*(T_PlannedOrders[EffectiveQty]&gt;0)*T_PlannedOrders[Order_Month])),"m月")&amp;"発注)")</f>
        <v/>
      </c>
      <c r="CN703">
        <f>IF(SUMIFS(T_PlannedOrders[EffectiveQty],T_PlannedOrders[Part Name],$A639,T_PlannedOrders[WeekIndex],89)=0,"",SUMIFS(T_PlannedOrders[EffectiveQty],T_PlannedOrders[Part Name],$A639,T_PlannedOrders[WeekIndex],89)&amp;" ("&amp;TEXT(SUMPRODUCT(MAX((T_PlannedOrders[Part Name]=$A639)*(T_PlannedOrders[WeekIndex]=89)*(T_PlannedOrders[EffectiveQty]&gt;0)*T_PlannedOrders[Order_Month])),"m月")&amp;"発注)")</f>
        <v/>
      </c>
      <c r="CO703">
        <f>IF(SUMIFS(T_PlannedOrders[EffectiveQty],T_PlannedOrders[Part Name],$A639,T_PlannedOrders[WeekIndex],90)=0,"",SUMIFS(T_PlannedOrders[EffectiveQty],T_PlannedOrders[Part Name],$A639,T_PlannedOrders[WeekIndex],90)&amp;" ("&amp;TEXT(SUMPRODUCT(MAX((T_PlannedOrders[Part Name]=$A639)*(T_PlannedOrders[WeekIndex]=90)*(T_PlannedOrders[EffectiveQty]&gt;0)*T_PlannedOrders[Order_Month])),"m月")&amp;"発注)")</f>
        <v/>
      </c>
      <c r="CP703">
        <f>IF(SUMIFS(T_PlannedOrders[EffectiveQty],T_PlannedOrders[Part Name],$A639,T_PlannedOrders[WeekIndex],91)=0,"",SUMIFS(T_PlannedOrders[EffectiveQty],T_PlannedOrders[Part Name],$A639,T_PlannedOrders[WeekIndex],91)&amp;" ("&amp;TEXT(SUMPRODUCT(MAX((T_PlannedOrders[Part Name]=$A639)*(T_PlannedOrders[WeekIndex]=91)*(T_PlannedOrders[EffectiveQty]&gt;0)*T_PlannedOrders[Order_Month])),"m月")&amp;"発注)")</f>
        <v/>
      </c>
      <c r="CQ703">
        <f>IF(SUMIFS(T_PlannedOrders[EffectiveQty],T_PlannedOrders[Part Name],$A639,T_PlannedOrders[WeekIndex],92)=0,"",SUMIFS(T_PlannedOrders[EffectiveQty],T_PlannedOrders[Part Name],$A639,T_PlannedOrders[WeekIndex],92)&amp;" ("&amp;TEXT(SUMPRODUCT(MAX((T_PlannedOrders[Part Name]=$A639)*(T_PlannedOrders[WeekIndex]=92)*(T_PlannedOrders[EffectiveQty]&gt;0)*T_PlannedOrders[Order_Month])),"m月")&amp;"発注)")</f>
        <v/>
      </c>
      <c r="CR703">
        <f>IF(SUMIFS(T_PlannedOrders[EffectiveQty],T_PlannedOrders[Part Name],$A639,T_PlannedOrders[WeekIndex],93)=0,"",SUMIFS(T_PlannedOrders[EffectiveQty],T_PlannedOrders[Part Name],$A639,T_PlannedOrders[WeekIndex],93)&amp;" ("&amp;TEXT(SUMPRODUCT(MAX((T_PlannedOrders[Part Name]=$A639)*(T_PlannedOrders[WeekIndex]=93)*(T_PlannedOrders[EffectiveQty]&gt;0)*T_PlannedOrders[Order_Month])),"m月")&amp;"発注)")</f>
        <v/>
      </c>
      <c r="CS703">
        <f>IF(SUMIFS(T_PlannedOrders[EffectiveQty],T_PlannedOrders[Part Name],$A639,T_PlannedOrders[WeekIndex],94)=0,"",SUMIFS(T_PlannedOrders[EffectiveQty],T_PlannedOrders[Part Name],$A639,T_PlannedOrders[WeekIndex],94)&amp;" ("&amp;TEXT(SUMPRODUCT(MAX((T_PlannedOrders[Part Name]=$A639)*(T_PlannedOrders[WeekIndex]=94)*(T_PlannedOrders[EffectiveQty]&gt;0)*T_PlannedOrders[Order_Month])),"m月")&amp;"発注)")</f>
        <v/>
      </c>
      <c r="CT703">
        <f>IF(SUMIFS(T_PlannedOrders[EffectiveQty],T_PlannedOrders[Part Name],$A639,T_PlannedOrders[WeekIndex],95)=0,"",SUMIFS(T_PlannedOrders[EffectiveQty],T_PlannedOrders[Part Name],$A639,T_PlannedOrders[WeekIndex],95)&amp;" ("&amp;TEXT(SUMPRODUCT(MAX((T_PlannedOrders[Part Name]=$A639)*(T_PlannedOrders[WeekIndex]=95)*(T_PlannedOrders[EffectiveQty]&gt;0)*T_PlannedOrders[Order_Month])),"m月")&amp;"発注)")</f>
        <v/>
      </c>
      <c r="CU703">
        <f>IF(SUMIFS(T_PlannedOrders[EffectiveQty],T_PlannedOrders[Part Name],$A639,T_PlannedOrders[WeekIndex],96)=0,"",SUMIFS(T_PlannedOrders[EffectiveQty],T_PlannedOrders[Part Name],$A639,T_PlannedOrders[WeekIndex],96)&amp;" ("&amp;TEXT(SUMPRODUCT(MAX((T_PlannedOrders[Part Name]=$A639)*(T_PlannedOrders[WeekIndex]=96)*(T_PlannedOrders[EffectiveQty]&gt;0)*T_PlannedOrders[Order_Month])),"m月")&amp;"発注)")</f>
        <v/>
      </c>
      <c r="CV703">
        <f>IF(SUMIFS(T_PlannedOrders[EffectiveQty],T_PlannedOrders[Part Name],$A639,T_PlannedOrders[WeekIndex],97)=0,"",SUMIFS(T_PlannedOrders[EffectiveQty],T_PlannedOrders[Part Name],$A639,T_PlannedOrders[WeekIndex],97)&amp;" ("&amp;TEXT(SUMPRODUCT(MAX((T_PlannedOrders[Part Name]=$A639)*(T_PlannedOrders[WeekIndex]=97)*(T_PlannedOrders[EffectiveQty]&gt;0)*T_PlannedOrders[Order_Month])),"m月")&amp;"発注)")</f>
        <v/>
      </c>
      <c r="CW703">
        <f>IF(SUMIFS(T_PlannedOrders[EffectiveQty],T_PlannedOrders[Part Name],$A639,T_PlannedOrders[WeekIndex],98)=0,"",SUMIFS(T_PlannedOrders[EffectiveQty],T_PlannedOrders[Part Name],$A639,T_PlannedOrders[WeekIndex],98)&amp;" ("&amp;TEXT(SUMPRODUCT(MAX((T_PlannedOrders[Part Name]=$A639)*(T_PlannedOrders[WeekIndex]=98)*(T_PlannedOrders[EffectiveQty]&gt;0)*T_PlannedOrders[Order_Month])),"m月")&amp;"発注)")</f>
        <v/>
      </c>
      <c r="CX703">
        <f>IF(SUMIFS(T_PlannedOrders[EffectiveQty],T_PlannedOrders[Part Name],$A639,T_PlannedOrders[WeekIndex],99)=0,"",SUMIFS(T_PlannedOrders[EffectiveQty],T_PlannedOrders[Part Name],$A639,T_PlannedOrders[WeekIndex],99)&amp;" ("&amp;TEXT(SUMPRODUCT(MAX((T_PlannedOrders[Part Name]=$A639)*(T_PlannedOrders[WeekIndex]=99)*(T_PlannedOrders[EffectiveQty]&gt;0)*T_PlannedOrders[Order_Month])),"m月")&amp;"発注)")</f>
        <v/>
      </c>
      <c r="CY703">
        <f>IF(SUMIFS(T_PlannedOrders[EffectiveQty],T_PlannedOrders[Part Name],$A639,T_PlannedOrders[WeekIndex],100)=0,"",SUMIFS(T_PlannedOrders[EffectiveQty],T_PlannedOrders[Part Name],$A639,T_PlannedOrders[WeekIndex],100)&amp;" ("&amp;TEXT(SUMPRODUCT(MAX((T_PlannedOrders[Part Name]=$A639)*(T_PlannedOrders[WeekIndex]=100)*(T_PlannedOrders[EffectiveQty]&gt;0)*T_PlannedOrders[Order_Month])),"m月")&amp;"発注)")</f>
        <v/>
      </c>
      <c r="CZ703">
        <f>IF(SUMIFS(T_PlannedOrders[EffectiveQty],T_PlannedOrders[Part Name],$A639,T_PlannedOrders[WeekIndex],101)=0,"",SUMIFS(T_PlannedOrders[EffectiveQty],T_PlannedOrders[Part Name],$A639,T_PlannedOrders[WeekIndex],101)&amp;" ("&amp;TEXT(SUMPRODUCT(MAX((T_PlannedOrders[Part Name]=$A639)*(T_PlannedOrders[WeekIndex]=101)*(T_PlannedOrders[EffectiveQty]&gt;0)*T_PlannedOrders[Order_Month])),"m月")&amp;"発注)")</f>
        <v/>
      </c>
      <c r="DA703">
        <f>IF(SUMIFS(T_PlannedOrders[EffectiveQty],T_PlannedOrders[Part Name],$A639,T_PlannedOrders[WeekIndex],102)=0,"",SUMIFS(T_PlannedOrders[EffectiveQty],T_PlannedOrders[Part Name],$A639,T_PlannedOrders[WeekIndex],102)&amp;" ("&amp;TEXT(SUMPRODUCT(MAX((T_PlannedOrders[Part Name]=$A639)*(T_PlannedOrders[WeekIndex]=102)*(T_PlannedOrders[EffectiveQty]&gt;0)*T_PlannedOrders[Order_Month])),"m月")&amp;"発注)")</f>
        <v/>
      </c>
      <c r="DB703">
        <f>IF(SUMIFS(T_PlannedOrders[EffectiveQty],T_PlannedOrders[Part Name],$A639,T_PlannedOrders[WeekIndex],103)=0,"",SUMIFS(T_PlannedOrders[EffectiveQty],T_PlannedOrders[Part Name],$A639,T_PlannedOrders[WeekIndex],103)&amp;" ("&amp;TEXT(SUMPRODUCT(MAX((T_PlannedOrders[Part Name]=$A639)*(T_PlannedOrders[WeekIndex]=103)*(T_PlannedOrders[EffectiveQty]&gt;0)*T_PlannedOrders[Order_Month])),"m月")&amp;"発注)")</f>
        <v/>
      </c>
      <c r="DC703">
        <f>IF(SUMIFS(T_PlannedOrders[EffectiveQty],T_PlannedOrders[Part Name],$A639,T_PlannedOrders[WeekIndex],104)=0,"",SUMIFS(T_PlannedOrders[EffectiveQty],T_PlannedOrders[Part Name],$A639,T_PlannedOrders[WeekIndex],104)&amp;" ("&amp;TEXT(SUMPRODUCT(MAX((T_PlannedOrders[Part Name]=$A639)*(T_PlannedOrders[WeekIndex]=104)*(T_PlannedOrders[EffectiveQty]&gt;0)*T_PlannedOrders[Order_Month])),"m月")&amp;"発注)")</f>
        <v/>
      </c>
    </row>
    <row r="704">
      <c r="B704" s="5" t="inlineStr">
        <is>
          <t>合計在庫(週末時点,kg)</t>
        </is>
      </c>
      <c r="D704">
        <f>'Grid_Stock'!B23</f>
        <v/>
      </c>
      <c r="E704">
        <f>'Grid_Stock'!C23</f>
        <v/>
      </c>
      <c r="F704">
        <f>'Grid_Stock'!D23</f>
        <v/>
      </c>
      <c r="G704">
        <f>'Grid_Stock'!E23</f>
        <v/>
      </c>
      <c r="H704">
        <f>'Grid_Stock'!F23</f>
        <v/>
      </c>
      <c r="I704">
        <f>'Grid_Stock'!G23</f>
        <v/>
      </c>
      <c r="J704">
        <f>'Grid_Stock'!H23</f>
        <v/>
      </c>
      <c r="K704">
        <f>'Grid_Stock'!I23</f>
        <v/>
      </c>
      <c r="L704">
        <f>'Grid_Stock'!J23</f>
        <v/>
      </c>
      <c r="M704">
        <f>'Grid_Stock'!K23</f>
        <v/>
      </c>
      <c r="N704">
        <f>'Grid_Stock'!L23</f>
        <v/>
      </c>
      <c r="O704">
        <f>'Grid_Stock'!M23</f>
        <v/>
      </c>
      <c r="P704">
        <f>'Grid_Stock'!N23</f>
        <v/>
      </c>
      <c r="Q704">
        <f>'Grid_Stock'!O23</f>
        <v/>
      </c>
      <c r="R704">
        <f>'Grid_Stock'!P23</f>
        <v/>
      </c>
      <c r="S704">
        <f>'Grid_Stock'!Q23</f>
        <v/>
      </c>
      <c r="T704">
        <f>'Grid_Stock'!R23</f>
        <v/>
      </c>
      <c r="U704">
        <f>'Grid_Stock'!S23</f>
        <v/>
      </c>
      <c r="V704">
        <f>'Grid_Stock'!T23</f>
        <v/>
      </c>
      <c r="W704">
        <f>'Grid_Stock'!U23</f>
        <v/>
      </c>
      <c r="X704">
        <f>'Grid_Stock'!V23</f>
        <v/>
      </c>
      <c r="Y704">
        <f>'Grid_Stock'!W23</f>
        <v/>
      </c>
      <c r="Z704">
        <f>'Grid_Stock'!X23</f>
        <v/>
      </c>
      <c r="AA704">
        <f>'Grid_Stock'!Y23</f>
        <v/>
      </c>
      <c r="AB704">
        <f>'Grid_Stock'!Z23</f>
        <v/>
      </c>
      <c r="AC704">
        <f>'Grid_Stock'!AA23</f>
        <v/>
      </c>
      <c r="AD704">
        <f>'Grid_Stock'!AB23</f>
        <v/>
      </c>
      <c r="AE704">
        <f>'Grid_Stock'!AC23</f>
        <v/>
      </c>
      <c r="AF704">
        <f>'Grid_Stock'!AD23</f>
        <v/>
      </c>
      <c r="AG704">
        <f>'Grid_Stock'!AE23</f>
        <v/>
      </c>
      <c r="AH704">
        <f>'Grid_Stock'!AF23</f>
        <v/>
      </c>
      <c r="AI704">
        <f>'Grid_Stock'!AG23</f>
        <v/>
      </c>
      <c r="AJ704">
        <f>'Grid_Stock'!AH23</f>
        <v/>
      </c>
      <c r="AK704">
        <f>'Grid_Stock'!AI23</f>
        <v/>
      </c>
      <c r="AL704">
        <f>'Grid_Stock'!AJ23</f>
        <v/>
      </c>
      <c r="AM704">
        <f>'Grid_Stock'!AK23</f>
        <v/>
      </c>
      <c r="AN704">
        <f>'Grid_Stock'!AL23</f>
        <v/>
      </c>
      <c r="AO704">
        <f>'Grid_Stock'!AM23</f>
        <v/>
      </c>
      <c r="AP704">
        <f>'Grid_Stock'!AN23</f>
        <v/>
      </c>
      <c r="AQ704">
        <f>'Grid_Stock'!AO23</f>
        <v/>
      </c>
      <c r="AR704">
        <f>'Grid_Stock'!AP23</f>
        <v/>
      </c>
      <c r="AS704">
        <f>'Grid_Stock'!AQ23</f>
        <v/>
      </c>
      <c r="AT704">
        <f>'Grid_Stock'!AR23</f>
        <v/>
      </c>
      <c r="AU704">
        <f>'Grid_Stock'!AS23</f>
        <v/>
      </c>
      <c r="AV704">
        <f>'Grid_Stock'!AT23</f>
        <v/>
      </c>
      <c r="AW704">
        <f>'Grid_Stock'!AU23</f>
        <v/>
      </c>
      <c r="AX704">
        <f>'Grid_Stock'!AV23</f>
        <v/>
      </c>
      <c r="AY704">
        <f>'Grid_Stock'!AW23</f>
        <v/>
      </c>
      <c r="AZ704">
        <f>'Grid_Stock'!AX23</f>
        <v/>
      </c>
      <c r="BA704">
        <f>'Grid_Stock'!AY23</f>
        <v/>
      </c>
      <c r="BB704">
        <f>'Grid_Stock'!AZ23</f>
        <v/>
      </c>
      <c r="BC704">
        <f>'Grid_Stock'!BA23</f>
        <v/>
      </c>
      <c r="BD704">
        <f>'Grid_Stock'!BB23</f>
        <v/>
      </c>
      <c r="BE704">
        <f>'Grid_Stock'!BC23</f>
        <v/>
      </c>
      <c r="BF704">
        <f>'Grid_Stock'!BD23</f>
        <v/>
      </c>
      <c r="BG704">
        <f>'Grid_Stock'!BE23</f>
        <v/>
      </c>
      <c r="BH704">
        <f>'Grid_Stock'!BF23</f>
        <v/>
      </c>
      <c r="BI704">
        <f>'Grid_Stock'!BG23</f>
        <v/>
      </c>
      <c r="BJ704">
        <f>'Grid_Stock'!BH23</f>
        <v/>
      </c>
      <c r="BK704">
        <f>'Grid_Stock'!BI23</f>
        <v/>
      </c>
      <c r="BL704">
        <f>'Grid_Stock'!BJ23</f>
        <v/>
      </c>
      <c r="BM704">
        <f>'Grid_Stock'!BK23</f>
        <v/>
      </c>
      <c r="BN704">
        <f>'Grid_Stock'!BL23</f>
        <v/>
      </c>
      <c r="BO704">
        <f>'Grid_Stock'!BM23</f>
        <v/>
      </c>
      <c r="BP704">
        <f>'Grid_Stock'!BN23</f>
        <v/>
      </c>
      <c r="BQ704">
        <f>'Grid_Stock'!BO23</f>
        <v/>
      </c>
      <c r="BR704">
        <f>'Grid_Stock'!BP23</f>
        <v/>
      </c>
      <c r="BS704">
        <f>'Grid_Stock'!BQ23</f>
        <v/>
      </c>
      <c r="BT704">
        <f>'Grid_Stock'!BR23</f>
        <v/>
      </c>
      <c r="BU704">
        <f>'Grid_Stock'!BS23</f>
        <v/>
      </c>
      <c r="BV704">
        <f>'Grid_Stock'!BT23</f>
        <v/>
      </c>
      <c r="BW704">
        <f>'Grid_Stock'!BU23</f>
        <v/>
      </c>
      <c r="BX704">
        <f>'Grid_Stock'!BV23</f>
        <v/>
      </c>
      <c r="BY704">
        <f>'Grid_Stock'!BW23</f>
        <v/>
      </c>
      <c r="BZ704">
        <f>'Grid_Stock'!BX23</f>
        <v/>
      </c>
      <c r="CA704">
        <f>'Grid_Stock'!BY23</f>
        <v/>
      </c>
      <c r="CB704">
        <f>'Grid_Stock'!BZ23</f>
        <v/>
      </c>
      <c r="CC704">
        <f>'Grid_Stock'!CA23</f>
        <v/>
      </c>
      <c r="CD704">
        <f>'Grid_Stock'!CB23</f>
        <v/>
      </c>
      <c r="CE704">
        <f>'Grid_Stock'!CC23</f>
        <v/>
      </c>
      <c r="CF704">
        <f>'Grid_Stock'!CD23</f>
        <v/>
      </c>
      <c r="CG704">
        <f>'Grid_Stock'!CE23</f>
        <v/>
      </c>
      <c r="CH704">
        <f>'Grid_Stock'!CF23</f>
        <v/>
      </c>
      <c r="CI704">
        <f>'Grid_Stock'!CG23</f>
        <v/>
      </c>
      <c r="CJ704">
        <f>'Grid_Stock'!CH23</f>
        <v/>
      </c>
      <c r="CK704">
        <f>'Grid_Stock'!CI23</f>
        <v/>
      </c>
      <c r="CL704">
        <f>'Grid_Stock'!CJ23</f>
        <v/>
      </c>
      <c r="CM704">
        <f>'Grid_Stock'!CK23</f>
        <v/>
      </c>
      <c r="CN704">
        <f>'Grid_Stock'!CL23</f>
        <v/>
      </c>
      <c r="CO704">
        <f>'Grid_Stock'!CM23</f>
        <v/>
      </c>
      <c r="CP704">
        <f>'Grid_Stock'!CN23</f>
        <v/>
      </c>
      <c r="CQ704">
        <f>'Grid_Stock'!CO23</f>
        <v/>
      </c>
      <c r="CR704">
        <f>'Grid_Stock'!CP23</f>
        <v/>
      </c>
      <c r="CS704">
        <f>'Grid_Stock'!CQ23</f>
        <v/>
      </c>
      <c r="CT704">
        <f>'Grid_Stock'!CR23</f>
        <v/>
      </c>
      <c r="CU704">
        <f>'Grid_Stock'!CS23</f>
        <v/>
      </c>
      <c r="CV704">
        <f>'Grid_Stock'!CT23</f>
        <v/>
      </c>
      <c r="CW704">
        <f>'Grid_Stock'!CU23</f>
        <v/>
      </c>
      <c r="CX704">
        <f>'Grid_Stock'!CV23</f>
        <v/>
      </c>
      <c r="CY704">
        <f>'Grid_Stock'!CW23</f>
        <v/>
      </c>
      <c r="CZ704">
        <f>'Grid_Stock'!CX23</f>
        <v/>
      </c>
      <c r="DA704">
        <f>'Grid_Stock'!CY23</f>
        <v/>
      </c>
      <c r="DB704">
        <f>'Grid_Stock'!CZ23</f>
        <v/>
      </c>
      <c r="DC704">
        <f>'Grid_Stock'!DA23</f>
        <v/>
      </c>
    </row>
    <row r="705">
      <c r="B705" s="23" t="inlineStr">
        <is>
          <t>（発注の目安はDashboardの基準在庫[下限/上限]と色分けを参照）</t>
        </is>
      </c>
    </row>
    <row r="707">
      <c r="A707" s="21" t="inlineStr">
        <is>
          <t>CHEM-1600</t>
        </is>
      </c>
      <c r="B707" s="21" t="inlineStr">
        <is>
          <t>BF-1P</t>
        </is>
      </c>
      <c r="C707" s="22" t="n"/>
      <c r="D707" s="21" t="n"/>
      <c r="E707" s="21" t="n"/>
      <c r="F707" s="21" t="n"/>
      <c r="G707" s="21" t="n"/>
      <c r="H707" s="2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  <c r="AA707" s="21" t="n"/>
      <c r="AB707" s="21" t="n"/>
      <c r="AC707" s="21" t="n"/>
      <c r="AD707" s="21" t="n"/>
      <c r="AE707" s="21" t="n"/>
      <c r="AF707" s="21" t="n"/>
      <c r="AG707" s="21" t="n"/>
      <c r="AH707" s="21" t="n"/>
      <c r="AI707" s="21" t="n"/>
      <c r="AJ707" s="21" t="n"/>
      <c r="AK707" s="21" t="n"/>
      <c r="AL707" s="21" t="n"/>
      <c r="AM707" s="21" t="n"/>
      <c r="AN707" s="21" t="n"/>
      <c r="AO707" s="21" t="n"/>
      <c r="AP707" s="21" t="n"/>
      <c r="AQ707" s="21" t="n"/>
      <c r="AR707" s="21" t="n"/>
      <c r="AS707" s="21" t="n"/>
      <c r="AT707" s="21" t="n"/>
      <c r="AU707" s="21" t="n"/>
      <c r="AV707" s="21" t="n"/>
      <c r="AW707" s="21" t="n"/>
      <c r="AX707" s="21" t="n"/>
      <c r="AY707" s="21" t="n"/>
      <c r="AZ707" s="21" t="n"/>
      <c r="BA707" s="21" t="n"/>
      <c r="BB707" s="21" t="n"/>
      <c r="BC707" s="21" t="n"/>
      <c r="BD707" s="21" t="n"/>
      <c r="BE707" s="21" t="n"/>
      <c r="BF707" s="21" t="n"/>
      <c r="BG707" s="21" t="n"/>
      <c r="BH707" s="21" t="n"/>
      <c r="BI707" s="21" t="n"/>
      <c r="BJ707" s="21" t="n"/>
      <c r="BK707" s="21" t="n"/>
      <c r="BL707" s="21" t="n"/>
      <c r="BM707" s="21" t="n"/>
      <c r="BN707" s="21" t="n"/>
      <c r="BO707" s="21" t="n"/>
      <c r="BP707" s="21" t="n"/>
      <c r="BQ707" s="21" t="n"/>
      <c r="BR707" s="21" t="n"/>
      <c r="BS707" s="21" t="n"/>
      <c r="BT707" s="21" t="n"/>
      <c r="BU707" s="21" t="n"/>
      <c r="BV707" s="21" t="n"/>
      <c r="BW707" s="21" t="n"/>
      <c r="BX707" s="21" t="n"/>
      <c r="BY707" s="21" t="n"/>
      <c r="BZ707" s="21" t="n"/>
      <c r="CA707" s="21" t="n"/>
      <c r="CB707" s="21" t="n"/>
      <c r="CC707" s="21" t="n"/>
      <c r="CD707" s="21" t="n"/>
      <c r="CE707" s="21" t="n"/>
      <c r="CF707" s="21" t="n"/>
      <c r="CG707" s="21" t="n"/>
      <c r="CH707" s="21" t="n"/>
      <c r="CI707" s="21" t="n"/>
      <c r="CJ707" s="21" t="n"/>
      <c r="CK707" s="21" t="n"/>
      <c r="CL707" s="21" t="n"/>
      <c r="CM707" s="21" t="n"/>
      <c r="CN707" s="21" t="n"/>
      <c r="CO707" s="21" t="n"/>
      <c r="CP707" s="21" t="n"/>
      <c r="CQ707" s="21" t="n"/>
      <c r="CR707" s="21" t="n"/>
      <c r="CS707" s="21" t="n"/>
      <c r="CT707" s="21" t="n"/>
      <c r="CU707" s="21" t="n"/>
      <c r="CV707" s="21" t="n"/>
      <c r="CW707" s="21" t="n"/>
      <c r="CX707" s="21" t="n"/>
      <c r="CY707" s="21" t="n"/>
      <c r="CZ707" s="21" t="n"/>
      <c r="DA707" s="21" t="n"/>
      <c r="DB707" s="21" t="n"/>
      <c r="DC707" s="21" t="n"/>
    </row>
    <row r="708">
      <c r="B708" t="inlineStr">
        <is>
          <t>TSP-1388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Name],$A707)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TSP-618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Name],$A707)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TSP-828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Name],$A707)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TSP-924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Name],$A707)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TSP-925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Name],$A707)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TSZ-616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Name],$A707)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VSP-600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Name],$A707)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VSP-601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Name],$A707)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VSP-820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Name],$A707)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VSP-989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Name],$A707)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s="5" t="inlineStr">
        <is>
          <t>合計使用量(kg)/週</t>
        </is>
      </c>
      <c r="D728">
        <f>'Grid_Requirement'!B8</f>
        <v/>
      </c>
      <c r="E728">
        <f>'Grid_Requirement'!C8</f>
        <v/>
      </c>
      <c r="F728">
        <f>'Grid_Requirement'!D8</f>
        <v/>
      </c>
      <c r="G728">
        <f>'Grid_Requirement'!E8</f>
        <v/>
      </c>
      <c r="H728">
        <f>'Grid_Requirement'!F8</f>
        <v/>
      </c>
      <c r="I728">
        <f>'Grid_Requirement'!G8</f>
        <v/>
      </c>
      <c r="J728">
        <f>'Grid_Requirement'!H8</f>
        <v/>
      </c>
      <c r="K728">
        <f>'Grid_Requirement'!I8</f>
        <v/>
      </c>
      <c r="L728">
        <f>'Grid_Requirement'!J8</f>
        <v/>
      </c>
      <c r="M728">
        <f>'Grid_Requirement'!K8</f>
        <v/>
      </c>
      <c r="N728">
        <f>'Grid_Requirement'!L8</f>
        <v/>
      </c>
      <c r="O728">
        <f>'Grid_Requirement'!M8</f>
        <v/>
      </c>
      <c r="P728">
        <f>'Grid_Requirement'!N8</f>
        <v/>
      </c>
      <c r="Q728">
        <f>'Grid_Requirement'!O8</f>
        <v/>
      </c>
      <c r="R728">
        <f>'Grid_Requirement'!P8</f>
        <v/>
      </c>
      <c r="S728">
        <f>'Grid_Requirement'!Q8</f>
        <v/>
      </c>
      <c r="T728">
        <f>'Grid_Requirement'!R8</f>
        <v/>
      </c>
      <c r="U728">
        <f>'Grid_Requirement'!S8</f>
        <v/>
      </c>
      <c r="V728">
        <f>'Grid_Requirement'!T8</f>
        <v/>
      </c>
      <c r="W728">
        <f>'Grid_Requirement'!U8</f>
        <v/>
      </c>
      <c r="X728">
        <f>'Grid_Requirement'!V8</f>
        <v/>
      </c>
      <c r="Y728">
        <f>'Grid_Requirement'!W8</f>
        <v/>
      </c>
      <c r="Z728">
        <f>'Grid_Requirement'!X8</f>
        <v/>
      </c>
      <c r="AA728">
        <f>'Grid_Requirement'!Y8</f>
        <v/>
      </c>
      <c r="AB728">
        <f>'Grid_Requirement'!Z8</f>
        <v/>
      </c>
      <c r="AC728">
        <f>'Grid_Requirement'!AA8</f>
        <v/>
      </c>
      <c r="AD728">
        <f>'Grid_Requirement'!AB8</f>
        <v/>
      </c>
      <c r="AE728">
        <f>'Grid_Requirement'!AC8</f>
        <v/>
      </c>
      <c r="AF728">
        <f>'Grid_Requirement'!AD8</f>
        <v/>
      </c>
      <c r="AG728">
        <f>'Grid_Requirement'!AE8</f>
        <v/>
      </c>
      <c r="AH728">
        <f>'Grid_Requirement'!AF8</f>
        <v/>
      </c>
      <c r="AI728">
        <f>'Grid_Requirement'!AG8</f>
        <v/>
      </c>
      <c r="AJ728">
        <f>'Grid_Requirement'!AH8</f>
        <v/>
      </c>
      <c r="AK728">
        <f>'Grid_Requirement'!AI8</f>
        <v/>
      </c>
      <c r="AL728">
        <f>'Grid_Requirement'!AJ8</f>
        <v/>
      </c>
      <c r="AM728">
        <f>'Grid_Requirement'!AK8</f>
        <v/>
      </c>
      <c r="AN728">
        <f>'Grid_Requirement'!AL8</f>
        <v/>
      </c>
      <c r="AO728">
        <f>'Grid_Requirement'!AM8</f>
        <v/>
      </c>
      <c r="AP728">
        <f>'Grid_Requirement'!AN8</f>
        <v/>
      </c>
      <c r="AQ728">
        <f>'Grid_Requirement'!AO8</f>
        <v/>
      </c>
      <c r="AR728">
        <f>'Grid_Requirement'!AP8</f>
        <v/>
      </c>
      <c r="AS728">
        <f>'Grid_Requirement'!AQ8</f>
        <v/>
      </c>
      <c r="AT728">
        <f>'Grid_Requirement'!AR8</f>
        <v/>
      </c>
      <c r="AU728">
        <f>'Grid_Requirement'!AS8</f>
        <v/>
      </c>
      <c r="AV728">
        <f>'Grid_Requirement'!AT8</f>
        <v/>
      </c>
      <c r="AW728">
        <f>'Grid_Requirement'!AU8</f>
        <v/>
      </c>
      <c r="AX728">
        <f>'Grid_Requirement'!AV8</f>
        <v/>
      </c>
      <c r="AY728">
        <f>'Grid_Requirement'!AW8</f>
        <v/>
      </c>
      <c r="AZ728">
        <f>'Grid_Requirement'!AX8</f>
        <v/>
      </c>
      <c r="BA728">
        <f>'Grid_Requirement'!AY8</f>
        <v/>
      </c>
      <c r="BB728">
        <f>'Grid_Requirement'!AZ8</f>
        <v/>
      </c>
      <c r="BC728">
        <f>'Grid_Requirement'!BA8</f>
        <v/>
      </c>
      <c r="BD728">
        <f>'Grid_Requirement'!BB8</f>
        <v/>
      </c>
      <c r="BE728">
        <f>'Grid_Requirement'!BC8</f>
        <v/>
      </c>
      <c r="BF728">
        <f>'Grid_Requirement'!BD8</f>
        <v/>
      </c>
      <c r="BG728">
        <f>'Grid_Requirement'!BE8</f>
        <v/>
      </c>
      <c r="BH728">
        <f>'Grid_Requirement'!BF8</f>
        <v/>
      </c>
      <c r="BI728">
        <f>'Grid_Requirement'!BG8</f>
        <v/>
      </c>
      <c r="BJ728">
        <f>'Grid_Requirement'!BH8</f>
        <v/>
      </c>
      <c r="BK728">
        <f>'Grid_Requirement'!BI8</f>
        <v/>
      </c>
      <c r="BL728">
        <f>'Grid_Requirement'!BJ8</f>
        <v/>
      </c>
      <c r="BM728">
        <f>'Grid_Requirement'!BK8</f>
        <v/>
      </c>
      <c r="BN728">
        <f>'Grid_Requirement'!BL8</f>
        <v/>
      </c>
      <c r="BO728">
        <f>'Grid_Requirement'!BM8</f>
        <v/>
      </c>
      <c r="BP728">
        <f>'Grid_Requirement'!BN8</f>
        <v/>
      </c>
      <c r="BQ728">
        <f>'Grid_Requirement'!BO8</f>
        <v/>
      </c>
      <c r="BR728">
        <f>'Grid_Requirement'!BP8</f>
        <v/>
      </c>
      <c r="BS728">
        <f>'Grid_Requirement'!BQ8</f>
        <v/>
      </c>
      <c r="BT728">
        <f>'Grid_Requirement'!BR8</f>
        <v/>
      </c>
      <c r="BU728">
        <f>'Grid_Requirement'!BS8</f>
        <v/>
      </c>
      <c r="BV728">
        <f>'Grid_Requirement'!BT8</f>
        <v/>
      </c>
      <c r="BW728">
        <f>'Grid_Requirement'!BU8</f>
        <v/>
      </c>
      <c r="BX728">
        <f>'Grid_Requirement'!BV8</f>
        <v/>
      </c>
      <c r="BY728">
        <f>'Grid_Requirement'!BW8</f>
        <v/>
      </c>
      <c r="BZ728">
        <f>'Grid_Requirement'!BX8</f>
        <v/>
      </c>
      <c r="CA728">
        <f>'Grid_Requirement'!BY8</f>
        <v/>
      </c>
      <c r="CB728">
        <f>'Grid_Requirement'!BZ8</f>
        <v/>
      </c>
      <c r="CC728">
        <f>'Grid_Requirement'!CA8</f>
        <v/>
      </c>
      <c r="CD728">
        <f>'Grid_Requirement'!CB8</f>
        <v/>
      </c>
      <c r="CE728">
        <f>'Grid_Requirement'!CC8</f>
        <v/>
      </c>
      <c r="CF728">
        <f>'Grid_Requirement'!CD8</f>
        <v/>
      </c>
      <c r="CG728">
        <f>'Grid_Requirement'!CE8</f>
        <v/>
      </c>
      <c r="CH728">
        <f>'Grid_Requirement'!CF8</f>
        <v/>
      </c>
      <c r="CI728">
        <f>'Grid_Requirement'!CG8</f>
        <v/>
      </c>
      <c r="CJ728">
        <f>'Grid_Requirement'!CH8</f>
        <v/>
      </c>
      <c r="CK728">
        <f>'Grid_Requirement'!CI8</f>
        <v/>
      </c>
      <c r="CL728">
        <f>'Grid_Requirement'!CJ8</f>
        <v/>
      </c>
      <c r="CM728">
        <f>'Grid_Requirement'!CK8</f>
        <v/>
      </c>
      <c r="CN728">
        <f>'Grid_Requirement'!CL8</f>
        <v/>
      </c>
      <c r="CO728">
        <f>'Grid_Requirement'!CM8</f>
        <v/>
      </c>
      <c r="CP728">
        <f>'Grid_Requirement'!CN8</f>
        <v/>
      </c>
      <c r="CQ728">
        <f>'Grid_Requirement'!CO8</f>
        <v/>
      </c>
      <c r="CR728">
        <f>'Grid_Requirement'!CP8</f>
        <v/>
      </c>
      <c r="CS728">
        <f>'Grid_Requirement'!CQ8</f>
        <v/>
      </c>
      <c r="CT728">
        <f>'Grid_Requirement'!CR8</f>
        <v/>
      </c>
      <c r="CU728">
        <f>'Grid_Requirement'!CS8</f>
        <v/>
      </c>
      <c r="CV728">
        <f>'Grid_Requirement'!CT8</f>
        <v/>
      </c>
      <c r="CW728">
        <f>'Grid_Requirement'!CU8</f>
        <v/>
      </c>
      <c r="CX728">
        <f>'Grid_Requirement'!CV8</f>
        <v/>
      </c>
      <c r="CY728">
        <f>'Grid_Requirement'!CW8</f>
        <v/>
      </c>
      <c r="CZ728">
        <f>'Grid_Requirement'!CX8</f>
        <v/>
      </c>
      <c r="DA728">
        <f>'Grid_Requirement'!CY8</f>
        <v/>
      </c>
      <c r="DB728">
        <f>'Grid_Requirement'!CZ8</f>
        <v/>
      </c>
      <c r="DC728">
        <f>'Grid_Requirement'!DA8</f>
        <v/>
      </c>
    </row>
    <row r="729">
      <c r="B729" t="inlineStr">
        <is>
          <t>TTAF在庫(実績,kg)</t>
        </is>
      </c>
      <c r="D729">
        <f>'T_TTAFStock'!B12</f>
        <v/>
      </c>
      <c r="E729">
        <f>'T_TTAFStock'!C12</f>
        <v/>
      </c>
      <c r="F729">
        <f>'T_TTAFStock'!D12</f>
        <v/>
      </c>
      <c r="G729">
        <f>'T_TTAFStock'!E12</f>
        <v/>
      </c>
      <c r="H729">
        <f>'T_TTAFStock'!F12</f>
        <v/>
      </c>
      <c r="I729">
        <f>'T_TTAFStock'!G12</f>
        <v/>
      </c>
      <c r="J729">
        <f>'T_TTAFStock'!H12</f>
        <v/>
      </c>
      <c r="K729">
        <f>'T_TTAFStock'!I12</f>
        <v/>
      </c>
      <c r="L729">
        <f>'T_TTAFStock'!J12</f>
        <v/>
      </c>
      <c r="M729">
        <f>'T_TTAFStock'!K12</f>
        <v/>
      </c>
      <c r="N729">
        <f>'T_TTAFStock'!L12</f>
        <v/>
      </c>
      <c r="O729">
        <f>'T_TTAFStock'!M12</f>
        <v/>
      </c>
      <c r="P729">
        <f>'T_TTAFStock'!N12</f>
        <v/>
      </c>
      <c r="Q729">
        <f>'T_TTAFStock'!O12</f>
        <v/>
      </c>
      <c r="R729">
        <f>'T_TTAFStock'!P12</f>
        <v/>
      </c>
      <c r="S729">
        <f>'T_TTAFStock'!Q12</f>
        <v/>
      </c>
      <c r="T729">
        <f>'T_TTAFStock'!R12</f>
        <v/>
      </c>
      <c r="U729">
        <f>'T_TTAFStock'!S12</f>
        <v/>
      </c>
      <c r="V729">
        <f>'T_TTAFStock'!T12</f>
        <v/>
      </c>
      <c r="W729">
        <f>'T_TTAFStock'!U12</f>
        <v/>
      </c>
      <c r="X729">
        <f>'T_TTAFStock'!V12</f>
        <v/>
      </c>
      <c r="Y729">
        <f>'T_TTAFStock'!W12</f>
        <v/>
      </c>
      <c r="Z729">
        <f>'T_TTAFStock'!X12</f>
        <v/>
      </c>
      <c r="AA729">
        <f>'T_TTAFStock'!Y12</f>
        <v/>
      </c>
      <c r="AB729">
        <f>'T_TTAFStock'!Z12</f>
        <v/>
      </c>
      <c r="AC729">
        <f>'T_TTAFStock'!AA12</f>
        <v/>
      </c>
      <c r="AD729">
        <f>'T_TTAFStock'!AB12</f>
        <v/>
      </c>
      <c r="AE729">
        <f>'T_TTAFStock'!AC12</f>
        <v/>
      </c>
      <c r="AF729">
        <f>'T_TTAFStock'!AD12</f>
        <v/>
      </c>
      <c r="AG729">
        <f>'T_TTAFStock'!AE12</f>
        <v/>
      </c>
      <c r="AH729">
        <f>'T_TTAFStock'!AF12</f>
        <v/>
      </c>
      <c r="AI729">
        <f>'T_TTAFStock'!AG12</f>
        <v/>
      </c>
      <c r="AJ729">
        <f>'T_TTAFStock'!AH12</f>
        <v/>
      </c>
      <c r="AK729">
        <f>'T_TTAFStock'!AI12</f>
        <v/>
      </c>
      <c r="AL729">
        <f>'T_TTAFStock'!AJ12</f>
        <v/>
      </c>
      <c r="AM729">
        <f>'T_TTAFStock'!AK12</f>
        <v/>
      </c>
      <c r="AN729">
        <f>'T_TTAFStock'!AL12</f>
        <v/>
      </c>
      <c r="AO729">
        <f>'T_TTAFStock'!AM12</f>
        <v/>
      </c>
      <c r="AP729">
        <f>'T_TTAFStock'!AN12</f>
        <v/>
      </c>
      <c r="AQ729">
        <f>'T_TTAFStock'!AO12</f>
        <v/>
      </c>
      <c r="AR729">
        <f>'T_TTAFStock'!AP12</f>
        <v/>
      </c>
      <c r="AS729">
        <f>'T_TTAFStock'!AQ12</f>
        <v/>
      </c>
      <c r="AT729">
        <f>'T_TTAFStock'!AR12</f>
        <v/>
      </c>
      <c r="AU729">
        <f>'T_TTAFStock'!AS12</f>
        <v/>
      </c>
      <c r="AV729">
        <f>'T_TTAFStock'!AT12</f>
        <v/>
      </c>
      <c r="AW729">
        <f>'T_TTAFStock'!AU12</f>
        <v/>
      </c>
      <c r="AX729">
        <f>'T_TTAFStock'!AV12</f>
        <v/>
      </c>
      <c r="AY729">
        <f>'T_TTAFStock'!AW12</f>
        <v/>
      </c>
      <c r="AZ729">
        <f>'T_TTAFStock'!AX12</f>
        <v/>
      </c>
      <c r="BA729">
        <f>'T_TTAFStock'!AY12</f>
        <v/>
      </c>
      <c r="BB729">
        <f>'T_TTAFStock'!AZ12</f>
        <v/>
      </c>
      <c r="BC729">
        <f>'T_TTAFStock'!BA12</f>
        <v/>
      </c>
      <c r="BD729">
        <f>'T_TTAFStock'!BB12</f>
        <v/>
      </c>
      <c r="BE729">
        <f>'T_TTAFStock'!BC12</f>
        <v/>
      </c>
      <c r="BF729">
        <f>'T_TTAFStock'!BD12</f>
        <v/>
      </c>
      <c r="BG729">
        <f>'T_TTAFStock'!BE12</f>
        <v/>
      </c>
      <c r="BH729">
        <f>'T_TTAFStock'!BF12</f>
        <v/>
      </c>
      <c r="BI729">
        <f>'T_TTAFStock'!BG12</f>
        <v/>
      </c>
      <c r="BJ729">
        <f>'T_TTAFStock'!BH12</f>
        <v/>
      </c>
      <c r="BK729">
        <f>'T_TTAFStock'!BI12</f>
        <v/>
      </c>
      <c r="BL729">
        <f>'T_TTAFStock'!BJ12</f>
        <v/>
      </c>
      <c r="BM729">
        <f>'T_TTAFStock'!BK12</f>
        <v/>
      </c>
      <c r="BN729">
        <f>'T_TTAFStock'!BL12</f>
        <v/>
      </c>
      <c r="BO729">
        <f>'T_TTAFStock'!BM12</f>
        <v/>
      </c>
      <c r="BP729">
        <f>'T_TTAFStock'!BN12</f>
        <v/>
      </c>
      <c r="BQ729">
        <f>'T_TTAFStock'!BO12</f>
        <v/>
      </c>
      <c r="BR729">
        <f>'T_TTAFStock'!BP12</f>
        <v/>
      </c>
      <c r="BS729">
        <f>'T_TTAFStock'!BQ12</f>
        <v/>
      </c>
      <c r="BT729">
        <f>'T_TTAFStock'!BR12</f>
        <v/>
      </c>
      <c r="BU729">
        <f>'T_TTAFStock'!BS12</f>
        <v/>
      </c>
      <c r="BV729">
        <f>'T_TTAFStock'!BT12</f>
        <v/>
      </c>
      <c r="BW729">
        <f>'T_TTAFStock'!BU12</f>
        <v/>
      </c>
      <c r="BX729">
        <f>'T_TTAFStock'!BV12</f>
        <v/>
      </c>
      <c r="BY729">
        <f>'T_TTAFStock'!BW12</f>
        <v/>
      </c>
      <c r="BZ729">
        <f>'T_TTAFStock'!BX12</f>
        <v/>
      </c>
      <c r="CA729">
        <f>'T_TTAFStock'!BY12</f>
        <v/>
      </c>
      <c r="CB729">
        <f>'T_TTAFStock'!BZ12</f>
        <v/>
      </c>
      <c r="CC729">
        <f>'T_TTAFStock'!CA12</f>
        <v/>
      </c>
      <c r="CD729">
        <f>'T_TTAFStock'!CB12</f>
        <v/>
      </c>
      <c r="CE729">
        <f>'T_TTAFStock'!CC12</f>
        <v/>
      </c>
      <c r="CF729">
        <f>'T_TTAFStock'!CD12</f>
        <v/>
      </c>
      <c r="CG729">
        <f>'T_TTAFStock'!CE12</f>
        <v/>
      </c>
      <c r="CH729">
        <f>'T_TTAFStock'!CF12</f>
        <v/>
      </c>
      <c r="CI729">
        <f>'T_TTAFStock'!CG12</f>
        <v/>
      </c>
      <c r="CJ729">
        <f>'T_TTAFStock'!CH12</f>
        <v/>
      </c>
      <c r="CK729">
        <f>'T_TTAFStock'!CI12</f>
        <v/>
      </c>
      <c r="CL729">
        <f>'T_TTAFStock'!CJ12</f>
        <v/>
      </c>
      <c r="CM729">
        <f>'T_TTAFStock'!CK12</f>
        <v/>
      </c>
      <c r="CN729">
        <f>'T_TTAFStock'!CL12</f>
        <v/>
      </c>
      <c r="CO729">
        <f>'T_TTAFStock'!CM12</f>
        <v/>
      </c>
      <c r="CP729">
        <f>'T_TTAFStock'!CN12</f>
        <v/>
      </c>
      <c r="CQ729">
        <f>'T_TTAFStock'!CO12</f>
        <v/>
      </c>
      <c r="CR729">
        <f>'T_TTAFStock'!CP12</f>
        <v/>
      </c>
      <c r="CS729">
        <f>'T_TTAFStock'!CQ12</f>
        <v/>
      </c>
      <c r="CT729">
        <f>'T_TTAFStock'!CR12</f>
        <v/>
      </c>
      <c r="CU729">
        <f>'T_TTAFStock'!CS12</f>
        <v/>
      </c>
      <c r="CV729">
        <f>'T_TTAFStock'!CT12</f>
        <v/>
      </c>
      <c r="CW729">
        <f>'T_TTAFStock'!CU12</f>
        <v/>
      </c>
      <c r="CX729">
        <f>'T_TTAFStock'!CV12</f>
        <v/>
      </c>
      <c r="CY729">
        <f>'T_TTAFStock'!CW12</f>
        <v/>
      </c>
      <c r="CZ729">
        <f>'T_TTAFStock'!CX12</f>
        <v/>
      </c>
      <c r="DA729">
        <f>'T_TTAFStock'!CY12</f>
        <v/>
      </c>
      <c r="DB729">
        <f>'T_TTAFStock'!CZ12</f>
        <v/>
      </c>
      <c r="DC729">
        <f>'T_TTAFStock'!DA12</f>
        <v/>
      </c>
    </row>
    <row r="730">
      <c r="B730" t="inlineStr">
        <is>
          <t>自社在庫(実績,kg)</t>
        </is>
      </c>
      <c r="D730">
        <f>'T_SelfStock'!B12</f>
        <v/>
      </c>
      <c r="E730">
        <f>'T_SelfStock'!C12</f>
        <v/>
      </c>
      <c r="F730">
        <f>'T_SelfStock'!D12</f>
        <v/>
      </c>
      <c r="G730">
        <f>'T_SelfStock'!E12</f>
        <v/>
      </c>
      <c r="H730">
        <f>'T_SelfStock'!F12</f>
        <v/>
      </c>
      <c r="I730">
        <f>'T_SelfStock'!G12</f>
        <v/>
      </c>
      <c r="J730">
        <f>'T_SelfStock'!H12</f>
        <v/>
      </c>
      <c r="K730">
        <f>'T_SelfStock'!I12</f>
        <v/>
      </c>
      <c r="L730">
        <f>'T_SelfStock'!J12</f>
        <v/>
      </c>
      <c r="M730">
        <f>'T_SelfStock'!K12</f>
        <v/>
      </c>
      <c r="N730">
        <f>'T_SelfStock'!L12</f>
        <v/>
      </c>
      <c r="O730">
        <f>'T_SelfStock'!M12</f>
        <v/>
      </c>
      <c r="P730">
        <f>'T_SelfStock'!N12</f>
        <v/>
      </c>
      <c r="Q730">
        <f>'T_SelfStock'!O12</f>
        <v/>
      </c>
      <c r="R730">
        <f>'T_SelfStock'!P12</f>
        <v/>
      </c>
      <c r="S730">
        <f>'T_SelfStock'!Q12</f>
        <v/>
      </c>
      <c r="T730">
        <f>'T_SelfStock'!R12</f>
        <v/>
      </c>
      <c r="U730">
        <f>'T_SelfStock'!S12</f>
        <v/>
      </c>
      <c r="V730">
        <f>'T_SelfStock'!T12</f>
        <v/>
      </c>
      <c r="W730">
        <f>'T_SelfStock'!U12</f>
        <v/>
      </c>
      <c r="X730">
        <f>'T_SelfStock'!V12</f>
        <v/>
      </c>
      <c r="Y730">
        <f>'T_SelfStock'!W12</f>
        <v/>
      </c>
      <c r="Z730">
        <f>'T_SelfStock'!X12</f>
        <v/>
      </c>
      <c r="AA730">
        <f>'T_SelfStock'!Y12</f>
        <v/>
      </c>
      <c r="AB730">
        <f>'T_SelfStock'!Z12</f>
        <v/>
      </c>
      <c r="AC730">
        <f>'T_SelfStock'!AA12</f>
        <v/>
      </c>
      <c r="AD730">
        <f>'T_SelfStock'!AB12</f>
        <v/>
      </c>
      <c r="AE730">
        <f>'T_SelfStock'!AC12</f>
        <v/>
      </c>
      <c r="AF730">
        <f>'T_SelfStock'!AD12</f>
        <v/>
      </c>
      <c r="AG730">
        <f>'T_SelfStock'!AE12</f>
        <v/>
      </c>
      <c r="AH730">
        <f>'T_SelfStock'!AF12</f>
        <v/>
      </c>
      <c r="AI730">
        <f>'T_SelfStock'!AG12</f>
        <v/>
      </c>
      <c r="AJ730">
        <f>'T_SelfStock'!AH12</f>
        <v/>
      </c>
      <c r="AK730">
        <f>'T_SelfStock'!AI12</f>
        <v/>
      </c>
      <c r="AL730">
        <f>'T_SelfStock'!AJ12</f>
        <v/>
      </c>
      <c r="AM730">
        <f>'T_SelfStock'!AK12</f>
        <v/>
      </c>
      <c r="AN730">
        <f>'T_SelfStock'!AL12</f>
        <v/>
      </c>
      <c r="AO730">
        <f>'T_SelfStock'!AM12</f>
        <v/>
      </c>
      <c r="AP730">
        <f>'T_SelfStock'!AN12</f>
        <v/>
      </c>
      <c r="AQ730">
        <f>'T_SelfStock'!AO12</f>
        <v/>
      </c>
      <c r="AR730">
        <f>'T_SelfStock'!AP12</f>
        <v/>
      </c>
      <c r="AS730">
        <f>'T_SelfStock'!AQ12</f>
        <v/>
      </c>
      <c r="AT730">
        <f>'T_SelfStock'!AR12</f>
        <v/>
      </c>
      <c r="AU730">
        <f>'T_SelfStock'!AS12</f>
        <v/>
      </c>
      <c r="AV730">
        <f>'T_SelfStock'!AT12</f>
        <v/>
      </c>
      <c r="AW730">
        <f>'T_SelfStock'!AU12</f>
        <v/>
      </c>
      <c r="AX730">
        <f>'T_SelfStock'!AV12</f>
        <v/>
      </c>
      <c r="AY730">
        <f>'T_SelfStock'!AW12</f>
        <v/>
      </c>
      <c r="AZ730">
        <f>'T_SelfStock'!AX12</f>
        <v/>
      </c>
      <c r="BA730">
        <f>'T_SelfStock'!AY12</f>
        <v/>
      </c>
      <c r="BB730">
        <f>'T_SelfStock'!AZ12</f>
        <v/>
      </c>
      <c r="BC730">
        <f>'T_SelfStock'!BA12</f>
        <v/>
      </c>
      <c r="BD730">
        <f>'T_SelfStock'!BB12</f>
        <v/>
      </c>
      <c r="BE730">
        <f>'T_SelfStock'!BC12</f>
        <v/>
      </c>
      <c r="BF730">
        <f>'T_SelfStock'!BD12</f>
        <v/>
      </c>
      <c r="BG730">
        <f>'T_SelfStock'!BE12</f>
        <v/>
      </c>
      <c r="BH730">
        <f>'T_SelfStock'!BF12</f>
        <v/>
      </c>
      <c r="BI730">
        <f>'T_SelfStock'!BG12</f>
        <v/>
      </c>
      <c r="BJ730">
        <f>'T_SelfStock'!BH12</f>
        <v/>
      </c>
      <c r="BK730">
        <f>'T_SelfStock'!BI12</f>
        <v/>
      </c>
      <c r="BL730">
        <f>'T_SelfStock'!BJ12</f>
        <v/>
      </c>
      <c r="BM730">
        <f>'T_SelfStock'!BK12</f>
        <v/>
      </c>
      <c r="BN730">
        <f>'T_SelfStock'!BL12</f>
        <v/>
      </c>
      <c r="BO730">
        <f>'T_SelfStock'!BM12</f>
        <v/>
      </c>
      <c r="BP730">
        <f>'T_SelfStock'!BN12</f>
        <v/>
      </c>
      <c r="BQ730">
        <f>'T_SelfStock'!BO12</f>
        <v/>
      </c>
      <c r="BR730">
        <f>'T_SelfStock'!BP12</f>
        <v/>
      </c>
      <c r="BS730">
        <f>'T_SelfStock'!BQ12</f>
        <v/>
      </c>
      <c r="BT730">
        <f>'T_SelfStock'!BR12</f>
        <v/>
      </c>
      <c r="BU730">
        <f>'T_SelfStock'!BS12</f>
        <v/>
      </c>
      <c r="BV730">
        <f>'T_SelfStock'!BT12</f>
        <v/>
      </c>
      <c r="BW730">
        <f>'T_SelfStock'!BU12</f>
        <v/>
      </c>
      <c r="BX730">
        <f>'T_SelfStock'!BV12</f>
        <v/>
      </c>
      <c r="BY730">
        <f>'T_SelfStock'!BW12</f>
        <v/>
      </c>
      <c r="BZ730">
        <f>'T_SelfStock'!BX12</f>
        <v/>
      </c>
      <c r="CA730">
        <f>'T_SelfStock'!BY12</f>
        <v/>
      </c>
      <c r="CB730">
        <f>'T_SelfStock'!BZ12</f>
        <v/>
      </c>
      <c r="CC730">
        <f>'T_SelfStock'!CA12</f>
        <v/>
      </c>
      <c r="CD730">
        <f>'T_SelfStock'!CB12</f>
        <v/>
      </c>
      <c r="CE730">
        <f>'T_SelfStock'!CC12</f>
        <v/>
      </c>
      <c r="CF730">
        <f>'T_SelfStock'!CD12</f>
        <v/>
      </c>
      <c r="CG730">
        <f>'T_SelfStock'!CE12</f>
        <v/>
      </c>
      <c r="CH730">
        <f>'T_SelfStock'!CF12</f>
        <v/>
      </c>
      <c r="CI730">
        <f>'T_SelfStock'!CG12</f>
        <v/>
      </c>
      <c r="CJ730">
        <f>'T_SelfStock'!CH12</f>
        <v/>
      </c>
      <c r="CK730">
        <f>'T_SelfStock'!CI12</f>
        <v/>
      </c>
      <c r="CL730">
        <f>'T_SelfStock'!CJ12</f>
        <v/>
      </c>
      <c r="CM730">
        <f>'T_SelfStock'!CK12</f>
        <v/>
      </c>
      <c r="CN730">
        <f>'T_SelfStock'!CL12</f>
        <v/>
      </c>
      <c r="CO730">
        <f>'T_SelfStock'!CM12</f>
        <v/>
      </c>
      <c r="CP730">
        <f>'T_SelfStock'!CN12</f>
        <v/>
      </c>
      <c r="CQ730">
        <f>'T_SelfStock'!CO12</f>
        <v/>
      </c>
      <c r="CR730">
        <f>'T_SelfStock'!CP12</f>
        <v/>
      </c>
      <c r="CS730">
        <f>'T_SelfStock'!CQ12</f>
        <v/>
      </c>
      <c r="CT730">
        <f>'T_SelfStock'!CR12</f>
        <v/>
      </c>
      <c r="CU730">
        <f>'T_SelfStock'!CS12</f>
        <v/>
      </c>
      <c r="CV730">
        <f>'T_SelfStock'!CT12</f>
        <v/>
      </c>
      <c r="CW730">
        <f>'T_SelfStock'!CU12</f>
        <v/>
      </c>
      <c r="CX730">
        <f>'T_SelfStock'!CV12</f>
        <v/>
      </c>
      <c r="CY730">
        <f>'T_SelfStock'!CW12</f>
        <v/>
      </c>
      <c r="CZ730">
        <f>'T_SelfStock'!CX12</f>
        <v/>
      </c>
      <c r="DA730">
        <f>'T_SelfStock'!CY12</f>
        <v/>
      </c>
      <c r="DB730">
        <f>'T_SelfStock'!CZ12</f>
        <v/>
      </c>
      <c r="DC730">
        <f>'T_SelfStock'!DA12</f>
        <v/>
      </c>
    </row>
    <row r="731">
      <c r="B731" t="inlineStr">
        <is>
          <t>Order(発注予定,kg)</t>
        </is>
      </c>
      <c r="D731">
        <f>IF(SUMIFS(T_PlannedOrders[EffectiveQty],T_PlannedOrders[Part Name],$A707,T_PlannedOrders[WeekIndex],1)=0,"",SUMIFS(T_PlannedOrders[EffectiveQty],T_PlannedOrders[Part Name],$A707,T_PlannedOrders[WeekIndex],1)&amp;" ("&amp;TEXT(SUMPRODUCT(MAX((T_PlannedOrders[Part Name]=$A707)*(T_PlannedOrders[WeekIndex]=1)*(T_PlannedOrders[EffectiveQty]&gt;0)*T_PlannedOrders[Order_Month])),"m月")&amp;"発注)")</f>
        <v/>
      </c>
      <c r="E731">
        <f>IF(SUMIFS(T_PlannedOrders[EffectiveQty],T_PlannedOrders[Part Name],$A707,T_PlannedOrders[WeekIndex],2)=0,"",SUMIFS(T_PlannedOrders[EffectiveQty],T_PlannedOrders[Part Name],$A707,T_PlannedOrders[WeekIndex],2)&amp;" ("&amp;TEXT(SUMPRODUCT(MAX((T_PlannedOrders[Part Name]=$A707)*(T_PlannedOrders[WeekIndex]=2)*(T_PlannedOrders[EffectiveQty]&gt;0)*T_PlannedOrders[Order_Month])),"m月")&amp;"発注)")</f>
        <v/>
      </c>
      <c r="F731">
        <f>IF(SUMIFS(T_PlannedOrders[EffectiveQty],T_PlannedOrders[Part Name],$A707,T_PlannedOrders[WeekIndex],3)=0,"",SUMIFS(T_PlannedOrders[EffectiveQty],T_PlannedOrders[Part Name],$A707,T_PlannedOrders[WeekIndex],3)&amp;" ("&amp;TEXT(SUMPRODUCT(MAX((T_PlannedOrders[Part Name]=$A707)*(T_PlannedOrders[WeekIndex]=3)*(T_PlannedOrders[EffectiveQty]&gt;0)*T_PlannedOrders[Order_Month])),"m月")&amp;"発注)")</f>
        <v/>
      </c>
      <c r="G731">
        <f>IF(SUMIFS(T_PlannedOrders[EffectiveQty],T_PlannedOrders[Part Name],$A707,T_PlannedOrders[WeekIndex],4)=0,"",SUMIFS(T_PlannedOrders[EffectiveQty],T_PlannedOrders[Part Name],$A707,T_PlannedOrders[WeekIndex],4)&amp;" ("&amp;TEXT(SUMPRODUCT(MAX((T_PlannedOrders[Part Name]=$A707)*(T_PlannedOrders[WeekIndex]=4)*(T_PlannedOrders[EffectiveQty]&gt;0)*T_PlannedOrders[Order_Month])),"m月")&amp;"発注)")</f>
        <v/>
      </c>
      <c r="H731">
        <f>IF(SUMIFS(T_PlannedOrders[EffectiveQty],T_PlannedOrders[Part Name],$A707,T_PlannedOrders[WeekIndex],5)=0,"",SUMIFS(T_PlannedOrders[EffectiveQty],T_PlannedOrders[Part Name],$A707,T_PlannedOrders[WeekIndex],5)&amp;" ("&amp;TEXT(SUMPRODUCT(MAX((T_PlannedOrders[Part Name]=$A707)*(T_PlannedOrders[WeekIndex]=5)*(T_PlannedOrders[EffectiveQty]&gt;0)*T_PlannedOrders[Order_Month])),"m月")&amp;"発注)")</f>
        <v/>
      </c>
      <c r="I731">
        <f>IF(SUMIFS(T_PlannedOrders[EffectiveQty],T_PlannedOrders[Part Name],$A707,T_PlannedOrders[WeekIndex],6)=0,"",SUMIFS(T_PlannedOrders[EffectiveQty],T_PlannedOrders[Part Name],$A707,T_PlannedOrders[WeekIndex],6)&amp;" ("&amp;TEXT(SUMPRODUCT(MAX((T_PlannedOrders[Part Name]=$A707)*(T_PlannedOrders[WeekIndex]=6)*(T_PlannedOrders[EffectiveQty]&gt;0)*T_PlannedOrders[Order_Month])),"m月")&amp;"発注)")</f>
        <v/>
      </c>
      <c r="J731">
        <f>IF(SUMIFS(T_PlannedOrders[EffectiveQty],T_PlannedOrders[Part Name],$A707,T_PlannedOrders[WeekIndex],7)=0,"",SUMIFS(T_PlannedOrders[EffectiveQty],T_PlannedOrders[Part Name],$A707,T_PlannedOrders[WeekIndex],7)&amp;" ("&amp;TEXT(SUMPRODUCT(MAX((T_PlannedOrders[Part Name]=$A707)*(T_PlannedOrders[WeekIndex]=7)*(T_PlannedOrders[EffectiveQty]&gt;0)*T_PlannedOrders[Order_Month])),"m月")&amp;"発注)")</f>
        <v/>
      </c>
      <c r="K731">
        <f>IF(SUMIFS(T_PlannedOrders[EffectiveQty],T_PlannedOrders[Part Name],$A707,T_PlannedOrders[WeekIndex],8)=0,"",SUMIFS(T_PlannedOrders[EffectiveQty],T_PlannedOrders[Part Name],$A707,T_PlannedOrders[WeekIndex],8)&amp;" ("&amp;TEXT(SUMPRODUCT(MAX((T_PlannedOrders[Part Name]=$A707)*(T_PlannedOrders[WeekIndex]=8)*(T_PlannedOrders[EffectiveQty]&gt;0)*T_PlannedOrders[Order_Month])),"m月")&amp;"発注)")</f>
        <v/>
      </c>
      <c r="L731">
        <f>IF(SUMIFS(T_PlannedOrders[EffectiveQty],T_PlannedOrders[Part Name],$A707,T_PlannedOrders[WeekIndex],9)=0,"",SUMIFS(T_PlannedOrders[EffectiveQty],T_PlannedOrders[Part Name],$A707,T_PlannedOrders[WeekIndex],9)&amp;" ("&amp;TEXT(SUMPRODUCT(MAX((T_PlannedOrders[Part Name]=$A707)*(T_PlannedOrders[WeekIndex]=9)*(T_PlannedOrders[EffectiveQty]&gt;0)*T_PlannedOrders[Order_Month])),"m月")&amp;"発注)")</f>
        <v/>
      </c>
      <c r="M731">
        <f>IF(SUMIFS(T_PlannedOrders[EffectiveQty],T_PlannedOrders[Part Name],$A707,T_PlannedOrders[WeekIndex],10)=0,"",SUMIFS(T_PlannedOrders[EffectiveQty],T_PlannedOrders[Part Name],$A707,T_PlannedOrders[WeekIndex],10)&amp;" ("&amp;TEXT(SUMPRODUCT(MAX((T_PlannedOrders[Part Name]=$A707)*(T_PlannedOrders[WeekIndex]=10)*(T_PlannedOrders[EffectiveQty]&gt;0)*T_PlannedOrders[Order_Month])),"m月")&amp;"発注)")</f>
        <v/>
      </c>
      <c r="N731">
        <f>IF(SUMIFS(T_PlannedOrders[EffectiveQty],T_PlannedOrders[Part Name],$A707,T_PlannedOrders[WeekIndex],11)=0,"",SUMIFS(T_PlannedOrders[EffectiveQty],T_PlannedOrders[Part Name],$A707,T_PlannedOrders[WeekIndex],11)&amp;" ("&amp;TEXT(SUMPRODUCT(MAX((T_PlannedOrders[Part Name]=$A707)*(T_PlannedOrders[WeekIndex]=11)*(T_PlannedOrders[EffectiveQty]&gt;0)*T_PlannedOrders[Order_Month])),"m月")&amp;"発注)")</f>
        <v/>
      </c>
      <c r="O731">
        <f>IF(SUMIFS(T_PlannedOrders[EffectiveQty],T_PlannedOrders[Part Name],$A707,T_PlannedOrders[WeekIndex],12)=0,"",SUMIFS(T_PlannedOrders[EffectiveQty],T_PlannedOrders[Part Name],$A707,T_PlannedOrders[WeekIndex],12)&amp;" ("&amp;TEXT(SUMPRODUCT(MAX((T_PlannedOrders[Part Name]=$A707)*(T_PlannedOrders[WeekIndex]=12)*(T_PlannedOrders[EffectiveQty]&gt;0)*T_PlannedOrders[Order_Month])),"m月")&amp;"発注)")</f>
        <v/>
      </c>
      <c r="P731">
        <f>IF(SUMIFS(T_PlannedOrders[EffectiveQty],T_PlannedOrders[Part Name],$A707,T_PlannedOrders[WeekIndex],13)=0,"",SUMIFS(T_PlannedOrders[EffectiveQty],T_PlannedOrders[Part Name],$A707,T_PlannedOrders[WeekIndex],13)&amp;" ("&amp;TEXT(SUMPRODUCT(MAX((T_PlannedOrders[Part Name]=$A707)*(T_PlannedOrders[WeekIndex]=13)*(T_PlannedOrders[EffectiveQty]&gt;0)*T_PlannedOrders[Order_Month])),"m月")&amp;"発注)")</f>
        <v/>
      </c>
      <c r="Q731">
        <f>IF(SUMIFS(T_PlannedOrders[EffectiveQty],T_PlannedOrders[Part Name],$A707,T_PlannedOrders[WeekIndex],14)=0,"",SUMIFS(T_PlannedOrders[EffectiveQty],T_PlannedOrders[Part Name],$A707,T_PlannedOrders[WeekIndex],14)&amp;" ("&amp;TEXT(SUMPRODUCT(MAX((T_PlannedOrders[Part Name]=$A707)*(T_PlannedOrders[WeekIndex]=14)*(T_PlannedOrders[EffectiveQty]&gt;0)*T_PlannedOrders[Order_Month])),"m月")&amp;"発注)")</f>
        <v/>
      </c>
      <c r="R731">
        <f>IF(SUMIFS(T_PlannedOrders[EffectiveQty],T_PlannedOrders[Part Name],$A707,T_PlannedOrders[WeekIndex],15)=0,"",SUMIFS(T_PlannedOrders[EffectiveQty],T_PlannedOrders[Part Name],$A707,T_PlannedOrders[WeekIndex],15)&amp;" ("&amp;TEXT(SUMPRODUCT(MAX((T_PlannedOrders[Part Name]=$A707)*(T_PlannedOrders[WeekIndex]=15)*(T_PlannedOrders[EffectiveQty]&gt;0)*T_PlannedOrders[Order_Month])),"m月")&amp;"発注)")</f>
        <v/>
      </c>
      <c r="S731">
        <f>IF(SUMIFS(T_PlannedOrders[EffectiveQty],T_PlannedOrders[Part Name],$A707,T_PlannedOrders[WeekIndex],16)=0,"",SUMIFS(T_PlannedOrders[EffectiveQty],T_PlannedOrders[Part Name],$A707,T_PlannedOrders[WeekIndex],16)&amp;" ("&amp;TEXT(SUMPRODUCT(MAX((T_PlannedOrders[Part Name]=$A707)*(T_PlannedOrders[WeekIndex]=16)*(T_PlannedOrders[EffectiveQty]&gt;0)*T_PlannedOrders[Order_Month])),"m月")&amp;"発注)")</f>
        <v/>
      </c>
      <c r="T731">
        <f>IF(SUMIFS(T_PlannedOrders[EffectiveQty],T_PlannedOrders[Part Name],$A707,T_PlannedOrders[WeekIndex],17)=0,"",SUMIFS(T_PlannedOrders[EffectiveQty],T_PlannedOrders[Part Name],$A707,T_PlannedOrders[WeekIndex],17)&amp;" ("&amp;TEXT(SUMPRODUCT(MAX((T_PlannedOrders[Part Name]=$A707)*(T_PlannedOrders[WeekIndex]=17)*(T_PlannedOrders[EffectiveQty]&gt;0)*T_PlannedOrders[Order_Month])),"m月")&amp;"発注)")</f>
        <v/>
      </c>
      <c r="U731">
        <f>IF(SUMIFS(T_PlannedOrders[EffectiveQty],T_PlannedOrders[Part Name],$A707,T_PlannedOrders[WeekIndex],18)=0,"",SUMIFS(T_PlannedOrders[EffectiveQty],T_PlannedOrders[Part Name],$A707,T_PlannedOrders[WeekIndex],18)&amp;" ("&amp;TEXT(SUMPRODUCT(MAX((T_PlannedOrders[Part Name]=$A707)*(T_PlannedOrders[WeekIndex]=18)*(T_PlannedOrders[EffectiveQty]&gt;0)*T_PlannedOrders[Order_Month])),"m月")&amp;"発注)")</f>
        <v/>
      </c>
      <c r="V731">
        <f>IF(SUMIFS(T_PlannedOrders[EffectiveQty],T_PlannedOrders[Part Name],$A707,T_PlannedOrders[WeekIndex],19)=0,"",SUMIFS(T_PlannedOrders[EffectiveQty],T_PlannedOrders[Part Name],$A707,T_PlannedOrders[WeekIndex],19)&amp;" ("&amp;TEXT(SUMPRODUCT(MAX((T_PlannedOrders[Part Name]=$A707)*(T_PlannedOrders[WeekIndex]=19)*(T_PlannedOrders[EffectiveQty]&gt;0)*T_PlannedOrders[Order_Month])),"m月")&amp;"発注)")</f>
        <v/>
      </c>
      <c r="W731">
        <f>IF(SUMIFS(T_PlannedOrders[EffectiveQty],T_PlannedOrders[Part Name],$A707,T_PlannedOrders[WeekIndex],20)=0,"",SUMIFS(T_PlannedOrders[EffectiveQty],T_PlannedOrders[Part Name],$A707,T_PlannedOrders[WeekIndex],20)&amp;" ("&amp;TEXT(SUMPRODUCT(MAX((T_PlannedOrders[Part Name]=$A707)*(T_PlannedOrders[WeekIndex]=20)*(T_PlannedOrders[EffectiveQty]&gt;0)*T_PlannedOrders[Order_Month])),"m月")&amp;"発注)")</f>
        <v/>
      </c>
      <c r="X731">
        <f>IF(SUMIFS(T_PlannedOrders[EffectiveQty],T_PlannedOrders[Part Name],$A707,T_PlannedOrders[WeekIndex],21)=0,"",SUMIFS(T_PlannedOrders[EffectiveQty],T_PlannedOrders[Part Name],$A707,T_PlannedOrders[WeekIndex],21)&amp;" ("&amp;TEXT(SUMPRODUCT(MAX((T_PlannedOrders[Part Name]=$A707)*(T_PlannedOrders[WeekIndex]=21)*(T_PlannedOrders[EffectiveQty]&gt;0)*T_PlannedOrders[Order_Month])),"m月")&amp;"発注)")</f>
        <v/>
      </c>
      <c r="Y731">
        <f>IF(SUMIFS(T_PlannedOrders[EffectiveQty],T_PlannedOrders[Part Name],$A707,T_PlannedOrders[WeekIndex],22)=0,"",SUMIFS(T_PlannedOrders[EffectiveQty],T_PlannedOrders[Part Name],$A707,T_PlannedOrders[WeekIndex],22)&amp;" ("&amp;TEXT(SUMPRODUCT(MAX((T_PlannedOrders[Part Name]=$A707)*(T_PlannedOrders[WeekIndex]=22)*(T_PlannedOrders[EffectiveQty]&gt;0)*T_PlannedOrders[Order_Month])),"m月")&amp;"発注)")</f>
        <v/>
      </c>
      <c r="Z731">
        <f>IF(SUMIFS(T_PlannedOrders[EffectiveQty],T_PlannedOrders[Part Name],$A707,T_PlannedOrders[WeekIndex],23)=0,"",SUMIFS(T_PlannedOrders[EffectiveQty],T_PlannedOrders[Part Name],$A707,T_PlannedOrders[WeekIndex],23)&amp;" ("&amp;TEXT(SUMPRODUCT(MAX((T_PlannedOrders[Part Name]=$A707)*(T_PlannedOrders[WeekIndex]=23)*(T_PlannedOrders[EffectiveQty]&gt;0)*T_PlannedOrders[Order_Month])),"m月")&amp;"発注)")</f>
        <v/>
      </c>
      <c r="AA731">
        <f>IF(SUMIFS(T_PlannedOrders[EffectiveQty],T_PlannedOrders[Part Name],$A707,T_PlannedOrders[WeekIndex],24)=0,"",SUMIFS(T_PlannedOrders[EffectiveQty],T_PlannedOrders[Part Name],$A707,T_PlannedOrders[WeekIndex],24)&amp;" ("&amp;TEXT(SUMPRODUCT(MAX((T_PlannedOrders[Part Name]=$A707)*(T_PlannedOrders[WeekIndex]=24)*(T_PlannedOrders[EffectiveQty]&gt;0)*T_PlannedOrders[Order_Month])),"m月")&amp;"発注)")</f>
        <v/>
      </c>
      <c r="AB731">
        <f>IF(SUMIFS(T_PlannedOrders[EffectiveQty],T_PlannedOrders[Part Name],$A707,T_PlannedOrders[WeekIndex],25)=0,"",SUMIFS(T_PlannedOrders[EffectiveQty],T_PlannedOrders[Part Name],$A707,T_PlannedOrders[WeekIndex],25)&amp;" ("&amp;TEXT(SUMPRODUCT(MAX((T_PlannedOrders[Part Name]=$A707)*(T_PlannedOrders[WeekIndex]=25)*(T_PlannedOrders[EffectiveQty]&gt;0)*T_PlannedOrders[Order_Month])),"m月")&amp;"発注)")</f>
        <v/>
      </c>
      <c r="AC731">
        <f>IF(SUMIFS(T_PlannedOrders[EffectiveQty],T_PlannedOrders[Part Name],$A707,T_PlannedOrders[WeekIndex],26)=0,"",SUMIFS(T_PlannedOrders[EffectiveQty],T_PlannedOrders[Part Name],$A707,T_PlannedOrders[WeekIndex],26)&amp;" ("&amp;TEXT(SUMPRODUCT(MAX((T_PlannedOrders[Part Name]=$A707)*(T_PlannedOrders[WeekIndex]=26)*(T_PlannedOrders[EffectiveQty]&gt;0)*T_PlannedOrders[Order_Month])),"m月")&amp;"発注)")</f>
        <v/>
      </c>
      <c r="AD731">
        <f>IF(SUMIFS(T_PlannedOrders[EffectiveQty],T_PlannedOrders[Part Name],$A707,T_PlannedOrders[WeekIndex],27)=0,"",SUMIFS(T_PlannedOrders[EffectiveQty],T_PlannedOrders[Part Name],$A707,T_PlannedOrders[WeekIndex],27)&amp;" ("&amp;TEXT(SUMPRODUCT(MAX((T_PlannedOrders[Part Name]=$A707)*(T_PlannedOrders[WeekIndex]=27)*(T_PlannedOrders[EffectiveQty]&gt;0)*T_PlannedOrders[Order_Month])),"m月")&amp;"発注)")</f>
        <v/>
      </c>
      <c r="AE731">
        <f>IF(SUMIFS(T_PlannedOrders[EffectiveQty],T_PlannedOrders[Part Name],$A707,T_PlannedOrders[WeekIndex],28)=0,"",SUMIFS(T_PlannedOrders[EffectiveQty],T_PlannedOrders[Part Name],$A707,T_PlannedOrders[WeekIndex],28)&amp;" ("&amp;TEXT(SUMPRODUCT(MAX((T_PlannedOrders[Part Name]=$A707)*(T_PlannedOrders[WeekIndex]=28)*(T_PlannedOrders[EffectiveQty]&gt;0)*T_PlannedOrders[Order_Month])),"m月")&amp;"発注)")</f>
        <v/>
      </c>
      <c r="AF731">
        <f>IF(SUMIFS(T_PlannedOrders[EffectiveQty],T_PlannedOrders[Part Name],$A707,T_PlannedOrders[WeekIndex],29)=0,"",SUMIFS(T_PlannedOrders[EffectiveQty],T_PlannedOrders[Part Name],$A707,T_PlannedOrders[WeekIndex],29)&amp;" ("&amp;TEXT(SUMPRODUCT(MAX((T_PlannedOrders[Part Name]=$A707)*(T_PlannedOrders[WeekIndex]=29)*(T_PlannedOrders[EffectiveQty]&gt;0)*T_PlannedOrders[Order_Month])),"m月")&amp;"発注)")</f>
        <v/>
      </c>
      <c r="AG731">
        <f>IF(SUMIFS(T_PlannedOrders[EffectiveQty],T_PlannedOrders[Part Name],$A707,T_PlannedOrders[WeekIndex],30)=0,"",SUMIFS(T_PlannedOrders[EffectiveQty],T_PlannedOrders[Part Name],$A707,T_PlannedOrders[WeekIndex],30)&amp;" ("&amp;TEXT(SUMPRODUCT(MAX((T_PlannedOrders[Part Name]=$A707)*(T_PlannedOrders[WeekIndex]=30)*(T_PlannedOrders[EffectiveQty]&gt;0)*T_PlannedOrders[Order_Month])),"m月")&amp;"発注)")</f>
        <v/>
      </c>
      <c r="AH731">
        <f>IF(SUMIFS(T_PlannedOrders[EffectiveQty],T_PlannedOrders[Part Name],$A707,T_PlannedOrders[WeekIndex],31)=0,"",SUMIFS(T_PlannedOrders[EffectiveQty],T_PlannedOrders[Part Name],$A707,T_PlannedOrders[WeekIndex],31)&amp;" ("&amp;TEXT(SUMPRODUCT(MAX((T_PlannedOrders[Part Name]=$A707)*(T_PlannedOrders[WeekIndex]=31)*(T_PlannedOrders[EffectiveQty]&gt;0)*T_PlannedOrders[Order_Month])),"m月")&amp;"発注)")</f>
        <v/>
      </c>
      <c r="AI731">
        <f>IF(SUMIFS(T_PlannedOrders[EffectiveQty],T_PlannedOrders[Part Name],$A707,T_PlannedOrders[WeekIndex],32)=0,"",SUMIFS(T_PlannedOrders[EffectiveQty],T_PlannedOrders[Part Name],$A707,T_PlannedOrders[WeekIndex],32)&amp;" ("&amp;TEXT(SUMPRODUCT(MAX((T_PlannedOrders[Part Name]=$A707)*(T_PlannedOrders[WeekIndex]=32)*(T_PlannedOrders[EffectiveQty]&gt;0)*T_PlannedOrders[Order_Month])),"m月")&amp;"発注)")</f>
        <v/>
      </c>
      <c r="AJ731">
        <f>IF(SUMIFS(T_PlannedOrders[EffectiveQty],T_PlannedOrders[Part Name],$A707,T_PlannedOrders[WeekIndex],33)=0,"",SUMIFS(T_PlannedOrders[EffectiveQty],T_PlannedOrders[Part Name],$A707,T_PlannedOrders[WeekIndex],33)&amp;" ("&amp;TEXT(SUMPRODUCT(MAX((T_PlannedOrders[Part Name]=$A707)*(T_PlannedOrders[WeekIndex]=33)*(T_PlannedOrders[EffectiveQty]&gt;0)*T_PlannedOrders[Order_Month])),"m月")&amp;"発注)")</f>
        <v/>
      </c>
      <c r="AK731">
        <f>IF(SUMIFS(T_PlannedOrders[EffectiveQty],T_PlannedOrders[Part Name],$A707,T_PlannedOrders[WeekIndex],34)=0,"",SUMIFS(T_PlannedOrders[EffectiveQty],T_PlannedOrders[Part Name],$A707,T_PlannedOrders[WeekIndex],34)&amp;" ("&amp;TEXT(SUMPRODUCT(MAX((T_PlannedOrders[Part Name]=$A707)*(T_PlannedOrders[WeekIndex]=34)*(T_PlannedOrders[EffectiveQty]&gt;0)*T_PlannedOrders[Order_Month])),"m月")&amp;"発注)")</f>
        <v/>
      </c>
      <c r="AL731">
        <f>IF(SUMIFS(T_PlannedOrders[EffectiveQty],T_PlannedOrders[Part Name],$A707,T_PlannedOrders[WeekIndex],35)=0,"",SUMIFS(T_PlannedOrders[EffectiveQty],T_PlannedOrders[Part Name],$A707,T_PlannedOrders[WeekIndex],35)&amp;" ("&amp;TEXT(SUMPRODUCT(MAX((T_PlannedOrders[Part Name]=$A707)*(T_PlannedOrders[WeekIndex]=35)*(T_PlannedOrders[EffectiveQty]&gt;0)*T_PlannedOrders[Order_Month])),"m月")&amp;"発注)")</f>
        <v/>
      </c>
      <c r="AM731">
        <f>IF(SUMIFS(T_PlannedOrders[EffectiveQty],T_PlannedOrders[Part Name],$A707,T_PlannedOrders[WeekIndex],36)=0,"",SUMIFS(T_PlannedOrders[EffectiveQty],T_PlannedOrders[Part Name],$A707,T_PlannedOrders[WeekIndex],36)&amp;" ("&amp;TEXT(SUMPRODUCT(MAX((T_PlannedOrders[Part Name]=$A707)*(T_PlannedOrders[WeekIndex]=36)*(T_PlannedOrders[EffectiveQty]&gt;0)*T_PlannedOrders[Order_Month])),"m月")&amp;"発注)")</f>
        <v/>
      </c>
      <c r="AN731">
        <f>IF(SUMIFS(T_PlannedOrders[EffectiveQty],T_PlannedOrders[Part Name],$A707,T_PlannedOrders[WeekIndex],37)=0,"",SUMIFS(T_PlannedOrders[EffectiveQty],T_PlannedOrders[Part Name],$A707,T_PlannedOrders[WeekIndex],37)&amp;" ("&amp;TEXT(SUMPRODUCT(MAX((T_PlannedOrders[Part Name]=$A707)*(T_PlannedOrders[WeekIndex]=37)*(T_PlannedOrders[EffectiveQty]&gt;0)*T_PlannedOrders[Order_Month])),"m月")&amp;"発注)")</f>
        <v/>
      </c>
      <c r="AO731">
        <f>IF(SUMIFS(T_PlannedOrders[EffectiveQty],T_PlannedOrders[Part Name],$A707,T_PlannedOrders[WeekIndex],38)=0,"",SUMIFS(T_PlannedOrders[EffectiveQty],T_PlannedOrders[Part Name],$A707,T_PlannedOrders[WeekIndex],38)&amp;" ("&amp;TEXT(SUMPRODUCT(MAX((T_PlannedOrders[Part Name]=$A707)*(T_PlannedOrders[WeekIndex]=38)*(T_PlannedOrders[EffectiveQty]&gt;0)*T_PlannedOrders[Order_Month])),"m月")&amp;"発注)")</f>
        <v/>
      </c>
      <c r="AP731">
        <f>IF(SUMIFS(T_PlannedOrders[EffectiveQty],T_PlannedOrders[Part Name],$A707,T_PlannedOrders[WeekIndex],39)=0,"",SUMIFS(T_PlannedOrders[EffectiveQty],T_PlannedOrders[Part Name],$A707,T_PlannedOrders[WeekIndex],39)&amp;" ("&amp;TEXT(SUMPRODUCT(MAX((T_PlannedOrders[Part Name]=$A707)*(T_PlannedOrders[WeekIndex]=39)*(T_PlannedOrders[EffectiveQty]&gt;0)*T_PlannedOrders[Order_Month])),"m月")&amp;"発注)")</f>
        <v/>
      </c>
      <c r="AQ731">
        <f>IF(SUMIFS(T_PlannedOrders[EffectiveQty],T_PlannedOrders[Part Name],$A707,T_PlannedOrders[WeekIndex],40)=0,"",SUMIFS(T_PlannedOrders[EffectiveQty],T_PlannedOrders[Part Name],$A707,T_PlannedOrders[WeekIndex],40)&amp;" ("&amp;TEXT(SUMPRODUCT(MAX((T_PlannedOrders[Part Name]=$A707)*(T_PlannedOrders[WeekIndex]=40)*(T_PlannedOrders[EffectiveQty]&gt;0)*T_PlannedOrders[Order_Month])),"m月")&amp;"発注)")</f>
        <v/>
      </c>
      <c r="AR731">
        <f>IF(SUMIFS(T_PlannedOrders[EffectiveQty],T_PlannedOrders[Part Name],$A707,T_PlannedOrders[WeekIndex],41)=0,"",SUMIFS(T_PlannedOrders[EffectiveQty],T_PlannedOrders[Part Name],$A707,T_PlannedOrders[WeekIndex],41)&amp;" ("&amp;TEXT(SUMPRODUCT(MAX((T_PlannedOrders[Part Name]=$A707)*(T_PlannedOrders[WeekIndex]=41)*(T_PlannedOrders[EffectiveQty]&gt;0)*T_PlannedOrders[Order_Month])),"m月")&amp;"発注)")</f>
        <v/>
      </c>
      <c r="AS731">
        <f>IF(SUMIFS(T_PlannedOrders[EffectiveQty],T_PlannedOrders[Part Name],$A707,T_PlannedOrders[WeekIndex],42)=0,"",SUMIFS(T_PlannedOrders[EffectiveQty],T_PlannedOrders[Part Name],$A707,T_PlannedOrders[WeekIndex],42)&amp;" ("&amp;TEXT(SUMPRODUCT(MAX((T_PlannedOrders[Part Name]=$A707)*(T_PlannedOrders[WeekIndex]=42)*(T_PlannedOrders[EffectiveQty]&gt;0)*T_PlannedOrders[Order_Month])),"m月")&amp;"発注)")</f>
        <v/>
      </c>
      <c r="AT731">
        <f>IF(SUMIFS(T_PlannedOrders[EffectiveQty],T_PlannedOrders[Part Name],$A707,T_PlannedOrders[WeekIndex],43)=0,"",SUMIFS(T_PlannedOrders[EffectiveQty],T_PlannedOrders[Part Name],$A707,T_PlannedOrders[WeekIndex],43)&amp;" ("&amp;TEXT(SUMPRODUCT(MAX((T_PlannedOrders[Part Name]=$A707)*(T_PlannedOrders[WeekIndex]=43)*(T_PlannedOrders[EffectiveQty]&gt;0)*T_PlannedOrders[Order_Month])),"m月")&amp;"発注)")</f>
        <v/>
      </c>
      <c r="AU731">
        <f>IF(SUMIFS(T_PlannedOrders[EffectiveQty],T_PlannedOrders[Part Name],$A707,T_PlannedOrders[WeekIndex],44)=0,"",SUMIFS(T_PlannedOrders[EffectiveQty],T_PlannedOrders[Part Name],$A707,T_PlannedOrders[WeekIndex],44)&amp;" ("&amp;TEXT(SUMPRODUCT(MAX((T_PlannedOrders[Part Name]=$A707)*(T_PlannedOrders[WeekIndex]=44)*(T_PlannedOrders[EffectiveQty]&gt;0)*T_PlannedOrders[Order_Month])),"m月")&amp;"発注)")</f>
        <v/>
      </c>
      <c r="AV731">
        <f>IF(SUMIFS(T_PlannedOrders[EffectiveQty],T_PlannedOrders[Part Name],$A707,T_PlannedOrders[WeekIndex],45)=0,"",SUMIFS(T_PlannedOrders[EffectiveQty],T_PlannedOrders[Part Name],$A707,T_PlannedOrders[WeekIndex],45)&amp;" ("&amp;TEXT(SUMPRODUCT(MAX((T_PlannedOrders[Part Name]=$A707)*(T_PlannedOrders[WeekIndex]=45)*(T_PlannedOrders[EffectiveQty]&gt;0)*T_PlannedOrders[Order_Month])),"m月")&amp;"発注)")</f>
        <v/>
      </c>
      <c r="AW731">
        <f>IF(SUMIFS(T_PlannedOrders[EffectiveQty],T_PlannedOrders[Part Name],$A707,T_PlannedOrders[WeekIndex],46)=0,"",SUMIFS(T_PlannedOrders[EffectiveQty],T_PlannedOrders[Part Name],$A707,T_PlannedOrders[WeekIndex],46)&amp;" ("&amp;TEXT(SUMPRODUCT(MAX((T_PlannedOrders[Part Name]=$A707)*(T_PlannedOrders[WeekIndex]=46)*(T_PlannedOrders[EffectiveQty]&gt;0)*T_PlannedOrders[Order_Month])),"m月")&amp;"発注)")</f>
        <v/>
      </c>
      <c r="AX731">
        <f>IF(SUMIFS(T_PlannedOrders[EffectiveQty],T_PlannedOrders[Part Name],$A707,T_PlannedOrders[WeekIndex],47)=0,"",SUMIFS(T_PlannedOrders[EffectiveQty],T_PlannedOrders[Part Name],$A707,T_PlannedOrders[WeekIndex],47)&amp;" ("&amp;TEXT(SUMPRODUCT(MAX((T_PlannedOrders[Part Name]=$A707)*(T_PlannedOrders[WeekIndex]=47)*(T_PlannedOrders[EffectiveQty]&gt;0)*T_PlannedOrders[Order_Month])),"m月")&amp;"発注)")</f>
        <v/>
      </c>
      <c r="AY731">
        <f>IF(SUMIFS(T_PlannedOrders[EffectiveQty],T_PlannedOrders[Part Name],$A707,T_PlannedOrders[WeekIndex],48)=0,"",SUMIFS(T_PlannedOrders[EffectiveQty],T_PlannedOrders[Part Name],$A707,T_PlannedOrders[WeekIndex],48)&amp;" ("&amp;TEXT(SUMPRODUCT(MAX((T_PlannedOrders[Part Name]=$A707)*(T_PlannedOrders[WeekIndex]=48)*(T_PlannedOrders[EffectiveQty]&gt;0)*T_PlannedOrders[Order_Month])),"m月")&amp;"発注)")</f>
        <v/>
      </c>
      <c r="AZ731">
        <f>IF(SUMIFS(T_PlannedOrders[EffectiveQty],T_PlannedOrders[Part Name],$A707,T_PlannedOrders[WeekIndex],49)=0,"",SUMIFS(T_PlannedOrders[EffectiveQty],T_PlannedOrders[Part Name],$A707,T_PlannedOrders[WeekIndex],49)&amp;" ("&amp;TEXT(SUMPRODUCT(MAX((T_PlannedOrders[Part Name]=$A707)*(T_PlannedOrders[WeekIndex]=49)*(T_PlannedOrders[EffectiveQty]&gt;0)*T_PlannedOrders[Order_Month])),"m月")&amp;"発注)")</f>
        <v/>
      </c>
      <c r="BA731">
        <f>IF(SUMIFS(T_PlannedOrders[EffectiveQty],T_PlannedOrders[Part Name],$A707,T_PlannedOrders[WeekIndex],50)=0,"",SUMIFS(T_PlannedOrders[EffectiveQty],T_PlannedOrders[Part Name],$A707,T_PlannedOrders[WeekIndex],50)&amp;" ("&amp;TEXT(SUMPRODUCT(MAX((T_PlannedOrders[Part Name]=$A707)*(T_PlannedOrders[WeekIndex]=50)*(T_PlannedOrders[EffectiveQty]&gt;0)*T_PlannedOrders[Order_Month])),"m月")&amp;"発注)")</f>
        <v/>
      </c>
      <c r="BB731">
        <f>IF(SUMIFS(T_PlannedOrders[EffectiveQty],T_PlannedOrders[Part Name],$A707,T_PlannedOrders[WeekIndex],51)=0,"",SUMIFS(T_PlannedOrders[EffectiveQty],T_PlannedOrders[Part Name],$A707,T_PlannedOrders[WeekIndex],51)&amp;" ("&amp;TEXT(SUMPRODUCT(MAX((T_PlannedOrders[Part Name]=$A707)*(T_PlannedOrders[WeekIndex]=51)*(T_PlannedOrders[EffectiveQty]&gt;0)*T_PlannedOrders[Order_Month])),"m月")&amp;"発注)")</f>
        <v/>
      </c>
      <c r="BC731">
        <f>IF(SUMIFS(T_PlannedOrders[EffectiveQty],T_PlannedOrders[Part Name],$A707,T_PlannedOrders[WeekIndex],52)=0,"",SUMIFS(T_PlannedOrders[EffectiveQty],T_PlannedOrders[Part Name],$A707,T_PlannedOrders[WeekIndex],52)&amp;" ("&amp;TEXT(SUMPRODUCT(MAX((T_PlannedOrders[Part Name]=$A707)*(T_PlannedOrders[WeekIndex]=52)*(T_PlannedOrders[EffectiveQty]&gt;0)*T_PlannedOrders[Order_Month])),"m月")&amp;"発注)")</f>
        <v/>
      </c>
      <c r="BD731">
        <f>IF(SUMIFS(T_PlannedOrders[EffectiveQty],T_PlannedOrders[Part Name],$A707,T_PlannedOrders[WeekIndex],53)=0,"",SUMIFS(T_PlannedOrders[EffectiveQty],T_PlannedOrders[Part Name],$A707,T_PlannedOrders[WeekIndex],53)&amp;" ("&amp;TEXT(SUMPRODUCT(MAX((T_PlannedOrders[Part Name]=$A707)*(T_PlannedOrders[WeekIndex]=53)*(T_PlannedOrders[EffectiveQty]&gt;0)*T_PlannedOrders[Order_Month])),"m月")&amp;"発注)")</f>
        <v/>
      </c>
      <c r="BE731">
        <f>IF(SUMIFS(T_PlannedOrders[EffectiveQty],T_PlannedOrders[Part Name],$A707,T_PlannedOrders[WeekIndex],54)=0,"",SUMIFS(T_PlannedOrders[EffectiveQty],T_PlannedOrders[Part Name],$A707,T_PlannedOrders[WeekIndex],54)&amp;" ("&amp;TEXT(SUMPRODUCT(MAX((T_PlannedOrders[Part Name]=$A707)*(T_PlannedOrders[WeekIndex]=54)*(T_PlannedOrders[EffectiveQty]&gt;0)*T_PlannedOrders[Order_Month])),"m月")&amp;"発注)")</f>
        <v/>
      </c>
      <c r="BF731">
        <f>IF(SUMIFS(T_PlannedOrders[EffectiveQty],T_PlannedOrders[Part Name],$A707,T_PlannedOrders[WeekIndex],55)=0,"",SUMIFS(T_PlannedOrders[EffectiveQty],T_PlannedOrders[Part Name],$A707,T_PlannedOrders[WeekIndex],55)&amp;" ("&amp;TEXT(SUMPRODUCT(MAX((T_PlannedOrders[Part Name]=$A707)*(T_PlannedOrders[WeekIndex]=55)*(T_PlannedOrders[EffectiveQty]&gt;0)*T_PlannedOrders[Order_Month])),"m月")&amp;"発注)")</f>
        <v/>
      </c>
      <c r="BG731">
        <f>IF(SUMIFS(T_PlannedOrders[EffectiveQty],T_PlannedOrders[Part Name],$A707,T_PlannedOrders[WeekIndex],56)=0,"",SUMIFS(T_PlannedOrders[EffectiveQty],T_PlannedOrders[Part Name],$A707,T_PlannedOrders[WeekIndex],56)&amp;" ("&amp;TEXT(SUMPRODUCT(MAX((T_PlannedOrders[Part Name]=$A707)*(T_PlannedOrders[WeekIndex]=56)*(T_PlannedOrders[EffectiveQty]&gt;0)*T_PlannedOrders[Order_Month])),"m月")&amp;"発注)")</f>
        <v/>
      </c>
      <c r="BH731">
        <f>IF(SUMIFS(T_PlannedOrders[EffectiveQty],T_PlannedOrders[Part Name],$A707,T_PlannedOrders[WeekIndex],57)=0,"",SUMIFS(T_PlannedOrders[EffectiveQty],T_PlannedOrders[Part Name],$A707,T_PlannedOrders[WeekIndex],57)&amp;" ("&amp;TEXT(SUMPRODUCT(MAX((T_PlannedOrders[Part Name]=$A707)*(T_PlannedOrders[WeekIndex]=57)*(T_PlannedOrders[EffectiveQty]&gt;0)*T_PlannedOrders[Order_Month])),"m月")&amp;"発注)")</f>
        <v/>
      </c>
      <c r="BI731">
        <f>IF(SUMIFS(T_PlannedOrders[EffectiveQty],T_PlannedOrders[Part Name],$A707,T_PlannedOrders[WeekIndex],58)=0,"",SUMIFS(T_PlannedOrders[EffectiveQty],T_PlannedOrders[Part Name],$A707,T_PlannedOrders[WeekIndex],58)&amp;" ("&amp;TEXT(SUMPRODUCT(MAX((T_PlannedOrders[Part Name]=$A707)*(T_PlannedOrders[WeekIndex]=58)*(T_PlannedOrders[EffectiveQty]&gt;0)*T_PlannedOrders[Order_Month])),"m月")&amp;"発注)")</f>
        <v/>
      </c>
      <c r="BJ731">
        <f>IF(SUMIFS(T_PlannedOrders[EffectiveQty],T_PlannedOrders[Part Name],$A707,T_PlannedOrders[WeekIndex],59)=0,"",SUMIFS(T_PlannedOrders[EffectiveQty],T_PlannedOrders[Part Name],$A707,T_PlannedOrders[WeekIndex],59)&amp;" ("&amp;TEXT(SUMPRODUCT(MAX((T_PlannedOrders[Part Name]=$A707)*(T_PlannedOrders[WeekIndex]=59)*(T_PlannedOrders[EffectiveQty]&gt;0)*T_PlannedOrders[Order_Month])),"m月")&amp;"発注)")</f>
        <v/>
      </c>
      <c r="BK731">
        <f>IF(SUMIFS(T_PlannedOrders[EffectiveQty],T_PlannedOrders[Part Name],$A707,T_PlannedOrders[WeekIndex],60)=0,"",SUMIFS(T_PlannedOrders[EffectiveQty],T_PlannedOrders[Part Name],$A707,T_PlannedOrders[WeekIndex],60)&amp;" ("&amp;TEXT(SUMPRODUCT(MAX((T_PlannedOrders[Part Name]=$A707)*(T_PlannedOrders[WeekIndex]=60)*(T_PlannedOrders[EffectiveQty]&gt;0)*T_PlannedOrders[Order_Month])),"m月")&amp;"発注)")</f>
        <v/>
      </c>
      <c r="BL731">
        <f>IF(SUMIFS(T_PlannedOrders[EffectiveQty],T_PlannedOrders[Part Name],$A707,T_PlannedOrders[WeekIndex],61)=0,"",SUMIFS(T_PlannedOrders[EffectiveQty],T_PlannedOrders[Part Name],$A707,T_PlannedOrders[WeekIndex],61)&amp;" ("&amp;TEXT(SUMPRODUCT(MAX((T_PlannedOrders[Part Name]=$A707)*(T_PlannedOrders[WeekIndex]=61)*(T_PlannedOrders[EffectiveQty]&gt;0)*T_PlannedOrders[Order_Month])),"m月")&amp;"発注)")</f>
        <v/>
      </c>
      <c r="BM731">
        <f>IF(SUMIFS(T_PlannedOrders[EffectiveQty],T_PlannedOrders[Part Name],$A707,T_PlannedOrders[WeekIndex],62)=0,"",SUMIFS(T_PlannedOrders[EffectiveQty],T_PlannedOrders[Part Name],$A707,T_PlannedOrders[WeekIndex],62)&amp;" ("&amp;TEXT(SUMPRODUCT(MAX((T_PlannedOrders[Part Name]=$A707)*(T_PlannedOrders[WeekIndex]=62)*(T_PlannedOrders[EffectiveQty]&gt;0)*T_PlannedOrders[Order_Month])),"m月")&amp;"発注)")</f>
        <v/>
      </c>
      <c r="BN731">
        <f>IF(SUMIFS(T_PlannedOrders[EffectiveQty],T_PlannedOrders[Part Name],$A707,T_PlannedOrders[WeekIndex],63)=0,"",SUMIFS(T_PlannedOrders[EffectiveQty],T_PlannedOrders[Part Name],$A707,T_PlannedOrders[WeekIndex],63)&amp;" ("&amp;TEXT(SUMPRODUCT(MAX((T_PlannedOrders[Part Name]=$A707)*(T_PlannedOrders[WeekIndex]=63)*(T_PlannedOrders[EffectiveQty]&gt;0)*T_PlannedOrders[Order_Month])),"m月")&amp;"発注)")</f>
        <v/>
      </c>
      <c r="BO731">
        <f>IF(SUMIFS(T_PlannedOrders[EffectiveQty],T_PlannedOrders[Part Name],$A707,T_PlannedOrders[WeekIndex],64)=0,"",SUMIFS(T_PlannedOrders[EffectiveQty],T_PlannedOrders[Part Name],$A707,T_PlannedOrders[WeekIndex],64)&amp;" ("&amp;TEXT(SUMPRODUCT(MAX((T_PlannedOrders[Part Name]=$A707)*(T_PlannedOrders[WeekIndex]=64)*(T_PlannedOrders[EffectiveQty]&gt;0)*T_PlannedOrders[Order_Month])),"m月")&amp;"発注)")</f>
        <v/>
      </c>
      <c r="BP731">
        <f>IF(SUMIFS(T_PlannedOrders[EffectiveQty],T_PlannedOrders[Part Name],$A707,T_PlannedOrders[WeekIndex],65)=0,"",SUMIFS(T_PlannedOrders[EffectiveQty],T_PlannedOrders[Part Name],$A707,T_PlannedOrders[WeekIndex],65)&amp;" ("&amp;TEXT(SUMPRODUCT(MAX((T_PlannedOrders[Part Name]=$A707)*(T_PlannedOrders[WeekIndex]=65)*(T_PlannedOrders[EffectiveQty]&gt;0)*T_PlannedOrders[Order_Month])),"m月")&amp;"発注)")</f>
        <v/>
      </c>
      <c r="BQ731">
        <f>IF(SUMIFS(T_PlannedOrders[EffectiveQty],T_PlannedOrders[Part Name],$A707,T_PlannedOrders[WeekIndex],66)=0,"",SUMIFS(T_PlannedOrders[EffectiveQty],T_PlannedOrders[Part Name],$A707,T_PlannedOrders[WeekIndex],66)&amp;" ("&amp;TEXT(SUMPRODUCT(MAX((T_PlannedOrders[Part Name]=$A707)*(T_PlannedOrders[WeekIndex]=66)*(T_PlannedOrders[EffectiveQty]&gt;0)*T_PlannedOrders[Order_Month])),"m月")&amp;"発注)")</f>
        <v/>
      </c>
      <c r="BR731">
        <f>IF(SUMIFS(T_PlannedOrders[EffectiveQty],T_PlannedOrders[Part Name],$A707,T_PlannedOrders[WeekIndex],67)=0,"",SUMIFS(T_PlannedOrders[EffectiveQty],T_PlannedOrders[Part Name],$A707,T_PlannedOrders[WeekIndex],67)&amp;" ("&amp;TEXT(SUMPRODUCT(MAX((T_PlannedOrders[Part Name]=$A707)*(T_PlannedOrders[WeekIndex]=67)*(T_PlannedOrders[EffectiveQty]&gt;0)*T_PlannedOrders[Order_Month])),"m月")&amp;"発注)")</f>
        <v/>
      </c>
      <c r="BS731">
        <f>IF(SUMIFS(T_PlannedOrders[EffectiveQty],T_PlannedOrders[Part Name],$A707,T_PlannedOrders[WeekIndex],68)=0,"",SUMIFS(T_PlannedOrders[EffectiveQty],T_PlannedOrders[Part Name],$A707,T_PlannedOrders[WeekIndex],68)&amp;" ("&amp;TEXT(SUMPRODUCT(MAX((T_PlannedOrders[Part Name]=$A707)*(T_PlannedOrders[WeekIndex]=68)*(T_PlannedOrders[EffectiveQty]&gt;0)*T_PlannedOrders[Order_Month])),"m月")&amp;"発注)")</f>
        <v/>
      </c>
      <c r="BT731">
        <f>IF(SUMIFS(T_PlannedOrders[EffectiveQty],T_PlannedOrders[Part Name],$A707,T_PlannedOrders[WeekIndex],69)=0,"",SUMIFS(T_PlannedOrders[EffectiveQty],T_PlannedOrders[Part Name],$A707,T_PlannedOrders[WeekIndex],69)&amp;" ("&amp;TEXT(SUMPRODUCT(MAX((T_PlannedOrders[Part Name]=$A707)*(T_PlannedOrders[WeekIndex]=69)*(T_PlannedOrders[EffectiveQty]&gt;0)*T_PlannedOrders[Order_Month])),"m月")&amp;"発注)")</f>
        <v/>
      </c>
      <c r="BU731">
        <f>IF(SUMIFS(T_PlannedOrders[EffectiveQty],T_PlannedOrders[Part Name],$A707,T_PlannedOrders[WeekIndex],70)=0,"",SUMIFS(T_PlannedOrders[EffectiveQty],T_PlannedOrders[Part Name],$A707,T_PlannedOrders[WeekIndex],70)&amp;" ("&amp;TEXT(SUMPRODUCT(MAX((T_PlannedOrders[Part Name]=$A707)*(T_PlannedOrders[WeekIndex]=70)*(T_PlannedOrders[EffectiveQty]&gt;0)*T_PlannedOrders[Order_Month])),"m月")&amp;"発注)")</f>
        <v/>
      </c>
      <c r="BV731">
        <f>IF(SUMIFS(T_PlannedOrders[EffectiveQty],T_PlannedOrders[Part Name],$A707,T_PlannedOrders[WeekIndex],71)=0,"",SUMIFS(T_PlannedOrders[EffectiveQty],T_PlannedOrders[Part Name],$A707,T_PlannedOrders[WeekIndex],71)&amp;" ("&amp;TEXT(SUMPRODUCT(MAX((T_PlannedOrders[Part Name]=$A707)*(T_PlannedOrders[WeekIndex]=71)*(T_PlannedOrders[EffectiveQty]&gt;0)*T_PlannedOrders[Order_Month])),"m月")&amp;"発注)")</f>
        <v/>
      </c>
      <c r="BW731">
        <f>IF(SUMIFS(T_PlannedOrders[EffectiveQty],T_PlannedOrders[Part Name],$A707,T_PlannedOrders[WeekIndex],72)=0,"",SUMIFS(T_PlannedOrders[EffectiveQty],T_PlannedOrders[Part Name],$A707,T_PlannedOrders[WeekIndex],72)&amp;" ("&amp;TEXT(SUMPRODUCT(MAX((T_PlannedOrders[Part Name]=$A707)*(T_PlannedOrders[WeekIndex]=72)*(T_PlannedOrders[EffectiveQty]&gt;0)*T_PlannedOrders[Order_Month])),"m月")&amp;"発注)")</f>
        <v/>
      </c>
      <c r="BX731">
        <f>IF(SUMIFS(T_PlannedOrders[EffectiveQty],T_PlannedOrders[Part Name],$A707,T_PlannedOrders[WeekIndex],73)=0,"",SUMIFS(T_PlannedOrders[EffectiveQty],T_PlannedOrders[Part Name],$A707,T_PlannedOrders[WeekIndex],73)&amp;" ("&amp;TEXT(SUMPRODUCT(MAX((T_PlannedOrders[Part Name]=$A707)*(T_PlannedOrders[WeekIndex]=73)*(T_PlannedOrders[EffectiveQty]&gt;0)*T_PlannedOrders[Order_Month])),"m月")&amp;"発注)")</f>
        <v/>
      </c>
      <c r="BY731">
        <f>IF(SUMIFS(T_PlannedOrders[EffectiveQty],T_PlannedOrders[Part Name],$A707,T_PlannedOrders[WeekIndex],74)=0,"",SUMIFS(T_PlannedOrders[EffectiveQty],T_PlannedOrders[Part Name],$A707,T_PlannedOrders[WeekIndex],74)&amp;" ("&amp;TEXT(SUMPRODUCT(MAX((T_PlannedOrders[Part Name]=$A707)*(T_PlannedOrders[WeekIndex]=74)*(T_PlannedOrders[EffectiveQty]&gt;0)*T_PlannedOrders[Order_Month])),"m月")&amp;"発注)")</f>
        <v/>
      </c>
      <c r="BZ731">
        <f>IF(SUMIFS(T_PlannedOrders[EffectiveQty],T_PlannedOrders[Part Name],$A707,T_PlannedOrders[WeekIndex],75)=0,"",SUMIFS(T_PlannedOrders[EffectiveQty],T_PlannedOrders[Part Name],$A707,T_PlannedOrders[WeekIndex],75)&amp;" ("&amp;TEXT(SUMPRODUCT(MAX((T_PlannedOrders[Part Name]=$A707)*(T_PlannedOrders[WeekIndex]=75)*(T_PlannedOrders[EffectiveQty]&gt;0)*T_PlannedOrders[Order_Month])),"m月")&amp;"発注)")</f>
        <v/>
      </c>
      <c r="CA731">
        <f>IF(SUMIFS(T_PlannedOrders[EffectiveQty],T_PlannedOrders[Part Name],$A707,T_PlannedOrders[WeekIndex],76)=0,"",SUMIFS(T_PlannedOrders[EffectiveQty],T_PlannedOrders[Part Name],$A707,T_PlannedOrders[WeekIndex],76)&amp;" ("&amp;TEXT(SUMPRODUCT(MAX((T_PlannedOrders[Part Name]=$A707)*(T_PlannedOrders[WeekIndex]=76)*(T_PlannedOrders[EffectiveQty]&gt;0)*T_PlannedOrders[Order_Month])),"m月")&amp;"発注)")</f>
        <v/>
      </c>
      <c r="CB731">
        <f>IF(SUMIFS(T_PlannedOrders[EffectiveQty],T_PlannedOrders[Part Name],$A707,T_PlannedOrders[WeekIndex],77)=0,"",SUMIFS(T_PlannedOrders[EffectiveQty],T_PlannedOrders[Part Name],$A707,T_PlannedOrders[WeekIndex],77)&amp;" ("&amp;TEXT(SUMPRODUCT(MAX((T_PlannedOrders[Part Name]=$A707)*(T_PlannedOrders[WeekIndex]=77)*(T_PlannedOrders[EffectiveQty]&gt;0)*T_PlannedOrders[Order_Month])),"m月")&amp;"発注)")</f>
        <v/>
      </c>
      <c r="CC731">
        <f>IF(SUMIFS(T_PlannedOrders[EffectiveQty],T_PlannedOrders[Part Name],$A707,T_PlannedOrders[WeekIndex],78)=0,"",SUMIFS(T_PlannedOrders[EffectiveQty],T_PlannedOrders[Part Name],$A707,T_PlannedOrders[WeekIndex],78)&amp;" ("&amp;TEXT(SUMPRODUCT(MAX((T_PlannedOrders[Part Name]=$A707)*(T_PlannedOrders[WeekIndex]=78)*(T_PlannedOrders[EffectiveQty]&gt;0)*T_PlannedOrders[Order_Month])),"m月")&amp;"発注)")</f>
        <v/>
      </c>
      <c r="CD731">
        <f>IF(SUMIFS(T_PlannedOrders[EffectiveQty],T_PlannedOrders[Part Name],$A707,T_PlannedOrders[WeekIndex],79)=0,"",SUMIFS(T_PlannedOrders[EffectiveQty],T_PlannedOrders[Part Name],$A707,T_PlannedOrders[WeekIndex],79)&amp;" ("&amp;TEXT(SUMPRODUCT(MAX((T_PlannedOrders[Part Name]=$A707)*(T_PlannedOrders[WeekIndex]=79)*(T_PlannedOrders[EffectiveQty]&gt;0)*T_PlannedOrders[Order_Month])),"m月")&amp;"発注)")</f>
        <v/>
      </c>
      <c r="CE731">
        <f>IF(SUMIFS(T_PlannedOrders[EffectiveQty],T_PlannedOrders[Part Name],$A707,T_PlannedOrders[WeekIndex],80)=0,"",SUMIFS(T_PlannedOrders[EffectiveQty],T_PlannedOrders[Part Name],$A707,T_PlannedOrders[WeekIndex],80)&amp;" ("&amp;TEXT(SUMPRODUCT(MAX((T_PlannedOrders[Part Name]=$A707)*(T_PlannedOrders[WeekIndex]=80)*(T_PlannedOrders[EffectiveQty]&gt;0)*T_PlannedOrders[Order_Month])),"m月")&amp;"発注)")</f>
        <v/>
      </c>
      <c r="CF731">
        <f>IF(SUMIFS(T_PlannedOrders[EffectiveQty],T_PlannedOrders[Part Name],$A707,T_PlannedOrders[WeekIndex],81)=0,"",SUMIFS(T_PlannedOrders[EffectiveQty],T_PlannedOrders[Part Name],$A707,T_PlannedOrders[WeekIndex],81)&amp;" ("&amp;TEXT(SUMPRODUCT(MAX((T_PlannedOrders[Part Name]=$A707)*(T_PlannedOrders[WeekIndex]=81)*(T_PlannedOrders[EffectiveQty]&gt;0)*T_PlannedOrders[Order_Month])),"m月")&amp;"発注)")</f>
        <v/>
      </c>
      <c r="CG731">
        <f>IF(SUMIFS(T_PlannedOrders[EffectiveQty],T_PlannedOrders[Part Name],$A707,T_PlannedOrders[WeekIndex],82)=0,"",SUMIFS(T_PlannedOrders[EffectiveQty],T_PlannedOrders[Part Name],$A707,T_PlannedOrders[WeekIndex],82)&amp;" ("&amp;TEXT(SUMPRODUCT(MAX((T_PlannedOrders[Part Name]=$A707)*(T_PlannedOrders[WeekIndex]=82)*(T_PlannedOrders[EffectiveQty]&gt;0)*T_PlannedOrders[Order_Month])),"m月")&amp;"発注)")</f>
        <v/>
      </c>
      <c r="CH731">
        <f>IF(SUMIFS(T_PlannedOrders[EffectiveQty],T_PlannedOrders[Part Name],$A707,T_PlannedOrders[WeekIndex],83)=0,"",SUMIFS(T_PlannedOrders[EffectiveQty],T_PlannedOrders[Part Name],$A707,T_PlannedOrders[WeekIndex],83)&amp;" ("&amp;TEXT(SUMPRODUCT(MAX((T_PlannedOrders[Part Name]=$A707)*(T_PlannedOrders[WeekIndex]=83)*(T_PlannedOrders[EffectiveQty]&gt;0)*T_PlannedOrders[Order_Month])),"m月")&amp;"発注)")</f>
        <v/>
      </c>
      <c r="CI731">
        <f>IF(SUMIFS(T_PlannedOrders[EffectiveQty],T_PlannedOrders[Part Name],$A707,T_PlannedOrders[WeekIndex],84)=0,"",SUMIFS(T_PlannedOrders[EffectiveQty],T_PlannedOrders[Part Name],$A707,T_PlannedOrders[WeekIndex],84)&amp;" ("&amp;TEXT(SUMPRODUCT(MAX((T_PlannedOrders[Part Name]=$A707)*(T_PlannedOrders[WeekIndex]=84)*(T_PlannedOrders[EffectiveQty]&gt;0)*T_PlannedOrders[Order_Month])),"m月")&amp;"発注)")</f>
        <v/>
      </c>
      <c r="CJ731">
        <f>IF(SUMIFS(T_PlannedOrders[EffectiveQty],T_PlannedOrders[Part Name],$A707,T_PlannedOrders[WeekIndex],85)=0,"",SUMIFS(T_PlannedOrders[EffectiveQty],T_PlannedOrders[Part Name],$A707,T_PlannedOrders[WeekIndex],85)&amp;" ("&amp;TEXT(SUMPRODUCT(MAX((T_PlannedOrders[Part Name]=$A707)*(T_PlannedOrders[WeekIndex]=85)*(T_PlannedOrders[EffectiveQty]&gt;0)*T_PlannedOrders[Order_Month])),"m月")&amp;"発注)")</f>
        <v/>
      </c>
      <c r="CK731">
        <f>IF(SUMIFS(T_PlannedOrders[EffectiveQty],T_PlannedOrders[Part Name],$A707,T_PlannedOrders[WeekIndex],86)=0,"",SUMIFS(T_PlannedOrders[EffectiveQty],T_PlannedOrders[Part Name],$A707,T_PlannedOrders[WeekIndex],86)&amp;" ("&amp;TEXT(SUMPRODUCT(MAX((T_PlannedOrders[Part Name]=$A707)*(T_PlannedOrders[WeekIndex]=86)*(T_PlannedOrders[EffectiveQty]&gt;0)*T_PlannedOrders[Order_Month])),"m月")&amp;"発注)")</f>
        <v/>
      </c>
      <c r="CL731">
        <f>IF(SUMIFS(T_PlannedOrders[EffectiveQty],T_PlannedOrders[Part Name],$A707,T_PlannedOrders[WeekIndex],87)=0,"",SUMIFS(T_PlannedOrders[EffectiveQty],T_PlannedOrders[Part Name],$A707,T_PlannedOrders[WeekIndex],87)&amp;" ("&amp;TEXT(SUMPRODUCT(MAX((T_PlannedOrders[Part Name]=$A707)*(T_PlannedOrders[WeekIndex]=87)*(T_PlannedOrders[EffectiveQty]&gt;0)*T_PlannedOrders[Order_Month])),"m月")&amp;"発注)")</f>
        <v/>
      </c>
      <c r="CM731">
        <f>IF(SUMIFS(T_PlannedOrders[EffectiveQty],T_PlannedOrders[Part Name],$A707,T_PlannedOrders[WeekIndex],88)=0,"",SUMIFS(T_PlannedOrders[EffectiveQty],T_PlannedOrders[Part Name],$A707,T_PlannedOrders[WeekIndex],88)&amp;" ("&amp;TEXT(SUMPRODUCT(MAX((T_PlannedOrders[Part Name]=$A707)*(T_PlannedOrders[WeekIndex]=88)*(T_PlannedOrders[EffectiveQty]&gt;0)*T_PlannedOrders[Order_Month])),"m月")&amp;"発注)")</f>
        <v/>
      </c>
      <c r="CN731">
        <f>IF(SUMIFS(T_PlannedOrders[EffectiveQty],T_PlannedOrders[Part Name],$A707,T_PlannedOrders[WeekIndex],89)=0,"",SUMIFS(T_PlannedOrders[EffectiveQty],T_PlannedOrders[Part Name],$A707,T_PlannedOrders[WeekIndex],89)&amp;" ("&amp;TEXT(SUMPRODUCT(MAX((T_PlannedOrders[Part Name]=$A707)*(T_PlannedOrders[WeekIndex]=89)*(T_PlannedOrders[EffectiveQty]&gt;0)*T_PlannedOrders[Order_Month])),"m月")&amp;"発注)")</f>
        <v/>
      </c>
      <c r="CO731">
        <f>IF(SUMIFS(T_PlannedOrders[EffectiveQty],T_PlannedOrders[Part Name],$A707,T_PlannedOrders[WeekIndex],90)=0,"",SUMIFS(T_PlannedOrders[EffectiveQty],T_PlannedOrders[Part Name],$A707,T_PlannedOrders[WeekIndex],90)&amp;" ("&amp;TEXT(SUMPRODUCT(MAX((T_PlannedOrders[Part Name]=$A707)*(T_PlannedOrders[WeekIndex]=90)*(T_PlannedOrders[EffectiveQty]&gt;0)*T_PlannedOrders[Order_Month])),"m月")&amp;"発注)")</f>
        <v/>
      </c>
      <c r="CP731">
        <f>IF(SUMIFS(T_PlannedOrders[EffectiveQty],T_PlannedOrders[Part Name],$A707,T_PlannedOrders[WeekIndex],91)=0,"",SUMIFS(T_PlannedOrders[EffectiveQty],T_PlannedOrders[Part Name],$A707,T_PlannedOrders[WeekIndex],91)&amp;" ("&amp;TEXT(SUMPRODUCT(MAX((T_PlannedOrders[Part Name]=$A707)*(T_PlannedOrders[WeekIndex]=91)*(T_PlannedOrders[EffectiveQty]&gt;0)*T_PlannedOrders[Order_Month])),"m月")&amp;"発注)")</f>
        <v/>
      </c>
      <c r="CQ731">
        <f>IF(SUMIFS(T_PlannedOrders[EffectiveQty],T_PlannedOrders[Part Name],$A707,T_PlannedOrders[WeekIndex],92)=0,"",SUMIFS(T_PlannedOrders[EffectiveQty],T_PlannedOrders[Part Name],$A707,T_PlannedOrders[WeekIndex],92)&amp;" ("&amp;TEXT(SUMPRODUCT(MAX((T_PlannedOrders[Part Name]=$A707)*(T_PlannedOrders[WeekIndex]=92)*(T_PlannedOrders[EffectiveQty]&gt;0)*T_PlannedOrders[Order_Month])),"m月")&amp;"発注)")</f>
        <v/>
      </c>
      <c r="CR731">
        <f>IF(SUMIFS(T_PlannedOrders[EffectiveQty],T_PlannedOrders[Part Name],$A707,T_PlannedOrders[WeekIndex],93)=0,"",SUMIFS(T_PlannedOrders[EffectiveQty],T_PlannedOrders[Part Name],$A707,T_PlannedOrders[WeekIndex],93)&amp;" ("&amp;TEXT(SUMPRODUCT(MAX((T_PlannedOrders[Part Name]=$A707)*(T_PlannedOrders[WeekIndex]=93)*(T_PlannedOrders[EffectiveQty]&gt;0)*T_PlannedOrders[Order_Month])),"m月")&amp;"発注)")</f>
        <v/>
      </c>
      <c r="CS731">
        <f>IF(SUMIFS(T_PlannedOrders[EffectiveQty],T_PlannedOrders[Part Name],$A707,T_PlannedOrders[WeekIndex],94)=0,"",SUMIFS(T_PlannedOrders[EffectiveQty],T_PlannedOrders[Part Name],$A707,T_PlannedOrders[WeekIndex],94)&amp;" ("&amp;TEXT(SUMPRODUCT(MAX((T_PlannedOrders[Part Name]=$A707)*(T_PlannedOrders[WeekIndex]=94)*(T_PlannedOrders[EffectiveQty]&gt;0)*T_PlannedOrders[Order_Month])),"m月")&amp;"発注)")</f>
        <v/>
      </c>
      <c r="CT731">
        <f>IF(SUMIFS(T_PlannedOrders[EffectiveQty],T_PlannedOrders[Part Name],$A707,T_PlannedOrders[WeekIndex],95)=0,"",SUMIFS(T_PlannedOrders[EffectiveQty],T_PlannedOrders[Part Name],$A707,T_PlannedOrders[WeekIndex],95)&amp;" ("&amp;TEXT(SUMPRODUCT(MAX((T_PlannedOrders[Part Name]=$A707)*(T_PlannedOrders[WeekIndex]=95)*(T_PlannedOrders[EffectiveQty]&gt;0)*T_PlannedOrders[Order_Month])),"m月")&amp;"発注)")</f>
        <v/>
      </c>
      <c r="CU731">
        <f>IF(SUMIFS(T_PlannedOrders[EffectiveQty],T_PlannedOrders[Part Name],$A707,T_PlannedOrders[WeekIndex],96)=0,"",SUMIFS(T_PlannedOrders[EffectiveQty],T_PlannedOrders[Part Name],$A707,T_PlannedOrders[WeekIndex],96)&amp;" ("&amp;TEXT(SUMPRODUCT(MAX((T_PlannedOrders[Part Name]=$A707)*(T_PlannedOrders[WeekIndex]=96)*(T_PlannedOrders[EffectiveQty]&gt;0)*T_PlannedOrders[Order_Month])),"m月")&amp;"発注)")</f>
        <v/>
      </c>
      <c r="CV731">
        <f>IF(SUMIFS(T_PlannedOrders[EffectiveQty],T_PlannedOrders[Part Name],$A707,T_PlannedOrders[WeekIndex],97)=0,"",SUMIFS(T_PlannedOrders[EffectiveQty],T_PlannedOrders[Part Name],$A707,T_PlannedOrders[WeekIndex],97)&amp;" ("&amp;TEXT(SUMPRODUCT(MAX((T_PlannedOrders[Part Name]=$A707)*(T_PlannedOrders[WeekIndex]=97)*(T_PlannedOrders[EffectiveQty]&gt;0)*T_PlannedOrders[Order_Month])),"m月")&amp;"発注)")</f>
        <v/>
      </c>
      <c r="CW731">
        <f>IF(SUMIFS(T_PlannedOrders[EffectiveQty],T_PlannedOrders[Part Name],$A707,T_PlannedOrders[WeekIndex],98)=0,"",SUMIFS(T_PlannedOrders[EffectiveQty],T_PlannedOrders[Part Name],$A707,T_PlannedOrders[WeekIndex],98)&amp;" ("&amp;TEXT(SUMPRODUCT(MAX((T_PlannedOrders[Part Name]=$A707)*(T_PlannedOrders[WeekIndex]=98)*(T_PlannedOrders[EffectiveQty]&gt;0)*T_PlannedOrders[Order_Month])),"m月")&amp;"発注)")</f>
        <v/>
      </c>
      <c r="CX731">
        <f>IF(SUMIFS(T_PlannedOrders[EffectiveQty],T_PlannedOrders[Part Name],$A707,T_PlannedOrders[WeekIndex],99)=0,"",SUMIFS(T_PlannedOrders[EffectiveQty],T_PlannedOrders[Part Name],$A707,T_PlannedOrders[WeekIndex],99)&amp;" ("&amp;TEXT(SUMPRODUCT(MAX((T_PlannedOrders[Part Name]=$A707)*(T_PlannedOrders[WeekIndex]=99)*(T_PlannedOrders[EffectiveQty]&gt;0)*T_PlannedOrders[Order_Month])),"m月")&amp;"発注)")</f>
        <v/>
      </c>
      <c r="CY731">
        <f>IF(SUMIFS(T_PlannedOrders[EffectiveQty],T_PlannedOrders[Part Name],$A707,T_PlannedOrders[WeekIndex],100)=0,"",SUMIFS(T_PlannedOrders[EffectiveQty],T_PlannedOrders[Part Name],$A707,T_PlannedOrders[WeekIndex],100)&amp;" ("&amp;TEXT(SUMPRODUCT(MAX((T_PlannedOrders[Part Name]=$A707)*(T_PlannedOrders[WeekIndex]=100)*(T_PlannedOrders[EffectiveQty]&gt;0)*T_PlannedOrders[Order_Month])),"m月")&amp;"発注)")</f>
        <v/>
      </c>
      <c r="CZ731">
        <f>IF(SUMIFS(T_PlannedOrders[EffectiveQty],T_PlannedOrders[Part Name],$A707,T_PlannedOrders[WeekIndex],101)=0,"",SUMIFS(T_PlannedOrders[EffectiveQty],T_PlannedOrders[Part Name],$A707,T_PlannedOrders[WeekIndex],101)&amp;" ("&amp;TEXT(SUMPRODUCT(MAX((T_PlannedOrders[Part Name]=$A707)*(T_PlannedOrders[WeekIndex]=101)*(T_PlannedOrders[EffectiveQty]&gt;0)*T_PlannedOrders[Order_Month])),"m月")&amp;"発注)")</f>
        <v/>
      </c>
      <c r="DA731">
        <f>IF(SUMIFS(T_PlannedOrders[EffectiveQty],T_PlannedOrders[Part Name],$A707,T_PlannedOrders[WeekIndex],102)=0,"",SUMIFS(T_PlannedOrders[EffectiveQty],T_PlannedOrders[Part Name],$A707,T_PlannedOrders[WeekIndex],102)&amp;" ("&amp;TEXT(SUMPRODUCT(MAX((T_PlannedOrders[Part Name]=$A707)*(T_PlannedOrders[WeekIndex]=102)*(T_PlannedOrders[EffectiveQty]&gt;0)*T_PlannedOrders[Order_Month])),"m月")&amp;"発注)")</f>
        <v/>
      </c>
      <c r="DB731">
        <f>IF(SUMIFS(T_PlannedOrders[EffectiveQty],T_PlannedOrders[Part Name],$A707,T_PlannedOrders[WeekIndex],103)=0,"",SUMIFS(T_PlannedOrders[EffectiveQty],T_PlannedOrders[Part Name],$A707,T_PlannedOrders[WeekIndex],103)&amp;" ("&amp;TEXT(SUMPRODUCT(MAX((T_PlannedOrders[Part Name]=$A707)*(T_PlannedOrders[WeekIndex]=103)*(T_PlannedOrders[EffectiveQty]&gt;0)*T_PlannedOrders[Order_Month])),"m月")&amp;"発注)")</f>
        <v/>
      </c>
      <c r="DC731">
        <f>IF(SUMIFS(T_PlannedOrders[EffectiveQty],T_PlannedOrders[Part Name],$A707,T_PlannedOrders[WeekIndex],104)=0,"",SUMIFS(T_PlannedOrders[EffectiveQty],T_PlannedOrders[Part Name],$A707,T_PlannedOrders[WeekIndex],104)&amp;" ("&amp;TEXT(SUMPRODUCT(MAX((T_PlannedOrders[Part Name]=$A707)*(T_PlannedOrders[WeekIndex]=104)*(T_PlannedOrders[EffectiveQty]&gt;0)*T_PlannedOrders[Order_Month])),"m月")&amp;"発注)")</f>
        <v/>
      </c>
    </row>
    <row r="732">
      <c r="B732" s="5" t="inlineStr">
        <is>
          <t>合計在庫(週末時点,kg)</t>
        </is>
      </c>
      <c r="D732">
        <f>'Grid_Stock'!B8</f>
        <v/>
      </c>
      <c r="E732">
        <f>'Grid_Stock'!C8</f>
        <v/>
      </c>
      <c r="F732">
        <f>'Grid_Stock'!D8</f>
        <v/>
      </c>
      <c r="G732">
        <f>'Grid_Stock'!E8</f>
        <v/>
      </c>
      <c r="H732">
        <f>'Grid_Stock'!F8</f>
        <v/>
      </c>
      <c r="I732">
        <f>'Grid_Stock'!G8</f>
        <v/>
      </c>
      <c r="J732">
        <f>'Grid_Stock'!H8</f>
        <v/>
      </c>
      <c r="K732">
        <f>'Grid_Stock'!I8</f>
        <v/>
      </c>
      <c r="L732">
        <f>'Grid_Stock'!J8</f>
        <v/>
      </c>
      <c r="M732">
        <f>'Grid_Stock'!K8</f>
        <v/>
      </c>
      <c r="N732">
        <f>'Grid_Stock'!L8</f>
        <v/>
      </c>
      <c r="O732">
        <f>'Grid_Stock'!M8</f>
        <v/>
      </c>
      <c r="P732">
        <f>'Grid_Stock'!N8</f>
        <v/>
      </c>
      <c r="Q732">
        <f>'Grid_Stock'!O8</f>
        <v/>
      </c>
      <c r="R732">
        <f>'Grid_Stock'!P8</f>
        <v/>
      </c>
      <c r="S732">
        <f>'Grid_Stock'!Q8</f>
        <v/>
      </c>
      <c r="T732">
        <f>'Grid_Stock'!R8</f>
        <v/>
      </c>
      <c r="U732">
        <f>'Grid_Stock'!S8</f>
        <v/>
      </c>
      <c r="V732">
        <f>'Grid_Stock'!T8</f>
        <v/>
      </c>
      <c r="W732">
        <f>'Grid_Stock'!U8</f>
        <v/>
      </c>
      <c r="X732">
        <f>'Grid_Stock'!V8</f>
        <v/>
      </c>
      <c r="Y732">
        <f>'Grid_Stock'!W8</f>
        <v/>
      </c>
      <c r="Z732">
        <f>'Grid_Stock'!X8</f>
        <v/>
      </c>
      <c r="AA732">
        <f>'Grid_Stock'!Y8</f>
        <v/>
      </c>
      <c r="AB732">
        <f>'Grid_Stock'!Z8</f>
        <v/>
      </c>
      <c r="AC732">
        <f>'Grid_Stock'!AA8</f>
        <v/>
      </c>
      <c r="AD732">
        <f>'Grid_Stock'!AB8</f>
        <v/>
      </c>
      <c r="AE732">
        <f>'Grid_Stock'!AC8</f>
        <v/>
      </c>
      <c r="AF732">
        <f>'Grid_Stock'!AD8</f>
        <v/>
      </c>
      <c r="AG732">
        <f>'Grid_Stock'!AE8</f>
        <v/>
      </c>
      <c r="AH732">
        <f>'Grid_Stock'!AF8</f>
        <v/>
      </c>
      <c r="AI732">
        <f>'Grid_Stock'!AG8</f>
        <v/>
      </c>
      <c r="AJ732">
        <f>'Grid_Stock'!AH8</f>
        <v/>
      </c>
      <c r="AK732">
        <f>'Grid_Stock'!AI8</f>
        <v/>
      </c>
      <c r="AL732">
        <f>'Grid_Stock'!AJ8</f>
        <v/>
      </c>
      <c r="AM732">
        <f>'Grid_Stock'!AK8</f>
        <v/>
      </c>
      <c r="AN732">
        <f>'Grid_Stock'!AL8</f>
        <v/>
      </c>
      <c r="AO732">
        <f>'Grid_Stock'!AM8</f>
        <v/>
      </c>
      <c r="AP732">
        <f>'Grid_Stock'!AN8</f>
        <v/>
      </c>
      <c r="AQ732">
        <f>'Grid_Stock'!AO8</f>
        <v/>
      </c>
      <c r="AR732">
        <f>'Grid_Stock'!AP8</f>
        <v/>
      </c>
      <c r="AS732">
        <f>'Grid_Stock'!AQ8</f>
        <v/>
      </c>
      <c r="AT732">
        <f>'Grid_Stock'!AR8</f>
        <v/>
      </c>
      <c r="AU732">
        <f>'Grid_Stock'!AS8</f>
        <v/>
      </c>
      <c r="AV732">
        <f>'Grid_Stock'!AT8</f>
        <v/>
      </c>
      <c r="AW732">
        <f>'Grid_Stock'!AU8</f>
        <v/>
      </c>
      <c r="AX732">
        <f>'Grid_Stock'!AV8</f>
        <v/>
      </c>
      <c r="AY732">
        <f>'Grid_Stock'!AW8</f>
        <v/>
      </c>
      <c r="AZ732">
        <f>'Grid_Stock'!AX8</f>
        <v/>
      </c>
      <c r="BA732">
        <f>'Grid_Stock'!AY8</f>
        <v/>
      </c>
      <c r="BB732">
        <f>'Grid_Stock'!AZ8</f>
        <v/>
      </c>
      <c r="BC732">
        <f>'Grid_Stock'!BA8</f>
        <v/>
      </c>
      <c r="BD732">
        <f>'Grid_Stock'!BB8</f>
        <v/>
      </c>
      <c r="BE732">
        <f>'Grid_Stock'!BC8</f>
        <v/>
      </c>
      <c r="BF732">
        <f>'Grid_Stock'!BD8</f>
        <v/>
      </c>
      <c r="BG732">
        <f>'Grid_Stock'!BE8</f>
        <v/>
      </c>
      <c r="BH732">
        <f>'Grid_Stock'!BF8</f>
        <v/>
      </c>
      <c r="BI732">
        <f>'Grid_Stock'!BG8</f>
        <v/>
      </c>
      <c r="BJ732">
        <f>'Grid_Stock'!BH8</f>
        <v/>
      </c>
      <c r="BK732">
        <f>'Grid_Stock'!BI8</f>
        <v/>
      </c>
      <c r="BL732">
        <f>'Grid_Stock'!BJ8</f>
        <v/>
      </c>
      <c r="BM732">
        <f>'Grid_Stock'!BK8</f>
        <v/>
      </c>
      <c r="BN732">
        <f>'Grid_Stock'!BL8</f>
        <v/>
      </c>
      <c r="BO732">
        <f>'Grid_Stock'!BM8</f>
        <v/>
      </c>
      <c r="BP732">
        <f>'Grid_Stock'!BN8</f>
        <v/>
      </c>
      <c r="BQ732">
        <f>'Grid_Stock'!BO8</f>
        <v/>
      </c>
      <c r="BR732">
        <f>'Grid_Stock'!BP8</f>
        <v/>
      </c>
      <c r="BS732">
        <f>'Grid_Stock'!BQ8</f>
        <v/>
      </c>
      <c r="BT732">
        <f>'Grid_Stock'!BR8</f>
        <v/>
      </c>
      <c r="BU732">
        <f>'Grid_Stock'!BS8</f>
        <v/>
      </c>
      <c r="BV732">
        <f>'Grid_Stock'!BT8</f>
        <v/>
      </c>
      <c r="BW732">
        <f>'Grid_Stock'!BU8</f>
        <v/>
      </c>
      <c r="BX732">
        <f>'Grid_Stock'!BV8</f>
        <v/>
      </c>
      <c r="BY732">
        <f>'Grid_Stock'!BW8</f>
        <v/>
      </c>
      <c r="BZ732">
        <f>'Grid_Stock'!BX8</f>
        <v/>
      </c>
      <c r="CA732">
        <f>'Grid_Stock'!BY8</f>
        <v/>
      </c>
      <c r="CB732">
        <f>'Grid_Stock'!BZ8</f>
        <v/>
      </c>
      <c r="CC732">
        <f>'Grid_Stock'!CA8</f>
        <v/>
      </c>
      <c r="CD732">
        <f>'Grid_Stock'!CB8</f>
        <v/>
      </c>
      <c r="CE732">
        <f>'Grid_Stock'!CC8</f>
        <v/>
      </c>
      <c r="CF732">
        <f>'Grid_Stock'!CD8</f>
        <v/>
      </c>
      <c r="CG732">
        <f>'Grid_Stock'!CE8</f>
        <v/>
      </c>
      <c r="CH732">
        <f>'Grid_Stock'!CF8</f>
        <v/>
      </c>
      <c r="CI732">
        <f>'Grid_Stock'!CG8</f>
        <v/>
      </c>
      <c r="CJ732">
        <f>'Grid_Stock'!CH8</f>
        <v/>
      </c>
      <c r="CK732">
        <f>'Grid_Stock'!CI8</f>
        <v/>
      </c>
      <c r="CL732">
        <f>'Grid_Stock'!CJ8</f>
        <v/>
      </c>
      <c r="CM732">
        <f>'Grid_Stock'!CK8</f>
        <v/>
      </c>
      <c r="CN732">
        <f>'Grid_Stock'!CL8</f>
        <v/>
      </c>
      <c r="CO732">
        <f>'Grid_Stock'!CM8</f>
        <v/>
      </c>
      <c r="CP732">
        <f>'Grid_Stock'!CN8</f>
        <v/>
      </c>
      <c r="CQ732">
        <f>'Grid_Stock'!CO8</f>
        <v/>
      </c>
      <c r="CR732">
        <f>'Grid_Stock'!CP8</f>
        <v/>
      </c>
      <c r="CS732">
        <f>'Grid_Stock'!CQ8</f>
        <v/>
      </c>
      <c r="CT732">
        <f>'Grid_Stock'!CR8</f>
        <v/>
      </c>
      <c r="CU732">
        <f>'Grid_Stock'!CS8</f>
        <v/>
      </c>
      <c r="CV732">
        <f>'Grid_Stock'!CT8</f>
        <v/>
      </c>
      <c r="CW732">
        <f>'Grid_Stock'!CU8</f>
        <v/>
      </c>
      <c r="CX732">
        <f>'Grid_Stock'!CV8</f>
        <v/>
      </c>
      <c r="CY732">
        <f>'Grid_Stock'!CW8</f>
        <v/>
      </c>
      <c r="CZ732">
        <f>'Grid_Stock'!CX8</f>
        <v/>
      </c>
      <c r="DA732">
        <f>'Grid_Stock'!CY8</f>
        <v/>
      </c>
      <c r="DB732">
        <f>'Grid_Stock'!CZ8</f>
        <v/>
      </c>
      <c r="DC732">
        <f>'Grid_Stock'!DA8</f>
        <v/>
      </c>
    </row>
    <row r="733">
      <c r="B733" s="23" t="inlineStr">
        <is>
          <t>（発注の目安はDashboardの基準在庫[下限/上限]と色分けを参照）</t>
        </is>
      </c>
    </row>
    <row r="735">
      <c r="A735" s="21" t="inlineStr">
        <is>
          <t>CHEM-1650</t>
        </is>
      </c>
      <c r="B735" s="21" t="inlineStr">
        <is>
          <t>Duasyn Acid Blue</t>
        </is>
      </c>
      <c r="C735" s="22" t="n"/>
      <c r="D735" s="21" t="n"/>
      <c r="E735" s="21" t="n"/>
      <c r="F735" s="21" t="n"/>
      <c r="G735" s="21" t="n"/>
      <c r="H735" s="2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  <c r="AA735" s="21" t="n"/>
      <c r="AB735" s="21" t="n"/>
      <c r="AC735" s="21" t="n"/>
      <c r="AD735" s="21" t="n"/>
      <c r="AE735" s="21" t="n"/>
      <c r="AF735" s="21" t="n"/>
      <c r="AG735" s="21" t="n"/>
      <c r="AH735" s="21" t="n"/>
      <c r="AI735" s="21" t="n"/>
      <c r="AJ735" s="21" t="n"/>
      <c r="AK735" s="21" t="n"/>
      <c r="AL735" s="21" t="n"/>
      <c r="AM735" s="21" t="n"/>
      <c r="AN735" s="21" t="n"/>
      <c r="AO735" s="21" t="n"/>
      <c r="AP735" s="21" t="n"/>
      <c r="AQ735" s="21" t="n"/>
      <c r="AR735" s="21" t="n"/>
      <c r="AS735" s="21" t="n"/>
      <c r="AT735" s="21" t="n"/>
      <c r="AU735" s="21" t="n"/>
      <c r="AV735" s="21" t="n"/>
      <c r="AW735" s="21" t="n"/>
      <c r="AX735" s="21" t="n"/>
      <c r="AY735" s="21" t="n"/>
      <c r="AZ735" s="21" t="n"/>
      <c r="BA735" s="21" t="n"/>
      <c r="BB735" s="21" t="n"/>
      <c r="BC735" s="21" t="n"/>
      <c r="BD735" s="21" t="n"/>
      <c r="BE735" s="21" t="n"/>
      <c r="BF735" s="21" t="n"/>
      <c r="BG735" s="21" t="n"/>
      <c r="BH735" s="21" t="n"/>
      <c r="BI735" s="21" t="n"/>
      <c r="BJ735" s="21" t="n"/>
      <c r="BK735" s="21" t="n"/>
      <c r="BL735" s="21" t="n"/>
      <c r="BM735" s="21" t="n"/>
      <c r="BN735" s="21" t="n"/>
      <c r="BO735" s="21" t="n"/>
      <c r="BP735" s="21" t="n"/>
      <c r="BQ735" s="21" t="n"/>
      <c r="BR735" s="21" t="n"/>
      <c r="BS735" s="21" t="n"/>
      <c r="BT735" s="21" t="n"/>
      <c r="BU735" s="21" t="n"/>
      <c r="BV735" s="21" t="n"/>
      <c r="BW735" s="21" t="n"/>
      <c r="BX735" s="21" t="n"/>
      <c r="BY735" s="21" t="n"/>
      <c r="BZ735" s="21" t="n"/>
      <c r="CA735" s="21" t="n"/>
      <c r="CB735" s="21" t="n"/>
      <c r="CC735" s="21" t="n"/>
      <c r="CD735" s="21" t="n"/>
      <c r="CE735" s="21" t="n"/>
      <c r="CF735" s="21" t="n"/>
      <c r="CG735" s="21" t="n"/>
      <c r="CH735" s="21" t="n"/>
      <c r="CI735" s="21" t="n"/>
      <c r="CJ735" s="21" t="n"/>
      <c r="CK735" s="21" t="n"/>
      <c r="CL735" s="21" t="n"/>
      <c r="CM735" s="21" t="n"/>
      <c r="CN735" s="21" t="n"/>
      <c r="CO735" s="21" t="n"/>
      <c r="CP735" s="21" t="n"/>
      <c r="CQ735" s="21" t="n"/>
      <c r="CR735" s="21" t="n"/>
      <c r="CS735" s="21" t="n"/>
      <c r="CT735" s="21" t="n"/>
      <c r="CU735" s="21" t="n"/>
      <c r="CV735" s="21" t="n"/>
      <c r="CW735" s="21" t="n"/>
      <c r="CX735" s="21" t="n"/>
      <c r="CY735" s="21" t="n"/>
      <c r="CZ735" s="21" t="n"/>
      <c r="DA735" s="21" t="n"/>
      <c r="DB735" s="21" t="n"/>
      <c r="DC735" s="21" t="n"/>
    </row>
    <row r="736">
      <c r="B736" t="inlineStr">
        <is>
          <t>TSP-1388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Name],$A735)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TSP-402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Name],$A735)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TSP-403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Name],$A735)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TSP-404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Name],$A735)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TSP-405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Name],$A735)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TSP-620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Name],$A735)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TSP-623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Name],$A735)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TSP-655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Name],$A735)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TSP-903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Name],$A735)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TSP-934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Name],$A735)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TSP-935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Name],$A735)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TSP-936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Name],$A735)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TSP-937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Name],$A735)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TSP-959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Name],$A735)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VSP-600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Name],$A735)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VSP-822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Name],$A735)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VSP-910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Name],$A735)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VSP-990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Name],$A735)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s="5" t="inlineStr">
        <is>
          <t>合計使用量(kg)/週</t>
        </is>
      </c>
      <c r="D772">
        <f>'Grid_Requirement'!B14</f>
        <v/>
      </c>
      <c r="E772">
        <f>'Grid_Requirement'!C14</f>
        <v/>
      </c>
      <c r="F772">
        <f>'Grid_Requirement'!D14</f>
        <v/>
      </c>
      <c r="G772">
        <f>'Grid_Requirement'!E14</f>
        <v/>
      </c>
      <c r="H772">
        <f>'Grid_Requirement'!F14</f>
        <v/>
      </c>
      <c r="I772">
        <f>'Grid_Requirement'!G14</f>
        <v/>
      </c>
      <c r="J772">
        <f>'Grid_Requirement'!H14</f>
        <v/>
      </c>
      <c r="K772">
        <f>'Grid_Requirement'!I14</f>
        <v/>
      </c>
      <c r="L772">
        <f>'Grid_Requirement'!J14</f>
        <v/>
      </c>
      <c r="M772">
        <f>'Grid_Requirement'!K14</f>
        <v/>
      </c>
      <c r="N772">
        <f>'Grid_Requirement'!L14</f>
        <v/>
      </c>
      <c r="O772">
        <f>'Grid_Requirement'!M14</f>
        <v/>
      </c>
      <c r="P772">
        <f>'Grid_Requirement'!N14</f>
        <v/>
      </c>
      <c r="Q772">
        <f>'Grid_Requirement'!O14</f>
        <v/>
      </c>
      <c r="R772">
        <f>'Grid_Requirement'!P14</f>
        <v/>
      </c>
      <c r="S772">
        <f>'Grid_Requirement'!Q14</f>
        <v/>
      </c>
      <c r="T772">
        <f>'Grid_Requirement'!R14</f>
        <v/>
      </c>
      <c r="U772">
        <f>'Grid_Requirement'!S14</f>
        <v/>
      </c>
      <c r="V772">
        <f>'Grid_Requirement'!T14</f>
        <v/>
      </c>
      <c r="W772">
        <f>'Grid_Requirement'!U14</f>
        <v/>
      </c>
      <c r="X772">
        <f>'Grid_Requirement'!V14</f>
        <v/>
      </c>
      <c r="Y772">
        <f>'Grid_Requirement'!W14</f>
        <v/>
      </c>
      <c r="Z772">
        <f>'Grid_Requirement'!X14</f>
        <v/>
      </c>
      <c r="AA772">
        <f>'Grid_Requirement'!Y14</f>
        <v/>
      </c>
      <c r="AB772">
        <f>'Grid_Requirement'!Z14</f>
        <v/>
      </c>
      <c r="AC772">
        <f>'Grid_Requirement'!AA14</f>
        <v/>
      </c>
      <c r="AD772">
        <f>'Grid_Requirement'!AB14</f>
        <v/>
      </c>
      <c r="AE772">
        <f>'Grid_Requirement'!AC14</f>
        <v/>
      </c>
      <c r="AF772">
        <f>'Grid_Requirement'!AD14</f>
        <v/>
      </c>
      <c r="AG772">
        <f>'Grid_Requirement'!AE14</f>
        <v/>
      </c>
      <c r="AH772">
        <f>'Grid_Requirement'!AF14</f>
        <v/>
      </c>
      <c r="AI772">
        <f>'Grid_Requirement'!AG14</f>
        <v/>
      </c>
      <c r="AJ772">
        <f>'Grid_Requirement'!AH14</f>
        <v/>
      </c>
      <c r="AK772">
        <f>'Grid_Requirement'!AI14</f>
        <v/>
      </c>
      <c r="AL772">
        <f>'Grid_Requirement'!AJ14</f>
        <v/>
      </c>
      <c r="AM772">
        <f>'Grid_Requirement'!AK14</f>
        <v/>
      </c>
      <c r="AN772">
        <f>'Grid_Requirement'!AL14</f>
        <v/>
      </c>
      <c r="AO772">
        <f>'Grid_Requirement'!AM14</f>
        <v/>
      </c>
      <c r="AP772">
        <f>'Grid_Requirement'!AN14</f>
        <v/>
      </c>
      <c r="AQ772">
        <f>'Grid_Requirement'!AO14</f>
        <v/>
      </c>
      <c r="AR772">
        <f>'Grid_Requirement'!AP14</f>
        <v/>
      </c>
      <c r="AS772">
        <f>'Grid_Requirement'!AQ14</f>
        <v/>
      </c>
      <c r="AT772">
        <f>'Grid_Requirement'!AR14</f>
        <v/>
      </c>
      <c r="AU772">
        <f>'Grid_Requirement'!AS14</f>
        <v/>
      </c>
      <c r="AV772">
        <f>'Grid_Requirement'!AT14</f>
        <v/>
      </c>
      <c r="AW772">
        <f>'Grid_Requirement'!AU14</f>
        <v/>
      </c>
      <c r="AX772">
        <f>'Grid_Requirement'!AV14</f>
        <v/>
      </c>
      <c r="AY772">
        <f>'Grid_Requirement'!AW14</f>
        <v/>
      </c>
      <c r="AZ772">
        <f>'Grid_Requirement'!AX14</f>
        <v/>
      </c>
      <c r="BA772">
        <f>'Grid_Requirement'!AY14</f>
        <v/>
      </c>
      <c r="BB772">
        <f>'Grid_Requirement'!AZ14</f>
        <v/>
      </c>
      <c r="BC772">
        <f>'Grid_Requirement'!BA14</f>
        <v/>
      </c>
      <c r="BD772">
        <f>'Grid_Requirement'!BB14</f>
        <v/>
      </c>
      <c r="BE772">
        <f>'Grid_Requirement'!BC14</f>
        <v/>
      </c>
      <c r="BF772">
        <f>'Grid_Requirement'!BD14</f>
        <v/>
      </c>
      <c r="BG772">
        <f>'Grid_Requirement'!BE14</f>
        <v/>
      </c>
      <c r="BH772">
        <f>'Grid_Requirement'!BF14</f>
        <v/>
      </c>
      <c r="BI772">
        <f>'Grid_Requirement'!BG14</f>
        <v/>
      </c>
      <c r="BJ772">
        <f>'Grid_Requirement'!BH14</f>
        <v/>
      </c>
      <c r="BK772">
        <f>'Grid_Requirement'!BI14</f>
        <v/>
      </c>
      <c r="BL772">
        <f>'Grid_Requirement'!BJ14</f>
        <v/>
      </c>
      <c r="BM772">
        <f>'Grid_Requirement'!BK14</f>
        <v/>
      </c>
      <c r="BN772">
        <f>'Grid_Requirement'!BL14</f>
        <v/>
      </c>
      <c r="BO772">
        <f>'Grid_Requirement'!BM14</f>
        <v/>
      </c>
      <c r="BP772">
        <f>'Grid_Requirement'!BN14</f>
        <v/>
      </c>
      <c r="BQ772">
        <f>'Grid_Requirement'!BO14</f>
        <v/>
      </c>
      <c r="BR772">
        <f>'Grid_Requirement'!BP14</f>
        <v/>
      </c>
      <c r="BS772">
        <f>'Grid_Requirement'!BQ14</f>
        <v/>
      </c>
      <c r="BT772">
        <f>'Grid_Requirement'!BR14</f>
        <v/>
      </c>
      <c r="BU772">
        <f>'Grid_Requirement'!BS14</f>
        <v/>
      </c>
      <c r="BV772">
        <f>'Grid_Requirement'!BT14</f>
        <v/>
      </c>
      <c r="BW772">
        <f>'Grid_Requirement'!BU14</f>
        <v/>
      </c>
      <c r="BX772">
        <f>'Grid_Requirement'!BV14</f>
        <v/>
      </c>
      <c r="BY772">
        <f>'Grid_Requirement'!BW14</f>
        <v/>
      </c>
      <c r="BZ772">
        <f>'Grid_Requirement'!BX14</f>
        <v/>
      </c>
      <c r="CA772">
        <f>'Grid_Requirement'!BY14</f>
        <v/>
      </c>
      <c r="CB772">
        <f>'Grid_Requirement'!BZ14</f>
        <v/>
      </c>
      <c r="CC772">
        <f>'Grid_Requirement'!CA14</f>
        <v/>
      </c>
      <c r="CD772">
        <f>'Grid_Requirement'!CB14</f>
        <v/>
      </c>
      <c r="CE772">
        <f>'Grid_Requirement'!CC14</f>
        <v/>
      </c>
      <c r="CF772">
        <f>'Grid_Requirement'!CD14</f>
        <v/>
      </c>
      <c r="CG772">
        <f>'Grid_Requirement'!CE14</f>
        <v/>
      </c>
      <c r="CH772">
        <f>'Grid_Requirement'!CF14</f>
        <v/>
      </c>
      <c r="CI772">
        <f>'Grid_Requirement'!CG14</f>
        <v/>
      </c>
      <c r="CJ772">
        <f>'Grid_Requirement'!CH14</f>
        <v/>
      </c>
      <c r="CK772">
        <f>'Grid_Requirement'!CI14</f>
        <v/>
      </c>
      <c r="CL772">
        <f>'Grid_Requirement'!CJ14</f>
        <v/>
      </c>
      <c r="CM772">
        <f>'Grid_Requirement'!CK14</f>
        <v/>
      </c>
      <c r="CN772">
        <f>'Grid_Requirement'!CL14</f>
        <v/>
      </c>
      <c r="CO772">
        <f>'Grid_Requirement'!CM14</f>
        <v/>
      </c>
      <c r="CP772">
        <f>'Grid_Requirement'!CN14</f>
        <v/>
      </c>
      <c r="CQ772">
        <f>'Grid_Requirement'!CO14</f>
        <v/>
      </c>
      <c r="CR772">
        <f>'Grid_Requirement'!CP14</f>
        <v/>
      </c>
      <c r="CS772">
        <f>'Grid_Requirement'!CQ14</f>
        <v/>
      </c>
      <c r="CT772">
        <f>'Grid_Requirement'!CR14</f>
        <v/>
      </c>
      <c r="CU772">
        <f>'Grid_Requirement'!CS14</f>
        <v/>
      </c>
      <c r="CV772">
        <f>'Grid_Requirement'!CT14</f>
        <v/>
      </c>
      <c r="CW772">
        <f>'Grid_Requirement'!CU14</f>
        <v/>
      </c>
      <c r="CX772">
        <f>'Grid_Requirement'!CV14</f>
        <v/>
      </c>
      <c r="CY772">
        <f>'Grid_Requirement'!CW14</f>
        <v/>
      </c>
      <c r="CZ772">
        <f>'Grid_Requirement'!CX14</f>
        <v/>
      </c>
      <c r="DA772">
        <f>'Grid_Requirement'!CY14</f>
        <v/>
      </c>
      <c r="DB772">
        <f>'Grid_Requirement'!CZ14</f>
        <v/>
      </c>
      <c r="DC772">
        <f>'Grid_Requirement'!DA14</f>
        <v/>
      </c>
    </row>
    <row r="773">
      <c r="B773" t="inlineStr">
        <is>
          <t>TTAF在庫(実績,kg)</t>
        </is>
      </c>
      <c r="D773">
        <f>'T_TTAFStock'!B18</f>
        <v/>
      </c>
      <c r="E773">
        <f>'T_TTAFStock'!C18</f>
        <v/>
      </c>
      <c r="F773">
        <f>'T_TTAFStock'!D18</f>
        <v/>
      </c>
      <c r="G773">
        <f>'T_TTAFStock'!E18</f>
        <v/>
      </c>
      <c r="H773">
        <f>'T_TTAFStock'!F18</f>
        <v/>
      </c>
      <c r="I773">
        <f>'T_TTAFStock'!G18</f>
        <v/>
      </c>
      <c r="J773">
        <f>'T_TTAFStock'!H18</f>
        <v/>
      </c>
      <c r="K773">
        <f>'T_TTAFStock'!I18</f>
        <v/>
      </c>
      <c r="L773">
        <f>'T_TTAFStock'!J18</f>
        <v/>
      </c>
      <c r="M773">
        <f>'T_TTAFStock'!K18</f>
        <v/>
      </c>
      <c r="N773">
        <f>'T_TTAFStock'!L18</f>
        <v/>
      </c>
      <c r="O773">
        <f>'T_TTAFStock'!M18</f>
        <v/>
      </c>
      <c r="P773">
        <f>'T_TTAFStock'!N18</f>
        <v/>
      </c>
      <c r="Q773">
        <f>'T_TTAFStock'!O18</f>
        <v/>
      </c>
      <c r="R773">
        <f>'T_TTAFStock'!P18</f>
        <v/>
      </c>
      <c r="S773">
        <f>'T_TTAFStock'!Q18</f>
        <v/>
      </c>
      <c r="T773">
        <f>'T_TTAFStock'!R18</f>
        <v/>
      </c>
      <c r="U773">
        <f>'T_TTAFStock'!S18</f>
        <v/>
      </c>
      <c r="V773">
        <f>'T_TTAFStock'!T18</f>
        <v/>
      </c>
      <c r="W773">
        <f>'T_TTAFStock'!U18</f>
        <v/>
      </c>
      <c r="X773">
        <f>'T_TTAFStock'!V18</f>
        <v/>
      </c>
      <c r="Y773">
        <f>'T_TTAFStock'!W18</f>
        <v/>
      </c>
      <c r="Z773">
        <f>'T_TTAFStock'!X18</f>
        <v/>
      </c>
      <c r="AA773">
        <f>'T_TTAFStock'!Y18</f>
        <v/>
      </c>
      <c r="AB773">
        <f>'T_TTAFStock'!Z18</f>
        <v/>
      </c>
      <c r="AC773">
        <f>'T_TTAFStock'!AA18</f>
        <v/>
      </c>
      <c r="AD773">
        <f>'T_TTAFStock'!AB18</f>
        <v/>
      </c>
      <c r="AE773">
        <f>'T_TTAFStock'!AC18</f>
        <v/>
      </c>
      <c r="AF773">
        <f>'T_TTAFStock'!AD18</f>
        <v/>
      </c>
      <c r="AG773">
        <f>'T_TTAFStock'!AE18</f>
        <v/>
      </c>
      <c r="AH773">
        <f>'T_TTAFStock'!AF18</f>
        <v/>
      </c>
      <c r="AI773">
        <f>'T_TTAFStock'!AG18</f>
        <v/>
      </c>
      <c r="AJ773">
        <f>'T_TTAFStock'!AH18</f>
        <v/>
      </c>
      <c r="AK773">
        <f>'T_TTAFStock'!AI18</f>
        <v/>
      </c>
      <c r="AL773">
        <f>'T_TTAFStock'!AJ18</f>
        <v/>
      </c>
      <c r="AM773">
        <f>'T_TTAFStock'!AK18</f>
        <v/>
      </c>
      <c r="AN773">
        <f>'T_TTAFStock'!AL18</f>
        <v/>
      </c>
      <c r="AO773">
        <f>'T_TTAFStock'!AM18</f>
        <v/>
      </c>
      <c r="AP773">
        <f>'T_TTAFStock'!AN18</f>
        <v/>
      </c>
      <c r="AQ773">
        <f>'T_TTAFStock'!AO18</f>
        <v/>
      </c>
      <c r="AR773">
        <f>'T_TTAFStock'!AP18</f>
        <v/>
      </c>
      <c r="AS773">
        <f>'T_TTAFStock'!AQ18</f>
        <v/>
      </c>
      <c r="AT773">
        <f>'T_TTAFStock'!AR18</f>
        <v/>
      </c>
      <c r="AU773">
        <f>'T_TTAFStock'!AS18</f>
        <v/>
      </c>
      <c r="AV773">
        <f>'T_TTAFStock'!AT18</f>
        <v/>
      </c>
      <c r="AW773">
        <f>'T_TTAFStock'!AU18</f>
        <v/>
      </c>
      <c r="AX773">
        <f>'T_TTAFStock'!AV18</f>
        <v/>
      </c>
      <c r="AY773">
        <f>'T_TTAFStock'!AW18</f>
        <v/>
      </c>
      <c r="AZ773">
        <f>'T_TTAFStock'!AX18</f>
        <v/>
      </c>
      <c r="BA773">
        <f>'T_TTAFStock'!AY18</f>
        <v/>
      </c>
      <c r="BB773">
        <f>'T_TTAFStock'!AZ18</f>
        <v/>
      </c>
      <c r="BC773">
        <f>'T_TTAFStock'!BA18</f>
        <v/>
      </c>
      <c r="BD773">
        <f>'T_TTAFStock'!BB18</f>
        <v/>
      </c>
      <c r="BE773">
        <f>'T_TTAFStock'!BC18</f>
        <v/>
      </c>
      <c r="BF773">
        <f>'T_TTAFStock'!BD18</f>
        <v/>
      </c>
      <c r="BG773">
        <f>'T_TTAFStock'!BE18</f>
        <v/>
      </c>
      <c r="BH773">
        <f>'T_TTAFStock'!BF18</f>
        <v/>
      </c>
      <c r="BI773">
        <f>'T_TTAFStock'!BG18</f>
        <v/>
      </c>
      <c r="BJ773">
        <f>'T_TTAFStock'!BH18</f>
        <v/>
      </c>
      <c r="BK773">
        <f>'T_TTAFStock'!BI18</f>
        <v/>
      </c>
      <c r="BL773">
        <f>'T_TTAFStock'!BJ18</f>
        <v/>
      </c>
      <c r="BM773">
        <f>'T_TTAFStock'!BK18</f>
        <v/>
      </c>
      <c r="BN773">
        <f>'T_TTAFStock'!BL18</f>
        <v/>
      </c>
      <c r="BO773">
        <f>'T_TTAFStock'!BM18</f>
        <v/>
      </c>
      <c r="BP773">
        <f>'T_TTAFStock'!BN18</f>
        <v/>
      </c>
      <c r="BQ773">
        <f>'T_TTAFStock'!BO18</f>
        <v/>
      </c>
      <c r="BR773">
        <f>'T_TTAFStock'!BP18</f>
        <v/>
      </c>
      <c r="BS773">
        <f>'T_TTAFStock'!BQ18</f>
        <v/>
      </c>
      <c r="BT773">
        <f>'T_TTAFStock'!BR18</f>
        <v/>
      </c>
      <c r="BU773">
        <f>'T_TTAFStock'!BS18</f>
        <v/>
      </c>
      <c r="BV773">
        <f>'T_TTAFStock'!BT18</f>
        <v/>
      </c>
      <c r="BW773">
        <f>'T_TTAFStock'!BU18</f>
        <v/>
      </c>
      <c r="BX773">
        <f>'T_TTAFStock'!BV18</f>
        <v/>
      </c>
      <c r="BY773">
        <f>'T_TTAFStock'!BW18</f>
        <v/>
      </c>
      <c r="BZ773">
        <f>'T_TTAFStock'!BX18</f>
        <v/>
      </c>
      <c r="CA773">
        <f>'T_TTAFStock'!BY18</f>
        <v/>
      </c>
      <c r="CB773">
        <f>'T_TTAFStock'!BZ18</f>
        <v/>
      </c>
      <c r="CC773">
        <f>'T_TTAFStock'!CA18</f>
        <v/>
      </c>
      <c r="CD773">
        <f>'T_TTAFStock'!CB18</f>
        <v/>
      </c>
      <c r="CE773">
        <f>'T_TTAFStock'!CC18</f>
        <v/>
      </c>
      <c r="CF773">
        <f>'T_TTAFStock'!CD18</f>
        <v/>
      </c>
      <c r="CG773">
        <f>'T_TTAFStock'!CE18</f>
        <v/>
      </c>
      <c r="CH773">
        <f>'T_TTAFStock'!CF18</f>
        <v/>
      </c>
      <c r="CI773">
        <f>'T_TTAFStock'!CG18</f>
        <v/>
      </c>
      <c r="CJ773">
        <f>'T_TTAFStock'!CH18</f>
        <v/>
      </c>
      <c r="CK773">
        <f>'T_TTAFStock'!CI18</f>
        <v/>
      </c>
      <c r="CL773">
        <f>'T_TTAFStock'!CJ18</f>
        <v/>
      </c>
      <c r="CM773">
        <f>'T_TTAFStock'!CK18</f>
        <v/>
      </c>
      <c r="CN773">
        <f>'T_TTAFStock'!CL18</f>
        <v/>
      </c>
      <c r="CO773">
        <f>'T_TTAFStock'!CM18</f>
        <v/>
      </c>
      <c r="CP773">
        <f>'T_TTAFStock'!CN18</f>
        <v/>
      </c>
      <c r="CQ773">
        <f>'T_TTAFStock'!CO18</f>
        <v/>
      </c>
      <c r="CR773">
        <f>'T_TTAFStock'!CP18</f>
        <v/>
      </c>
      <c r="CS773">
        <f>'T_TTAFStock'!CQ18</f>
        <v/>
      </c>
      <c r="CT773">
        <f>'T_TTAFStock'!CR18</f>
        <v/>
      </c>
      <c r="CU773">
        <f>'T_TTAFStock'!CS18</f>
        <v/>
      </c>
      <c r="CV773">
        <f>'T_TTAFStock'!CT18</f>
        <v/>
      </c>
      <c r="CW773">
        <f>'T_TTAFStock'!CU18</f>
        <v/>
      </c>
      <c r="CX773">
        <f>'T_TTAFStock'!CV18</f>
        <v/>
      </c>
      <c r="CY773">
        <f>'T_TTAFStock'!CW18</f>
        <v/>
      </c>
      <c r="CZ773">
        <f>'T_TTAFStock'!CX18</f>
        <v/>
      </c>
      <c r="DA773">
        <f>'T_TTAFStock'!CY18</f>
        <v/>
      </c>
      <c r="DB773">
        <f>'T_TTAFStock'!CZ18</f>
        <v/>
      </c>
      <c r="DC773">
        <f>'T_TTAFStock'!DA18</f>
        <v/>
      </c>
    </row>
    <row r="774">
      <c r="B774" t="inlineStr">
        <is>
          <t>自社在庫(実績,kg)</t>
        </is>
      </c>
      <c r="D774">
        <f>'T_SelfStock'!B18</f>
        <v/>
      </c>
      <c r="E774">
        <f>'T_SelfStock'!C18</f>
        <v/>
      </c>
      <c r="F774">
        <f>'T_SelfStock'!D18</f>
        <v/>
      </c>
      <c r="G774">
        <f>'T_SelfStock'!E18</f>
        <v/>
      </c>
      <c r="H774">
        <f>'T_SelfStock'!F18</f>
        <v/>
      </c>
      <c r="I774">
        <f>'T_SelfStock'!G18</f>
        <v/>
      </c>
      <c r="J774">
        <f>'T_SelfStock'!H18</f>
        <v/>
      </c>
      <c r="K774">
        <f>'T_SelfStock'!I18</f>
        <v/>
      </c>
      <c r="L774">
        <f>'T_SelfStock'!J18</f>
        <v/>
      </c>
      <c r="M774">
        <f>'T_SelfStock'!K18</f>
        <v/>
      </c>
      <c r="N774">
        <f>'T_SelfStock'!L18</f>
        <v/>
      </c>
      <c r="O774">
        <f>'T_SelfStock'!M18</f>
        <v/>
      </c>
      <c r="P774">
        <f>'T_SelfStock'!N18</f>
        <v/>
      </c>
      <c r="Q774">
        <f>'T_SelfStock'!O18</f>
        <v/>
      </c>
      <c r="R774">
        <f>'T_SelfStock'!P18</f>
        <v/>
      </c>
      <c r="S774">
        <f>'T_SelfStock'!Q18</f>
        <v/>
      </c>
      <c r="T774">
        <f>'T_SelfStock'!R18</f>
        <v/>
      </c>
      <c r="U774">
        <f>'T_SelfStock'!S18</f>
        <v/>
      </c>
      <c r="V774">
        <f>'T_SelfStock'!T18</f>
        <v/>
      </c>
      <c r="W774">
        <f>'T_SelfStock'!U18</f>
        <v/>
      </c>
      <c r="X774">
        <f>'T_SelfStock'!V18</f>
        <v/>
      </c>
      <c r="Y774">
        <f>'T_SelfStock'!W18</f>
        <v/>
      </c>
      <c r="Z774">
        <f>'T_SelfStock'!X18</f>
        <v/>
      </c>
      <c r="AA774">
        <f>'T_SelfStock'!Y18</f>
        <v/>
      </c>
      <c r="AB774">
        <f>'T_SelfStock'!Z18</f>
        <v/>
      </c>
      <c r="AC774">
        <f>'T_SelfStock'!AA18</f>
        <v/>
      </c>
      <c r="AD774">
        <f>'T_SelfStock'!AB18</f>
        <v/>
      </c>
      <c r="AE774">
        <f>'T_SelfStock'!AC18</f>
        <v/>
      </c>
      <c r="AF774">
        <f>'T_SelfStock'!AD18</f>
        <v/>
      </c>
      <c r="AG774">
        <f>'T_SelfStock'!AE18</f>
        <v/>
      </c>
      <c r="AH774">
        <f>'T_SelfStock'!AF18</f>
        <v/>
      </c>
      <c r="AI774">
        <f>'T_SelfStock'!AG18</f>
        <v/>
      </c>
      <c r="AJ774">
        <f>'T_SelfStock'!AH18</f>
        <v/>
      </c>
      <c r="AK774">
        <f>'T_SelfStock'!AI18</f>
        <v/>
      </c>
      <c r="AL774">
        <f>'T_SelfStock'!AJ18</f>
        <v/>
      </c>
      <c r="AM774">
        <f>'T_SelfStock'!AK18</f>
        <v/>
      </c>
      <c r="AN774">
        <f>'T_SelfStock'!AL18</f>
        <v/>
      </c>
      <c r="AO774">
        <f>'T_SelfStock'!AM18</f>
        <v/>
      </c>
      <c r="AP774">
        <f>'T_SelfStock'!AN18</f>
        <v/>
      </c>
      <c r="AQ774">
        <f>'T_SelfStock'!AO18</f>
        <v/>
      </c>
      <c r="AR774">
        <f>'T_SelfStock'!AP18</f>
        <v/>
      </c>
      <c r="AS774">
        <f>'T_SelfStock'!AQ18</f>
        <v/>
      </c>
      <c r="AT774">
        <f>'T_SelfStock'!AR18</f>
        <v/>
      </c>
      <c r="AU774">
        <f>'T_SelfStock'!AS18</f>
        <v/>
      </c>
      <c r="AV774">
        <f>'T_SelfStock'!AT18</f>
        <v/>
      </c>
      <c r="AW774">
        <f>'T_SelfStock'!AU18</f>
        <v/>
      </c>
      <c r="AX774">
        <f>'T_SelfStock'!AV18</f>
        <v/>
      </c>
      <c r="AY774">
        <f>'T_SelfStock'!AW18</f>
        <v/>
      </c>
      <c r="AZ774">
        <f>'T_SelfStock'!AX18</f>
        <v/>
      </c>
      <c r="BA774">
        <f>'T_SelfStock'!AY18</f>
        <v/>
      </c>
      <c r="BB774">
        <f>'T_SelfStock'!AZ18</f>
        <v/>
      </c>
      <c r="BC774">
        <f>'T_SelfStock'!BA18</f>
        <v/>
      </c>
      <c r="BD774">
        <f>'T_SelfStock'!BB18</f>
        <v/>
      </c>
      <c r="BE774">
        <f>'T_SelfStock'!BC18</f>
        <v/>
      </c>
      <c r="BF774">
        <f>'T_SelfStock'!BD18</f>
        <v/>
      </c>
      <c r="BG774">
        <f>'T_SelfStock'!BE18</f>
        <v/>
      </c>
      <c r="BH774">
        <f>'T_SelfStock'!BF18</f>
        <v/>
      </c>
      <c r="BI774">
        <f>'T_SelfStock'!BG18</f>
        <v/>
      </c>
      <c r="BJ774">
        <f>'T_SelfStock'!BH18</f>
        <v/>
      </c>
      <c r="BK774">
        <f>'T_SelfStock'!BI18</f>
        <v/>
      </c>
      <c r="BL774">
        <f>'T_SelfStock'!BJ18</f>
        <v/>
      </c>
      <c r="BM774">
        <f>'T_SelfStock'!BK18</f>
        <v/>
      </c>
      <c r="BN774">
        <f>'T_SelfStock'!BL18</f>
        <v/>
      </c>
      <c r="BO774">
        <f>'T_SelfStock'!BM18</f>
        <v/>
      </c>
      <c r="BP774">
        <f>'T_SelfStock'!BN18</f>
        <v/>
      </c>
      <c r="BQ774">
        <f>'T_SelfStock'!BO18</f>
        <v/>
      </c>
      <c r="BR774">
        <f>'T_SelfStock'!BP18</f>
        <v/>
      </c>
      <c r="BS774">
        <f>'T_SelfStock'!BQ18</f>
        <v/>
      </c>
      <c r="BT774">
        <f>'T_SelfStock'!BR18</f>
        <v/>
      </c>
      <c r="BU774">
        <f>'T_SelfStock'!BS18</f>
        <v/>
      </c>
      <c r="BV774">
        <f>'T_SelfStock'!BT18</f>
        <v/>
      </c>
      <c r="BW774">
        <f>'T_SelfStock'!BU18</f>
        <v/>
      </c>
      <c r="BX774">
        <f>'T_SelfStock'!BV18</f>
        <v/>
      </c>
      <c r="BY774">
        <f>'T_SelfStock'!BW18</f>
        <v/>
      </c>
      <c r="BZ774">
        <f>'T_SelfStock'!BX18</f>
        <v/>
      </c>
      <c r="CA774">
        <f>'T_SelfStock'!BY18</f>
        <v/>
      </c>
      <c r="CB774">
        <f>'T_SelfStock'!BZ18</f>
        <v/>
      </c>
      <c r="CC774">
        <f>'T_SelfStock'!CA18</f>
        <v/>
      </c>
      <c r="CD774">
        <f>'T_SelfStock'!CB18</f>
        <v/>
      </c>
      <c r="CE774">
        <f>'T_SelfStock'!CC18</f>
        <v/>
      </c>
      <c r="CF774">
        <f>'T_SelfStock'!CD18</f>
        <v/>
      </c>
      <c r="CG774">
        <f>'T_SelfStock'!CE18</f>
        <v/>
      </c>
      <c r="CH774">
        <f>'T_SelfStock'!CF18</f>
        <v/>
      </c>
      <c r="CI774">
        <f>'T_SelfStock'!CG18</f>
        <v/>
      </c>
      <c r="CJ774">
        <f>'T_SelfStock'!CH18</f>
        <v/>
      </c>
      <c r="CK774">
        <f>'T_SelfStock'!CI18</f>
        <v/>
      </c>
      <c r="CL774">
        <f>'T_SelfStock'!CJ18</f>
        <v/>
      </c>
      <c r="CM774">
        <f>'T_SelfStock'!CK18</f>
        <v/>
      </c>
      <c r="CN774">
        <f>'T_SelfStock'!CL18</f>
        <v/>
      </c>
      <c r="CO774">
        <f>'T_SelfStock'!CM18</f>
        <v/>
      </c>
      <c r="CP774">
        <f>'T_SelfStock'!CN18</f>
        <v/>
      </c>
      <c r="CQ774">
        <f>'T_SelfStock'!CO18</f>
        <v/>
      </c>
      <c r="CR774">
        <f>'T_SelfStock'!CP18</f>
        <v/>
      </c>
      <c r="CS774">
        <f>'T_SelfStock'!CQ18</f>
        <v/>
      </c>
      <c r="CT774">
        <f>'T_SelfStock'!CR18</f>
        <v/>
      </c>
      <c r="CU774">
        <f>'T_SelfStock'!CS18</f>
        <v/>
      </c>
      <c r="CV774">
        <f>'T_SelfStock'!CT18</f>
        <v/>
      </c>
      <c r="CW774">
        <f>'T_SelfStock'!CU18</f>
        <v/>
      </c>
      <c r="CX774">
        <f>'T_SelfStock'!CV18</f>
        <v/>
      </c>
      <c r="CY774">
        <f>'T_SelfStock'!CW18</f>
        <v/>
      </c>
      <c r="CZ774">
        <f>'T_SelfStock'!CX18</f>
        <v/>
      </c>
      <c r="DA774">
        <f>'T_SelfStock'!CY18</f>
        <v/>
      </c>
      <c r="DB774">
        <f>'T_SelfStock'!CZ18</f>
        <v/>
      </c>
      <c r="DC774">
        <f>'T_SelfStock'!DA18</f>
        <v/>
      </c>
    </row>
    <row r="775">
      <c r="B775" t="inlineStr">
        <is>
          <t>Order(発注予定,kg)</t>
        </is>
      </c>
      <c r="D775">
        <f>IF(SUMIFS(T_PlannedOrders[EffectiveQty],T_PlannedOrders[Part Name],$A735,T_PlannedOrders[WeekIndex],1)=0,"",SUMIFS(T_PlannedOrders[EffectiveQty],T_PlannedOrders[Part Name],$A735,T_PlannedOrders[WeekIndex],1)&amp;" ("&amp;TEXT(SUMPRODUCT(MAX((T_PlannedOrders[Part Name]=$A735)*(T_PlannedOrders[WeekIndex]=1)*(T_PlannedOrders[EffectiveQty]&gt;0)*T_PlannedOrders[Order_Month])),"m月")&amp;"発注)")</f>
        <v/>
      </c>
      <c r="E775">
        <f>IF(SUMIFS(T_PlannedOrders[EffectiveQty],T_PlannedOrders[Part Name],$A735,T_PlannedOrders[WeekIndex],2)=0,"",SUMIFS(T_PlannedOrders[EffectiveQty],T_PlannedOrders[Part Name],$A735,T_PlannedOrders[WeekIndex],2)&amp;" ("&amp;TEXT(SUMPRODUCT(MAX((T_PlannedOrders[Part Name]=$A735)*(T_PlannedOrders[WeekIndex]=2)*(T_PlannedOrders[EffectiveQty]&gt;0)*T_PlannedOrders[Order_Month])),"m月")&amp;"発注)")</f>
        <v/>
      </c>
      <c r="F775">
        <f>IF(SUMIFS(T_PlannedOrders[EffectiveQty],T_PlannedOrders[Part Name],$A735,T_PlannedOrders[WeekIndex],3)=0,"",SUMIFS(T_PlannedOrders[EffectiveQty],T_PlannedOrders[Part Name],$A735,T_PlannedOrders[WeekIndex],3)&amp;" ("&amp;TEXT(SUMPRODUCT(MAX((T_PlannedOrders[Part Name]=$A735)*(T_PlannedOrders[WeekIndex]=3)*(T_PlannedOrders[EffectiveQty]&gt;0)*T_PlannedOrders[Order_Month])),"m月")&amp;"発注)")</f>
        <v/>
      </c>
      <c r="G775">
        <f>IF(SUMIFS(T_PlannedOrders[EffectiveQty],T_PlannedOrders[Part Name],$A735,T_PlannedOrders[WeekIndex],4)=0,"",SUMIFS(T_PlannedOrders[EffectiveQty],T_PlannedOrders[Part Name],$A735,T_PlannedOrders[WeekIndex],4)&amp;" ("&amp;TEXT(SUMPRODUCT(MAX((T_PlannedOrders[Part Name]=$A735)*(T_PlannedOrders[WeekIndex]=4)*(T_PlannedOrders[EffectiveQty]&gt;0)*T_PlannedOrders[Order_Month])),"m月")&amp;"発注)")</f>
        <v/>
      </c>
      <c r="H775">
        <f>IF(SUMIFS(T_PlannedOrders[EffectiveQty],T_PlannedOrders[Part Name],$A735,T_PlannedOrders[WeekIndex],5)=0,"",SUMIFS(T_PlannedOrders[EffectiveQty],T_PlannedOrders[Part Name],$A735,T_PlannedOrders[WeekIndex],5)&amp;" ("&amp;TEXT(SUMPRODUCT(MAX((T_PlannedOrders[Part Name]=$A735)*(T_PlannedOrders[WeekIndex]=5)*(T_PlannedOrders[EffectiveQty]&gt;0)*T_PlannedOrders[Order_Month])),"m月")&amp;"発注)")</f>
        <v/>
      </c>
      <c r="I775">
        <f>IF(SUMIFS(T_PlannedOrders[EffectiveQty],T_PlannedOrders[Part Name],$A735,T_PlannedOrders[WeekIndex],6)=0,"",SUMIFS(T_PlannedOrders[EffectiveQty],T_PlannedOrders[Part Name],$A735,T_PlannedOrders[WeekIndex],6)&amp;" ("&amp;TEXT(SUMPRODUCT(MAX((T_PlannedOrders[Part Name]=$A735)*(T_PlannedOrders[WeekIndex]=6)*(T_PlannedOrders[EffectiveQty]&gt;0)*T_PlannedOrders[Order_Month])),"m月")&amp;"発注)")</f>
        <v/>
      </c>
      <c r="J775">
        <f>IF(SUMIFS(T_PlannedOrders[EffectiveQty],T_PlannedOrders[Part Name],$A735,T_PlannedOrders[WeekIndex],7)=0,"",SUMIFS(T_PlannedOrders[EffectiveQty],T_PlannedOrders[Part Name],$A735,T_PlannedOrders[WeekIndex],7)&amp;" ("&amp;TEXT(SUMPRODUCT(MAX((T_PlannedOrders[Part Name]=$A735)*(T_PlannedOrders[WeekIndex]=7)*(T_PlannedOrders[EffectiveQty]&gt;0)*T_PlannedOrders[Order_Month])),"m月")&amp;"発注)")</f>
        <v/>
      </c>
      <c r="K775">
        <f>IF(SUMIFS(T_PlannedOrders[EffectiveQty],T_PlannedOrders[Part Name],$A735,T_PlannedOrders[WeekIndex],8)=0,"",SUMIFS(T_PlannedOrders[EffectiveQty],T_PlannedOrders[Part Name],$A735,T_PlannedOrders[WeekIndex],8)&amp;" ("&amp;TEXT(SUMPRODUCT(MAX((T_PlannedOrders[Part Name]=$A735)*(T_PlannedOrders[WeekIndex]=8)*(T_PlannedOrders[EffectiveQty]&gt;0)*T_PlannedOrders[Order_Month])),"m月")&amp;"発注)")</f>
        <v/>
      </c>
      <c r="L775">
        <f>IF(SUMIFS(T_PlannedOrders[EffectiveQty],T_PlannedOrders[Part Name],$A735,T_PlannedOrders[WeekIndex],9)=0,"",SUMIFS(T_PlannedOrders[EffectiveQty],T_PlannedOrders[Part Name],$A735,T_PlannedOrders[WeekIndex],9)&amp;" ("&amp;TEXT(SUMPRODUCT(MAX((T_PlannedOrders[Part Name]=$A735)*(T_PlannedOrders[WeekIndex]=9)*(T_PlannedOrders[EffectiveQty]&gt;0)*T_PlannedOrders[Order_Month])),"m月")&amp;"発注)")</f>
        <v/>
      </c>
      <c r="M775">
        <f>IF(SUMIFS(T_PlannedOrders[EffectiveQty],T_PlannedOrders[Part Name],$A735,T_PlannedOrders[WeekIndex],10)=0,"",SUMIFS(T_PlannedOrders[EffectiveQty],T_PlannedOrders[Part Name],$A735,T_PlannedOrders[WeekIndex],10)&amp;" ("&amp;TEXT(SUMPRODUCT(MAX((T_PlannedOrders[Part Name]=$A735)*(T_PlannedOrders[WeekIndex]=10)*(T_PlannedOrders[EffectiveQty]&gt;0)*T_PlannedOrders[Order_Month])),"m月")&amp;"発注)")</f>
        <v/>
      </c>
      <c r="N775">
        <f>IF(SUMIFS(T_PlannedOrders[EffectiveQty],T_PlannedOrders[Part Name],$A735,T_PlannedOrders[WeekIndex],11)=0,"",SUMIFS(T_PlannedOrders[EffectiveQty],T_PlannedOrders[Part Name],$A735,T_PlannedOrders[WeekIndex],11)&amp;" ("&amp;TEXT(SUMPRODUCT(MAX((T_PlannedOrders[Part Name]=$A735)*(T_PlannedOrders[WeekIndex]=11)*(T_PlannedOrders[EffectiveQty]&gt;0)*T_PlannedOrders[Order_Month])),"m月")&amp;"発注)")</f>
        <v/>
      </c>
      <c r="O775">
        <f>IF(SUMIFS(T_PlannedOrders[EffectiveQty],T_PlannedOrders[Part Name],$A735,T_PlannedOrders[WeekIndex],12)=0,"",SUMIFS(T_PlannedOrders[EffectiveQty],T_PlannedOrders[Part Name],$A735,T_PlannedOrders[WeekIndex],12)&amp;" ("&amp;TEXT(SUMPRODUCT(MAX((T_PlannedOrders[Part Name]=$A735)*(T_PlannedOrders[WeekIndex]=12)*(T_PlannedOrders[EffectiveQty]&gt;0)*T_PlannedOrders[Order_Month])),"m月")&amp;"発注)")</f>
        <v/>
      </c>
      <c r="P775">
        <f>IF(SUMIFS(T_PlannedOrders[EffectiveQty],T_PlannedOrders[Part Name],$A735,T_PlannedOrders[WeekIndex],13)=0,"",SUMIFS(T_PlannedOrders[EffectiveQty],T_PlannedOrders[Part Name],$A735,T_PlannedOrders[WeekIndex],13)&amp;" ("&amp;TEXT(SUMPRODUCT(MAX((T_PlannedOrders[Part Name]=$A735)*(T_PlannedOrders[WeekIndex]=13)*(T_PlannedOrders[EffectiveQty]&gt;0)*T_PlannedOrders[Order_Month])),"m月")&amp;"発注)")</f>
        <v/>
      </c>
      <c r="Q775">
        <f>IF(SUMIFS(T_PlannedOrders[EffectiveQty],T_PlannedOrders[Part Name],$A735,T_PlannedOrders[WeekIndex],14)=0,"",SUMIFS(T_PlannedOrders[EffectiveQty],T_PlannedOrders[Part Name],$A735,T_PlannedOrders[WeekIndex],14)&amp;" ("&amp;TEXT(SUMPRODUCT(MAX((T_PlannedOrders[Part Name]=$A735)*(T_PlannedOrders[WeekIndex]=14)*(T_PlannedOrders[EffectiveQty]&gt;0)*T_PlannedOrders[Order_Month])),"m月")&amp;"発注)")</f>
        <v/>
      </c>
      <c r="R775">
        <f>IF(SUMIFS(T_PlannedOrders[EffectiveQty],T_PlannedOrders[Part Name],$A735,T_PlannedOrders[WeekIndex],15)=0,"",SUMIFS(T_PlannedOrders[EffectiveQty],T_PlannedOrders[Part Name],$A735,T_PlannedOrders[WeekIndex],15)&amp;" ("&amp;TEXT(SUMPRODUCT(MAX((T_PlannedOrders[Part Name]=$A735)*(T_PlannedOrders[WeekIndex]=15)*(T_PlannedOrders[EffectiveQty]&gt;0)*T_PlannedOrders[Order_Month])),"m月")&amp;"発注)")</f>
        <v/>
      </c>
      <c r="S775">
        <f>IF(SUMIFS(T_PlannedOrders[EffectiveQty],T_PlannedOrders[Part Name],$A735,T_PlannedOrders[WeekIndex],16)=0,"",SUMIFS(T_PlannedOrders[EffectiveQty],T_PlannedOrders[Part Name],$A735,T_PlannedOrders[WeekIndex],16)&amp;" ("&amp;TEXT(SUMPRODUCT(MAX((T_PlannedOrders[Part Name]=$A735)*(T_PlannedOrders[WeekIndex]=16)*(T_PlannedOrders[EffectiveQty]&gt;0)*T_PlannedOrders[Order_Month])),"m月")&amp;"発注)")</f>
        <v/>
      </c>
      <c r="T775">
        <f>IF(SUMIFS(T_PlannedOrders[EffectiveQty],T_PlannedOrders[Part Name],$A735,T_PlannedOrders[WeekIndex],17)=0,"",SUMIFS(T_PlannedOrders[EffectiveQty],T_PlannedOrders[Part Name],$A735,T_PlannedOrders[WeekIndex],17)&amp;" ("&amp;TEXT(SUMPRODUCT(MAX((T_PlannedOrders[Part Name]=$A735)*(T_PlannedOrders[WeekIndex]=17)*(T_PlannedOrders[EffectiveQty]&gt;0)*T_PlannedOrders[Order_Month])),"m月")&amp;"発注)")</f>
        <v/>
      </c>
      <c r="U775">
        <f>IF(SUMIFS(T_PlannedOrders[EffectiveQty],T_PlannedOrders[Part Name],$A735,T_PlannedOrders[WeekIndex],18)=0,"",SUMIFS(T_PlannedOrders[EffectiveQty],T_PlannedOrders[Part Name],$A735,T_PlannedOrders[WeekIndex],18)&amp;" ("&amp;TEXT(SUMPRODUCT(MAX((T_PlannedOrders[Part Name]=$A735)*(T_PlannedOrders[WeekIndex]=18)*(T_PlannedOrders[EffectiveQty]&gt;0)*T_PlannedOrders[Order_Month])),"m月")&amp;"発注)")</f>
        <v/>
      </c>
      <c r="V775">
        <f>IF(SUMIFS(T_PlannedOrders[EffectiveQty],T_PlannedOrders[Part Name],$A735,T_PlannedOrders[WeekIndex],19)=0,"",SUMIFS(T_PlannedOrders[EffectiveQty],T_PlannedOrders[Part Name],$A735,T_PlannedOrders[WeekIndex],19)&amp;" ("&amp;TEXT(SUMPRODUCT(MAX((T_PlannedOrders[Part Name]=$A735)*(T_PlannedOrders[WeekIndex]=19)*(T_PlannedOrders[EffectiveQty]&gt;0)*T_PlannedOrders[Order_Month])),"m月")&amp;"発注)")</f>
        <v/>
      </c>
      <c r="W775">
        <f>IF(SUMIFS(T_PlannedOrders[EffectiveQty],T_PlannedOrders[Part Name],$A735,T_PlannedOrders[WeekIndex],20)=0,"",SUMIFS(T_PlannedOrders[EffectiveQty],T_PlannedOrders[Part Name],$A735,T_PlannedOrders[WeekIndex],20)&amp;" ("&amp;TEXT(SUMPRODUCT(MAX((T_PlannedOrders[Part Name]=$A735)*(T_PlannedOrders[WeekIndex]=20)*(T_PlannedOrders[EffectiveQty]&gt;0)*T_PlannedOrders[Order_Month])),"m月")&amp;"発注)")</f>
        <v/>
      </c>
      <c r="X775">
        <f>IF(SUMIFS(T_PlannedOrders[EffectiveQty],T_PlannedOrders[Part Name],$A735,T_PlannedOrders[WeekIndex],21)=0,"",SUMIFS(T_PlannedOrders[EffectiveQty],T_PlannedOrders[Part Name],$A735,T_PlannedOrders[WeekIndex],21)&amp;" ("&amp;TEXT(SUMPRODUCT(MAX((T_PlannedOrders[Part Name]=$A735)*(T_PlannedOrders[WeekIndex]=21)*(T_PlannedOrders[EffectiveQty]&gt;0)*T_PlannedOrders[Order_Month])),"m月")&amp;"発注)")</f>
        <v/>
      </c>
      <c r="Y775">
        <f>IF(SUMIFS(T_PlannedOrders[EffectiveQty],T_PlannedOrders[Part Name],$A735,T_PlannedOrders[WeekIndex],22)=0,"",SUMIFS(T_PlannedOrders[EffectiveQty],T_PlannedOrders[Part Name],$A735,T_PlannedOrders[WeekIndex],22)&amp;" ("&amp;TEXT(SUMPRODUCT(MAX((T_PlannedOrders[Part Name]=$A735)*(T_PlannedOrders[WeekIndex]=22)*(T_PlannedOrders[EffectiveQty]&gt;0)*T_PlannedOrders[Order_Month])),"m月")&amp;"発注)")</f>
        <v/>
      </c>
      <c r="Z775">
        <f>IF(SUMIFS(T_PlannedOrders[EffectiveQty],T_PlannedOrders[Part Name],$A735,T_PlannedOrders[WeekIndex],23)=0,"",SUMIFS(T_PlannedOrders[EffectiveQty],T_PlannedOrders[Part Name],$A735,T_PlannedOrders[WeekIndex],23)&amp;" ("&amp;TEXT(SUMPRODUCT(MAX((T_PlannedOrders[Part Name]=$A735)*(T_PlannedOrders[WeekIndex]=23)*(T_PlannedOrders[EffectiveQty]&gt;0)*T_PlannedOrders[Order_Month])),"m月")&amp;"発注)")</f>
        <v/>
      </c>
      <c r="AA775">
        <f>IF(SUMIFS(T_PlannedOrders[EffectiveQty],T_PlannedOrders[Part Name],$A735,T_PlannedOrders[WeekIndex],24)=0,"",SUMIFS(T_PlannedOrders[EffectiveQty],T_PlannedOrders[Part Name],$A735,T_PlannedOrders[WeekIndex],24)&amp;" ("&amp;TEXT(SUMPRODUCT(MAX((T_PlannedOrders[Part Name]=$A735)*(T_PlannedOrders[WeekIndex]=24)*(T_PlannedOrders[EffectiveQty]&gt;0)*T_PlannedOrders[Order_Month])),"m月")&amp;"発注)")</f>
        <v/>
      </c>
      <c r="AB775">
        <f>IF(SUMIFS(T_PlannedOrders[EffectiveQty],T_PlannedOrders[Part Name],$A735,T_PlannedOrders[WeekIndex],25)=0,"",SUMIFS(T_PlannedOrders[EffectiveQty],T_PlannedOrders[Part Name],$A735,T_PlannedOrders[WeekIndex],25)&amp;" ("&amp;TEXT(SUMPRODUCT(MAX((T_PlannedOrders[Part Name]=$A735)*(T_PlannedOrders[WeekIndex]=25)*(T_PlannedOrders[EffectiveQty]&gt;0)*T_PlannedOrders[Order_Month])),"m月")&amp;"発注)")</f>
        <v/>
      </c>
      <c r="AC775">
        <f>IF(SUMIFS(T_PlannedOrders[EffectiveQty],T_PlannedOrders[Part Name],$A735,T_PlannedOrders[WeekIndex],26)=0,"",SUMIFS(T_PlannedOrders[EffectiveQty],T_PlannedOrders[Part Name],$A735,T_PlannedOrders[WeekIndex],26)&amp;" ("&amp;TEXT(SUMPRODUCT(MAX((T_PlannedOrders[Part Name]=$A735)*(T_PlannedOrders[WeekIndex]=26)*(T_PlannedOrders[EffectiveQty]&gt;0)*T_PlannedOrders[Order_Month])),"m月")&amp;"発注)")</f>
        <v/>
      </c>
      <c r="AD775">
        <f>IF(SUMIFS(T_PlannedOrders[EffectiveQty],T_PlannedOrders[Part Name],$A735,T_PlannedOrders[WeekIndex],27)=0,"",SUMIFS(T_PlannedOrders[EffectiveQty],T_PlannedOrders[Part Name],$A735,T_PlannedOrders[WeekIndex],27)&amp;" ("&amp;TEXT(SUMPRODUCT(MAX((T_PlannedOrders[Part Name]=$A735)*(T_PlannedOrders[WeekIndex]=27)*(T_PlannedOrders[EffectiveQty]&gt;0)*T_PlannedOrders[Order_Month])),"m月")&amp;"発注)")</f>
        <v/>
      </c>
      <c r="AE775">
        <f>IF(SUMIFS(T_PlannedOrders[EffectiveQty],T_PlannedOrders[Part Name],$A735,T_PlannedOrders[WeekIndex],28)=0,"",SUMIFS(T_PlannedOrders[EffectiveQty],T_PlannedOrders[Part Name],$A735,T_PlannedOrders[WeekIndex],28)&amp;" ("&amp;TEXT(SUMPRODUCT(MAX((T_PlannedOrders[Part Name]=$A735)*(T_PlannedOrders[WeekIndex]=28)*(T_PlannedOrders[EffectiveQty]&gt;0)*T_PlannedOrders[Order_Month])),"m月")&amp;"発注)")</f>
        <v/>
      </c>
      <c r="AF775">
        <f>IF(SUMIFS(T_PlannedOrders[EffectiveQty],T_PlannedOrders[Part Name],$A735,T_PlannedOrders[WeekIndex],29)=0,"",SUMIFS(T_PlannedOrders[EffectiveQty],T_PlannedOrders[Part Name],$A735,T_PlannedOrders[WeekIndex],29)&amp;" ("&amp;TEXT(SUMPRODUCT(MAX((T_PlannedOrders[Part Name]=$A735)*(T_PlannedOrders[WeekIndex]=29)*(T_PlannedOrders[EffectiveQty]&gt;0)*T_PlannedOrders[Order_Month])),"m月")&amp;"発注)")</f>
        <v/>
      </c>
      <c r="AG775">
        <f>IF(SUMIFS(T_PlannedOrders[EffectiveQty],T_PlannedOrders[Part Name],$A735,T_PlannedOrders[WeekIndex],30)=0,"",SUMIFS(T_PlannedOrders[EffectiveQty],T_PlannedOrders[Part Name],$A735,T_PlannedOrders[WeekIndex],30)&amp;" ("&amp;TEXT(SUMPRODUCT(MAX((T_PlannedOrders[Part Name]=$A735)*(T_PlannedOrders[WeekIndex]=30)*(T_PlannedOrders[EffectiveQty]&gt;0)*T_PlannedOrders[Order_Month])),"m月")&amp;"発注)")</f>
        <v/>
      </c>
      <c r="AH775">
        <f>IF(SUMIFS(T_PlannedOrders[EffectiveQty],T_PlannedOrders[Part Name],$A735,T_PlannedOrders[WeekIndex],31)=0,"",SUMIFS(T_PlannedOrders[EffectiveQty],T_PlannedOrders[Part Name],$A735,T_PlannedOrders[WeekIndex],31)&amp;" ("&amp;TEXT(SUMPRODUCT(MAX((T_PlannedOrders[Part Name]=$A735)*(T_PlannedOrders[WeekIndex]=31)*(T_PlannedOrders[EffectiveQty]&gt;0)*T_PlannedOrders[Order_Month])),"m月")&amp;"発注)")</f>
        <v/>
      </c>
      <c r="AI775">
        <f>IF(SUMIFS(T_PlannedOrders[EffectiveQty],T_PlannedOrders[Part Name],$A735,T_PlannedOrders[WeekIndex],32)=0,"",SUMIFS(T_PlannedOrders[EffectiveQty],T_PlannedOrders[Part Name],$A735,T_PlannedOrders[WeekIndex],32)&amp;" ("&amp;TEXT(SUMPRODUCT(MAX((T_PlannedOrders[Part Name]=$A735)*(T_PlannedOrders[WeekIndex]=32)*(T_PlannedOrders[EffectiveQty]&gt;0)*T_PlannedOrders[Order_Month])),"m月")&amp;"発注)")</f>
        <v/>
      </c>
      <c r="AJ775">
        <f>IF(SUMIFS(T_PlannedOrders[EffectiveQty],T_PlannedOrders[Part Name],$A735,T_PlannedOrders[WeekIndex],33)=0,"",SUMIFS(T_PlannedOrders[EffectiveQty],T_PlannedOrders[Part Name],$A735,T_PlannedOrders[WeekIndex],33)&amp;" ("&amp;TEXT(SUMPRODUCT(MAX((T_PlannedOrders[Part Name]=$A735)*(T_PlannedOrders[WeekIndex]=33)*(T_PlannedOrders[EffectiveQty]&gt;0)*T_PlannedOrders[Order_Month])),"m月")&amp;"発注)")</f>
        <v/>
      </c>
      <c r="AK775">
        <f>IF(SUMIFS(T_PlannedOrders[EffectiveQty],T_PlannedOrders[Part Name],$A735,T_PlannedOrders[WeekIndex],34)=0,"",SUMIFS(T_PlannedOrders[EffectiveQty],T_PlannedOrders[Part Name],$A735,T_PlannedOrders[WeekIndex],34)&amp;" ("&amp;TEXT(SUMPRODUCT(MAX((T_PlannedOrders[Part Name]=$A735)*(T_PlannedOrders[WeekIndex]=34)*(T_PlannedOrders[EffectiveQty]&gt;0)*T_PlannedOrders[Order_Month])),"m月")&amp;"発注)")</f>
        <v/>
      </c>
      <c r="AL775">
        <f>IF(SUMIFS(T_PlannedOrders[EffectiveQty],T_PlannedOrders[Part Name],$A735,T_PlannedOrders[WeekIndex],35)=0,"",SUMIFS(T_PlannedOrders[EffectiveQty],T_PlannedOrders[Part Name],$A735,T_PlannedOrders[WeekIndex],35)&amp;" ("&amp;TEXT(SUMPRODUCT(MAX((T_PlannedOrders[Part Name]=$A735)*(T_PlannedOrders[WeekIndex]=35)*(T_PlannedOrders[EffectiveQty]&gt;0)*T_PlannedOrders[Order_Month])),"m月")&amp;"発注)")</f>
        <v/>
      </c>
      <c r="AM775">
        <f>IF(SUMIFS(T_PlannedOrders[EffectiveQty],T_PlannedOrders[Part Name],$A735,T_PlannedOrders[WeekIndex],36)=0,"",SUMIFS(T_PlannedOrders[EffectiveQty],T_PlannedOrders[Part Name],$A735,T_PlannedOrders[WeekIndex],36)&amp;" ("&amp;TEXT(SUMPRODUCT(MAX((T_PlannedOrders[Part Name]=$A735)*(T_PlannedOrders[WeekIndex]=36)*(T_PlannedOrders[EffectiveQty]&gt;0)*T_PlannedOrders[Order_Month])),"m月")&amp;"発注)")</f>
        <v/>
      </c>
      <c r="AN775">
        <f>IF(SUMIFS(T_PlannedOrders[EffectiveQty],T_PlannedOrders[Part Name],$A735,T_PlannedOrders[WeekIndex],37)=0,"",SUMIFS(T_PlannedOrders[EffectiveQty],T_PlannedOrders[Part Name],$A735,T_PlannedOrders[WeekIndex],37)&amp;" ("&amp;TEXT(SUMPRODUCT(MAX((T_PlannedOrders[Part Name]=$A735)*(T_PlannedOrders[WeekIndex]=37)*(T_PlannedOrders[EffectiveQty]&gt;0)*T_PlannedOrders[Order_Month])),"m月")&amp;"発注)")</f>
        <v/>
      </c>
      <c r="AO775">
        <f>IF(SUMIFS(T_PlannedOrders[EffectiveQty],T_PlannedOrders[Part Name],$A735,T_PlannedOrders[WeekIndex],38)=0,"",SUMIFS(T_PlannedOrders[EffectiveQty],T_PlannedOrders[Part Name],$A735,T_PlannedOrders[WeekIndex],38)&amp;" ("&amp;TEXT(SUMPRODUCT(MAX((T_PlannedOrders[Part Name]=$A735)*(T_PlannedOrders[WeekIndex]=38)*(T_PlannedOrders[EffectiveQty]&gt;0)*T_PlannedOrders[Order_Month])),"m月")&amp;"発注)")</f>
        <v/>
      </c>
      <c r="AP775">
        <f>IF(SUMIFS(T_PlannedOrders[EffectiveQty],T_PlannedOrders[Part Name],$A735,T_PlannedOrders[WeekIndex],39)=0,"",SUMIFS(T_PlannedOrders[EffectiveQty],T_PlannedOrders[Part Name],$A735,T_PlannedOrders[WeekIndex],39)&amp;" ("&amp;TEXT(SUMPRODUCT(MAX((T_PlannedOrders[Part Name]=$A735)*(T_PlannedOrders[WeekIndex]=39)*(T_PlannedOrders[EffectiveQty]&gt;0)*T_PlannedOrders[Order_Month])),"m月")&amp;"発注)")</f>
        <v/>
      </c>
      <c r="AQ775">
        <f>IF(SUMIFS(T_PlannedOrders[EffectiveQty],T_PlannedOrders[Part Name],$A735,T_PlannedOrders[WeekIndex],40)=0,"",SUMIFS(T_PlannedOrders[EffectiveQty],T_PlannedOrders[Part Name],$A735,T_PlannedOrders[WeekIndex],40)&amp;" ("&amp;TEXT(SUMPRODUCT(MAX((T_PlannedOrders[Part Name]=$A735)*(T_PlannedOrders[WeekIndex]=40)*(T_PlannedOrders[EffectiveQty]&gt;0)*T_PlannedOrders[Order_Month])),"m月")&amp;"発注)")</f>
        <v/>
      </c>
      <c r="AR775">
        <f>IF(SUMIFS(T_PlannedOrders[EffectiveQty],T_PlannedOrders[Part Name],$A735,T_PlannedOrders[WeekIndex],41)=0,"",SUMIFS(T_PlannedOrders[EffectiveQty],T_PlannedOrders[Part Name],$A735,T_PlannedOrders[WeekIndex],41)&amp;" ("&amp;TEXT(SUMPRODUCT(MAX((T_PlannedOrders[Part Name]=$A735)*(T_PlannedOrders[WeekIndex]=41)*(T_PlannedOrders[EffectiveQty]&gt;0)*T_PlannedOrders[Order_Month])),"m月")&amp;"発注)")</f>
        <v/>
      </c>
      <c r="AS775">
        <f>IF(SUMIFS(T_PlannedOrders[EffectiveQty],T_PlannedOrders[Part Name],$A735,T_PlannedOrders[WeekIndex],42)=0,"",SUMIFS(T_PlannedOrders[EffectiveQty],T_PlannedOrders[Part Name],$A735,T_PlannedOrders[WeekIndex],42)&amp;" ("&amp;TEXT(SUMPRODUCT(MAX((T_PlannedOrders[Part Name]=$A735)*(T_PlannedOrders[WeekIndex]=42)*(T_PlannedOrders[EffectiveQty]&gt;0)*T_PlannedOrders[Order_Month])),"m月")&amp;"発注)")</f>
        <v/>
      </c>
      <c r="AT775">
        <f>IF(SUMIFS(T_PlannedOrders[EffectiveQty],T_PlannedOrders[Part Name],$A735,T_PlannedOrders[WeekIndex],43)=0,"",SUMIFS(T_PlannedOrders[EffectiveQty],T_PlannedOrders[Part Name],$A735,T_PlannedOrders[WeekIndex],43)&amp;" ("&amp;TEXT(SUMPRODUCT(MAX((T_PlannedOrders[Part Name]=$A735)*(T_PlannedOrders[WeekIndex]=43)*(T_PlannedOrders[EffectiveQty]&gt;0)*T_PlannedOrders[Order_Month])),"m月")&amp;"発注)")</f>
        <v/>
      </c>
      <c r="AU775">
        <f>IF(SUMIFS(T_PlannedOrders[EffectiveQty],T_PlannedOrders[Part Name],$A735,T_PlannedOrders[WeekIndex],44)=0,"",SUMIFS(T_PlannedOrders[EffectiveQty],T_PlannedOrders[Part Name],$A735,T_PlannedOrders[WeekIndex],44)&amp;" ("&amp;TEXT(SUMPRODUCT(MAX((T_PlannedOrders[Part Name]=$A735)*(T_PlannedOrders[WeekIndex]=44)*(T_PlannedOrders[EffectiveQty]&gt;0)*T_PlannedOrders[Order_Month])),"m月")&amp;"発注)")</f>
        <v/>
      </c>
      <c r="AV775">
        <f>IF(SUMIFS(T_PlannedOrders[EffectiveQty],T_PlannedOrders[Part Name],$A735,T_PlannedOrders[WeekIndex],45)=0,"",SUMIFS(T_PlannedOrders[EffectiveQty],T_PlannedOrders[Part Name],$A735,T_PlannedOrders[WeekIndex],45)&amp;" ("&amp;TEXT(SUMPRODUCT(MAX((T_PlannedOrders[Part Name]=$A735)*(T_PlannedOrders[WeekIndex]=45)*(T_PlannedOrders[EffectiveQty]&gt;0)*T_PlannedOrders[Order_Month])),"m月")&amp;"発注)")</f>
        <v/>
      </c>
      <c r="AW775">
        <f>IF(SUMIFS(T_PlannedOrders[EffectiveQty],T_PlannedOrders[Part Name],$A735,T_PlannedOrders[WeekIndex],46)=0,"",SUMIFS(T_PlannedOrders[EffectiveQty],T_PlannedOrders[Part Name],$A735,T_PlannedOrders[WeekIndex],46)&amp;" ("&amp;TEXT(SUMPRODUCT(MAX((T_PlannedOrders[Part Name]=$A735)*(T_PlannedOrders[WeekIndex]=46)*(T_PlannedOrders[EffectiveQty]&gt;0)*T_PlannedOrders[Order_Month])),"m月")&amp;"発注)")</f>
        <v/>
      </c>
      <c r="AX775">
        <f>IF(SUMIFS(T_PlannedOrders[EffectiveQty],T_PlannedOrders[Part Name],$A735,T_PlannedOrders[WeekIndex],47)=0,"",SUMIFS(T_PlannedOrders[EffectiveQty],T_PlannedOrders[Part Name],$A735,T_PlannedOrders[WeekIndex],47)&amp;" ("&amp;TEXT(SUMPRODUCT(MAX((T_PlannedOrders[Part Name]=$A735)*(T_PlannedOrders[WeekIndex]=47)*(T_PlannedOrders[EffectiveQty]&gt;0)*T_PlannedOrders[Order_Month])),"m月")&amp;"発注)")</f>
        <v/>
      </c>
      <c r="AY775">
        <f>IF(SUMIFS(T_PlannedOrders[EffectiveQty],T_PlannedOrders[Part Name],$A735,T_PlannedOrders[WeekIndex],48)=0,"",SUMIFS(T_PlannedOrders[EffectiveQty],T_PlannedOrders[Part Name],$A735,T_PlannedOrders[WeekIndex],48)&amp;" ("&amp;TEXT(SUMPRODUCT(MAX((T_PlannedOrders[Part Name]=$A735)*(T_PlannedOrders[WeekIndex]=48)*(T_PlannedOrders[EffectiveQty]&gt;0)*T_PlannedOrders[Order_Month])),"m月")&amp;"発注)")</f>
        <v/>
      </c>
      <c r="AZ775">
        <f>IF(SUMIFS(T_PlannedOrders[EffectiveQty],T_PlannedOrders[Part Name],$A735,T_PlannedOrders[WeekIndex],49)=0,"",SUMIFS(T_PlannedOrders[EffectiveQty],T_PlannedOrders[Part Name],$A735,T_PlannedOrders[WeekIndex],49)&amp;" ("&amp;TEXT(SUMPRODUCT(MAX((T_PlannedOrders[Part Name]=$A735)*(T_PlannedOrders[WeekIndex]=49)*(T_PlannedOrders[EffectiveQty]&gt;0)*T_PlannedOrders[Order_Month])),"m月")&amp;"発注)")</f>
        <v/>
      </c>
      <c r="BA775">
        <f>IF(SUMIFS(T_PlannedOrders[EffectiveQty],T_PlannedOrders[Part Name],$A735,T_PlannedOrders[WeekIndex],50)=0,"",SUMIFS(T_PlannedOrders[EffectiveQty],T_PlannedOrders[Part Name],$A735,T_PlannedOrders[WeekIndex],50)&amp;" ("&amp;TEXT(SUMPRODUCT(MAX((T_PlannedOrders[Part Name]=$A735)*(T_PlannedOrders[WeekIndex]=50)*(T_PlannedOrders[EffectiveQty]&gt;0)*T_PlannedOrders[Order_Month])),"m月")&amp;"発注)")</f>
        <v/>
      </c>
      <c r="BB775">
        <f>IF(SUMIFS(T_PlannedOrders[EffectiveQty],T_PlannedOrders[Part Name],$A735,T_PlannedOrders[WeekIndex],51)=0,"",SUMIFS(T_PlannedOrders[EffectiveQty],T_PlannedOrders[Part Name],$A735,T_PlannedOrders[WeekIndex],51)&amp;" ("&amp;TEXT(SUMPRODUCT(MAX((T_PlannedOrders[Part Name]=$A735)*(T_PlannedOrders[WeekIndex]=51)*(T_PlannedOrders[EffectiveQty]&gt;0)*T_PlannedOrders[Order_Month])),"m月")&amp;"発注)")</f>
        <v/>
      </c>
      <c r="BC775">
        <f>IF(SUMIFS(T_PlannedOrders[EffectiveQty],T_PlannedOrders[Part Name],$A735,T_PlannedOrders[WeekIndex],52)=0,"",SUMIFS(T_PlannedOrders[EffectiveQty],T_PlannedOrders[Part Name],$A735,T_PlannedOrders[WeekIndex],52)&amp;" ("&amp;TEXT(SUMPRODUCT(MAX((T_PlannedOrders[Part Name]=$A735)*(T_PlannedOrders[WeekIndex]=52)*(T_PlannedOrders[EffectiveQty]&gt;0)*T_PlannedOrders[Order_Month])),"m月")&amp;"発注)")</f>
        <v/>
      </c>
      <c r="BD775">
        <f>IF(SUMIFS(T_PlannedOrders[EffectiveQty],T_PlannedOrders[Part Name],$A735,T_PlannedOrders[WeekIndex],53)=0,"",SUMIFS(T_PlannedOrders[EffectiveQty],T_PlannedOrders[Part Name],$A735,T_PlannedOrders[WeekIndex],53)&amp;" ("&amp;TEXT(SUMPRODUCT(MAX((T_PlannedOrders[Part Name]=$A735)*(T_PlannedOrders[WeekIndex]=53)*(T_PlannedOrders[EffectiveQty]&gt;0)*T_PlannedOrders[Order_Month])),"m月")&amp;"発注)")</f>
        <v/>
      </c>
      <c r="BE775">
        <f>IF(SUMIFS(T_PlannedOrders[EffectiveQty],T_PlannedOrders[Part Name],$A735,T_PlannedOrders[WeekIndex],54)=0,"",SUMIFS(T_PlannedOrders[EffectiveQty],T_PlannedOrders[Part Name],$A735,T_PlannedOrders[WeekIndex],54)&amp;" ("&amp;TEXT(SUMPRODUCT(MAX((T_PlannedOrders[Part Name]=$A735)*(T_PlannedOrders[WeekIndex]=54)*(T_PlannedOrders[EffectiveQty]&gt;0)*T_PlannedOrders[Order_Month])),"m月")&amp;"発注)")</f>
        <v/>
      </c>
      <c r="BF775">
        <f>IF(SUMIFS(T_PlannedOrders[EffectiveQty],T_PlannedOrders[Part Name],$A735,T_PlannedOrders[WeekIndex],55)=0,"",SUMIFS(T_PlannedOrders[EffectiveQty],T_PlannedOrders[Part Name],$A735,T_PlannedOrders[WeekIndex],55)&amp;" ("&amp;TEXT(SUMPRODUCT(MAX((T_PlannedOrders[Part Name]=$A735)*(T_PlannedOrders[WeekIndex]=55)*(T_PlannedOrders[EffectiveQty]&gt;0)*T_PlannedOrders[Order_Month])),"m月")&amp;"発注)")</f>
        <v/>
      </c>
      <c r="BG775">
        <f>IF(SUMIFS(T_PlannedOrders[EffectiveQty],T_PlannedOrders[Part Name],$A735,T_PlannedOrders[WeekIndex],56)=0,"",SUMIFS(T_PlannedOrders[EffectiveQty],T_PlannedOrders[Part Name],$A735,T_PlannedOrders[WeekIndex],56)&amp;" ("&amp;TEXT(SUMPRODUCT(MAX((T_PlannedOrders[Part Name]=$A735)*(T_PlannedOrders[WeekIndex]=56)*(T_PlannedOrders[EffectiveQty]&gt;0)*T_PlannedOrders[Order_Month])),"m月")&amp;"発注)")</f>
        <v/>
      </c>
      <c r="BH775">
        <f>IF(SUMIFS(T_PlannedOrders[EffectiveQty],T_PlannedOrders[Part Name],$A735,T_PlannedOrders[WeekIndex],57)=0,"",SUMIFS(T_PlannedOrders[EffectiveQty],T_PlannedOrders[Part Name],$A735,T_PlannedOrders[WeekIndex],57)&amp;" ("&amp;TEXT(SUMPRODUCT(MAX((T_PlannedOrders[Part Name]=$A735)*(T_PlannedOrders[WeekIndex]=57)*(T_PlannedOrders[EffectiveQty]&gt;0)*T_PlannedOrders[Order_Month])),"m月")&amp;"発注)")</f>
        <v/>
      </c>
      <c r="BI775">
        <f>IF(SUMIFS(T_PlannedOrders[EffectiveQty],T_PlannedOrders[Part Name],$A735,T_PlannedOrders[WeekIndex],58)=0,"",SUMIFS(T_PlannedOrders[EffectiveQty],T_PlannedOrders[Part Name],$A735,T_PlannedOrders[WeekIndex],58)&amp;" ("&amp;TEXT(SUMPRODUCT(MAX((T_PlannedOrders[Part Name]=$A735)*(T_PlannedOrders[WeekIndex]=58)*(T_PlannedOrders[EffectiveQty]&gt;0)*T_PlannedOrders[Order_Month])),"m月")&amp;"発注)")</f>
        <v/>
      </c>
      <c r="BJ775">
        <f>IF(SUMIFS(T_PlannedOrders[EffectiveQty],T_PlannedOrders[Part Name],$A735,T_PlannedOrders[WeekIndex],59)=0,"",SUMIFS(T_PlannedOrders[EffectiveQty],T_PlannedOrders[Part Name],$A735,T_PlannedOrders[WeekIndex],59)&amp;" ("&amp;TEXT(SUMPRODUCT(MAX((T_PlannedOrders[Part Name]=$A735)*(T_PlannedOrders[WeekIndex]=59)*(T_PlannedOrders[EffectiveQty]&gt;0)*T_PlannedOrders[Order_Month])),"m月")&amp;"発注)")</f>
        <v/>
      </c>
      <c r="BK775">
        <f>IF(SUMIFS(T_PlannedOrders[EffectiveQty],T_PlannedOrders[Part Name],$A735,T_PlannedOrders[WeekIndex],60)=0,"",SUMIFS(T_PlannedOrders[EffectiveQty],T_PlannedOrders[Part Name],$A735,T_PlannedOrders[WeekIndex],60)&amp;" ("&amp;TEXT(SUMPRODUCT(MAX((T_PlannedOrders[Part Name]=$A735)*(T_PlannedOrders[WeekIndex]=60)*(T_PlannedOrders[EffectiveQty]&gt;0)*T_PlannedOrders[Order_Month])),"m月")&amp;"発注)")</f>
        <v/>
      </c>
      <c r="BL775">
        <f>IF(SUMIFS(T_PlannedOrders[EffectiveQty],T_PlannedOrders[Part Name],$A735,T_PlannedOrders[WeekIndex],61)=0,"",SUMIFS(T_PlannedOrders[EffectiveQty],T_PlannedOrders[Part Name],$A735,T_PlannedOrders[WeekIndex],61)&amp;" ("&amp;TEXT(SUMPRODUCT(MAX((T_PlannedOrders[Part Name]=$A735)*(T_PlannedOrders[WeekIndex]=61)*(T_PlannedOrders[EffectiveQty]&gt;0)*T_PlannedOrders[Order_Month])),"m月")&amp;"発注)")</f>
        <v/>
      </c>
      <c r="BM775">
        <f>IF(SUMIFS(T_PlannedOrders[EffectiveQty],T_PlannedOrders[Part Name],$A735,T_PlannedOrders[WeekIndex],62)=0,"",SUMIFS(T_PlannedOrders[EffectiveQty],T_PlannedOrders[Part Name],$A735,T_PlannedOrders[WeekIndex],62)&amp;" ("&amp;TEXT(SUMPRODUCT(MAX((T_PlannedOrders[Part Name]=$A735)*(T_PlannedOrders[WeekIndex]=62)*(T_PlannedOrders[EffectiveQty]&gt;0)*T_PlannedOrders[Order_Month])),"m月")&amp;"発注)")</f>
        <v/>
      </c>
      <c r="BN775">
        <f>IF(SUMIFS(T_PlannedOrders[EffectiveQty],T_PlannedOrders[Part Name],$A735,T_PlannedOrders[WeekIndex],63)=0,"",SUMIFS(T_PlannedOrders[EffectiveQty],T_PlannedOrders[Part Name],$A735,T_PlannedOrders[WeekIndex],63)&amp;" ("&amp;TEXT(SUMPRODUCT(MAX((T_PlannedOrders[Part Name]=$A735)*(T_PlannedOrders[WeekIndex]=63)*(T_PlannedOrders[EffectiveQty]&gt;0)*T_PlannedOrders[Order_Month])),"m月")&amp;"発注)")</f>
        <v/>
      </c>
      <c r="BO775">
        <f>IF(SUMIFS(T_PlannedOrders[EffectiveQty],T_PlannedOrders[Part Name],$A735,T_PlannedOrders[WeekIndex],64)=0,"",SUMIFS(T_PlannedOrders[EffectiveQty],T_PlannedOrders[Part Name],$A735,T_PlannedOrders[WeekIndex],64)&amp;" ("&amp;TEXT(SUMPRODUCT(MAX((T_PlannedOrders[Part Name]=$A735)*(T_PlannedOrders[WeekIndex]=64)*(T_PlannedOrders[EffectiveQty]&gt;0)*T_PlannedOrders[Order_Month])),"m月")&amp;"発注)")</f>
        <v/>
      </c>
      <c r="BP775">
        <f>IF(SUMIFS(T_PlannedOrders[EffectiveQty],T_PlannedOrders[Part Name],$A735,T_PlannedOrders[WeekIndex],65)=0,"",SUMIFS(T_PlannedOrders[EffectiveQty],T_PlannedOrders[Part Name],$A735,T_PlannedOrders[WeekIndex],65)&amp;" ("&amp;TEXT(SUMPRODUCT(MAX((T_PlannedOrders[Part Name]=$A735)*(T_PlannedOrders[WeekIndex]=65)*(T_PlannedOrders[EffectiveQty]&gt;0)*T_PlannedOrders[Order_Month])),"m月")&amp;"発注)")</f>
        <v/>
      </c>
      <c r="BQ775">
        <f>IF(SUMIFS(T_PlannedOrders[EffectiveQty],T_PlannedOrders[Part Name],$A735,T_PlannedOrders[WeekIndex],66)=0,"",SUMIFS(T_PlannedOrders[EffectiveQty],T_PlannedOrders[Part Name],$A735,T_PlannedOrders[WeekIndex],66)&amp;" ("&amp;TEXT(SUMPRODUCT(MAX((T_PlannedOrders[Part Name]=$A735)*(T_PlannedOrders[WeekIndex]=66)*(T_PlannedOrders[EffectiveQty]&gt;0)*T_PlannedOrders[Order_Month])),"m月")&amp;"発注)")</f>
        <v/>
      </c>
      <c r="BR775">
        <f>IF(SUMIFS(T_PlannedOrders[EffectiveQty],T_PlannedOrders[Part Name],$A735,T_PlannedOrders[WeekIndex],67)=0,"",SUMIFS(T_PlannedOrders[EffectiveQty],T_PlannedOrders[Part Name],$A735,T_PlannedOrders[WeekIndex],67)&amp;" ("&amp;TEXT(SUMPRODUCT(MAX((T_PlannedOrders[Part Name]=$A735)*(T_PlannedOrders[WeekIndex]=67)*(T_PlannedOrders[EffectiveQty]&gt;0)*T_PlannedOrders[Order_Month])),"m月")&amp;"発注)")</f>
        <v/>
      </c>
      <c r="BS775">
        <f>IF(SUMIFS(T_PlannedOrders[EffectiveQty],T_PlannedOrders[Part Name],$A735,T_PlannedOrders[WeekIndex],68)=0,"",SUMIFS(T_PlannedOrders[EffectiveQty],T_PlannedOrders[Part Name],$A735,T_PlannedOrders[WeekIndex],68)&amp;" ("&amp;TEXT(SUMPRODUCT(MAX((T_PlannedOrders[Part Name]=$A735)*(T_PlannedOrders[WeekIndex]=68)*(T_PlannedOrders[EffectiveQty]&gt;0)*T_PlannedOrders[Order_Month])),"m月")&amp;"発注)")</f>
        <v/>
      </c>
      <c r="BT775">
        <f>IF(SUMIFS(T_PlannedOrders[EffectiveQty],T_PlannedOrders[Part Name],$A735,T_PlannedOrders[WeekIndex],69)=0,"",SUMIFS(T_PlannedOrders[EffectiveQty],T_PlannedOrders[Part Name],$A735,T_PlannedOrders[WeekIndex],69)&amp;" ("&amp;TEXT(SUMPRODUCT(MAX((T_PlannedOrders[Part Name]=$A735)*(T_PlannedOrders[WeekIndex]=69)*(T_PlannedOrders[EffectiveQty]&gt;0)*T_PlannedOrders[Order_Month])),"m月")&amp;"発注)")</f>
        <v/>
      </c>
      <c r="BU775">
        <f>IF(SUMIFS(T_PlannedOrders[EffectiveQty],T_PlannedOrders[Part Name],$A735,T_PlannedOrders[WeekIndex],70)=0,"",SUMIFS(T_PlannedOrders[EffectiveQty],T_PlannedOrders[Part Name],$A735,T_PlannedOrders[WeekIndex],70)&amp;" ("&amp;TEXT(SUMPRODUCT(MAX((T_PlannedOrders[Part Name]=$A735)*(T_PlannedOrders[WeekIndex]=70)*(T_PlannedOrders[EffectiveQty]&gt;0)*T_PlannedOrders[Order_Month])),"m月")&amp;"発注)")</f>
        <v/>
      </c>
      <c r="BV775">
        <f>IF(SUMIFS(T_PlannedOrders[EffectiveQty],T_PlannedOrders[Part Name],$A735,T_PlannedOrders[WeekIndex],71)=0,"",SUMIFS(T_PlannedOrders[EffectiveQty],T_PlannedOrders[Part Name],$A735,T_PlannedOrders[WeekIndex],71)&amp;" ("&amp;TEXT(SUMPRODUCT(MAX((T_PlannedOrders[Part Name]=$A735)*(T_PlannedOrders[WeekIndex]=71)*(T_PlannedOrders[EffectiveQty]&gt;0)*T_PlannedOrders[Order_Month])),"m月")&amp;"発注)")</f>
        <v/>
      </c>
      <c r="BW775">
        <f>IF(SUMIFS(T_PlannedOrders[EffectiveQty],T_PlannedOrders[Part Name],$A735,T_PlannedOrders[WeekIndex],72)=0,"",SUMIFS(T_PlannedOrders[EffectiveQty],T_PlannedOrders[Part Name],$A735,T_PlannedOrders[WeekIndex],72)&amp;" ("&amp;TEXT(SUMPRODUCT(MAX((T_PlannedOrders[Part Name]=$A735)*(T_PlannedOrders[WeekIndex]=72)*(T_PlannedOrders[EffectiveQty]&gt;0)*T_PlannedOrders[Order_Month])),"m月")&amp;"発注)")</f>
        <v/>
      </c>
      <c r="BX775">
        <f>IF(SUMIFS(T_PlannedOrders[EffectiveQty],T_PlannedOrders[Part Name],$A735,T_PlannedOrders[WeekIndex],73)=0,"",SUMIFS(T_PlannedOrders[EffectiveQty],T_PlannedOrders[Part Name],$A735,T_PlannedOrders[WeekIndex],73)&amp;" ("&amp;TEXT(SUMPRODUCT(MAX((T_PlannedOrders[Part Name]=$A735)*(T_PlannedOrders[WeekIndex]=73)*(T_PlannedOrders[EffectiveQty]&gt;0)*T_PlannedOrders[Order_Month])),"m月")&amp;"発注)")</f>
        <v/>
      </c>
      <c r="BY775">
        <f>IF(SUMIFS(T_PlannedOrders[EffectiveQty],T_PlannedOrders[Part Name],$A735,T_PlannedOrders[WeekIndex],74)=0,"",SUMIFS(T_PlannedOrders[EffectiveQty],T_PlannedOrders[Part Name],$A735,T_PlannedOrders[WeekIndex],74)&amp;" ("&amp;TEXT(SUMPRODUCT(MAX((T_PlannedOrders[Part Name]=$A735)*(T_PlannedOrders[WeekIndex]=74)*(T_PlannedOrders[EffectiveQty]&gt;0)*T_PlannedOrders[Order_Month])),"m月")&amp;"発注)")</f>
        <v/>
      </c>
      <c r="BZ775">
        <f>IF(SUMIFS(T_PlannedOrders[EffectiveQty],T_PlannedOrders[Part Name],$A735,T_PlannedOrders[WeekIndex],75)=0,"",SUMIFS(T_PlannedOrders[EffectiveQty],T_PlannedOrders[Part Name],$A735,T_PlannedOrders[WeekIndex],75)&amp;" ("&amp;TEXT(SUMPRODUCT(MAX((T_PlannedOrders[Part Name]=$A735)*(T_PlannedOrders[WeekIndex]=75)*(T_PlannedOrders[EffectiveQty]&gt;0)*T_PlannedOrders[Order_Month])),"m月")&amp;"発注)")</f>
        <v/>
      </c>
      <c r="CA775">
        <f>IF(SUMIFS(T_PlannedOrders[EffectiveQty],T_PlannedOrders[Part Name],$A735,T_PlannedOrders[WeekIndex],76)=0,"",SUMIFS(T_PlannedOrders[EffectiveQty],T_PlannedOrders[Part Name],$A735,T_PlannedOrders[WeekIndex],76)&amp;" ("&amp;TEXT(SUMPRODUCT(MAX((T_PlannedOrders[Part Name]=$A735)*(T_PlannedOrders[WeekIndex]=76)*(T_PlannedOrders[EffectiveQty]&gt;0)*T_PlannedOrders[Order_Month])),"m月")&amp;"発注)")</f>
        <v/>
      </c>
      <c r="CB775">
        <f>IF(SUMIFS(T_PlannedOrders[EffectiveQty],T_PlannedOrders[Part Name],$A735,T_PlannedOrders[WeekIndex],77)=0,"",SUMIFS(T_PlannedOrders[EffectiveQty],T_PlannedOrders[Part Name],$A735,T_PlannedOrders[WeekIndex],77)&amp;" ("&amp;TEXT(SUMPRODUCT(MAX((T_PlannedOrders[Part Name]=$A735)*(T_PlannedOrders[WeekIndex]=77)*(T_PlannedOrders[EffectiveQty]&gt;0)*T_PlannedOrders[Order_Month])),"m月")&amp;"発注)")</f>
        <v/>
      </c>
      <c r="CC775">
        <f>IF(SUMIFS(T_PlannedOrders[EffectiveQty],T_PlannedOrders[Part Name],$A735,T_PlannedOrders[WeekIndex],78)=0,"",SUMIFS(T_PlannedOrders[EffectiveQty],T_PlannedOrders[Part Name],$A735,T_PlannedOrders[WeekIndex],78)&amp;" ("&amp;TEXT(SUMPRODUCT(MAX((T_PlannedOrders[Part Name]=$A735)*(T_PlannedOrders[WeekIndex]=78)*(T_PlannedOrders[EffectiveQty]&gt;0)*T_PlannedOrders[Order_Month])),"m月")&amp;"発注)")</f>
        <v/>
      </c>
      <c r="CD775">
        <f>IF(SUMIFS(T_PlannedOrders[EffectiveQty],T_PlannedOrders[Part Name],$A735,T_PlannedOrders[WeekIndex],79)=0,"",SUMIFS(T_PlannedOrders[EffectiveQty],T_PlannedOrders[Part Name],$A735,T_PlannedOrders[WeekIndex],79)&amp;" ("&amp;TEXT(SUMPRODUCT(MAX((T_PlannedOrders[Part Name]=$A735)*(T_PlannedOrders[WeekIndex]=79)*(T_PlannedOrders[EffectiveQty]&gt;0)*T_PlannedOrders[Order_Month])),"m月")&amp;"発注)")</f>
        <v/>
      </c>
      <c r="CE775">
        <f>IF(SUMIFS(T_PlannedOrders[EffectiveQty],T_PlannedOrders[Part Name],$A735,T_PlannedOrders[WeekIndex],80)=0,"",SUMIFS(T_PlannedOrders[EffectiveQty],T_PlannedOrders[Part Name],$A735,T_PlannedOrders[WeekIndex],80)&amp;" ("&amp;TEXT(SUMPRODUCT(MAX((T_PlannedOrders[Part Name]=$A735)*(T_PlannedOrders[WeekIndex]=80)*(T_PlannedOrders[EffectiveQty]&gt;0)*T_PlannedOrders[Order_Month])),"m月")&amp;"発注)")</f>
        <v/>
      </c>
      <c r="CF775">
        <f>IF(SUMIFS(T_PlannedOrders[EffectiveQty],T_PlannedOrders[Part Name],$A735,T_PlannedOrders[WeekIndex],81)=0,"",SUMIFS(T_PlannedOrders[EffectiveQty],T_PlannedOrders[Part Name],$A735,T_PlannedOrders[WeekIndex],81)&amp;" ("&amp;TEXT(SUMPRODUCT(MAX((T_PlannedOrders[Part Name]=$A735)*(T_PlannedOrders[WeekIndex]=81)*(T_PlannedOrders[EffectiveQty]&gt;0)*T_PlannedOrders[Order_Month])),"m月")&amp;"発注)")</f>
        <v/>
      </c>
      <c r="CG775">
        <f>IF(SUMIFS(T_PlannedOrders[EffectiveQty],T_PlannedOrders[Part Name],$A735,T_PlannedOrders[WeekIndex],82)=0,"",SUMIFS(T_PlannedOrders[EffectiveQty],T_PlannedOrders[Part Name],$A735,T_PlannedOrders[WeekIndex],82)&amp;" ("&amp;TEXT(SUMPRODUCT(MAX((T_PlannedOrders[Part Name]=$A735)*(T_PlannedOrders[WeekIndex]=82)*(T_PlannedOrders[EffectiveQty]&gt;0)*T_PlannedOrders[Order_Month])),"m月")&amp;"発注)")</f>
        <v/>
      </c>
      <c r="CH775">
        <f>IF(SUMIFS(T_PlannedOrders[EffectiveQty],T_PlannedOrders[Part Name],$A735,T_PlannedOrders[WeekIndex],83)=0,"",SUMIFS(T_PlannedOrders[EffectiveQty],T_PlannedOrders[Part Name],$A735,T_PlannedOrders[WeekIndex],83)&amp;" ("&amp;TEXT(SUMPRODUCT(MAX((T_PlannedOrders[Part Name]=$A735)*(T_PlannedOrders[WeekIndex]=83)*(T_PlannedOrders[EffectiveQty]&gt;0)*T_PlannedOrders[Order_Month])),"m月")&amp;"発注)")</f>
        <v/>
      </c>
      <c r="CI775">
        <f>IF(SUMIFS(T_PlannedOrders[EffectiveQty],T_PlannedOrders[Part Name],$A735,T_PlannedOrders[WeekIndex],84)=0,"",SUMIFS(T_PlannedOrders[EffectiveQty],T_PlannedOrders[Part Name],$A735,T_PlannedOrders[WeekIndex],84)&amp;" ("&amp;TEXT(SUMPRODUCT(MAX((T_PlannedOrders[Part Name]=$A735)*(T_PlannedOrders[WeekIndex]=84)*(T_PlannedOrders[EffectiveQty]&gt;0)*T_PlannedOrders[Order_Month])),"m月")&amp;"発注)")</f>
        <v/>
      </c>
      <c r="CJ775">
        <f>IF(SUMIFS(T_PlannedOrders[EffectiveQty],T_PlannedOrders[Part Name],$A735,T_PlannedOrders[WeekIndex],85)=0,"",SUMIFS(T_PlannedOrders[EffectiveQty],T_PlannedOrders[Part Name],$A735,T_PlannedOrders[WeekIndex],85)&amp;" ("&amp;TEXT(SUMPRODUCT(MAX((T_PlannedOrders[Part Name]=$A735)*(T_PlannedOrders[WeekIndex]=85)*(T_PlannedOrders[EffectiveQty]&gt;0)*T_PlannedOrders[Order_Month])),"m月")&amp;"発注)")</f>
        <v/>
      </c>
      <c r="CK775">
        <f>IF(SUMIFS(T_PlannedOrders[EffectiveQty],T_PlannedOrders[Part Name],$A735,T_PlannedOrders[WeekIndex],86)=0,"",SUMIFS(T_PlannedOrders[EffectiveQty],T_PlannedOrders[Part Name],$A735,T_PlannedOrders[WeekIndex],86)&amp;" ("&amp;TEXT(SUMPRODUCT(MAX((T_PlannedOrders[Part Name]=$A735)*(T_PlannedOrders[WeekIndex]=86)*(T_PlannedOrders[EffectiveQty]&gt;0)*T_PlannedOrders[Order_Month])),"m月")&amp;"発注)")</f>
        <v/>
      </c>
      <c r="CL775">
        <f>IF(SUMIFS(T_PlannedOrders[EffectiveQty],T_PlannedOrders[Part Name],$A735,T_PlannedOrders[WeekIndex],87)=0,"",SUMIFS(T_PlannedOrders[EffectiveQty],T_PlannedOrders[Part Name],$A735,T_PlannedOrders[WeekIndex],87)&amp;" ("&amp;TEXT(SUMPRODUCT(MAX((T_PlannedOrders[Part Name]=$A735)*(T_PlannedOrders[WeekIndex]=87)*(T_PlannedOrders[EffectiveQty]&gt;0)*T_PlannedOrders[Order_Month])),"m月")&amp;"発注)")</f>
        <v/>
      </c>
      <c r="CM775">
        <f>IF(SUMIFS(T_PlannedOrders[EffectiveQty],T_PlannedOrders[Part Name],$A735,T_PlannedOrders[WeekIndex],88)=0,"",SUMIFS(T_PlannedOrders[EffectiveQty],T_PlannedOrders[Part Name],$A735,T_PlannedOrders[WeekIndex],88)&amp;" ("&amp;TEXT(SUMPRODUCT(MAX((T_PlannedOrders[Part Name]=$A735)*(T_PlannedOrders[WeekIndex]=88)*(T_PlannedOrders[EffectiveQty]&gt;0)*T_PlannedOrders[Order_Month])),"m月")&amp;"発注)")</f>
        <v/>
      </c>
      <c r="CN775">
        <f>IF(SUMIFS(T_PlannedOrders[EffectiveQty],T_PlannedOrders[Part Name],$A735,T_PlannedOrders[WeekIndex],89)=0,"",SUMIFS(T_PlannedOrders[EffectiveQty],T_PlannedOrders[Part Name],$A735,T_PlannedOrders[WeekIndex],89)&amp;" ("&amp;TEXT(SUMPRODUCT(MAX((T_PlannedOrders[Part Name]=$A735)*(T_PlannedOrders[WeekIndex]=89)*(T_PlannedOrders[EffectiveQty]&gt;0)*T_PlannedOrders[Order_Month])),"m月")&amp;"発注)")</f>
        <v/>
      </c>
      <c r="CO775">
        <f>IF(SUMIFS(T_PlannedOrders[EffectiveQty],T_PlannedOrders[Part Name],$A735,T_PlannedOrders[WeekIndex],90)=0,"",SUMIFS(T_PlannedOrders[EffectiveQty],T_PlannedOrders[Part Name],$A735,T_PlannedOrders[WeekIndex],90)&amp;" ("&amp;TEXT(SUMPRODUCT(MAX((T_PlannedOrders[Part Name]=$A735)*(T_PlannedOrders[WeekIndex]=90)*(T_PlannedOrders[EffectiveQty]&gt;0)*T_PlannedOrders[Order_Month])),"m月")&amp;"発注)")</f>
        <v/>
      </c>
      <c r="CP775">
        <f>IF(SUMIFS(T_PlannedOrders[EffectiveQty],T_PlannedOrders[Part Name],$A735,T_PlannedOrders[WeekIndex],91)=0,"",SUMIFS(T_PlannedOrders[EffectiveQty],T_PlannedOrders[Part Name],$A735,T_PlannedOrders[WeekIndex],91)&amp;" ("&amp;TEXT(SUMPRODUCT(MAX((T_PlannedOrders[Part Name]=$A735)*(T_PlannedOrders[WeekIndex]=91)*(T_PlannedOrders[EffectiveQty]&gt;0)*T_PlannedOrders[Order_Month])),"m月")&amp;"発注)")</f>
        <v/>
      </c>
      <c r="CQ775">
        <f>IF(SUMIFS(T_PlannedOrders[EffectiveQty],T_PlannedOrders[Part Name],$A735,T_PlannedOrders[WeekIndex],92)=0,"",SUMIFS(T_PlannedOrders[EffectiveQty],T_PlannedOrders[Part Name],$A735,T_PlannedOrders[WeekIndex],92)&amp;" ("&amp;TEXT(SUMPRODUCT(MAX((T_PlannedOrders[Part Name]=$A735)*(T_PlannedOrders[WeekIndex]=92)*(T_PlannedOrders[EffectiveQty]&gt;0)*T_PlannedOrders[Order_Month])),"m月")&amp;"発注)")</f>
        <v/>
      </c>
      <c r="CR775">
        <f>IF(SUMIFS(T_PlannedOrders[EffectiveQty],T_PlannedOrders[Part Name],$A735,T_PlannedOrders[WeekIndex],93)=0,"",SUMIFS(T_PlannedOrders[EffectiveQty],T_PlannedOrders[Part Name],$A735,T_PlannedOrders[WeekIndex],93)&amp;" ("&amp;TEXT(SUMPRODUCT(MAX((T_PlannedOrders[Part Name]=$A735)*(T_PlannedOrders[WeekIndex]=93)*(T_PlannedOrders[EffectiveQty]&gt;0)*T_PlannedOrders[Order_Month])),"m月")&amp;"発注)")</f>
        <v/>
      </c>
      <c r="CS775">
        <f>IF(SUMIFS(T_PlannedOrders[EffectiveQty],T_PlannedOrders[Part Name],$A735,T_PlannedOrders[WeekIndex],94)=0,"",SUMIFS(T_PlannedOrders[EffectiveQty],T_PlannedOrders[Part Name],$A735,T_PlannedOrders[WeekIndex],94)&amp;" ("&amp;TEXT(SUMPRODUCT(MAX((T_PlannedOrders[Part Name]=$A735)*(T_PlannedOrders[WeekIndex]=94)*(T_PlannedOrders[EffectiveQty]&gt;0)*T_PlannedOrders[Order_Month])),"m月")&amp;"発注)")</f>
        <v/>
      </c>
      <c r="CT775">
        <f>IF(SUMIFS(T_PlannedOrders[EffectiveQty],T_PlannedOrders[Part Name],$A735,T_PlannedOrders[WeekIndex],95)=0,"",SUMIFS(T_PlannedOrders[EffectiveQty],T_PlannedOrders[Part Name],$A735,T_PlannedOrders[WeekIndex],95)&amp;" ("&amp;TEXT(SUMPRODUCT(MAX((T_PlannedOrders[Part Name]=$A735)*(T_PlannedOrders[WeekIndex]=95)*(T_PlannedOrders[EffectiveQty]&gt;0)*T_PlannedOrders[Order_Month])),"m月")&amp;"発注)")</f>
        <v/>
      </c>
      <c r="CU775">
        <f>IF(SUMIFS(T_PlannedOrders[EffectiveQty],T_PlannedOrders[Part Name],$A735,T_PlannedOrders[WeekIndex],96)=0,"",SUMIFS(T_PlannedOrders[EffectiveQty],T_PlannedOrders[Part Name],$A735,T_PlannedOrders[WeekIndex],96)&amp;" ("&amp;TEXT(SUMPRODUCT(MAX((T_PlannedOrders[Part Name]=$A735)*(T_PlannedOrders[WeekIndex]=96)*(T_PlannedOrders[EffectiveQty]&gt;0)*T_PlannedOrders[Order_Month])),"m月")&amp;"発注)")</f>
        <v/>
      </c>
      <c r="CV775">
        <f>IF(SUMIFS(T_PlannedOrders[EffectiveQty],T_PlannedOrders[Part Name],$A735,T_PlannedOrders[WeekIndex],97)=0,"",SUMIFS(T_PlannedOrders[EffectiveQty],T_PlannedOrders[Part Name],$A735,T_PlannedOrders[WeekIndex],97)&amp;" ("&amp;TEXT(SUMPRODUCT(MAX((T_PlannedOrders[Part Name]=$A735)*(T_PlannedOrders[WeekIndex]=97)*(T_PlannedOrders[EffectiveQty]&gt;0)*T_PlannedOrders[Order_Month])),"m月")&amp;"発注)")</f>
        <v/>
      </c>
      <c r="CW775">
        <f>IF(SUMIFS(T_PlannedOrders[EffectiveQty],T_PlannedOrders[Part Name],$A735,T_PlannedOrders[WeekIndex],98)=0,"",SUMIFS(T_PlannedOrders[EffectiveQty],T_PlannedOrders[Part Name],$A735,T_PlannedOrders[WeekIndex],98)&amp;" ("&amp;TEXT(SUMPRODUCT(MAX((T_PlannedOrders[Part Name]=$A735)*(T_PlannedOrders[WeekIndex]=98)*(T_PlannedOrders[EffectiveQty]&gt;0)*T_PlannedOrders[Order_Month])),"m月")&amp;"発注)")</f>
        <v/>
      </c>
      <c r="CX775">
        <f>IF(SUMIFS(T_PlannedOrders[EffectiveQty],T_PlannedOrders[Part Name],$A735,T_PlannedOrders[WeekIndex],99)=0,"",SUMIFS(T_PlannedOrders[EffectiveQty],T_PlannedOrders[Part Name],$A735,T_PlannedOrders[WeekIndex],99)&amp;" ("&amp;TEXT(SUMPRODUCT(MAX((T_PlannedOrders[Part Name]=$A735)*(T_PlannedOrders[WeekIndex]=99)*(T_PlannedOrders[EffectiveQty]&gt;0)*T_PlannedOrders[Order_Month])),"m月")&amp;"発注)")</f>
        <v/>
      </c>
      <c r="CY775">
        <f>IF(SUMIFS(T_PlannedOrders[EffectiveQty],T_PlannedOrders[Part Name],$A735,T_PlannedOrders[WeekIndex],100)=0,"",SUMIFS(T_PlannedOrders[EffectiveQty],T_PlannedOrders[Part Name],$A735,T_PlannedOrders[WeekIndex],100)&amp;" ("&amp;TEXT(SUMPRODUCT(MAX((T_PlannedOrders[Part Name]=$A735)*(T_PlannedOrders[WeekIndex]=100)*(T_PlannedOrders[EffectiveQty]&gt;0)*T_PlannedOrders[Order_Month])),"m月")&amp;"発注)")</f>
        <v/>
      </c>
      <c r="CZ775">
        <f>IF(SUMIFS(T_PlannedOrders[EffectiveQty],T_PlannedOrders[Part Name],$A735,T_PlannedOrders[WeekIndex],101)=0,"",SUMIFS(T_PlannedOrders[EffectiveQty],T_PlannedOrders[Part Name],$A735,T_PlannedOrders[WeekIndex],101)&amp;" ("&amp;TEXT(SUMPRODUCT(MAX((T_PlannedOrders[Part Name]=$A735)*(T_PlannedOrders[WeekIndex]=101)*(T_PlannedOrders[EffectiveQty]&gt;0)*T_PlannedOrders[Order_Month])),"m月")&amp;"発注)")</f>
        <v/>
      </c>
      <c r="DA775">
        <f>IF(SUMIFS(T_PlannedOrders[EffectiveQty],T_PlannedOrders[Part Name],$A735,T_PlannedOrders[WeekIndex],102)=0,"",SUMIFS(T_PlannedOrders[EffectiveQty],T_PlannedOrders[Part Name],$A735,T_PlannedOrders[WeekIndex],102)&amp;" ("&amp;TEXT(SUMPRODUCT(MAX((T_PlannedOrders[Part Name]=$A735)*(T_PlannedOrders[WeekIndex]=102)*(T_PlannedOrders[EffectiveQty]&gt;0)*T_PlannedOrders[Order_Month])),"m月")&amp;"発注)")</f>
        <v/>
      </c>
      <c r="DB775">
        <f>IF(SUMIFS(T_PlannedOrders[EffectiveQty],T_PlannedOrders[Part Name],$A735,T_PlannedOrders[WeekIndex],103)=0,"",SUMIFS(T_PlannedOrders[EffectiveQty],T_PlannedOrders[Part Name],$A735,T_PlannedOrders[WeekIndex],103)&amp;" ("&amp;TEXT(SUMPRODUCT(MAX((T_PlannedOrders[Part Name]=$A735)*(T_PlannedOrders[WeekIndex]=103)*(T_PlannedOrders[EffectiveQty]&gt;0)*T_PlannedOrders[Order_Month])),"m月")&amp;"発注)")</f>
        <v/>
      </c>
      <c r="DC775">
        <f>IF(SUMIFS(T_PlannedOrders[EffectiveQty],T_PlannedOrders[Part Name],$A735,T_PlannedOrders[WeekIndex],104)=0,"",SUMIFS(T_PlannedOrders[EffectiveQty],T_PlannedOrders[Part Name],$A735,T_PlannedOrders[WeekIndex],104)&amp;" ("&amp;TEXT(SUMPRODUCT(MAX((T_PlannedOrders[Part Name]=$A735)*(T_PlannedOrders[WeekIndex]=104)*(T_PlannedOrders[EffectiveQty]&gt;0)*T_PlannedOrders[Order_Month])),"m月")&amp;"発注)")</f>
        <v/>
      </c>
    </row>
    <row r="776">
      <c r="B776" s="5" t="inlineStr">
        <is>
          <t>合計在庫(週末時点,kg)</t>
        </is>
      </c>
      <c r="D776">
        <f>'Grid_Stock'!B14</f>
        <v/>
      </c>
      <c r="E776">
        <f>'Grid_Stock'!C14</f>
        <v/>
      </c>
      <c r="F776">
        <f>'Grid_Stock'!D14</f>
        <v/>
      </c>
      <c r="G776">
        <f>'Grid_Stock'!E14</f>
        <v/>
      </c>
      <c r="H776">
        <f>'Grid_Stock'!F14</f>
        <v/>
      </c>
      <c r="I776">
        <f>'Grid_Stock'!G14</f>
        <v/>
      </c>
      <c r="J776">
        <f>'Grid_Stock'!H14</f>
        <v/>
      </c>
      <c r="K776">
        <f>'Grid_Stock'!I14</f>
        <v/>
      </c>
      <c r="L776">
        <f>'Grid_Stock'!J14</f>
        <v/>
      </c>
      <c r="M776">
        <f>'Grid_Stock'!K14</f>
        <v/>
      </c>
      <c r="N776">
        <f>'Grid_Stock'!L14</f>
        <v/>
      </c>
      <c r="O776">
        <f>'Grid_Stock'!M14</f>
        <v/>
      </c>
      <c r="P776">
        <f>'Grid_Stock'!N14</f>
        <v/>
      </c>
      <c r="Q776">
        <f>'Grid_Stock'!O14</f>
        <v/>
      </c>
      <c r="R776">
        <f>'Grid_Stock'!P14</f>
        <v/>
      </c>
      <c r="S776">
        <f>'Grid_Stock'!Q14</f>
        <v/>
      </c>
      <c r="T776">
        <f>'Grid_Stock'!R14</f>
        <v/>
      </c>
      <c r="U776">
        <f>'Grid_Stock'!S14</f>
        <v/>
      </c>
      <c r="V776">
        <f>'Grid_Stock'!T14</f>
        <v/>
      </c>
      <c r="W776">
        <f>'Grid_Stock'!U14</f>
        <v/>
      </c>
      <c r="X776">
        <f>'Grid_Stock'!V14</f>
        <v/>
      </c>
      <c r="Y776">
        <f>'Grid_Stock'!W14</f>
        <v/>
      </c>
      <c r="Z776">
        <f>'Grid_Stock'!X14</f>
        <v/>
      </c>
      <c r="AA776">
        <f>'Grid_Stock'!Y14</f>
        <v/>
      </c>
      <c r="AB776">
        <f>'Grid_Stock'!Z14</f>
        <v/>
      </c>
      <c r="AC776">
        <f>'Grid_Stock'!AA14</f>
        <v/>
      </c>
      <c r="AD776">
        <f>'Grid_Stock'!AB14</f>
        <v/>
      </c>
      <c r="AE776">
        <f>'Grid_Stock'!AC14</f>
        <v/>
      </c>
      <c r="AF776">
        <f>'Grid_Stock'!AD14</f>
        <v/>
      </c>
      <c r="AG776">
        <f>'Grid_Stock'!AE14</f>
        <v/>
      </c>
      <c r="AH776">
        <f>'Grid_Stock'!AF14</f>
        <v/>
      </c>
      <c r="AI776">
        <f>'Grid_Stock'!AG14</f>
        <v/>
      </c>
      <c r="AJ776">
        <f>'Grid_Stock'!AH14</f>
        <v/>
      </c>
      <c r="AK776">
        <f>'Grid_Stock'!AI14</f>
        <v/>
      </c>
      <c r="AL776">
        <f>'Grid_Stock'!AJ14</f>
        <v/>
      </c>
      <c r="AM776">
        <f>'Grid_Stock'!AK14</f>
        <v/>
      </c>
      <c r="AN776">
        <f>'Grid_Stock'!AL14</f>
        <v/>
      </c>
      <c r="AO776">
        <f>'Grid_Stock'!AM14</f>
        <v/>
      </c>
      <c r="AP776">
        <f>'Grid_Stock'!AN14</f>
        <v/>
      </c>
      <c r="AQ776">
        <f>'Grid_Stock'!AO14</f>
        <v/>
      </c>
      <c r="AR776">
        <f>'Grid_Stock'!AP14</f>
        <v/>
      </c>
      <c r="AS776">
        <f>'Grid_Stock'!AQ14</f>
        <v/>
      </c>
      <c r="AT776">
        <f>'Grid_Stock'!AR14</f>
        <v/>
      </c>
      <c r="AU776">
        <f>'Grid_Stock'!AS14</f>
        <v/>
      </c>
      <c r="AV776">
        <f>'Grid_Stock'!AT14</f>
        <v/>
      </c>
      <c r="AW776">
        <f>'Grid_Stock'!AU14</f>
        <v/>
      </c>
      <c r="AX776">
        <f>'Grid_Stock'!AV14</f>
        <v/>
      </c>
      <c r="AY776">
        <f>'Grid_Stock'!AW14</f>
        <v/>
      </c>
      <c r="AZ776">
        <f>'Grid_Stock'!AX14</f>
        <v/>
      </c>
      <c r="BA776">
        <f>'Grid_Stock'!AY14</f>
        <v/>
      </c>
      <c r="BB776">
        <f>'Grid_Stock'!AZ14</f>
        <v/>
      </c>
      <c r="BC776">
        <f>'Grid_Stock'!BA14</f>
        <v/>
      </c>
      <c r="BD776">
        <f>'Grid_Stock'!BB14</f>
        <v/>
      </c>
      <c r="BE776">
        <f>'Grid_Stock'!BC14</f>
        <v/>
      </c>
      <c r="BF776">
        <f>'Grid_Stock'!BD14</f>
        <v/>
      </c>
      <c r="BG776">
        <f>'Grid_Stock'!BE14</f>
        <v/>
      </c>
      <c r="BH776">
        <f>'Grid_Stock'!BF14</f>
        <v/>
      </c>
      <c r="BI776">
        <f>'Grid_Stock'!BG14</f>
        <v/>
      </c>
      <c r="BJ776">
        <f>'Grid_Stock'!BH14</f>
        <v/>
      </c>
      <c r="BK776">
        <f>'Grid_Stock'!BI14</f>
        <v/>
      </c>
      <c r="BL776">
        <f>'Grid_Stock'!BJ14</f>
        <v/>
      </c>
      <c r="BM776">
        <f>'Grid_Stock'!BK14</f>
        <v/>
      </c>
      <c r="BN776">
        <f>'Grid_Stock'!BL14</f>
        <v/>
      </c>
      <c r="BO776">
        <f>'Grid_Stock'!BM14</f>
        <v/>
      </c>
      <c r="BP776">
        <f>'Grid_Stock'!BN14</f>
        <v/>
      </c>
      <c r="BQ776">
        <f>'Grid_Stock'!BO14</f>
        <v/>
      </c>
      <c r="BR776">
        <f>'Grid_Stock'!BP14</f>
        <v/>
      </c>
      <c r="BS776">
        <f>'Grid_Stock'!BQ14</f>
        <v/>
      </c>
      <c r="BT776">
        <f>'Grid_Stock'!BR14</f>
        <v/>
      </c>
      <c r="BU776">
        <f>'Grid_Stock'!BS14</f>
        <v/>
      </c>
      <c r="BV776">
        <f>'Grid_Stock'!BT14</f>
        <v/>
      </c>
      <c r="BW776">
        <f>'Grid_Stock'!BU14</f>
        <v/>
      </c>
      <c r="BX776">
        <f>'Grid_Stock'!BV14</f>
        <v/>
      </c>
      <c r="BY776">
        <f>'Grid_Stock'!BW14</f>
        <v/>
      </c>
      <c r="BZ776">
        <f>'Grid_Stock'!BX14</f>
        <v/>
      </c>
      <c r="CA776">
        <f>'Grid_Stock'!BY14</f>
        <v/>
      </c>
      <c r="CB776">
        <f>'Grid_Stock'!BZ14</f>
        <v/>
      </c>
      <c r="CC776">
        <f>'Grid_Stock'!CA14</f>
        <v/>
      </c>
      <c r="CD776">
        <f>'Grid_Stock'!CB14</f>
        <v/>
      </c>
      <c r="CE776">
        <f>'Grid_Stock'!CC14</f>
        <v/>
      </c>
      <c r="CF776">
        <f>'Grid_Stock'!CD14</f>
        <v/>
      </c>
      <c r="CG776">
        <f>'Grid_Stock'!CE14</f>
        <v/>
      </c>
      <c r="CH776">
        <f>'Grid_Stock'!CF14</f>
        <v/>
      </c>
      <c r="CI776">
        <f>'Grid_Stock'!CG14</f>
        <v/>
      </c>
      <c r="CJ776">
        <f>'Grid_Stock'!CH14</f>
        <v/>
      </c>
      <c r="CK776">
        <f>'Grid_Stock'!CI14</f>
        <v/>
      </c>
      <c r="CL776">
        <f>'Grid_Stock'!CJ14</f>
        <v/>
      </c>
      <c r="CM776">
        <f>'Grid_Stock'!CK14</f>
        <v/>
      </c>
      <c r="CN776">
        <f>'Grid_Stock'!CL14</f>
        <v/>
      </c>
      <c r="CO776">
        <f>'Grid_Stock'!CM14</f>
        <v/>
      </c>
      <c r="CP776">
        <f>'Grid_Stock'!CN14</f>
        <v/>
      </c>
      <c r="CQ776">
        <f>'Grid_Stock'!CO14</f>
        <v/>
      </c>
      <c r="CR776">
        <f>'Grid_Stock'!CP14</f>
        <v/>
      </c>
      <c r="CS776">
        <f>'Grid_Stock'!CQ14</f>
        <v/>
      </c>
      <c r="CT776">
        <f>'Grid_Stock'!CR14</f>
        <v/>
      </c>
      <c r="CU776">
        <f>'Grid_Stock'!CS14</f>
        <v/>
      </c>
      <c r="CV776">
        <f>'Grid_Stock'!CT14</f>
        <v/>
      </c>
      <c r="CW776">
        <f>'Grid_Stock'!CU14</f>
        <v/>
      </c>
      <c r="CX776">
        <f>'Grid_Stock'!CV14</f>
        <v/>
      </c>
      <c r="CY776">
        <f>'Grid_Stock'!CW14</f>
        <v/>
      </c>
      <c r="CZ776">
        <f>'Grid_Stock'!CX14</f>
        <v/>
      </c>
      <c r="DA776">
        <f>'Grid_Stock'!CY14</f>
        <v/>
      </c>
      <c r="DB776">
        <f>'Grid_Stock'!CZ14</f>
        <v/>
      </c>
      <c r="DC776">
        <f>'Grid_Stock'!DA14</f>
        <v/>
      </c>
    </row>
    <row r="777">
      <c r="B777" s="23" t="inlineStr">
        <is>
          <t>（発注の目安はDashboardの基準在庫[下限/上限]と色分けを参照）</t>
        </is>
      </c>
    </row>
    <row r="779">
      <c r="A779" s="21" t="inlineStr">
        <is>
          <t>CHEM-1700</t>
        </is>
      </c>
      <c r="B779" s="21" t="inlineStr">
        <is>
          <t>Tepyrus CT38</t>
        </is>
      </c>
      <c r="C779" s="22" t="n"/>
      <c r="D779" s="21" t="n"/>
      <c r="E779" s="21" t="n"/>
      <c r="F779" s="21" t="n"/>
      <c r="G779" s="21" t="n"/>
      <c r="H779" s="2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  <c r="AA779" s="21" t="n"/>
      <c r="AB779" s="21" t="n"/>
      <c r="AC779" s="21" t="n"/>
      <c r="AD779" s="21" t="n"/>
      <c r="AE779" s="21" t="n"/>
      <c r="AF779" s="21" t="n"/>
      <c r="AG779" s="21" t="n"/>
      <c r="AH779" s="21" t="n"/>
      <c r="AI779" s="21" t="n"/>
      <c r="AJ779" s="21" t="n"/>
      <c r="AK779" s="21" t="n"/>
      <c r="AL779" s="21" t="n"/>
      <c r="AM779" s="21" t="n"/>
      <c r="AN779" s="21" t="n"/>
      <c r="AO779" s="21" t="n"/>
      <c r="AP779" s="21" t="n"/>
      <c r="AQ779" s="21" t="n"/>
      <c r="AR779" s="21" t="n"/>
      <c r="AS779" s="21" t="n"/>
      <c r="AT779" s="21" t="n"/>
      <c r="AU779" s="21" t="n"/>
      <c r="AV779" s="21" t="n"/>
      <c r="AW779" s="21" t="n"/>
      <c r="AX779" s="21" t="n"/>
      <c r="AY779" s="21" t="n"/>
      <c r="AZ779" s="21" t="n"/>
      <c r="BA779" s="21" t="n"/>
      <c r="BB779" s="21" t="n"/>
      <c r="BC779" s="21" t="n"/>
      <c r="BD779" s="21" t="n"/>
      <c r="BE779" s="21" t="n"/>
      <c r="BF779" s="21" t="n"/>
      <c r="BG779" s="21" t="n"/>
      <c r="BH779" s="21" t="n"/>
      <c r="BI779" s="21" t="n"/>
      <c r="BJ779" s="21" t="n"/>
      <c r="BK779" s="21" t="n"/>
      <c r="BL779" s="21" t="n"/>
      <c r="BM779" s="21" t="n"/>
      <c r="BN779" s="21" t="n"/>
      <c r="BO779" s="21" t="n"/>
      <c r="BP779" s="21" t="n"/>
      <c r="BQ779" s="21" t="n"/>
      <c r="BR779" s="21" t="n"/>
      <c r="BS779" s="21" t="n"/>
      <c r="BT779" s="21" t="n"/>
      <c r="BU779" s="21" t="n"/>
      <c r="BV779" s="21" t="n"/>
      <c r="BW779" s="21" t="n"/>
      <c r="BX779" s="21" t="n"/>
      <c r="BY779" s="21" t="n"/>
      <c r="BZ779" s="21" t="n"/>
      <c r="CA779" s="21" t="n"/>
      <c r="CB779" s="21" t="n"/>
      <c r="CC779" s="21" t="n"/>
      <c r="CD779" s="21" t="n"/>
      <c r="CE779" s="21" t="n"/>
      <c r="CF779" s="21" t="n"/>
      <c r="CG779" s="21" t="n"/>
      <c r="CH779" s="21" t="n"/>
      <c r="CI779" s="21" t="n"/>
      <c r="CJ779" s="21" t="n"/>
      <c r="CK779" s="21" t="n"/>
      <c r="CL779" s="21" t="n"/>
      <c r="CM779" s="21" t="n"/>
      <c r="CN779" s="21" t="n"/>
      <c r="CO779" s="21" t="n"/>
      <c r="CP779" s="21" t="n"/>
      <c r="CQ779" s="21" t="n"/>
      <c r="CR779" s="21" t="n"/>
      <c r="CS779" s="21" t="n"/>
      <c r="CT779" s="21" t="n"/>
      <c r="CU779" s="21" t="n"/>
      <c r="CV779" s="21" t="n"/>
      <c r="CW779" s="21" t="n"/>
      <c r="CX779" s="21" t="n"/>
      <c r="CY779" s="21" t="n"/>
      <c r="CZ779" s="21" t="n"/>
      <c r="DA779" s="21" t="n"/>
      <c r="DB779" s="21" t="n"/>
      <c r="DC779" s="21" t="n"/>
    </row>
    <row r="780">
      <c r="B780" t="inlineStr">
        <is>
          <t>TSP-1388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Name],$A779)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TSP-1448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Name],$A779)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TSP-1449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Name],$A779)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Name],$A779)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Name],$A779)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TSP-620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Name],$A779)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TSP-623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Name],$A779)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TSP-934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Name],$A779)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TSP-935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Name],$A779)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TSP-936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Name],$A779)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TSP-937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Name],$A779)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s="5" t="inlineStr">
        <is>
          <t>合計使用量(kg)/週</t>
        </is>
      </c>
      <c r="D802">
        <f>'Grid_Requirement'!B30</f>
        <v/>
      </c>
      <c r="E802">
        <f>'Grid_Requirement'!C30</f>
        <v/>
      </c>
      <c r="F802">
        <f>'Grid_Requirement'!D30</f>
        <v/>
      </c>
      <c r="G802">
        <f>'Grid_Requirement'!E30</f>
        <v/>
      </c>
      <c r="H802">
        <f>'Grid_Requirement'!F30</f>
        <v/>
      </c>
      <c r="I802">
        <f>'Grid_Requirement'!G30</f>
        <v/>
      </c>
      <c r="J802">
        <f>'Grid_Requirement'!H30</f>
        <v/>
      </c>
      <c r="K802">
        <f>'Grid_Requirement'!I30</f>
        <v/>
      </c>
      <c r="L802">
        <f>'Grid_Requirement'!J30</f>
        <v/>
      </c>
      <c r="M802">
        <f>'Grid_Requirement'!K30</f>
        <v/>
      </c>
      <c r="N802">
        <f>'Grid_Requirement'!L30</f>
        <v/>
      </c>
      <c r="O802">
        <f>'Grid_Requirement'!M30</f>
        <v/>
      </c>
      <c r="P802">
        <f>'Grid_Requirement'!N30</f>
        <v/>
      </c>
      <c r="Q802">
        <f>'Grid_Requirement'!O30</f>
        <v/>
      </c>
      <c r="R802">
        <f>'Grid_Requirement'!P30</f>
        <v/>
      </c>
      <c r="S802">
        <f>'Grid_Requirement'!Q30</f>
        <v/>
      </c>
      <c r="T802">
        <f>'Grid_Requirement'!R30</f>
        <v/>
      </c>
      <c r="U802">
        <f>'Grid_Requirement'!S30</f>
        <v/>
      </c>
      <c r="V802">
        <f>'Grid_Requirement'!T30</f>
        <v/>
      </c>
      <c r="W802">
        <f>'Grid_Requirement'!U30</f>
        <v/>
      </c>
      <c r="X802">
        <f>'Grid_Requirement'!V30</f>
        <v/>
      </c>
      <c r="Y802">
        <f>'Grid_Requirement'!W30</f>
        <v/>
      </c>
      <c r="Z802">
        <f>'Grid_Requirement'!X30</f>
        <v/>
      </c>
      <c r="AA802">
        <f>'Grid_Requirement'!Y30</f>
        <v/>
      </c>
      <c r="AB802">
        <f>'Grid_Requirement'!Z30</f>
        <v/>
      </c>
      <c r="AC802">
        <f>'Grid_Requirement'!AA30</f>
        <v/>
      </c>
      <c r="AD802">
        <f>'Grid_Requirement'!AB30</f>
        <v/>
      </c>
      <c r="AE802">
        <f>'Grid_Requirement'!AC30</f>
        <v/>
      </c>
      <c r="AF802">
        <f>'Grid_Requirement'!AD30</f>
        <v/>
      </c>
      <c r="AG802">
        <f>'Grid_Requirement'!AE30</f>
        <v/>
      </c>
      <c r="AH802">
        <f>'Grid_Requirement'!AF30</f>
        <v/>
      </c>
      <c r="AI802">
        <f>'Grid_Requirement'!AG30</f>
        <v/>
      </c>
      <c r="AJ802">
        <f>'Grid_Requirement'!AH30</f>
        <v/>
      </c>
      <c r="AK802">
        <f>'Grid_Requirement'!AI30</f>
        <v/>
      </c>
      <c r="AL802">
        <f>'Grid_Requirement'!AJ30</f>
        <v/>
      </c>
      <c r="AM802">
        <f>'Grid_Requirement'!AK30</f>
        <v/>
      </c>
      <c r="AN802">
        <f>'Grid_Requirement'!AL30</f>
        <v/>
      </c>
      <c r="AO802">
        <f>'Grid_Requirement'!AM30</f>
        <v/>
      </c>
      <c r="AP802">
        <f>'Grid_Requirement'!AN30</f>
        <v/>
      </c>
      <c r="AQ802">
        <f>'Grid_Requirement'!AO30</f>
        <v/>
      </c>
      <c r="AR802">
        <f>'Grid_Requirement'!AP30</f>
        <v/>
      </c>
      <c r="AS802">
        <f>'Grid_Requirement'!AQ30</f>
        <v/>
      </c>
      <c r="AT802">
        <f>'Grid_Requirement'!AR30</f>
        <v/>
      </c>
      <c r="AU802">
        <f>'Grid_Requirement'!AS30</f>
        <v/>
      </c>
      <c r="AV802">
        <f>'Grid_Requirement'!AT30</f>
        <v/>
      </c>
      <c r="AW802">
        <f>'Grid_Requirement'!AU30</f>
        <v/>
      </c>
      <c r="AX802">
        <f>'Grid_Requirement'!AV30</f>
        <v/>
      </c>
      <c r="AY802">
        <f>'Grid_Requirement'!AW30</f>
        <v/>
      </c>
      <c r="AZ802">
        <f>'Grid_Requirement'!AX30</f>
        <v/>
      </c>
      <c r="BA802">
        <f>'Grid_Requirement'!AY30</f>
        <v/>
      </c>
      <c r="BB802">
        <f>'Grid_Requirement'!AZ30</f>
        <v/>
      </c>
      <c r="BC802">
        <f>'Grid_Requirement'!BA30</f>
        <v/>
      </c>
      <c r="BD802">
        <f>'Grid_Requirement'!BB30</f>
        <v/>
      </c>
      <c r="BE802">
        <f>'Grid_Requirement'!BC30</f>
        <v/>
      </c>
      <c r="BF802">
        <f>'Grid_Requirement'!BD30</f>
        <v/>
      </c>
      <c r="BG802">
        <f>'Grid_Requirement'!BE30</f>
        <v/>
      </c>
      <c r="BH802">
        <f>'Grid_Requirement'!BF30</f>
        <v/>
      </c>
      <c r="BI802">
        <f>'Grid_Requirement'!BG30</f>
        <v/>
      </c>
      <c r="BJ802">
        <f>'Grid_Requirement'!BH30</f>
        <v/>
      </c>
      <c r="BK802">
        <f>'Grid_Requirement'!BI30</f>
        <v/>
      </c>
      <c r="BL802">
        <f>'Grid_Requirement'!BJ30</f>
        <v/>
      </c>
      <c r="BM802">
        <f>'Grid_Requirement'!BK30</f>
        <v/>
      </c>
      <c r="BN802">
        <f>'Grid_Requirement'!BL30</f>
        <v/>
      </c>
      <c r="BO802">
        <f>'Grid_Requirement'!BM30</f>
        <v/>
      </c>
      <c r="BP802">
        <f>'Grid_Requirement'!BN30</f>
        <v/>
      </c>
      <c r="BQ802">
        <f>'Grid_Requirement'!BO30</f>
        <v/>
      </c>
      <c r="BR802">
        <f>'Grid_Requirement'!BP30</f>
        <v/>
      </c>
      <c r="BS802">
        <f>'Grid_Requirement'!BQ30</f>
        <v/>
      </c>
      <c r="BT802">
        <f>'Grid_Requirement'!BR30</f>
        <v/>
      </c>
      <c r="BU802">
        <f>'Grid_Requirement'!BS30</f>
        <v/>
      </c>
      <c r="BV802">
        <f>'Grid_Requirement'!BT30</f>
        <v/>
      </c>
      <c r="BW802">
        <f>'Grid_Requirement'!BU30</f>
        <v/>
      </c>
      <c r="BX802">
        <f>'Grid_Requirement'!BV30</f>
        <v/>
      </c>
      <c r="BY802">
        <f>'Grid_Requirement'!BW30</f>
        <v/>
      </c>
      <c r="BZ802">
        <f>'Grid_Requirement'!BX30</f>
        <v/>
      </c>
      <c r="CA802">
        <f>'Grid_Requirement'!BY30</f>
        <v/>
      </c>
      <c r="CB802">
        <f>'Grid_Requirement'!BZ30</f>
        <v/>
      </c>
      <c r="CC802">
        <f>'Grid_Requirement'!CA30</f>
        <v/>
      </c>
      <c r="CD802">
        <f>'Grid_Requirement'!CB30</f>
        <v/>
      </c>
      <c r="CE802">
        <f>'Grid_Requirement'!CC30</f>
        <v/>
      </c>
      <c r="CF802">
        <f>'Grid_Requirement'!CD30</f>
        <v/>
      </c>
      <c r="CG802">
        <f>'Grid_Requirement'!CE30</f>
        <v/>
      </c>
      <c r="CH802">
        <f>'Grid_Requirement'!CF30</f>
        <v/>
      </c>
      <c r="CI802">
        <f>'Grid_Requirement'!CG30</f>
        <v/>
      </c>
      <c r="CJ802">
        <f>'Grid_Requirement'!CH30</f>
        <v/>
      </c>
      <c r="CK802">
        <f>'Grid_Requirement'!CI30</f>
        <v/>
      </c>
      <c r="CL802">
        <f>'Grid_Requirement'!CJ30</f>
        <v/>
      </c>
      <c r="CM802">
        <f>'Grid_Requirement'!CK30</f>
        <v/>
      </c>
      <c r="CN802">
        <f>'Grid_Requirement'!CL30</f>
        <v/>
      </c>
      <c r="CO802">
        <f>'Grid_Requirement'!CM30</f>
        <v/>
      </c>
      <c r="CP802">
        <f>'Grid_Requirement'!CN30</f>
        <v/>
      </c>
      <c r="CQ802">
        <f>'Grid_Requirement'!CO30</f>
        <v/>
      </c>
      <c r="CR802">
        <f>'Grid_Requirement'!CP30</f>
        <v/>
      </c>
      <c r="CS802">
        <f>'Grid_Requirement'!CQ30</f>
        <v/>
      </c>
      <c r="CT802">
        <f>'Grid_Requirement'!CR30</f>
        <v/>
      </c>
      <c r="CU802">
        <f>'Grid_Requirement'!CS30</f>
        <v/>
      </c>
      <c r="CV802">
        <f>'Grid_Requirement'!CT30</f>
        <v/>
      </c>
      <c r="CW802">
        <f>'Grid_Requirement'!CU30</f>
        <v/>
      </c>
      <c r="CX802">
        <f>'Grid_Requirement'!CV30</f>
        <v/>
      </c>
      <c r="CY802">
        <f>'Grid_Requirement'!CW30</f>
        <v/>
      </c>
      <c r="CZ802">
        <f>'Grid_Requirement'!CX30</f>
        <v/>
      </c>
      <c r="DA802">
        <f>'Grid_Requirement'!CY30</f>
        <v/>
      </c>
      <c r="DB802">
        <f>'Grid_Requirement'!CZ30</f>
        <v/>
      </c>
      <c r="DC802">
        <f>'Grid_Requirement'!DA30</f>
        <v/>
      </c>
    </row>
    <row r="803">
      <c r="B803" t="inlineStr">
        <is>
          <t>TTAF在庫(実績,kg)</t>
        </is>
      </c>
      <c r="D803">
        <f>'T_TTAFStock'!B34</f>
        <v/>
      </c>
      <c r="E803">
        <f>'T_TTAFStock'!C34</f>
        <v/>
      </c>
      <c r="F803">
        <f>'T_TTAFStock'!D34</f>
        <v/>
      </c>
      <c r="G803">
        <f>'T_TTAFStock'!E34</f>
        <v/>
      </c>
      <c r="H803">
        <f>'T_TTAFStock'!F34</f>
        <v/>
      </c>
      <c r="I803">
        <f>'T_TTAFStock'!G34</f>
        <v/>
      </c>
      <c r="J803">
        <f>'T_TTAFStock'!H34</f>
        <v/>
      </c>
      <c r="K803">
        <f>'T_TTAFStock'!I34</f>
        <v/>
      </c>
      <c r="L803">
        <f>'T_TTAFStock'!J34</f>
        <v/>
      </c>
      <c r="M803">
        <f>'T_TTAFStock'!K34</f>
        <v/>
      </c>
      <c r="N803">
        <f>'T_TTAFStock'!L34</f>
        <v/>
      </c>
      <c r="O803">
        <f>'T_TTAFStock'!M34</f>
        <v/>
      </c>
      <c r="P803">
        <f>'T_TTAFStock'!N34</f>
        <v/>
      </c>
      <c r="Q803">
        <f>'T_TTAFStock'!O34</f>
        <v/>
      </c>
      <c r="R803">
        <f>'T_TTAFStock'!P34</f>
        <v/>
      </c>
      <c r="S803">
        <f>'T_TTAFStock'!Q34</f>
        <v/>
      </c>
      <c r="T803">
        <f>'T_TTAFStock'!R34</f>
        <v/>
      </c>
      <c r="U803">
        <f>'T_TTAFStock'!S34</f>
        <v/>
      </c>
      <c r="V803">
        <f>'T_TTAFStock'!T34</f>
        <v/>
      </c>
      <c r="W803">
        <f>'T_TTAFStock'!U34</f>
        <v/>
      </c>
      <c r="X803">
        <f>'T_TTAFStock'!V34</f>
        <v/>
      </c>
      <c r="Y803">
        <f>'T_TTAFStock'!W34</f>
        <v/>
      </c>
      <c r="Z803">
        <f>'T_TTAFStock'!X34</f>
        <v/>
      </c>
      <c r="AA803">
        <f>'T_TTAFStock'!Y34</f>
        <v/>
      </c>
      <c r="AB803">
        <f>'T_TTAFStock'!Z34</f>
        <v/>
      </c>
      <c r="AC803">
        <f>'T_TTAFStock'!AA34</f>
        <v/>
      </c>
      <c r="AD803">
        <f>'T_TTAFStock'!AB34</f>
        <v/>
      </c>
      <c r="AE803">
        <f>'T_TTAFStock'!AC34</f>
        <v/>
      </c>
      <c r="AF803">
        <f>'T_TTAFStock'!AD34</f>
        <v/>
      </c>
      <c r="AG803">
        <f>'T_TTAFStock'!AE34</f>
        <v/>
      </c>
      <c r="AH803">
        <f>'T_TTAFStock'!AF34</f>
        <v/>
      </c>
      <c r="AI803">
        <f>'T_TTAFStock'!AG34</f>
        <v/>
      </c>
      <c r="AJ803">
        <f>'T_TTAFStock'!AH34</f>
        <v/>
      </c>
      <c r="AK803">
        <f>'T_TTAFStock'!AI34</f>
        <v/>
      </c>
      <c r="AL803">
        <f>'T_TTAFStock'!AJ34</f>
        <v/>
      </c>
      <c r="AM803">
        <f>'T_TTAFStock'!AK34</f>
        <v/>
      </c>
      <c r="AN803">
        <f>'T_TTAFStock'!AL34</f>
        <v/>
      </c>
      <c r="AO803">
        <f>'T_TTAFStock'!AM34</f>
        <v/>
      </c>
      <c r="AP803">
        <f>'T_TTAFStock'!AN34</f>
        <v/>
      </c>
      <c r="AQ803">
        <f>'T_TTAFStock'!AO34</f>
        <v/>
      </c>
      <c r="AR803">
        <f>'T_TTAFStock'!AP34</f>
        <v/>
      </c>
      <c r="AS803">
        <f>'T_TTAFStock'!AQ34</f>
        <v/>
      </c>
      <c r="AT803">
        <f>'T_TTAFStock'!AR34</f>
        <v/>
      </c>
      <c r="AU803">
        <f>'T_TTAFStock'!AS34</f>
        <v/>
      </c>
      <c r="AV803">
        <f>'T_TTAFStock'!AT34</f>
        <v/>
      </c>
      <c r="AW803">
        <f>'T_TTAFStock'!AU34</f>
        <v/>
      </c>
      <c r="AX803">
        <f>'T_TTAFStock'!AV34</f>
        <v/>
      </c>
      <c r="AY803">
        <f>'T_TTAFStock'!AW34</f>
        <v/>
      </c>
      <c r="AZ803">
        <f>'T_TTAFStock'!AX34</f>
        <v/>
      </c>
      <c r="BA803">
        <f>'T_TTAFStock'!AY34</f>
        <v/>
      </c>
      <c r="BB803">
        <f>'T_TTAFStock'!AZ34</f>
        <v/>
      </c>
      <c r="BC803">
        <f>'T_TTAFStock'!BA34</f>
        <v/>
      </c>
      <c r="BD803">
        <f>'T_TTAFStock'!BB34</f>
        <v/>
      </c>
      <c r="BE803">
        <f>'T_TTAFStock'!BC34</f>
        <v/>
      </c>
      <c r="BF803">
        <f>'T_TTAFStock'!BD34</f>
        <v/>
      </c>
      <c r="BG803">
        <f>'T_TTAFStock'!BE34</f>
        <v/>
      </c>
      <c r="BH803">
        <f>'T_TTAFStock'!BF34</f>
        <v/>
      </c>
      <c r="BI803">
        <f>'T_TTAFStock'!BG34</f>
        <v/>
      </c>
      <c r="BJ803">
        <f>'T_TTAFStock'!BH34</f>
        <v/>
      </c>
      <c r="BK803">
        <f>'T_TTAFStock'!BI34</f>
        <v/>
      </c>
      <c r="BL803">
        <f>'T_TTAFStock'!BJ34</f>
        <v/>
      </c>
      <c r="BM803">
        <f>'T_TTAFStock'!BK34</f>
        <v/>
      </c>
      <c r="BN803">
        <f>'T_TTAFStock'!BL34</f>
        <v/>
      </c>
      <c r="BO803">
        <f>'T_TTAFStock'!BM34</f>
        <v/>
      </c>
      <c r="BP803">
        <f>'T_TTAFStock'!BN34</f>
        <v/>
      </c>
      <c r="BQ803">
        <f>'T_TTAFStock'!BO34</f>
        <v/>
      </c>
      <c r="BR803">
        <f>'T_TTAFStock'!BP34</f>
        <v/>
      </c>
      <c r="BS803">
        <f>'T_TTAFStock'!BQ34</f>
        <v/>
      </c>
      <c r="BT803">
        <f>'T_TTAFStock'!BR34</f>
        <v/>
      </c>
      <c r="BU803">
        <f>'T_TTAFStock'!BS34</f>
        <v/>
      </c>
      <c r="BV803">
        <f>'T_TTAFStock'!BT34</f>
        <v/>
      </c>
      <c r="BW803">
        <f>'T_TTAFStock'!BU34</f>
        <v/>
      </c>
      <c r="BX803">
        <f>'T_TTAFStock'!BV34</f>
        <v/>
      </c>
      <c r="BY803">
        <f>'T_TTAFStock'!BW34</f>
        <v/>
      </c>
      <c r="BZ803">
        <f>'T_TTAFStock'!BX34</f>
        <v/>
      </c>
      <c r="CA803">
        <f>'T_TTAFStock'!BY34</f>
        <v/>
      </c>
      <c r="CB803">
        <f>'T_TTAFStock'!BZ34</f>
        <v/>
      </c>
      <c r="CC803">
        <f>'T_TTAFStock'!CA34</f>
        <v/>
      </c>
      <c r="CD803">
        <f>'T_TTAFStock'!CB34</f>
        <v/>
      </c>
      <c r="CE803">
        <f>'T_TTAFStock'!CC34</f>
        <v/>
      </c>
      <c r="CF803">
        <f>'T_TTAFStock'!CD34</f>
        <v/>
      </c>
      <c r="CG803">
        <f>'T_TTAFStock'!CE34</f>
        <v/>
      </c>
      <c r="CH803">
        <f>'T_TTAFStock'!CF34</f>
        <v/>
      </c>
      <c r="CI803">
        <f>'T_TTAFStock'!CG34</f>
        <v/>
      </c>
      <c r="CJ803">
        <f>'T_TTAFStock'!CH34</f>
        <v/>
      </c>
      <c r="CK803">
        <f>'T_TTAFStock'!CI34</f>
        <v/>
      </c>
      <c r="CL803">
        <f>'T_TTAFStock'!CJ34</f>
        <v/>
      </c>
      <c r="CM803">
        <f>'T_TTAFStock'!CK34</f>
        <v/>
      </c>
      <c r="CN803">
        <f>'T_TTAFStock'!CL34</f>
        <v/>
      </c>
      <c r="CO803">
        <f>'T_TTAFStock'!CM34</f>
        <v/>
      </c>
      <c r="CP803">
        <f>'T_TTAFStock'!CN34</f>
        <v/>
      </c>
      <c r="CQ803">
        <f>'T_TTAFStock'!CO34</f>
        <v/>
      </c>
      <c r="CR803">
        <f>'T_TTAFStock'!CP34</f>
        <v/>
      </c>
      <c r="CS803">
        <f>'T_TTAFStock'!CQ34</f>
        <v/>
      </c>
      <c r="CT803">
        <f>'T_TTAFStock'!CR34</f>
        <v/>
      </c>
      <c r="CU803">
        <f>'T_TTAFStock'!CS34</f>
        <v/>
      </c>
      <c r="CV803">
        <f>'T_TTAFStock'!CT34</f>
        <v/>
      </c>
      <c r="CW803">
        <f>'T_TTAFStock'!CU34</f>
        <v/>
      </c>
      <c r="CX803">
        <f>'T_TTAFStock'!CV34</f>
        <v/>
      </c>
      <c r="CY803">
        <f>'T_TTAFStock'!CW34</f>
        <v/>
      </c>
      <c r="CZ803">
        <f>'T_TTAFStock'!CX34</f>
        <v/>
      </c>
      <c r="DA803">
        <f>'T_TTAFStock'!CY34</f>
        <v/>
      </c>
      <c r="DB803">
        <f>'T_TTAFStock'!CZ34</f>
        <v/>
      </c>
      <c r="DC803">
        <f>'T_TTAFStock'!DA34</f>
        <v/>
      </c>
    </row>
    <row r="804">
      <c r="B804" t="inlineStr">
        <is>
          <t>自社在庫(実績,kg)</t>
        </is>
      </c>
      <c r="D804">
        <f>'T_SelfStock'!B34</f>
        <v/>
      </c>
      <c r="E804">
        <f>'T_SelfStock'!C34</f>
        <v/>
      </c>
      <c r="F804">
        <f>'T_SelfStock'!D34</f>
        <v/>
      </c>
      <c r="G804">
        <f>'T_SelfStock'!E34</f>
        <v/>
      </c>
      <c r="H804">
        <f>'T_SelfStock'!F34</f>
        <v/>
      </c>
      <c r="I804">
        <f>'T_SelfStock'!G34</f>
        <v/>
      </c>
      <c r="J804">
        <f>'T_SelfStock'!H34</f>
        <v/>
      </c>
      <c r="K804">
        <f>'T_SelfStock'!I34</f>
        <v/>
      </c>
      <c r="L804">
        <f>'T_SelfStock'!J34</f>
        <v/>
      </c>
      <c r="M804">
        <f>'T_SelfStock'!K34</f>
        <v/>
      </c>
      <c r="N804">
        <f>'T_SelfStock'!L34</f>
        <v/>
      </c>
      <c r="O804">
        <f>'T_SelfStock'!M34</f>
        <v/>
      </c>
      <c r="P804">
        <f>'T_SelfStock'!N34</f>
        <v/>
      </c>
      <c r="Q804">
        <f>'T_SelfStock'!O34</f>
        <v/>
      </c>
      <c r="R804">
        <f>'T_SelfStock'!P34</f>
        <v/>
      </c>
      <c r="S804">
        <f>'T_SelfStock'!Q34</f>
        <v/>
      </c>
      <c r="T804">
        <f>'T_SelfStock'!R34</f>
        <v/>
      </c>
      <c r="U804">
        <f>'T_SelfStock'!S34</f>
        <v/>
      </c>
      <c r="V804">
        <f>'T_SelfStock'!T34</f>
        <v/>
      </c>
      <c r="W804">
        <f>'T_SelfStock'!U34</f>
        <v/>
      </c>
      <c r="X804">
        <f>'T_SelfStock'!V34</f>
        <v/>
      </c>
      <c r="Y804">
        <f>'T_SelfStock'!W34</f>
        <v/>
      </c>
      <c r="Z804">
        <f>'T_SelfStock'!X34</f>
        <v/>
      </c>
      <c r="AA804">
        <f>'T_SelfStock'!Y34</f>
        <v/>
      </c>
      <c r="AB804">
        <f>'T_SelfStock'!Z34</f>
        <v/>
      </c>
      <c r="AC804">
        <f>'T_SelfStock'!AA34</f>
        <v/>
      </c>
      <c r="AD804">
        <f>'T_SelfStock'!AB34</f>
        <v/>
      </c>
      <c r="AE804">
        <f>'T_SelfStock'!AC34</f>
        <v/>
      </c>
      <c r="AF804">
        <f>'T_SelfStock'!AD34</f>
        <v/>
      </c>
      <c r="AG804">
        <f>'T_SelfStock'!AE34</f>
        <v/>
      </c>
      <c r="AH804">
        <f>'T_SelfStock'!AF34</f>
        <v/>
      </c>
      <c r="AI804">
        <f>'T_SelfStock'!AG34</f>
        <v/>
      </c>
      <c r="AJ804">
        <f>'T_SelfStock'!AH34</f>
        <v/>
      </c>
      <c r="AK804">
        <f>'T_SelfStock'!AI34</f>
        <v/>
      </c>
      <c r="AL804">
        <f>'T_SelfStock'!AJ34</f>
        <v/>
      </c>
      <c r="AM804">
        <f>'T_SelfStock'!AK34</f>
        <v/>
      </c>
      <c r="AN804">
        <f>'T_SelfStock'!AL34</f>
        <v/>
      </c>
      <c r="AO804">
        <f>'T_SelfStock'!AM34</f>
        <v/>
      </c>
      <c r="AP804">
        <f>'T_SelfStock'!AN34</f>
        <v/>
      </c>
      <c r="AQ804">
        <f>'T_SelfStock'!AO34</f>
        <v/>
      </c>
      <c r="AR804">
        <f>'T_SelfStock'!AP34</f>
        <v/>
      </c>
      <c r="AS804">
        <f>'T_SelfStock'!AQ34</f>
        <v/>
      </c>
      <c r="AT804">
        <f>'T_SelfStock'!AR34</f>
        <v/>
      </c>
      <c r="AU804">
        <f>'T_SelfStock'!AS34</f>
        <v/>
      </c>
      <c r="AV804">
        <f>'T_SelfStock'!AT34</f>
        <v/>
      </c>
      <c r="AW804">
        <f>'T_SelfStock'!AU34</f>
        <v/>
      </c>
      <c r="AX804">
        <f>'T_SelfStock'!AV34</f>
        <v/>
      </c>
      <c r="AY804">
        <f>'T_SelfStock'!AW34</f>
        <v/>
      </c>
      <c r="AZ804">
        <f>'T_SelfStock'!AX34</f>
        <v/>
      </c>
      <c r="BA804">
        <f>'T_SelfStock'!AY34</f>
        <v/>
      </c>
      <c r="BB804">
        <f>'T_SelfStock'!AZ34</f>
        <v/>
      </c>
      <c r="BC804">
        <f>'T_SelfStock'!BA34</f>
        <v/>
      </c>
      <c r="BD804">
        <f>'T_SelfStock'!BB34</f>
        <v/>
      </c>
      <c r="BE804">
        <f>'T_SelfStock'!BC34</f>
        <v/>
      </c>
      <c r="BF804">
        <f>'T_SelfStock'!BD34</f>
        <v/>
      </c>
      <c r="BG804">
        <f>'T_SelfStock'!BE34</f>
        <v/>
      </c>
      <c r="BH804">
        <f>'T_SelfStock'!BF34</f>
        <v/>
      </c>
      <c r="BI804">
        <f>'T_SelfStock'!BG34</f>
        <v/>
      </c>
      <c r="BJ804">
        <f>'T_SelfStock'!BH34</f>
        <v/>
      </c>
      <c r="BK804">
        <f>'T_SelfStock'!BI34</f>
        <v/>
      </c>
      <c r="BL804">
        <f>'T_SelfStock'!BJ34</f>
        <v/>
      </c>
      <c r="BM804">
        <f>'T_SelfStock'!BK34</f>
        <v/>
      </c>
      <c r="BN804">
        <f>'T_SelfStock'!BL34</f>
        <v/>
      </c>
      <c r="BO804">
        <f>'T_SelfStock'!BM34</f>
        <v/>
      </c>
      <c r="BP804">
        <f>'T_SelfStock'!BN34</f>
        <v/>
      </c>
      <c r="BQ804">
        <f>'T_SelfStock'!BO34</f>
        <v/>
      </c>
      <c r="BR804">
        <f>'T_SelfStock'!BP34</f>
        <v/>
      </c>
      <c r="BS804">
        <f>'T_SelfStock'!BQ34</f>
        <v/>
      </c>
      <c r="BT804">
        <f>'T_SelfStock'!BR34</f>
        <v/>
      </c>
      <c r="BU804">
        <f>'T_SelfStock'!BS34</f>
        <v/>
      </c>
      <c r="BV804">
        <f>'T_SelfStock'!BT34</f>
        <v/>
      </c>
      <c r="BW804">
        <f>'T_SelfStock'!BU34</f>
        <v/>
      </c>
      <c r="BX804">
        <f>'T_SelfStock'!BV34</f>
        <v/>
      </c>
      <c r="BY804">
        <f>'T_SelfStock'!BW34</f>
        <v/>
      </c>
      <c r="BZ804">
        <f>'T_SelfStock'!BX34</f>
        <v/>
      </c>
      <c r="CA804">
        <f>'T_SelfStock'!BY34</f>
        <v/>
      </c>
      <c r="CB804">
        <f>'T_SelfStock'!BZ34</f>
        <v/>
      </c>
      <c r="CC804">
        <f>'T_SelfStock'!CA34</f>
        <v/>
      </c>
      <c r="CD804">
        <f>'T_SelfStock'!CB34</f>
        <v/>
      </c>
      <c r="CE804">
        <f>'T_SelfStock'!CC34</f>
        <v/>
      </c>
      <c r="CF804">
        <f>'T_SelfStock'!CD34</f>
        <v/>
      </c>
      <c r="CG804">
        <f>'T_SelfStock'!CE34</f>
        <v/>
      </c>
      <c r="CH804">
        <f>'T_SelfStock'!CF34</f>
        <v/>
      </c>
      <c r="CI804">
        <f>'T_SelfStock'!CG34</f>
        <v/>
      </c>
      <c r="CJ804">
        <f>'T_SelfStock'!CH34</f>
        <v/>
      </c>
      <c r="CK804">
        <f>'T_SelfStock'!CI34</f>
        <v/>
      </c>
      <c r="CL804">
        <f>'T_SelfStock'!CJ34</f>
        <v/>
      </c>
      <c r="CM804">
        <f>'T_SelfStock'!CK34</f>
        <v/>
      </c>
      <c r="CN804">
        <f>'T_SelfStock'!CL34</f>
        <v/>
      </c>
      <c r="CO804">
        <f>'T_SelfStock'!CM34</f>
        <v/>
      </c>
      <c r="CP804">
        <f>'T_SelfStock'!CN34</f>
        <v/>
      </c>
      <c r="CQ804">
        <f>'T_SelfStock'!CO34</f>
        <v/>
      </c>
      <c r="CR804">
        <f>'T_SelfStock'!CP34</f>
        <v/>
      </c>
      <c r="CS804">
        <f>'T_SelfStock'!CQ34</f>
        <v/>
      </c>
      <c r="CT804">
        <f>'T_SelfStock'!CR34</f>
        <v/>
      </c>
      <c r="CU804">
        <f>'T_SelfStock'!CS34</f>
        <v/>
      </c>
      <c r="CV804">
        <f>'T_SelfStock'!CT34</f>
        <v/>
      </c>
      <c r="CW804">
        <f>'T_SelfStock'!CU34</f>
        <v/>
      </c>
      <c r="CX804">
        <f>'T_SelfStock'!CV34</f>
        <v/>
      </c>
      <c r="CY804">
        <f>'T_SelfStock'!CW34</f>
        <v/>
      </c>
      <c r="CZ804">
        <f>'T_SelfStock'!CX34</f>
        <v/>
      </c>
      <c r="DA804">
        <f>'T_SelfStock'!CY34</f>
        <v/>
      </c>
      <c r="DB804">
        <f>'T_SelfStock'!CZ34</f>
        <v/>
      </c>
      <c r="DC804">
        <f>'T_SelfStock'!DA34</f>
        <v/>
      </c>
    </row>
    <row r="805">
      <c r="B805" t="inlineStr">
        <is>
          <t>Order(発注予定,kg)</t>
        </is>
      </c>
      <c r="D805">
        <f>IF(SUMIFS(T_PlannedOrders[EffectiveQty],T_PlannedOrders[Part Name],$A779,T_PlannedOrders[WeekIndex],1)=0,"",SUMIFS(T_PlannedOrders[EffectiveQty],T_PlannedOrders[Part Name],$A779,T_PlannedOrders[WeekIndex],1)&amp;" ("&amp;TEXT(SUMPRODUCT(MAX((T_PlannedOrders[Part Name]=$A779)*(T_PlannedOrders[WeekIndex]=1)*(T_PlannedOrders[EffectiveQty]&gt;0)*T_PlannedOrders[Order_Month])),"m月")&amp;"発注)")</f>
        <v/>
      </c>
      <c r="E805">
        <f>IF(SUMIFS(T_PlannedOrders[EffectiveQty],T_PlannedOrders[Part Name],$A779,T_PlannedOrders[WeekIndex],2)=0,"",SUMIFS(T_PlannedOrders[EffectiveQty],T_PlannedOrders[Part Name],$A779,T_PlannedOrders[WeekIndex],2)&amp;" ("&amp;TEXT(SUMPRODUCT(MAX((T_PlannedOrders[Part Name]=$A779)*(T_PlannedOrders[WeekIndex]=2)*(T_PlannedOrders[EffectiveQty]&gt;0)*T_PlannedOrders[Order_Month])),"m月")&amp;"発注)")</f>
        <v/>
      </c>
      <c r="F805">
        <f>IF(SUMIFS(T_PlannedOrders[EffectiveQty],T_PlannedOrders[Part Name],$A779,T_PlannedOrders[WeekIndex],3)=0,"",SUMIFS(T_PlannedOrders[EffectiveQty],T_PlannedOrders[Part Name],$A779,T_PlannedOrders[WeekIndex],3)&amp;" ("&amp;TEXT(SUMPRODUCT(MAX((T_PlannedOrders[Part Name]=$A779)*(T_PlannedOrders[WeekIndex]=3)*(T_PlannedOrders[EffectiveQty]&gt;0)*T_PlannedOrders[Order_Month])),"m月")&amp;"発注)")</f>
        <v/>
      </c>
      <c r="G805">
        <f>IF(SUMIFS(T_PlannedOrders[EffectiveQty],T_PlannedOrders[Part Name],$A779,T_PlannedOrders[WeekIndex],4)=0,"",SUMIFS(T_PlannedOrders[EffectiveQty],T_PlannedOrders[Part Name],$A779,T_PlannedOrders[WeekIndex],4)&amp;" ("&amp;TEXT(SUMPRODUCT(MAX((T_PlannedOrders[Part Name]=$A779)*(T_PlannedOrders[WeekIndex]=4)*(T_PlannedOrders[EffectiveQty]&gt;0)*T_PlannedOrders[Order_Month])),"m月")&amp;"発注)")</f>
        <v/>
      </c>
      <c r="H805">
        <f>IF(SUMIFS(T_PlannedOrders[EffectiveQty],T_PlannedOrders[Part Name],$A779,T_PlannedOrders[WeekIndex],5)=0,"",SUMIFS(T_PlannedOrders[EffectiveQty],T_PlannedOrders[Part Name],$A779,T_PlannedOrders[WeekIndex],5)&amp;" ("&amp;TEXT(SUMPRODUCT(MAX((T_PlannedOrders[Part Name]=$A779)*(T_PlannedOrders[WeekIndex]=5)*(T_PlannedOrders[EffectiveQty]&gt;0)*T_PlannedOrders[Order_Month])),"m月")&amp;"発注)")</f>
        <v/>
      </c>
      <c r="I805">
        <f>IF(SUMIFS(T_PlannedOrders[EffectiveQty],T_PlannedOrders[Part Name],$A779,T_PlannedOrders[WeekIndex],6)=0,"",SUMIFS(T_PlannedOrders[EffectiveQty],T_PlannedOrders[Part Name],$A779,T_PlannedOrders[WeekIndex],6)&amp;" ("&amp;TEXT(SUMPRODUCT(MAX((T_PlannedOrders[Part Name]=$A779)*(T_PlannedOrders[WeekIndex]=6)*(T_PlannedOrders[EffectiveQty]&gt;0)*T_PlannedOrders[Order_Month])),"m月")&amp;"発注)")</f>
        <v/>
      </c>
      <c r="J805">
        <f>IF(SUMIFS(T_PlannedOrders[EffectiveQty],T_PlannedOrders[Part Name],$A779,T_PlannedOrders[WeekIndex],7)=0,"",SUMIFS(T_PlannedOrders[EffectiveQty],T_PlannedOrders[Part Name],$A779,T_PlannedOrders[WeekIndex],7)&amp;" ("&amp;TEXT(SUMPRODUCT(MAX((T_PlannedOrders[Part Name]=$A779)*(T_PlannedOrders[WeekIndex]=7)*(T_PlannedOrders[EffectiveQty]&gt;0)*T_PlannedOrders[Order_Month])),"m月")&amp;"発注)")</f>
        <v/>
      </c>
      <c r="K805">
        <f>IF(SUMIFS(T_PlannedOrders[EffectiveQty],T_PlannedOrders[Part Name],$A779,T_PlannedOrders[WeekIndex],8)=0,"",SUMIFS(T_PlannedOrders[EffectiveQty],T_PlannedOrders[Part Name],$A779,T_PlannedOrders[WeekIndex],8)&amp;" ("&amp;TEXT(SUMPRODUCT(MAX((T_PlannedOrders[Part Name]=$A779)*(T_PlannedOrders[WeekIndex]=8)*(T_PlannedOrders[EffectiveQty]&gt;0)*T_PlannedOrders[Order_Month])),"m月")&amp;"発注)")</f>
        <v/>
      </c>
      <c r="L805">
        <f>IF(SUMIFS(T_PlannedOrders[EffectiveQty],T_PlannedOrders[Part Name],$A779,T_PlannedOrders[WeekIndex],9)=0,"",SUMIFS(T_PlannedOrders[EffectiveQty],T_PlannedOrders[Part Name],$A779,T_PlannedOrders[WeekIndex],9)&amp;" ("&amp;TEXT(SUMPRODUCT(MAX((T_PlannedOrders[Part Name]=$A779)*(T_PlannedOrders[WeekIndex]=9)*(T_PlannedOrders[EffectiveQty]&gt;0)*T_PlannedOrders[Order_Month])),"m月")&amp;"発注)")</f>
        <v/>
      </c>
      <c r="M805">
        <f>IF(SUMIFS(T_PlannedOrders[EffectiveQty],T_PlannedOrders[Part Name],$A779,T_PlannedOrders[WeekIndex],10)=0,"",SUMIFS(T_PlannedOrders[EffectiveQty],T_PlannedOrders[Part Name],$A779,T_PlannedOrders[WeekIndex],10)&amp;" ("&amp;TEXT(SUMPRODUCT(MAX((T_PlannedOrders[Part Name]=$A779)*(T_PlannedOrders[WeekIndex]=10)*(T_PlannedOrders[EffectiveQty]&gt;0)*T_PlannedOrders[Order_Month])),"m月")&amp;"発注)")</f>
        <v/>
      </c>
      <c r="N805">
        <f>IF(SUMIFS(T_PlannedOrders[EffectiveQty],T_PlannedOrders[Part Name],$A779,T_PlannedOrders[WeekIndex],11)=0,"",SUMIFS(T_PlannedOrders[EffectiveQty],T_PlannedOrders[Part Name],$A779,T_PlannedOrders[WeekIndex],11)&amp;" ("&amp;TEXT(SUMPRODUCT(MAX((T_PlannedOrders[Part Name]=$A779)*(T_PlannedOrders[WeekIndex]=11)*(T_PlannedOrders[EffectiveQty]&gt;0)*T_PlannedOrders[Order_Month])),"m月")&amp;"発注)")</f>
        <v/>
      </c>
      <c r="O805">
        <f>IF(SUMIFS(T_PlannedOrders[EffectiveQty],T_PlannedOrders[Part Name],$A779,T_PlannedOrders[WeekIndex],12)=0,"",SUMIFS(T_PlannedOrders[EffectiveQty],T_PlannedOrders[Part Name],$A779,T_PlannedOrders[WeekIndex],12)&amp;" ("&amp;TEXT(SUMPRODUCT(MAX((T_PlannedOrders[Part Name]=$A779)*(T_PlannedOrders[WeekIndex]=12)*(T_PlannedOrders[EffectiveQty]&gt;0)*T_PlannedOrders[Order_Month])),"m月")&amp;"発注)")</f>
        <v/>
      </c>
      <c r="P805">
        <f>IF(SUMIFS(T_PlannedOrders[EffectiveQty],T_PlannedOrders[Part Name],$A779,T_PlannedOrders[WeekIndex],13)=0,"",SUMIFS(T_PlannedOrders[EffectiveQty],T_PlannedOrders[Part Name],$A779,T_PlannedOrders[WeekIndex],13)&amp;" ("&amp;TEXT(SUMPRODUCT(MAX((T_PlannedOrders[Part Name]=$A779)*(T_PlannedOrders[WeekIndex]=13)*(T_PlannedOrders[EffectiveQty]&gt;0)*T_PlannedOrders[Order_Month])),"m月")&amp;"発注)")</f>
        <v/>
      </c>
      <c r="Q805">
        <f>IF(SUMIFS(T_PlannedOrders[EffectiveQty],T_PlannedOrders[Part Name],$A779,T_PlannedOrders[WeekIndex],14)=0,"",SUMIFS(T_PlannedOrders[EffectiveQty],T_PlannedOrders[Part Name],$A779,T_PlannedOrders[WeekIndex],14)&amp;" ("&amp;TEXT(SUMPRODUCT(MAX((T_PlannedOrders[Part Name]=$A779)*(T_PlannedOrders[WeekIndex]=14)*(T_PlannedOrders[EffectiveQty]&gt;0)*T_PlannedOrders[Order_Month])),"m月")&amp;"発注)")</f>
        <v/>
      </c>
      <c r="R805">
        <f>IF(SUMIFS(T_PlannedOrders[EffectiveQty],T_PlannedOrders[Part Name],$A779,T_PlannedOrders[WeekIndex],15)=0,"",SUMIFS(T_PlannedOrders[EffectiveQty],T_PlannedOrders[Part Name],$A779,T_PlannedOrders[WeekIndex],15)&amp;" ("&amp;TEXT(SUMPRODUCT(MAX((T_PlannedOrders[Part Name]=$A779)*(T_PlannedOrders[WeekIndex]=15)*(T_PlannedOrders[EffectiveQty]&gt;0)*T_PlannedOrders[Order_Month])),"m月")&amp;"発注)")</f>
        <v/>
      </c>
      <c r="S805">
        <f>IF(SUMIFS(T_PlannedOrders[EffectiveQty],T_PlannedOrders[Part Name],$A779,T_PlannedOrders[WeekIndex],16)=0,"",SUMIFS(T_PlannedOrders[EffectiveQty],T_PlannedOrders[Part Name],$A779,T_PlannedOrders[WeekIndex],16)&amp;" ("&amp;TEXT(SUMPRODUCT(MAX((T_PlannedOrders[Part Name]=$A779)*(T_PlannedOrders[WeekIndex]=16)*(T_PlannedOrders[EffectiveQty]&gt;0)*T_PlannedOrders[Order_Month])),"m月")&amp;"発注)")</f>
        <v/>
      </c>
      <c r="T805">
        <f>IF(SUMIFS(T_PlannedOrders[EffectiveQty],T_PlannedOrders[Part Name],$A779,T_PlannedOrders[WeekIndex],17)=0,"",SUMIFS(T_PlannedOrders[EffectiveQty],T_PlannedOrders[Part Name],$A779,T_PlannedOrders[WeekIndex],17)&amp;" ("&amp;TEXT(SUMPRODUCT(MAX((T_PlannedOrders[Part Name]=$A779)*(T_PlannedOrders[WeekIndex]=17)*(T_PlannedOrders[EffectiveQty]&gt;0)*T_PlannedOrders[Order_Month])),"m月")&amp;"発注)")</f>
        <v/>
      </c>
      <c r="U805">
        <f>IF(SUMIFS(T_PlannedOrders[EffectiveQty],T_PlannedOrders[Part Name],$A779,T_PlannedOrders[WeekIndex],18)=0,"",SUMIFS(T_PlannedOrders[EffectiveQty],T_PlannedOrders[Part Name],$A779,T_PlannedOrders[WeekIndex],18)&amp;" ("&amp;TEXT(SUMPRODUCT(MAX((T_PlannedOrders[Part Name]=$A779)*(T_PlannedOrders[WeekIndex]=18)*(T_PlannedOrders[EffectiveQty]&gt;0)*T_PlannedOrders[Order_Month])),"m月")&amp;"発注)")</f>
        <v/>
      </c>
      <c r="V805">
        <f>IF(SUMIFS(T_PlannedOrders[EffectiveQty],T_PlannedOrders[Part Name],$A779,T_PlannedOrders[WeekIndex],19)=0,"",SUMIFS(T_PlannedOrders[EffectiveQty],T_PlannedOrders[Part Name],$A779,T_PlannedOrders[WeekIndex],19)&amp;" ("&amp;TEXT(SUMPRODUCT(MAX((T_PlannedOrders[Part Name]=$A779)*(T_PlannedOrders[WeekIndex]=19)*(T_PlannedOrders[EffectiveQty]&gt;0)*T_PlannedOrders[Order_Month])),"m月")&amp;"発注)")</f>
        <v/>
      </c>
      <c r="W805">
        <f>IF(SUMIFS(T_PlannedOrders[EffectiveQty],T_PlannedOrders[Part Name],$A779,T_PlannedOrders[WeekIndex],20)=0,"",SUMIFS(T_PlannedOrders[EffectiveQty],T_PlannedOrders[Part Name],$A779,T_PlannedOrders[WeekIndex],20)&amp;" ("&amp;TEXT(SUMPRODUCT(MAX((T_PlannedOrders[Part Name]=$A779)*(T_PlannedOrders[WeekIndex]=20)*(T_PlannedOrders[EffectiveQty]&gt;0)*T_PlannedOrders[Order_Month])),"m月")&amp;"発注)")</f>
        <v/>
      </c>
      <c r="X805">
        <f>IF(SUMIFS(T_PlannedOrders[EffectiveQty],T_PlannedOrders[Part Name],$A779,T_PlannedOrders[WeekIndex],21)=0,"",SUMIFS(T_PlannedOrders[EffectiveQty],T_PlannedOrders[Part Name],$A779,T_PlannedOrders[WeekIndex],21)&amp;" ("&amp;TEXT(SUMPRODUCT(MAX((T_PlannedOrders[Part Name]=$A779)*(T_PlannedOrders[WeekIndex]=21)*(T_PlannedOrders[EffectiveQty]&gt;0)*T_PlannedOrders[Order_Month])),"m月")&amp;"発注)")</f>
        <v/>
      </c>
      <c r="Y805">
        <f>IF(SUMIFS(T_PlannedOrders[EffectiveQty],T_PlannedOrders[Part Name],$A779,T_PlannedOrders[WeekIndex],22)=0,"",SUMIFS(T_PlannedOrders[EffectiveQty],T_PlannedOrders[Part Name],$A779,T_PlannedOrders[WeekIndex],22)&amp;" ("&amp;TEXT(SUMPRODUCT(MAX((T_PlannedOrders[Part Name]=$A779)*(T_PlannedOrders[WeekIndex]=22)*(T_PlannedOrders[EffectiveQty]&gt;0)*T_PlannedOrders[Order_Month])),"m月")&amp;"発注)")</f>
        <v/>
      </c>
      <c r="Z805">
        <f>IF(SUMIFS(T_PlannedOrders[EffectiveQty],T_PlannedOrders[Part Name],$A779,T_PlannedOrders[WeekIndex],23)=0,"",SUMIFS(T_PlannedOrders[EffectiveQty],T_PlannedOrders[Part Name],$A779,T_PlannedOrders[WeekIndex],23)&amp;" ("&amp;TEXT(SUMPRODUCT(MAX((T_PlannedOrders[Part Name]=$A779)*(T_PlannedOrders[WeekIndex]=23)*(T_PlannedOrders[EffectiveQty]&gt;0)*T_PlannedOrders[Order_Month])),"m月")&amp;"発注)")</f>
        <v/>
      </c>
      <c r="AA805">
        <f>IF(SUMIFS(T_PlannedOrders[EffectiveQty],T_PlannedOrders[Part Name],$A779,T_PlannedOrders[WeekIndex],24)=0,"",SUMIFS(T_PlannedOrders[EffectiveQty],T_PlannedOrders[Part Name],$A779,T_PlannedOrders[WeekIndex],24)&amp;" ("&amp;TEXT(SUMPRODUCT(MAX((T_PlannedOrders[Part Name]=$A779)*(T_PlannedOrders[WeekIndex]=24)*(T_PlannedOrders[EffectiveQty]&gt;0)*T_PlannedOrders[Order_Month])),"m月")&amp;"発注)")</f>
        <v/>
      </c>
      <c r="AB805">
        <f>IF(SUMIFS(T_PlannedOrders[EffectiveQty],T_PlannedOrders[Part Name],$A779,T_PlannedOrders[WeekIndex],25)=0,"",SUMIFS(T_PlannedOrders[EffectiveQty],T_PlannedOrders[Part Name],$A779,T_PlannedOrders[WeekIndex],25)&amp;" ("&amp;TEXT(SUMPRODUCT(MAX((T_PlannedOrders[Part Name]=$A779)*(T_PlannedOrders[WeekIndex]=25)*(T_PlannedOrders[EffectiveQty]&gt;0)*T_PlannedOrders[Order_Month])),"m月")&amp;"発注)")</f>
        <v/>
      </c>
      <c r="AC805">
        <f>IF(SUMIFS(T_PlannedOrders[EffectiveQty],T_PlannedOrders[Part Name],$A779,T_PlannedOrders[WeekIndex],26)=0,"",SUMIFS(T_PlannedOrders[EffectiveQty],T_PlannedOrders[Part Name],$A779,T_PlannedOrders[WeekIndex],26)&amp;" ("&amp;TEXT(SUMPRODUCT(MAX((T_PlannedOrders[Part Name]=$A779)*(T_PlannedOrders[WeekIndex]=26)*(T_PlannedOrders[EffectiveQty]&gt;0)*T_PlannedOrders[Order_Month])),"m月")&amp;"発注)")</f>
        <v/>
      </c>
      <c r="AD805">
        <f>IF(SUMIFS(T_PlannedOrders[EffectiveQty],T_PlannedOrders[Part Name],$A779,T_PlannedOrders[WeekIndex],27)=0,"",SUMIFS(T_PlannedOrders[EffectiveQty],T_PlannedOrders[Part Name],$A779,T_PlannedOrders[WeekIndex],27)&amp;" ("&amp;TEXT(SUMPRODUCT(MAX((T_PlannedOrders[Part Name]=$A779)*(T_PlannedOrders[WeekIndex]=27)*(T_PlannedOrders[EffectiveQty]&gt;0)*T_PlannedOrders[Order_Month])),"m月")&amp;"発注)")</f>
        <v/>
      </c>
      <c r="AE805">
        <f>IF(SUMIFS(T_PlannedOrders[EffectiveQty],T_PlannedOrders[Part Name],$A779,T_PlannedOrders[WeekIndex],28)=0,"",SUMIFS(T_PlannedOrders[EffectiveQty],T_PlannedOrders[Part Name],$A779,T_PlannedOrders[WeekIndex],28)&amp;" ("&amp;TEXT(SUMPRODUCT(MAX((T_PlannedOrders[Part Name]=$A779)*(T_PlannedOrders[WeekIndex]=28)*(T_PlannedOrders[EffectiveQty]&gt;0)*T_PlannedOrders[Order_Month])),"m月")&amp;"発注)")</f>
        <v/>
      </c>
      <c r="AF805">
        <f>IF(SUMIFS(T_PlannedOrders[EffectiveQty],T_PlannedOrders[Part Name],$A779,T_PlannedOrders[WeekIndex],29)=0,"",SUMIFS(T_PlannedOrders[EffectiveQty],T_PlannedOrders[Part Name],$A779,T_PlannedOrders[WeekIndex],29)&amp;" ("&amp;TEXT(SUMPRODUCT(MAX((T_PlannedOrders[Part Name]=$A779)*(T_PlannedOrders[WeekIndex]=29)*(T_PlannedOrders[EffectiveQty]&gt;0)*T_PlannedOrders[Order_Month])),"m月")&amp;"発注)")</f>
        <v/>
      </c>
      <c r="AG805">
        <f>IF(SUMIFS(T_PlannedOrders[EffectiveQty],T_PlannedOrders[Part Name],$A779,T_PlannedOrders[WeekIndex],30)=0,"",SUMIFS(T_PlannedOrders[EffectiveQty],T_PlannedOrders[Part Name],$A779,T_PlannedOrders[WeekIndex],30)&amp;" ("&amp;TEXT(SUMPRODUCT(MAX((T_PlannedOrders[Part Name]=$A779)*(T_PlannedOrders[WeekIndex]=30)*(T_PlannedOrders[EffectiveQty]&gt;0)*T_PlannedOrders[Order_Month])),"m月")&amp;"発注)")</f>
        <v/>
      </c>
      <c r="AH805">
        <f>IF(SUMIFS(T_PlannedOrders[EffectiveQty],T_PlannedOrders[Part Name],$A779,T_PlannedOrders[WeekIndex],31)=0,"",SUMIFS(T_PlannedOrders[EffectiveQty],T_PlannedOrders[Part Name],$A779,T_PlannedOrders[WeekIndex],31)&amp;" ("&amp;TEXT(SUMPRODUCT(MAX((T_PlannedOrders[Part Name]=$A779)*(T_PlannedOrders[WeekIndex]=31)*(T_PlannedOrders[EffectiveQty]&gt;0)*T_PlannedOrders[Order_Month])),"m月")&amp;"発注)")</f>
        <v/>
      </c>
      <c r="AI805">
        <f>IF(SUMIFS(T_PlannedOrders[EffectiveQty],T_PlannedOrders[Part Name],$A779,T_PlannedOrders[WeekIndex],32)=0,"",SUMIFS(T_PlannedOrders[EffectiveQty],T_PlannedOrders[Part Name],$A779,T_PlannedOrders[WeekIndex],32)&amp;" ("&amp;TEXT(SUMPRODUCT(MAX((T_PlannedOrders[Part Name]=$A779)*(T_PlannedOrders[WeekIndex]=32)*(T_PlannedOrders[EffectiveQty]&gt;0)*T_PlannedOrders[Order_Month])),"m月")&amp;"発注)")</f>
        <v/>
      </c>
      <c r="AJ805">
        <f>IF(SUMIFS(T_PlannedOrders[EffectiveQty],T_PlannedOrders[Part Name],$A779,T_PlannedOrders[WeekIndex],33)=0,"",SUMIFS(T_PlannedOrders[EffectiveQty],T_PlannedOrders[Part Name],$A779,T_PlannedOrders[WeekIndex],33)&amp;" ("&amp;TEXT(SUMPRODUCT(MAX((T_PlannedOrders[Part Name]=$A779)*(T_PlannedOrders[WeekIndex]=33)*(T_PlannedOrders[EffectiveQty]&gt;0)*T_PlannedOrders[Order_Month])),"m月")&amp;"発注)")</f>
        <v/>
      </c>
      <c r="AK805">
        <f>IF(SUMIFS(T_PlannedOrders[EffectiveQty],T_PlannedOrders[Part Name],$A779,T_PlannedOrders[WeekIndex],34)=0,"",SUMIFS(T_PlannedOrders[EffectiveQty],T_PlannedOrders[Part Name],$A779,T_PlannedOrders[WeekIndex],34)&amp;" ("&amp;TEXT(SUMPRODUCT(MAX((T_PlannedOrders[Part Name]=$A779)*(T_PlannedOrders[WeekIndex]=34)*(T_PlannedOrders[EffectiveQty]&gt;0)*T_PlannedOrders[Order_Month])),"m月")&amp;"発注)")</f>
        <v/>
      </c>
      <c r="AL805">
        <f>IF(SUMIFS(T_PlannedOrders[EffectiveQty],T_PlannedOrders[Part Name],$A779,T_PlannedOrders[WeekIndex],35)=0,"",SUMIFS(T_PlannedOrders[EffectiveQty],T_PlannedOrders[Part Name],$A779,T_PlannedOrders[WeekIndex],35)&amp;" ("&amp;TEXT(SUMPRODUCT(MAX((T_PlannedOrders[Part Name]=$A779)*(T_PlannedOrders[WeekIndex]=35)*(T_PlannedOrders[EffectiveQty]&gt;0)*T_PlannedOrders[Order_Month])),"m月")&amp;"発注)")</f>
        <v/>
      </c>
      <c r="AM805">
        <f>IF(SUMIFS(T_PlannedOrders[EffectiveQty],T_PlannedOrders[Part Name],$A779,T_PlannedOrders[WeekIndex],36)=0,"",SUMIFS(T_PlannedOrders[EffectiveQty],T_PlannedOrders[Part Name],$A779,T_PlannedOrders[WeekIndex],36)&amp;" ("&amp;TEXT(SUMPRODUCT(MAX((T_PlannedOrders[Part Name]=$A779)*(T_PlannedOrders[WeekIndex]=36)*(T_PlannedOrders[EffectiveQty]&gt;0)*T_PlannedOrders[Order_Month])),"m月")&amp;"発注)")</f>
        <v/>
      </c>
      <c r="AN805">
        <f>IF(SUMIFS(T_PlannedOrders[EffectiveQty],T_PlannedOrders[Part Name],$A779,T_PlannedOrders[WeekIndex],37)=0,"",SUMIFS(T_PlannedOrders[EffectiveQty],T_PlannedOrders[Part Name],$A779,T_PlannedOrders[WeekIndex],37)&amp;" ("&amp;TEXT(SUMPRODUCT(MAX((T_PlannedOrders[Part Name]=$A779)*(T_PlannedOrders[WeekIndex]=37)*(T_PlannedOrders[EffectiveQty]&gt;0)*T_PlannedOrders[Order_Month])),"m月")&amp;"発注)")</f>
        <v/>
      </c>
      <c r="AO805">
        <f>IF(SUMIFS(T_PlannedOrders[EffectiveQty],T_PlannedOrders[Part Name],$A779,T_PlannedOrders[WeekIndex],38)=0,"",SUMIFS(T_PlannedOrders[EffectiveQty],T_PlannedOrders[Part Name],$A779,T_PlannedOrders[WeekIndex],38)&amp;" ("&amp;TEXT(SUMPRODUCT(MAX((T_PlannedOrders[Part Name]=$A779)*(T_PlannedOrders[WeekIndex]=38)*(T_PlannedOrders[EffectiveQty]&gt;0)*T_PlannedOrders[Order_Month])),"m月")&amp;"発注)")</f>
        <v/>
      </c>
      <c r="AP805">
        <f>IF(SUMIFS(T_PlannedOrders[EffectiveQty],T_PlannedOrders[Part Name],$A779,T_PlannedOrders[WeekIndex],39)=0,"",SUMIFS(T_PlannedOrders[EffectiveQty],T_PlannedOrders[Part Name],$A779,T_PlannedOrders[WeekIndex],39)&amp;" ("&amp;TEXT(SUMPRODUCT(MAX((T_PlannedOrders[Part Name]=$A779)*(T_PlannedOrders[WeekIndex]=39)*(T_PlannedOrders[EffectiveQty]&gt;0)*T_PlannedOrders[Order_Month])),"m月")&amp;"発注)")</f>
        <v/>
      </c>
      <c r="AQ805">
        <f>IF(SUMIFS(T_PlannedOrders[EffectiveQty],T_PlannedOrders[Part Name],$A779,T_PlannedOrders[WeekIndex],40)=0,"",SUMIFS(T_PlannedOrders[EffectiveQty],T_PlannedOrders[Part Name],$A779,T_PlannedOrders[WeekIndex],40)&amp;" ("&amp;TEXT(SUMPRODUCT(MAX((T_PlannedOrders[Part Name]=$A779)*(T_PlannedOrders[WeekIndex]=40)*(T_PlannedOrders[EffectiveQty]&gt;0)*T_PlannedOrders[Order_Month])),"m月")&amp;"発注)")</f>
        <v/>
      </c>
      <c r="AR805">
        <f>IF(SUMIFS(T_PlannedOrders[EffectiveQty],T_PlannedOrders[Part Name],$A779,T_PlannedOrders[WeekIndex],41)=0,"",SUMIFS(T_PlannedOrders[EffectiveQty],T_PlannedOrders[Part Name],$A779,T_PlannedOrders[WeekIndex],41)&amp;" ("&amp;TEXT(SUMPRODUCT(MAX((T_PlannedOrders[Part Name]=$A779)*(T_PlannedOrders[WeekIndex]=41)*(T_PlannedOrders[EffectiveQty]&gt;0)*T_PlannedOrders[Order_Month])),"m月")&amp;"発注)")</f>
        <v/>
      </c>
      <c r="AS805">
        <f>IF(SUMIFS(T_PlannedOrders[EffectiveQty],T_PlannedOrders[Part Name],$A779,T_PlannedOrders[WeekIndex],42)=0,"",SUMIFS(T_PlannedOrders[EffectiveQty],T_PlannedOrders[Part Name],$A779,T_PlannedOrders[WeekIndex],42)&amp;" ("&amp;TEXT(SUMPRODUCT(MAX((T_PlannedOrders[Part Name]=$A779)*(T_PlannedOrders[WeekIndex]=42)*(T_PlannedOrders[EffectiveQty]&gt;0)*T_PlannedOrders[Order_Month])),"m月")&amp;"発注)")</f>
        <v/>
      </c>
      <c r="AT805">
        <f>IF(SUMIFS(T_PlannedOrders[EffectiveQty],T_PlannedOrders[Part Name],$A779,T_PlannedOrders[WeekIndex],43)=0,"",SUMIFS(T_PlannedOrders[EffectiveQty],T_PlannedOrders[Part Name],$A779,T_PlannedOrders[WeekIndex],43)&amp;" ("&amp;TEXT(SUMPRODUCT(MAX((T_PlannedOrders[Part Name]=$A779)*(T_PlannedOrders[WeekIndex]=43)*(T_PlannedOrders[EffectiveQty]&gt;0)*T_PlannedOrders[Order_Month])),"m月")&amp;"発注)")</f>
        <v/>
      </c>
      <c r="AU805">
        <f>IF(SUMIFS(T_PlannedOrders[EffectiveQty],T_PlannedOrders[Part Name],$A779,T_PlannedOrders[WeekIndex],44)=0,"",SUMIFS(T_PlannedOrders[EffectiveQty],T_PlannedOrders[Part Name],$A779,T_PlannedOrders[WeekIndex],44)&amp;" ("&amp;TEXT(SUMPRODUCT(MAX((T_PlannedOrders[Part Name]=$A779)*(T_PlannedOrders[WeekIndex]=44)*(T_PlannedOrders[EffectiveQty]&gt;0)*T_PlannedOrders[Order_Month])),"m月")&amp;"発注)")</f>
        <v/>
      </c>
      <c r="AV805">
        <f>IF(SUMIFS(T_PlannedOrders[EffectiveQty],T_PlannedOrders[Part Name],$A779,T_PlannedOrders[WeekIndex],45)=0,"",SUMIFS(T_PlannedOrders[EffectiveQty],T_PlannedOrders[Part Name],$A779,T_PlannedOrders[WeekIndex],45)&amp;" ("&amp;TEXT(SUMPRODUCT(MAX((T_PlannedOrders[Part Name]=$A779)*(T_PlannedOrders[WeekIndex]=45)*(T_PlannedOrders[EffectiveQty]&gt;0)*T_PlannedOrders[Order_Month])),"m月")&amp;"発注)")</f>
        <v/>
      </c>
      <c r="AW805">
        <f>IF(SUMIFS(T_PlannedOrders[EffectiveQty],T_PlannedOrders[Part Name],$A779,T_PlannedOrders[WeekIndex],46)=0,"",SUMIFS(T_PlannedOrders[EffectiveQty],T_PlannedOrders[Part Name],$A779,T_PlannedOrders[WeekIndex],46)&amp;" ("&amp;TEXT(SUMPRODUCT(MAX((T_PlannedOrders[Part Name]=$A779)*(T_PlannedOrders[WeekIndex]=46)*(T_PlannedOrders[EffectiveQty]&gt;0)*T_PlannedOrders[Order_Month])),"m月")&amp;"発注)")</f>
        <v/>
      </c>
      <c r="AX805">
        <f>IF(SUMIFS(T_PlannedOrders[EffectiveQty],T_PlannedOrders[Part Name],$A779,T_PlannedOrders[WeekIndex],47)=0,"",SUMIFS(T_PlannedOrders[EffectiveQty],T_PlannedOrders[Part Name],$A779,T_PlannedOrders[WeekIndex],47)&amp;" ("&amp;TEXT(SUMPRODUCT(MAX((T_PlannedOrders[Part Name]=$A779)*(T_PlannedOrders[WeekIndex]=47)*(T_PlannedOrders[EffectiveQty]&gt;0)*T_PlannedOrders[Order_Month])),"m月")&amp;"発注)")</f>
        <v/>
      </c>
      <c r="AY805">
        <f>IF(SUMIFS(T_PlannedOrders[EffectiveQty],T_PlannedOrders[Part Name],$A779,T_PlannedOrders[WeekIndex],48)=0,"",SUMIFS(T_PlannedOrders[EffectiveQty],T_PlannedOrders[Part Name],$A779,T_PlannedOrders[WeekIndex],48)&amp;" ("&amp;TEXT(SUMPRODUCT(MAX((T_PlannedOrders[Part Name]=$A779)*(T_PlannedOrders[WeekIndex]=48)*(T_PlannedOrders[EffectiveQty]&gt;0)*T_PlannedOrders[Order_Month])),"m月")&amp;"発注)")</f>
        <v/>
      </c>
      <c r="AZ805">
        <f>IF(SUMIFS(T_PlannedOrders[EffectiveQty],T_PlannedOrders[Part Name],$A779,T_PlannedOrders[WeekIndex],49)=0,"",SUMIFS(T_PlannedOrders[EffectiveQty],T_PlannedOrders[Part Name],$A779,T_PlannedOrders[WeekIndex],49)&amp;" ("&amp;TEXT(SUMPRODUCT(MAX((T_PlannedOrders[Part Name]=$A779)*(T_PlannedOrders[WeekIndex]=49)*(T_PlannedOrders[EffectiveQty]&gt;0)*T_PlannedOrders[Order_Month])),"m月")&amp;"発注)")</f>
        <v/>
      </c>
      <c r="BA805">
        <f>IF(SUMIFS(T_PlannedOrders[EffectiveQty],T_PlannedOrders[Part Name],$A779,T_PlannedOrders[WeekIndex],50)=0,"",SUMIFS(T_PlannedOrders[EffectiveQty],T_PlannedOrders[Part Name],$A779,T_PlannedOrders[WeekIndex],50)&amp;" ("&amp;TEXT(SUMPRODUCT(MAX((T_PlannedOrders[Part Name]=$A779)*(T_PlannedOrders[WeekIndex]=50)*(T_PlannedOrders[EffectiveQty]&gt;0)*T_PlannedOrders[Order_Month])),"m月")&amp;"発注)")</f>
        <v/>
      </c>
      <c r="BB805">
        <f>IF(SUMIFS(T_PlannedOrders[EffectiveQty],T_PlannedOrders[Part Name],$A779,T_PlannedOrders[WeekIndex],51)=0,"",SUMIFS(T_PlannedOrders[EffectiveQty],T_PlannedOrders[Part Name],$A779,T_PlannedOrders[WeekIndex],51)&amp;" ("&amp;TEXT(SUMPRODUCT(MAX((T_PlannedOrders[Part Name]=$A779)*(T_PlannedOrders[WeekIndex]=51)*(T_PlannedOrders[EffectiveQty]&gt;0)*T_PlannedOrders[Order_Month])),"m月")&amp;"発注)")</f>
        <v/>
      </c>
      <c r="BC805">
        <f>IF(SUMIFS(T_PlannedOrders[EffectiveQty],T_PlannedOrders[Part Name],$A779,T_PlannedOrders[WeekIndex],52)=0,"",SUMIFS(T_PlannedOrders[EffectiveQty],T_PlannedOrders[Part Name],$A779,T_PlannedOrders[WeekIndex],52)&amp;" ("&amp;TEXT(SUMPRODUCT(MAX((T_PlannedOrders[Part Name]=$A779)*(T_PlannedOrders[WeekIndex]=52)*(T_PlannedOrders[EffectiveQty]&gt;0)*T_PlannedOrders[Order_Month])),"m月")&amp;"発注)")</f>
        <v/>
      </c>
      <c r="BD805">
        <f>IF(SUMIFS(T_PlannedOrders[EffectiveQty],T_PlannedOrders[Part Name],$A779,T_PlannedOrders[WeekIndex],53)=0,"",SUMIFS(T_PlannedOrders[EffectiveQty],T_PlannedOrders[Part Name],$A779,T_PlannedOrders[WeekIndex],53)&amp;" ("&amp;TEXT(SUMPRODUCT(MAX((T_PlannedOrders[Part Name]=$A779)*(T_PlannedOrders[WeekIndex]=53)*(T_PlannedOrders[EffectiveQty]&gt;0)*T_PlannedOrders[Order_Month])),"m月")&amp;"発注)")</f>
        <v/>
      </c>
      <c r="BE805">
        <f>IF(SUMIFS(T_PlannedOrders[EffectiveQty],T_PlannedOrders[Part Name],$A779,T_PlannedOrders[WeekIndex],54)=0,"",SUMIFS(T_PlannedOrders[EffectiveQty],T_PlannedOrders[Part Name],$A779,T_PlannedOrders[WeekIndex],54)&amp;" ("&amp;TEXT(SUMPRODUCT(MAX((T_PlannedOrders[Part Name]=$A779)*(T_PlannedOrders[WeekIndex]=54)*(T_PlannedOrders[EffectiveQty]&gt;0)*T_PlannedOrders[Order_Month])),"m月")&amp;"発注)")</f>
        <v/>
      </c>
      <c r="BF805">
        <f>IF(SUMIFS(T_PlannedOrders[EffectiveQty],T_PlannedOrders[Part Name],$A779,T_PlannedOrders[WeekIndex],55)=0,"",SUMIFS(T_PlannedOrders[EffectiveQty],T_PlannedOrders[Part Name],$A779,T_PlannedOrders[WeekIndex],55)&amp;" ("&amp;TEXT(SUMPRODUCT(MAX((T_PlannedOrders[Part Name]=$A779)*(T_PlannedOrders[WeekIndex]=55)*(T_PlannedOrders[EffectiveQty]&gt;0)*T_PlannedOrders[Order_Month])),"m月")&amp;"発注)")</f>
        <v/>
      </c>
      <c r="BG805">
        <f>IF(SUMIFS(T_PlannedOrders[EffectiveQty],T_PlannedOrders[Part Name],$A779,T_PlannedOrders[WeekIndex],56)=0,"",SUMIFS(T_PlannedOrders[EffectiveQty],T_PlannedOrders[Part Name],$A779,T_PlannedOrders[WeekIndex],56)&amp;" ("&amp;TEXT(SUMPRODUCT(MAX((T_PlannedOrders[Part Name]=$A779)*(T_PlannedOrders[WeekIndex]=56)*(T_PlannedOrders[EffectiveQty]&gt;0)*T_PlannedOrders[Order_Month])),"m月")&amp;"発注)")</f>
        <v/>
      </c>
      <c r="BH805">
        <f>IF(SUMIFS(T_PlannedOrders[EffectiveQty],T_PlannedOrders[Part Name],$A779,T_PlannedOrders[WeekIndex],57)=0,"",SUMIFS(T_PlannedOrders[EffectiveQty],T_PlannedOrders[Part Name],$A779,T_PlannedOrders[WeekIndex],57)&amp;" ("&amp;TEXT(SUMPRODUCT(MAX((T_PlannedOrders[Part Name]=$A779)*(T_PlannedOrders[WeekIndex]=57)*(T_PlannedOrders[EffectiveQty]&gt;0)*T_PlannedOrders[Order_Month])),"m月")&amp;"発注)")</f>
        <v/>
      </c>
      <c r="BI805">
        <f>IF(SUMIFS(T_PlannedOrders[EffectiveQty],T_PlannedOrders[Part Name],$A779,T_PlannedOrders[WeekIndex],58)=0,"",SUMIFS(T_PlannedOrders[EffectiveQty],T_PlannedOrders[Part Name],$A779,T_PlannedOrders[WeekIndex],58)&amp;" ("&amp;TEXT(SUMPRODUCT(MAX((T_PlannedOrders[Part Name]=$A779)*(T_PlannedOrders[WeekIndex]=58)*(T_PlannedOrders[EffectiveQty]&gt;0)*T_PlannedOrders[Order_Month])),"m月")&amp;"発注)")</f>
        <v/>
      </c>
      <c r="BJ805">
        <f>IF(SUMIFS(T_PlannedOrders[EffectiveQty],T_PlannedOrders[Part Name],$A779,T_PlannedOrders[WeekIndex],59)=0,"",SUMIFS(T_PlannedOrders[EffectiveQty],T_PlannedOrders[Part Name],$A779,T_PlannedOrders[WeekIndex],59)&amp;" ("&amp;TEXT(SUMPRODUCT(MAX((T_PlannedOrders[Part Name]=$A779)*(T_PlannedOrders[WeekIndex]=59)*(T_PlannedOrders[EffectiveQty]&gt;0)*T_PlannedOrders[Order_Month])),"m月")&amp;"発注)")</f>
        <v/>
      </c>
      <c r="BK805">
        <f>IF(SUMIFS(T_PlannedOrders[EffectiveQty],T_PlannedOrders[Part Name],$A779,T_PlannedOrders[WeekIndex],60)=0,"",SUMIFS(T_PlannedOrders[EffectiveQty],T_PlannedOrders[Part Name],$A779,T_PlannedOrders[WeekIndex],60)&amp;" ("&amp;TEXT(SUMPRODUCT(MAX((T_PlannedOrders[Part Name]=$A779)*(T_PlannedOrders[WeekIndex]=60)*(T_PlannedOrders[EffectiveQty]&gt;0)*T_PlannedOrders[Order_Month])),"m月")&amp;"発注)")</f>
        <v/>
      </c>
      <c r="BL805">
        <f>IF(SUMIFS(T_PlannedOrders[EffectiveQty],T_PlannedOrders[Part Name],$A779,T_PlannedOrders[WeekIndex],61)=0,"",SUMIFS(T_PlannedOrders[EffectiveQty],T_PlannedOrders[Part Name],$A779,T_PlannedOrders[WeekIndex],61)&amp;" ("&amp;TEXT(SUMPRODUCT(MAX((T_PlannedOrders[Part Name]=$A779)*(T_PlannedOrders[WeekIndex]=61)*(T_PlannedOrders[EffectiveQty]&gt;0)*T_PlannedOrders[Order_Month])),"m月")&amp;"発注)")</f>
        <v/>
      </c>
      <c r="BM805">
        <f>IF(SUMIFS(T_PlannedOrders[EffectiveQty],T_PlannedOrders[Part Name],$A779,T_PlannedOrders[WeekIndex],62)=0,"",SUMIFS(T_PlannedOrders[EffectiveQty],T_PlannedOrders[Part Name],$A779,T_PlannedOrders[WeekIndex],62)&amp;" ("&amp;TEXT(SUMPRODUCT(MAX((T_PlannedOrders[Part Name]=$A779)*(T_PlannedOrders[WeekIndex]=62)*(T_PlannedOrders[EffectiveQty]&gt;0)*T_PlannedOrders[Order_Month])),"m月")&amp;"発注)")</f>
        <v/>
      </c>
      <c r="BN805">
        <f>IF(SUMIFS(T_PlannedOrders[EffectiveQty],T_PlannedOrders[Part Name],$A779,T_PlannedOrders[WeekIndex],63)=0,"",SUMIFS(T_PlannedOrders[EffectiveQty],T_PlannedOrders[Part Name],$A779,T_PlannedOrders[WeekIndex],63)&amp;" ("&amp;TEXT(SUMPRODUCT(MAX((T_PlannedOrders[Part Name]=$A779)*(T_PlannedOrders[WeekIndex]=63)*(T_PlannedOrders[EffectiveQty]&gt;0)*T_PlannedOrders[Order_Month])),"m月")&amp;"発注)")</f>
        <v/>
      </c>
      <c r="BO805">
        <f>IF(SUMIFS(T_PlannedOrders[EffectiveQty],T_PlannedOrders[Part Name],$A779,T_PlannedOrders[WeekIndex],64)=0,"",SUMIFS(T_PlannedOrders[EffectiveQty],T_PlannedOrders[Part Name],$A779,T_PlannedOrders[WeekIndex],64)&amp;" ("&amp;TEXT(SUMPRODUCT(MAX((T_PlannedOrders[Part Name]=$A779)*(T_PlannedOrders[WeekIndex]=64)*(T_PlannedOrders[EffectiveQty]&gt;0)*T_PlannedOrders[Order_Month])),"m月")&amp;"発注)")</f>
        <v/>
      </c>
      <c r="BP805">
        <f>IF(SUMIFS(T_PlannedOrders[EffectiveQty],T_PlannedOrders[Part Name],$A779,T_PlannedOrders[WeekIndex],65)=0,"",SUMIFS(T_PlannedOrders[EffectiveQty],T_PlannedOrders[Part Name],$A779,T_PlannedOrders[WeekIndex],65)&amp;" ("&amp;TEXT(SUMPRODUCT(MAX((T_PlannedOrders[Part Name]=$A779)*(T_PlannedOrders[WeekIndex]=65)*(T_PlannedOrders[EffectiveQty]&gt;0)*T_PlannedOrders[Order_Month])),"m月")&amp;"発注)")</f>
        <v/>
      </c>
      <c r="BQ805">
        <f>IF(SUMIFS(T_PlannedOrders[EffectiveQty],T_PlannedOrders[Part Name],$A779,T_PlannedOrders[WeekIndex],66)=0,"",SUMIFS(T_PlannedOrders[EffectiveQty],T_PlannedOrders[Part Name],$A779,T_PlannedOrders[WeekIndex],66)&amp;" ("&amp;TEXT(SUMPRODUCT(MAX((T_PlannedOrders[Part Name]=$A779)*(T_PlannedOrders[WeekIndex]=66)*(T_PlannedOrders[EffectiveQty]&gt;0)*T_PlannedOrders[Order_Month])),"m月")&amp;"発注)")</f>
        <v/>
      </c>
      <c r="BR805">
        <f>IF(SUMIFS(T_PlannedOrders[EffectiveQty],T_PlannedOrders[Part Name],$A779,T_PlannedOrders[WeekIndex],67)=0,"",SUMIFS(T_PlannedOrders[EffectiveQty],T_PlannedOrders[Part Name],$A779,T_PlannedOrders[WeekIndex],67)&amp;" ("&amp;TEXT(SUMPRODUCT(MAX((T_PlannedOrders[Part Name]=$A779)*(T_PlannedOrders[WeekIndex]=67)*(T_PlannedOrders[EffectiveQty]&gt;0)*T_PlannedOrders[Order_Month])),"m月")&amp;"発注)")</f>
        <v/>
      </c>
      <c r="BS805">
        <f>IF(SUMIFS(T_PlannedOrders[EffectiveQty],T_PlannedOrders[Part Name],$A779,T_PlannedOrders[WeekIndex],68)=0,"",SUMIFS(T_PlannedOrders[EffectiveQty],T_PlannedOrders[Part Name],$A779,T_PlannedOrders[WeekIndex],68)&amp;" ("&amp;TEXT(SUMPRODUCT(MAX((T_PlannedOrders[Part Name]=$A779)*(T_PlannedOrders[WeekIndex]=68)*(T_PlannedOrders[EffectiveQty]&gt;0)*T_PlannedOrders[Order_Month])),"m月")&amp;"発注)")</f>
        <v/>
      </c>
      <c r="BT805">
        <f>IF(SUMIFS(T_PlannedOrders[EffectiveQty],T_PlannedOrders[Part Name],$A779,T_PlannedOrders[WeekIndex],69)=0,"",SUMIFS(T_PlannedOrders[EffectiveQty],T_PlannedOrders[Part Name],$A779,T_PlannedOrders[WeekIndex],69)&amp;" ("&amp;TEXT(SUMPRODUCT(MAX((T_PlannedOrders[Part Name]=$A779)*(T_PlannedOrders[WeekIndex]=69)*(T_PlannedOrders[EffectiveQty]&gt;0)*T_PlannedOrders[Order_Month])),"m月")&amp;"発注)")</f>
        <v/>
      </c>
      <c r="BU805">
        <f>IF(SUMIFS(T_PlannedOrders[EffectiveQty],T_PlannedOrders[Part Name],$A779,T_PlannedOrders[WeekIndex],70)=0,"",SUMIFS(T_PlannedOrders[EffectiveQty],T_PlannedOrders[Part Name],$A779,T_PlannedOrders[WeekIndex],70)&amp;" ("&amp;TEXT(SUMPRODUCT(MAX((T_PlannedOrders[Part Name]=$A779)*(T_PlannedOrders[WeekIndex]=70)*(T_PlannedOrders[EffectiveQty]&gt;0)*T_PlannedOrders[Order_Month])),"m月")&amp;"発注)")</f>
        <v/>
      </c>
      <c r="BV805">
        <f>IF(SUMIFS(T_PlannedOrders[EffectiveQty],T_PlannedOrders[Part Name],$A779,T_PlannedOrders[WeekIndex],71)=0,"",SUMIFS(T_PlannedOrders[EffectiveQty],T_PlannedOrders[Part Name],$A779,T_PlannedOrders[WeekIndex],71)&amp;" ("&amp;TEXT(SUMPRODUCT(MAX((T_PlannedOrders[Part Name]=$A779)*(T_PlannedOrders[WeekIndex]=71)*(T_PlannedOrders[EffectiveQty]&gt;0)*T_PlannedOrders[Order_Month])),"m月")&amp;"発注)")</f>
        <v/>
      </c>
      <c r="BW805">
        <f>IF(SUMIFS(T_PlannedOrders[EffectiveQty],T_PlannedOrders[Part Name],$A779,T_PlannedOrders[WeekIndex],72)=0,"",SUMIFS(T_PlannedOrders[EffectiveQty],T_PlannedOrders[Part Name],$A779,T_PlannedOrders[WeekIndex],72)&amp;" ("&amp;TEXT(SUMPRODUCT(MAX((T_PlannedOrders[Part Name]=$A779)*(T_PlannedOrders[WeekIndex]=72)*(T_PlannedOrders[EffectiveQty]&gt;0)*T_PlannedOrders[Order_Month])),"m月")&amp;"発注)")</f>
        <v/>
      </c>
      <c r="BX805">
        <f>IF(SUMIFS(T_PlannedOrders[EffectiveQty],T_PlannedOrders[Part Name],$A779,T_PlannedOrders[WeekIndex],73)=0,"",SUMIFS(T_PlannedOrders[EffectiveQty],T_PlannedOrders[Part Name],$A779,T_PlannedOrders[WeekIndex],73)&amp;" ("&amp;TEXT(SUMPRODUCT(MAX((T_PlannedOrders[Part Name]=$A779)*(T_PlannedOrders[WeekIndex]=73)*(T_PlannedOrders[EffectiveQty]&gt;0)*T_PlannedOrders[Order_Month])),"m月")&amp;"発注)")</f>
        <v/>
      </c>
      <c r="BY805">
        <f>IF(SUMIFS(T_PlannedOrders[EffectiveQty],T_PlannedOrders[Part Name],$A779,T_PlannedOrders[WeekIndex],74)=0,"",SUMIFS(T_PlannedOrders[EffectiveQty],T_PlannedOrders[Part Name],$A779,T_PlannedOrders[WeekIndex],74)&amp;" ("&amp;TEXT(SUMPRODUCT(MAX((T_PlannedOrders[Part Name]=$A779)*(T_PlannedOrders[WeekIndex]=74)*(T_PlannedOrders[EffectiveQty]&gt;0)*T_PlannedOrders[Order_Month])),"m月")&amp;"発注)")</f>
        <v/>
      </c>
      <c r="BZ805">
        <f>IF(SUMIFS(T_PlannedOrders[EffectiveQty],T_PlannedOrders[Part Name],$A779,T_PlannedOrders[WeekIndex],75)=0,"",SUMIFS(T_PlannedOrders[EffectiveQty],T_PlannedOrders[Part Name],$A779,T_PlannedOrders[WeekIndex],75)&amp;" ("&amp;TEXT(SUMPRODUCT(MAX((T_PlannedOrders[Part Name]=$A779)*(T_PlannedOrders[WeekIndex]=75)*(T_PlannedOrders[EffectiveQty]&gt;0)*T_PlannedOrders[Order_Month])),"m月")&amp;"発注)")</f>
        <v/>
      </c>
      <c r="CA805">
        <f>IF(SUMIFS(T_PlannedOrders[EffectiveQty],T_PlannedOrders[Part Name],$A779,T_PlannedOrders[WeekIndex],76)=0,"",SUMIFS(T_PlannedOrders[EffectiveQty],T_PlannedOrders[Part Name],$A779,T_PlannedOrders[WeekIndex],76)&amp;" ("&amp;TEXT(SUMPRODUCT(MAX((T_PlannedOrders[Part Name]=$A779)*(T_PlannedOrders[WeekIndex]=76)*(T_PlannedOrders[EffectiveQty]&gt;0)*T_PlannedOrders[Order_Month])),"m月")&amp;"発注)")</f>
        <v/>
      </c>
      <c r="CB805">
        <f>IF(SUMIFS(T_PlannedOrders[EffectiveQty],T_PlannedOrders[Part Name],$A779,T_PlannedOrders[WeekIndex],77)=0,"",SUMIFS(T_PlannedOrders[EffectiveQty],T_PlannedOrders[Part Name],$A779,T_PlannedOrders[WeekIndex],77)&amp;" ("&amp;TEXT(SUMPRODUCT(MAX((T_PlannedOrders[Part Name]=$A779)*(T_PlannedOrders[WeekIndex]=77)*(T_PlannedOrders[EffectiveQty]&gt;0)*T_PlannedOrders[Order_Month])),"m月")&amp;"発注)")</f>
        <v/>
      </c>
      <c r="CC805">
        <f>IF(SUMIFS(T_PlannedOrders[EffectiveQty],T_PlannedOrders[Part Name],$A779,T_PlannedOrders[WeekIndex],78)=0,"",SUMIFS(T_PlannedOrders[EffectiveQty],T_PlannedOrders[Part Name],$A779,T_PlannedOrders[WeekIndex],78)&amp;" ("&amp;TEXT(SUMPRODUCT(MAX((T_PlannedOrders[Part Name]=$A779)*(T_PlannedOrders[WeekIndex]=78)*(T_PlannedOrders[EffectiveQty]&gt;0)*T_PlannedOrders[Order_Month])),"m月")&amp;"発注)")</f>
        <v/>
      </c>
      <c r="CD805">
        <f>IF(SUMIFS(T_PlannedOrders[EffectiveQty],T_PlannedOrders[Part Name],$A779,T_PlannedOrders[WeekIndex],79)=0,"",SUMIFS(T_PlannedOrders[EffectiveQty],T_PlannedOrders[Part Name],$A779,T_PlannedOrders[WeekIndex],79)&amp;" ("&amp;TEXT(SUMPRODUCT(MAX((T_PlannedOrders[Part Name]=$A779)*(T_PlannedOrders[WeekIndex]=79)*(T_PlannedOrders[EffectiveQty]&gt;0)*T_PlannedOrders[Order_Month])),"m月")&amp;"発注)")</f>
        <v/>
      </c>
      <c r="CE805">
        <f>IF(SUMIFS(T_PlannedOrders[EffectiveQty],T_PlannedOrders[Part Name],$A779,T_PlannedOrders[WeekIndex],80)=0,"",SUMIFS(T_PlannedOrders[EffectiveQty],T_PlannedOrders[Part Name],$A779,T_PlannedOrders[WeekIndex],80)&amp;" ("&amp;TEXT(SUMPRODUCT(MAX((T_PlannedOrders[Part Name]=$A779)*(T_PlannedOrders[WeekIndex]=80)*(T_PlannedOrders[EffectiveQty]&gt;0)*T_PlannedOrders[Order_Month])),"m月")&amp;"発注)")</f>
        <v/>
      </c>
      <c r="CF805">
        <f>IF(SUMIFS(T_PlannedOrders[EffectiveQty],T_PlannedOrders[Part Name],$A779,T_PlannedOrders[WeekIndex],81)=0,"",SUMIFS(T_PlannedOrders[EffectiveQty],T_PlannedOrders[Part Name],$A779,T_PlannedOrders[WeekIndex],81)&amp;" ("&amp;TEXT(SUMPRODUCT(MAX((T_PlannedOrders[Part Name]=$A779)*(T_PlannedOrders[WeekIndex]=81)*(T_PlannedOrders[EffectiveQty]&gt;0)*T_PlannedOrders[Order_Month])),"m月")&amp;"発注)")</f>
        <v/>
      </c>
      <c r="CG805">
        <f>IF(SUMIFS(T_PlannedOrders[EffectiveQty],T_PlannedOrders[Part Name],$A779,T_PlannedOrders[WeekIndex],82)=0,"",SUMIFS(T_PlannedOrders[EffectiveQty],T_PlannedOrders[Part Name],$A779,T_PlannedOrders[WeekIndex],82)&amp;" ("&amp;TEXT(SUMPRODUCT(MAX((T_PlannedOrders[Part Name]=$A779)*(T_PlannedOrders[WeekIndex]=82)*(T_PlannedOrders[EffectiveQty]&gt;0)*T_PlannedOrders[Order_Month])),"m月")&amp;"発注)")</f>
        <v/>
      </c>
      <c r="CH805">
        <f>IF(SUMIFS(T_PlannedOrders[EffectiveQty],T_PlannedOrders[Part Name],$A779,T_PlannedOrders[WeekIndex],83)=0,"",SUMIFS(T_PlannedOrders[EffectiveQty],T_PlannedOrders[Part Name],$A779,T_PlannedOrders[WeekIndex],83)&amp;" ("&amp;TEXT(SUMPRODUCT(MAX((T_PlannedOrders[Part Name]=$A779)*(T_PlannedOrders[WeekIndex]=83)*(T_PlannedOrders[EffectiveQty]&gt;0)*T_PlannedOrders[Order_Month])),"m月")&amp;"発注)")</f>
        <v/>
      </c>
      <c r="CI805">
        <f>IF(SUMIFS(T_PlannedOrders[EffectiveQty],T_PlannedOrders[Part Name],$A779,T_PlannedOrders[WeekIndex],84)=0,"",SUMIFS(T_PlannedOrders[EffectiveQty],T_PlannedOrders[Part Name],$A779,T_PlannedOrders[WeekIndex],84)&amp;" ("&amp;TEXT(SUMPRODUCT(MAX((T_PlannedOrders[Part Name]=$A779)*(T_PlannedOrders[WeekIndex]=84)*(T_PlannedOrders[EffectiveQty]&gt;0)*T_PlannedOrders[Order_Month])),"m月")&amp;"発注)")</f>
        <v/>
      </c>
      <c r="CJ805">
        <f>IF(SUMIFS(T_PlannedOrders[EffectiveQty],T_PlannedOrders[Part Name],$A779,T_PlannedOrders[WeekIndex],85)=0,"",SUMIFS(T_PlannedOrders[EffectiveQty],T_PlannedOrders[Part Name],$A779,T_PlannedOrders[WeekIndex],85)&amp;" ("&amp;TEXT(SUMPRODUCT(MAX((T_PlannedOrders[Part Name]=$A779)*(T_PlannedOrders[WeekIndex]=85)*(T_PlannedOrders[EffectiveQty]&gt;0)*T_PlannedOrders[Order_Month])),"m月")&amp;"発注)")</f>
        <v/>
      </c>
      <c r="CK805">
        <f>IF(SUMIFS(T_PlannedOrders[EffectiveQty],T_PlannedOrders[Part Name],$A779,T_PlannedOrders[WeekIndex],86)=0,"",SUMIFS(T_PlannedOrders[EffectiveQty],T_PlannedOrders[Part Name],$A779,T_PlannedOrders[WeekIndex],86)&amp;" ("&amp;TEXT(SUMPRODUCT(MAX((T_PlannedOrders[Part Name]=$A779)*(T_PlannedOrders[WeekIndex]=86)*(T_PlannedOrders[EffectiveQty]&gt;0)*T_PlannedOrders[Order_Month])),"m月")&amp;"発注)")</f>
        <v/>
      </c>
      <c r="CL805">
        <f>IF(SUMIFS(T_PlannedOrders[EffectiveQty],T_PlannedOrders[Part Name],$A779,T_PlannedOrders[WeekIndex],87)=0,"",SUMIFS(T_PlannedOrders[EffectiveQty],T_PlannedOrders[Part Name],$A779,T_PlannedOrders[WeekIndex],87)&amp;" ("&amp;TEXT(SUMPRODUCT(MAX((T_PlannedOrders[Part Name]=$A779)*(T_PlannedOrders[WeekIndex]=87)*(T_PlannedOrders[EffectiveQty]&gt;0)*T_PlannedOrders[Order_Month])),"m月")&amp;"発注)")</f>
        <v/>
      </c>
      <c r="CM805">
        <f>IF(SUMIFS(T_PlannedOrders[EffectiveQty],T_PlannedOrders[Part Name],$A779,T_PlannedOrders[WeekIndex],88)=0,"",SUMIFS(T_PlannedOrders[EffectiveQty],T_PlannedOrders[Part Name],$A779,T_PlannedOrders[WeekIndex],88)&amp;" ("&amp;TEXT(SUMPRODUCT(MAX((T_PlannedOrders[Part Name]=$A779)*(T_PlannedOrders[WeekIndex]=88)*(T_PlannedOrders[EffectiveQty]&gt;0)*T_PlannedOrders[Order_Month])),"m月")&amp;"発注)")</f>
        <v/>
      </c>
      <c r="CN805">
        <f>IF(SUMIFS(T_PlannedOrders[EffectiveQty],T_PlannedOrders[Part Name],$A779,T_PlannedOrders[WeekIndex],89)=0,"",SUMIFS(T_PlannedOrders[EffectiveQty],T_PlannedOrders[Part Name],$A779,T_PlannedOrders[WeekIndex],89)&amp;" ("&amp;TEXT(SUMPRODUCT(MAX((T_PlannedOrders[Part Name]=$A779)*(T_PlannedOrders[WeekIndex]=89)*(T_PlannedOrders[EffectiveQty]&gt;0)*T_PlannedOrders[Order_Month])),"m月")&amp;"発注)")</f>
        <v/>
      </c>
      <c r="CO805">
        <f>IF(SUMIFS(T_PlannedOrders[EffectiveQty],T_PlannedOrders[Part Name],$A779,T_PlannedOrders[WeekIndex],90)=0,"",SUMIFS(T_PlannedOrders[EffectiveQty],T_PlannedOrders[Part Name],$A779,T_PlannedOrders[WeekIndex],90)&amp;" ("&amp;TEXT(SUMPRODUCT(MAX((T_PlannedOrders[Part Name]=$A779)*(T_PlannedOrders[WeekIndex]=90)*(T_PlannedOrders[EffectiveQty]&gt;0)*T_PlannedOrders[Order_Month])),"m月")&amp;"発注)")</f>
        <v/>
      </c>
      <c r="CP805">
        <f>IF(SUMIFS(T_PlannedOrders[EffectiveQty],T_PlannedOrders[Part Name],$A779,T_PlannedOrders[WeekIndex],91)=0,"",SUMIFS(T_PlannedOrders[EffectiveQty],T_PlannedOrders[Part Name],$A779,T_PlannedOrders[WeekIndex],91)&amp;" ("&amp;TEXT(SUMPRODUCT(MAX((T_PlannedOrders[Part Name]=$A779)*(T_PlannedOrders[WeekIndex]=91)*(T_PlannedOrders[EffectiveQty]&gt;0)*T_PlannedOrders[Order_Month])),"m月")&amp;"発注)")</f>
        <v/>
      </c>
      <c r="CQ805">
        <f>IF(SUMIFS(T_PlannedOrders[EffectiveQty],T_PlannedOrders[Part Name],$A779,T_PlannedOrders[WeekIndex],92)=0,"",SUMIFS(T_PlannedOrders[EffectiveQty],T_PlannedOrders[Part Name],$A779,T_PlannedOrders[WeekIndex],92)&amp;" ("&amp;TEXT(SUMPRODUCT(MAX((T_PlannedOrders[Part Name]=$A779)*(T_PlannedOrders[WeekIndex]=92)*(T_PlannedOrders[EffectiveQty]&gt;0)*T_PlannedOrders[Order_Month])),"m月")&amp;"発注)")</f>
        <v/>
      </c>
      <c r="CR805">
        <f>IF(SUMIFS(T_PlannedOrders[EffectiveQty],T_PlannedOrders[Part Name],$A779,T_PlannedOrders[WeekIndex],93)=0,"",SUMIFS(T_PlannedOrders[EffectiveQty],T_PlannedOrders[Part Name],$A779,T_PlannedOrders[WeekIndex],93)&amp;" ("&amp;TEXT(SUMPRODUCT(MAX((T_PlannedOrders[Part Name]=$A779)*(T_PlannedOrders[WeekIndex]=93)*(T_PlannedOrders[EffectiveQty]&gt;0)*T_PlannedOrders[Order_Month])),"m月")&amp;"発注)")</f>
        <v/>
      </c>
      <c r="CS805">
        <f>IF(SUMIFS(T_PlannedOrders[EffectiveQty],T_PlannedOrders[Part Name],$A779,T_PlannedOrders[WeekIndex],94)=0,"",SUMIFS(T_PlannedOrders[EffectiveQty],T_PlannedOrders[Part Name],$A779,T_PlannedOrders[WeekIndex],94)&amp;" ("&amp;TEXT(SUMPRODUCT(MAX((T_PlannedOrders[Part Name]=$A779)*(T_PlannedOrders[WeekIndex]=94)*(T_PlannedOrders[EffectiveQty]&gt;0)*T_PlannedOrders[Order_Month])),"m月")&amp;"発注)")</f>
        <v/>
      </c>
      <c r="CT805">
        <f>IF(SUMIFS(T_PlannedOrders[EffectiveQty],T_PlannedOrders[Part Name],$A779,T_PlannedOrders[WeekIndex],95)=0,"",SUMIFS(T_PlannedOrders[EffectiveQty],T_PlannedOrders[Part Name],$A779,T_PlannedOrders[WeekIndex],95)&amp;" ("&amp;TEXT(SUMPRODUCT(MAX((T_PlannedOrders[Part Name]=$A779)*(T_PlannedOrders[WeekIndex]=95)*(T_PlannedOrders[EffectiveQty]&gt;0)*T_PlannedOrders[Order_Month])),"m月")&amp;"発注)")</f>
        <v/>
      </c>
      <c r="CU805">
        <f>IF(SUMIFS(T_PlannedOrders[EffectiveQty],T_PlannedOrders[Part Name],$A779,T_PlannedOrders[WeekIndex],96)=0,"",SUMIFS(T_PlannedOrders[EffectiveQty],T_PlannedOrders[Part Name],$A779,T_PlannedOrders[WeekIndex],96)&amp;" ("&amp;TEXT(SUMPRODUCT(MAX((T_PlannedOrders[Part Name]=$A779)*(T_PlannedOrders[WeekIndex]=96)*(T_PlannedOrders[EffectiveQty]&gt;0)*T_PlannedOrders[Order_Month])),"m月")&amp;"発注)")</f>
        <v/>
      </c>
      <c r="CV805">
        <f>IF(SUMIFS(T_PlannedOrders[EffectiveQty],T_PlannedOrders[Part Name],$A779,T_PlannedOrders[WeekIndex],97)=0,"",SUMIFS(T_PlannedOrders[EffectiveQty],T_PlannedOrders[Part Name],$A779,T_PlannedOrders[WeekIndex],97)&amp;" ("&amp;TEXT(SUMPRODUCT(MAX((T_PlannedOrders[Part Name]=$A779)*(T_PlannedOrders[WeekIndex]=97)*(T_PlannedOrders[EffectiveQty]&gt;0)*T_PlannedOrders[Order_Month])),"m月")&amp;"発注)")</f>
        <v/>
      </c>
      <c r="CW805">
        <f>IF(SUMIFS(T_PlannedOrders[EffectiveQty],T_PlannedOrders[Part Name],$A779,T_PlannedOrders[WeekIndex],98)=0,"",SUMIFS(T_PlannedOrders[EffectiveQty],T_PlannedOrders[Part Name],$A779,T_PlannedOrders[WeekIndex],98)&amp;" ("&amp;TEXT(SUMPRODUCT(MAX((T_PlannedOrders[Part Name]=$A779)*(T_PlannedOrders[WeekIndex]=98)*(T_PlannedOrders[EffectiveQty]&gt;0)*T_PlannedOrders[Order_Month])),"m月")&amp;"発注)")</f>
        <v/>
      </c>
      <c r="CX805">
        <f>IF(SUMIFS(T_PlannedOrders[EffectiveQty],T_PlannedOrders[Part Name],$A779,T_PlannedOrders[WeekIndex],99)=0,"",SUMIFS(T_PlannedOrders[EffectiveQty],T_PlannedOrders[Part Name],$A779,T_PlannedOrders[WeekIndex],99)&amp;" ("&amp;TEXT(SUMPRODUCT(MAX((T_PlannedOrders[Part Name]=$A779)*(T_PlannedOrders[WeekIndex]=99)*(T_PlannedOrders[EffectiveQty]&gt;0)*T_PlannedOrders[Order_Month])),"m月")&amp;"発注)")</f>
        <v/>
      </c>
      <c r="CY805">
        <f>IF(SUMIFS(T_PlannedOrders[EffectiveQty],T_PlannedOrders[Part Name],$A779,T_PlannedOrders[WeekIndex],100)=0,"",SUMIFS(T_PlannedOrders[EffectiveQty],T_PlannedOrders[Part Name],$A779,T_PlannedOrders[WeekIndex],100)&amp;" ("&amp;TEXT(SUMPRODUCT(MAX((T_PlannedOrders[Part Name]=$A779)*(T_PlannedOrders[WeekIndex]=100)*(T_PlannedOrders[EffectiveQty]&gt;0)*T_PlannedOrders[Order_Month])),"m月")&amp;"発注)")</f>
        <v/>
      </c>
      <c r="CZ805">
        <f>IF(SUMIFS(T_PlannedOrders[EffectiveQty],T_PlannedOrders[Part Name],$A779,T_PlannedOrders[WeekIndex],101)=0,"",SUMIFS(T_PlannedOrders[EffectiveQty],T_PlannedOrders[Part Name],$A779,T_PlannedOrders[WeekIndex],101)&amp;" ("&amp;TEXT(SUMPRODUCT(MAX((T_PlannedOrders[Part Name]=$A779)*(T_PlannedOrders[WeekIndex]=101)*(T_PlannedOrders[EffectiveQty]&gt;0)*T_PlannedOrders[Order_Month])),"m月")&amp;"発注)")</f>
        <v/>
      </c>
      <c r="DA805">
        <f>IF(SUMIFS(T_PlannedOrders[EffectiveQty],T_PlannedOrders[Part Name],$A779,T_PlannedOrders[WeekIndex],102)=0,"",SUMIFS(T_PlannedOrders[EffectiveQty],T_PlannedOrders[Part Name],$A779,T_PlannedOrders[WeekIndex],102)&amp;" ("&amp;TEXT(SUMPRODUCT(MAX((T_PlannedOrders[Part Name]=$A779)*(T_PlannedOrders[WeekIndex]=102)*(T_PlannedOrders[EffectiveQty]&gt;0)*T_PlannedOrders[Order_Month])),"m月")&amp;"発注)")</f>
        <v/>
      </c>
      <c r="DB805">
        <f>IF(SUMIFS(T_PlannedOrders[EffectiveQty],T_PlannedOrders[Part Name],$A779,T_PlannedOrders[WeekIndex],103)=0,"",SUMIFS(T_PlannedOrders[EffectiveQty],T_PlannedOrders[Part Name],$A779,T_PlannedOrders[WeekIndex],103)&amp;" ("&amp;TEXT(SUMPRODUCT(MAX((T_PlannedOrders[Part Name]=$A779)*(T_PlannedOrders[WeekIndex]=103)*(T_PlannedOrders[EffectiveQty]&gt;0)*T_PlannedOrders[Order_Month])),"m月")&amp;"発注)")</f>
        <v/>
      </c>
      <c r="DC805">
        <f>IF(SUMIFS(T_PlannedOrders[EffectiveQty],T_PlannedOrders[Part Name],$A779,T_PlannedOrders[WeekIndex],104)=0,"",SUMIFS(T_PlannedOrders[EffectiveQty],T_PlannedOrders[Part Name],$A779,T_PlannedOrders[WeekIndex],104)&amp;" ("&amp;TEXT(SUMPRODUCT(MAX((T_PlannedOrders[Part Name]=$A779)*(T_PlannedOrders[WeekIndex]=104)*(T_PlannedOrders[EffectiveQty]&gt;0)*T_PlannedOrders[Order_Month])),"m月")&amp;"発注)")</f>
        <v/>
      </c>
    </row>
    <row r="806">
      <c r="B806" s="5" t="inlineStr">
        <is>
          <t>合計在庫(週末時点,kg)</t>
        </is>
      </c>
      <c r="D806">
        <f>'Grid_Stock'!B30</f>
        <v/>
      </c>
      <c r="E806">
        <f>'Grid_Stock'!C30</f>
        <v/>
      </c>
      <c r="F806">
        <f>'Grid_Stock'!D30</f>
        <v/>
      </c>
      <c r="G806">
        <f>'Grid_Stock'!E30</f>
        <v/>
      </c>
      <c r="H806">
        <f>'Grid_Stock'!F30</f>
        <v/>
      </c>
      <c r="I806">
        <f>'Grid_Stock'!G30</f>
        <v/>
      </c>
      <c r="J806">
        <f>'Grid_Stock'!H30</f>
        <v/>
      </c>
      <c r="K806">
        <f>'Grid_Stock'!I30</f>
        <v/>
      </c>
      <c r="L806">
        <f>'Grid_Stock'!J30</f>
        <v/>
      </c>
      <c r="M806">
        <f>'Grid_Stock'!K30</f>
        <v/>
      </c>
      <c r="N806">
        <f>'Grid_Stock'!L30</f>
        <v/>
      </c>
      <c r="O806">
        <f>'Grid_Stock'!M30</f>
        <v/>
      </c>
      <c r="P806">
        <f>'Grid_Stock'!N30</f>
        <v/>
      </c>
      <c r="Q806">
        <f>'Grid_Stock'!O30</f>
        <v/>
      </c>
      <c r="R806">
        <f>'Grid_Stock'!P30</f>
        <v/>
      </c>
      <c r="S806">
        <f>'Grid_Stock'!Q30</f>
        <v/>
      </c>
      <c r="T806">
        <f>'Grid_Stock'!R30</f>
        <v/>
      </c>
      <c r="U806">
        <f>'Grid_Stock'!S30</f>
        <v/>
      </c>
      <c r="V806">
        <f>'Grid_Stock'!T30</f>
        <v/>
      </c>
      <c r="W806">
        <f>'Grid_Stock'!U30</f>
        <v/>
      </c>
      <c r="X806">
        <f>'Grid_Stock'!V30</f>
        <v/>
      </c>
      <c r="Y806">
        <f>'Grid_Stock'!W30</f>
        <v/>
      </c>
      <c r="Z806">
        <f>'Grid_Stock'!X30</f>
        <v/>
      </c>
      <c r="AA806">
        <f>'Grid_Stock'!Y30</f>
        <v/>
      </c>
      <c r="AB806">
        <f>'Grid_Stock'!Z30</f>
        <v/>
      </c>
      <c r="AC806">
        <f>'Grid_Stock'!AA30</f>
        <v/>
      </c>
      <c r="AD806">
        <f>'Grid_Stock'!AB30</f>
        <v/>
      </c>
      <c r="AE806">
        <f>'Grid_Stock'!AC30</f>
        <v/>
      </c>
      <c r="AF806">
        <f>'Grid_Stock'!AD30</f>
        <v/>
      </c>
      <c r="AG806">
        <f>'Grid_Stock'!AE30</f>
        <v/>
      </c>
      <c r="AH806">
        <f>'Grid_Stock'!AF30</f>
        <v/>
      </c>
      <c r="AI806">
        <f>'Grid_Stock'!AG30</f>
        <v/>
      </c>
      <c r="AJ806">
        <f>'Grid_Stock'!AH30</f>
        <v/>
      </c>
      <c r="AK806">
        <f>'Grid_Stock'!AI30</f>
        <v/>
      </c>
      <c r="AL806">
        <f>'Grid_Stock'!AJ30</f>
        <v/>
      </c>
      <c r="AM806">
        <f>'Grid_Stock'!AK30</f>
        <v/>
      </c>
      <c r="AN806">
        <f>'Grid_Stock'!AL30</f>
        <v/>
      </c>
      <c r="AO806">
        <f>'Grid_Stock'!AM30</f>
        <v/>
      </c>
      <c r="AP806">
        <f>'Grid_Stock'!AN30</f>
        <v/>
      </c>
      <c r="AQ806">
        <f>'Grid_Stock'!AO30</f>
        <v/>
      </c>
      <c r="AR806">
        <f>'Grid_Stock'!AP30</f>
        <v/>
      </c>
      <c r="AS806">
        <f>'Grid_Stock'!AQ30</f>
        <v/>
      </c>
      <c r="AT806">
        <f>'Grid_Stock'!AR30</f>
        <v/>
      </c>
      <c r="AU806">
        <f>'Grid_Stock'!AS30</f>
        <v/>
      </c>
      <c r="AV806">
        <f>'Grid_Stock'!AT30</f>
        <v/>
      </c>
      <c r="AW806">
        <f>'Grid_Stock'!AU30</f>
        <v/>
      </c>
      <c r="AX806">
        <f>'Grid_Stock'!AV30</f>
        <v/>
      </c>
      <c r="AY806">
        <f>'Grid_Stock'!AW30</f>
        <v/>
      </c>
      <c r="AZ806">
        <f>'Grid_Stock'!AX30</f>
        <v/>
      </c>
      <c r="BA806">
        <f>'Grid_Stock'!AY30</f>
        <v/>
      </c>
      <c r="BB806">
        <f>'Grid_Stock'!AZ30</f>
        <v/>
      </c>
      <c r="BC806">
        <f>'Grid_Stock'!BA30</f>
        <v/>
      </c>
      <c r="BD806">
        <f>'Grid_Stock'!BB30</f>
        <v/>
      </c>
      <c r="BE806">
        <f>'Grid_Stock'!BC30</f>
        <v/>
      </c>
      <c r="BF806">
        <f>'Grid_Stock'!BD30</f>
        <v/>
      </c>
      <c r="BG806">
        <f>'Grid_Stock'!BE30</f>
        <v/>
      </c>
      <c r="BH806">
        <f>'Grid_Stock'!BF30</f>
        <v/>
      </c>
      <c r="BI806">
        <f>'Grid_Stock'!BG30</f>
        <v/>
      </c>
      <c r="BJ806">
        <f>'Grid_Stock'!BH30</f>
        <v/>
      </c>
      <c r="BK806">
        <f>'Grid_Stock'!BI30</f>
        <v/>
      </c>
      <c r="BL806">
        <f>'Grid_Stock'!BJ30</f>
        <v/>
      </c>
      <c r="BM806">
        <f>'Grid_Stock'!BK30</f>
        <v/>
      </c>
      <c r="BN806">
        <f>'Grid_Stock'!BL30</f>
        <v/>
      </c>
      <c r="BO806">
        <f>'Grid_Stock'!BM30</f>
        <v/>
      </c>
      <c r="BP806">
        <f>'Grid_Stock'!BN30</f>
        <v/>
      </c>
      <c r="BQ806">
        <f>'Grid_Stock'!BO30</f>
        <v/>
      </c>
      <c r="BR806">
        <f>'Grid_Stock'!BP30</f>
        <v/>
      </c>
      <c r="BS806">
        <f>'Grid_Stock'!BQ30</f>
        <v/>
      </c>
      <c r="BT806">
        <f>'Grid_Stock'!BR30</f>
        <v/>
      </c>
      <c r="BU806">
        <f>'Grid_Stock'!BS30</f>
        <v/>
      </c>
      <c r="BV806">
        <f>'Grid_Stock'!BT30</f>
        <v/>
      </c>
      <c r="BW806">
        <f>'Grid_Stock'!BU30</f>
        <v/>
      </c>
      <c r="BX806">
        <f>'Grid_Stock'!BV30</f>
        <v/>
      </c>
      <c r="BY806">
        <f>'Grid_Stock'!BW30</f>
        <v/>
      </c>
      <c r="BZ806">
        <f>'Grid_Stock'!BX30</f>
        <v/>
      </c>
      <c r="CA806">
        <f>'Grid_Stock'!BY30</f>
        <v/>
      </c>
      <c r="CB806">
        <f>'Grid_Stock'!BZ30</f>
        <v/>
      </c>
      <c r="CC806">
        <f>'Grid_Stock'!CA30</f>
        <v/>
      </c>
      <c r="CD806">
        <f>'Grid_Stock'!CB30</f>
        <v/>
      </c>
      <c r="CE806">
        <f>'Grid_Stock'!CC30</f>
        <v/>
      </c>
      <c r="CF806">
        <f>'Grid_Stock'!CD30</f>
        <v/>
      </c>
      <c r="CG806">
        <f>'Grid_Stock'!CE30</f>
        <v/>
      </c>
      <c r="CH806">
        <f>'Grid_Stock'!CF30</f>
        <v/>
      </c>
      <c r="CI806">
        <f>'Grid_Stock'!CG30</f>
        <v/>
      </c>
      <c r="CJ806">
        <f>'Grid_Stock'!CH30</f>
        <v/>
      </c>
      <c r="CK806">
        <f>'Grid_Stock'!CI30</f>
        <v/>
      </c>
      <c r="CL806">
        <f>'Grid_Stock'!CJ30</f>
        <v/>
      </c>
      <c r="CM806">
        <f>'Grid_Stock'!CK30</f>
        <v/>
      </c>
      <c r="CN806">
        <f>'Grid_Stock'!CL30</f>
        <v/>
      </c>
      <c r="CO806">
        <f>'Grid_Stock'!CM30</f>
        <v/>
      </c>
      <c r="CP806">
        <f>'Grid_Stock'!CN30</f>
        <v/>
      </c>
      <c r="CQ806">
        <f>'Grid_Stock'!CO30</f>
        <v/>
      </c>
      <c r="CR806">
        <f>'Grid_Stock'!CP30</f>
        <v/>
      </c>
      <c r="CS806">
        <f>'Grid_Stock'!CQ30</f>
        <v/>
      </c>
      <c r="CT806">
        <f>'Grid_Stock'!CR30</f>
        <v/>
      </c>
      <c r="CU806">
        <f>'Grid_Stock'!CS30</f>
        <v/>
      </c>
      <c r="CV806">
        <f>'Grid_Stock'!CT30</f>
        <v/>
      </c>
      <c r="CW806">
        <f>'Grid_Stock'!CU30</f>
        <v/>
      </c>
      <c r="CX806">
        <f>'Grid_Stock'!CV30</f>
        <v/>
      </c>
      <c r="CY806">
        <f>'Grid_Stock'!CW30</f>
        <v/>
      </c>
      <c r="CZ806">
        <f>'Grid_Stock'!CX30</f>
        <v/>
      </c>
      <c r="DA806">
        <f>'Grid_Stock'!CY30</f>
        <v/>
      </c>
      <c r="DB806">
        <f>'Grid_Stock'!CZ30</f>
        <v/>
      </c>
      <c r="DC806">
        <f>'Grid_Stock'!DA30</f>
        <v/>
      </c>
    </row>
    <row r="807">
      <c r="B807" s="23" t="inlineStr">
        <is>
          <t>（発注の目安はDashboardの基準在庫[下限/上限]と色分けを参照）</t>
        </is>
      </c>
    </row>
    <row r="809">
      <c r="A809" s="21" t="inlineStr">
        <is>
          <t>CHEM-1670</t>
        </is>
      </c>
      <c r="B809" s="21" t="inlineStr">
        <is>
          <t>Alesper 1065</t>
        </is>
      </c>
      <c r="C809" s="22" t="n"/>
      <c r="D809" s="21" t="n"/>
      <c r="E809" s="21" t="n"/>
      <c r="F809" s="21" t="n"/>
      <c r="G809" s="21" t="n"/>
      <c r="H809" s="2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  <c r="AA809" s="21" t="n"/>
      <c r="AB809" s="21" t="n"/>
      <c r="AC809" s="21" t="n"/>
      <c r="AD809" s="21" t="n"/>
      <c r="AE809" s="21" t="n"/>
      <c r="AF809" s="21" t="n"/>
      <c r="AG809" s="21" t="n"/>
      <c r="AH809" s="21" t="n"/>
      <c r="AI809" s="21" t="n"/>
      <c r="AJ809" s="21" t="n"/>
      <c r="AK809" s="21" t="n"/>
      <c r="AL809" s="21" t="n"/>
      <c r="AM809" s="21" t="n"/>
      <c r="AN809" s="21" t="n"/>
      <c r="AO809" s="21" t="n"/>
      <c r="AP809" s="21" t="n"/>
      <c r="AQ809" s="21" t="n"/>
      <c r="AR809" s="21" t="n"/>
      <c r="AS809" s="21" t="n"/>
      <c r="AT809" s="21" t="n"/>
      <c r="AU809" s="21" t="n"/>
      <c r="AV809" s="21" t="n"/>
      <c r="AW809" s="21" t="n"/>
      <c r="AX809" s="21" t="n"/>
      <c r="AY809" s="21" t="n"/>
      <c r="AZ809" s="21" t="n"/>
      <c r="BA809" s="21" t="n"/>
      <c r="BB809" s="21" t="n"/>
      <c r="BC809" s="21" t="n"/>
      <c r="BD809" s="21" t="n"/>
      <c r="BE809" s="21" t="n"/>
      <c r="BF809" s="21" t="n"/>
      <c r="BG809" s="21" t="n"/>
      <c r="BH809" s="21" t="n"/>
      <c r="BI809" s="21" t="n"/>
      <c r="BJ809" s="21" t="n"/>
      <c r="BK809" s="21" t="n"/>
      <c r="BL809" s="21" t="n"/>
      <c r="BM809" s="21" t="n"/>
      <c r="BN809" s="21" t="n"/>
      <c r="BO809" s="21" t="n"/>
      <c r="BP809" s="21" t="n"/>
      <c r="BQ809" s="21" t="n"/>
      <c r="BR809" s="21" t="n"/>
      <c r="BS809" s="21" t="n"/>
      <c r="BT809" s="21" t="n"/>
      <c r="BU809" s="21" t="n"/>
      <c r="BV809" s="21" t="n"/>
      <c r="BW809" s="21" t="n"/>
      <c r="BX809" s="21" t="n"/>
      <c r="BY809" s="21" t="n"/>
      <c r="BZ809" s="21" t="n"/>
      <c r="CA809" s="21" t="n"/>
      <c r="CB809" s="21" t="n"/>
      <c r="CC809" s="21" t="n"/>
      <c r="CD809" s="21" t="n"/>
      <c r="CE809" s="21" t="n"/>
      <c r="CF809" s="21" t="n"/>
      <c r="CG809" s="21" t="n"/>
      <c r="CH809" s="21" t="n"/>
      <c r="CI809" s="21" t="n"/>
      <c r="CJ809" s="21" t="n"/>
      <c r="CK809" s="21" t="n"/>
      <c r="CL809" s="21" t="n"/>
      <c r="CM809" s="21" t="n"/>
      <c r="CN809" s="21" t="n"/>
      <c r="CO809" s="21" t="n"/>
      <c r="CP809" s="21" t="n"/>
      <c r="CQ809" s="21" t="n"/>
      <c r="CR809" s="21" t="n"/>
      <c r="CS809" s="21" t="n"/>
      <c r="CT809" s="21" t="n"/>
      <c r="CU809" s="21" t="n"/>
      <c r="CV809" s="21" t="n"/>
      <c r="CW809" s="21" t="n"/>
      <c r="CX809" s="21" t="n"/>
      <c r="CY809" s="21" t="n"/>
      <c r="CZ809" s="21" t="n"/>
      <c r="DA809" s="21" t="n"/>
      <c r="DB809" s="21" t="n"/>
      <c r="DC809" s="21" t="n"/>
    </row>
    <row r="810">
      <c r="B810" t="inlineStr">
        <is>
          <t>TSP-1444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Name],$A809)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TSP-1445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Name],$A809)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t="inlineStr">
        <is>
          <t>TSP-1446</t>
        </is>
      </c>
      <c r="C814" t="inlineStr">
        <is>
          <t>No. of batches</t>
        </is>
      </c>
      <c r="D814">
        <f>IFERROR(INDEX(PP_Grid[#Data],$DD814,2),0)</f>
        <v/>
      </c>
      <c r="E814">
        <f>IFERROR(INDEX(PP_Grid[#Data],$DD814,3),0)</f>
        <v/>
      </c>
      <c r="F814">
        <f>IFERROR(INDEX(PP_Grid[#Data],$DD814,4),0)</f>
        <v/>
      </c>
      <c r="G814">
        <f>IFERROR(INDEX(PP_Grid[#Data],$DD814,5),0)</f>
        <v/>
      </c>
      <c r="H814">
        <f>IFERROR(INDEX(PP_Grid[#Data],$DD814,6),0)</f>
        <v/>
      </c>
      <c r="I814">
        <f>IFERROR(INDEX(PP_Grid[#Data],$DD814,7),0)</f>
        <v/>
      </c>
      <c r="J814">
        <f>IFERROR(INDEX(PP_Grid[#Data],$DD814,8),0)</f>
        <v/>
      </c>
      <c r="K814">
        <f>IFERROR(INDEX(PP_Grid[#Data],$DD814,9),0)</f>
        <v/>
      </c>
      <c r="L814">
        <f>IFERROR(INDEX(PP_Grid[#Data],$DD814,10),0)</f>
        <v/>
      </c>
      <c r="M814">
        <f>IFERROR(INDEX(PP_Grid[#Data],$DD814,11),0)</f>
        <v/>
      </c>
      <c r="N814">
        <f>IFERROR(INDEX(PP_Grid[#Data],$DD814,12),0)</f>
        <v/>
      </c>
      <c r="O814">
        <f>IFERROR(INDEX(PP_Grid[#Data],$DD814,13),0)</f>
        <v/>
      </c>
      <c r="P814">
        <f>IFERROR(INDEX(PP_Grid[#Data],$DD814,14),0)</f>
        <v/>
      </c>
      <c r="Q814">
        <f>IFERROR(INDEX(PP_Grid[#Data],$DD814,15),0)</f>
        <v/>
      </c>
      <c r="R814">
        <f>IFERROR(INDEX(PP_Grid[#Data],$DD814,16),0)</f>
        <v/>
      </c>
      <c r="S814">
        <f>IFERROR(INDEX(PP_Grid[#Data],$DD814,17),0)</f>
        <v/>
      </c>
      <c r="T814">
        <f>IFERROR(INDEX(PP_Grid[#Data],$DD814,18),0)</f>
        <v/>
      </c>
      <c r="U814">
        <f>IFERROR(INDEX(PP_Grid[#Data],$DD814,19),0)</f>
        <v/>
      </c>
      <c r="V814">
        <f>IFERROR(INDEX(PP_Grid[#Data],$DD814,20),0)</f>
        <v/>
      </c>
      <c r="W814">
        <f>IFERROR(INDEX(PP_Grid[#Data],$DD814,21),0)</f>
        <v/>
      </c>
      <c r="X814">
        <f>IFERROR(INDEX(PP_Grid[#Data],$DD814,22),0)</f>
        <v/>
      </c>
      <c r="Y814">
        <f>IFERROR(INDEX(PP_Grid[#Data],$DD814,23),0)</f>
        <v/>
      </c>
      <c r="Z814">
        <f>IFERROR(INDEX(PP_Grid[#Data],$DD814,24),0)</f>
        <v/>
      </c>
      <c r="AA814">
        <f>IFERROR(INDEX(PP_Grid[#Data],$DD814,25),0)</f>
        <v/>
      </c>
      <c r="AB814">
        <f>IFERROR(INDEX(PP_Grid[#Data],$DD814,26),0)</f>
        <v/>
      </c>
      <c r="AC814">
        <f>IFERROR(INDEX(PP_Grid[#Data],$DD814,27),0)</f>
        <v/>
      </c>
      <c r="AD814">
        <f>IFERROR(INDEX(PP_Grid[#Data],$DD814,28),0)</f>
        <v/>
      </c>
      <c r="AE814">
        <f>IFERROR(INDEX(PP_Grid[#Data],$DD814,29),0)</f>
        <v/>
      </c>
      <c r="AF814">
        <f>IFERROR(INDEX(PP_Grid[#Data],$DD814,30),0)</f>
        <v/>
      </c>
      <c r="AG814">
        <f>IFERROR(INDEX(PP_Grid[#Data],$DD814,31),0)</f>
        <v/>
      </c>
      <c r="AH814">
        <f>IFERROR(INDEX(PP_Grid[#Data],$DD814,32),0)</f>
        <v/>
      </c>
      <c r="AI814">
        <f>IFERROR(INDEX(PP_Grid[#Data],$DD814,33),0)</f>
        <v/>
      </c>
      <c r="AJ814">
        <f>IFERROR(INDEX(PP_Grid[#Data],$DD814,34),0)</f>
        <v/>
      </c>
      <c r="AK814">
        <f>IFERROR(INDEX(PP_Grid[#Data],$DD814,35),0)</f>
        <v/>
      </c>
      <c r="AL814">
        <f>IFERROR(INDEX(PP_Grid[#Data],$DD814,36),0)</f>
        <v/>
      </c>
      <c r="AM814">
        <f>IFERROR(INDEX(PP_Grid[#Data],$DD814,37),0)</f>
        <v/>
      </c>
      <c r="AN814">
        <f>IFERROR(INDEX(PP_Grid[#Data],$DD814,38),0)</f>
        <v/>
      </c>
      <c r="AO814">
        <f>IFERROR(INDEX(PP_Grid[#Data],$DD814,39),0)</f>
        <v/>
      </c>
      <c r="AP814">
        <f>IFERROR(INDEX(PP_Grid[#Data],$DD814,40),0)</f>
        <v/>
      </c>
      <c r="AQ814">
        <f>IFERROR(INDEX(PP_Grid[#Data],$DD814,41),0)</f>
        <v/>
      </c>
      <c r="AR814">
        <f>IFERROR(INDEX(PP_Grid[#Data],$DD814,42),0)</f>
        <v/>
      </c>
      <c r="AS814">
        <f>IFERROR(INDEX(PP_Grid[#Data],$DD814,43),0)</f>
        <v/>
      </c>
      <c r="AT814">
        <f>IFERROR(INDEX(PP_Grid[#Data],$DD814,44),0)</f>
        <v/>
      </c>
      <c r="AU814">
        <f>IFERROR(INDEX(PP_Grid[#Data],$DD814,45),0)</f>
        <v/>
      </c>
      <c r="AV814">
        <f>IFERROR(INDEX(PP_Grid[#Data],$DD814,46),0)</f>
        <v/>
      </c>
      <c r="AW814">
        <f>IFERROR(INDEX(PP_Grid[#Data],$DD814,47),0)</f>
        <v/>
      </c>
      <c r="AX814">
        <f>IFERROR(INDEX(PP_Grid[#Data],$DD814,48),0)</f>
        <v/>
      </c>
      <c r="AY814">
        <f>IFERROR(INDEX(PP_Grid[#Data],$DD814,49),0)</f>
        <v/>
      </c>
      <c r="AZ814">
        <f>IFERROR(INDEX(PP_Grid[#Data],$DD814,50),0)</f>
        <v/>
      </c>
      <c r="BA814">
        <f>IFERROR(INDEX(PP_Grid[#Data],$DD814,51),0)</f>
        <v/>
      </c>
      <c r="BB814">
        <f>IFERROR(INDEX(PP_Grid[#Data],$DD814,52),0)</f>
        <v/>
      </c>
      <c r="BC814">
        <f>IFERROR(INDEX(PP_Grid[#Data],$DD814,53),0)</f>
        <v/>
      </c>
      <c r="BD814">
        <f>IFERROR(INDEX(PP_Grid[#Data],$DD814,54),0)</f>
        <v/>
      </c>
      <c r="BE814">
        <f>IFERROR(INDEX(PP_Grid[#Data],$DD814,55),0)</f>
        <v/>
      </c>
      <c r="BF814">
        <f>IFERROR(INDEX(PP_Grid[#Data],$DD814,56),0)</f>
        <v/>
      </c>
      <c r="BG814">
        <f>IFERROR(INDEX(PP_Grid[#Data],$DD814,57),0)</f>
        <v/>
      </c>
      <c r="BH814">
        <f>IFERROR(INDEX(PP_Grid[#Data],$DD814,58),0)</f>
        <v/>
      </c>
      <c r="BI814">
        <f>IFERROR(INDEX(PP_Grid[#Data],$DD814,59),0)</f>
        <v/>
      </c>
      <c r="BJ814">
        <f>IFERROR(INDEX(PP_Grid[#Data],$DD814,60),0)</f>
        <v/>
      </c>
      <c r="BK814">
        <f>IFERROR(INDEX(PP_Grid[#Data],$DD814,61),0)</f>
        <v/>
      </c>
      <c r="BL814">
        <f>IFERROR(INDEX(PP_Grid[#Data],$DD814,62),0)</f>
        <v/>
      </c>
      <c r="BM814">
        <f>IFERROR(INDEX(PP_Grid[#Data],$DD814,63),0)</f>
        <v/>
      </c>
      <c r="BN814">
        <f>IFERROR(INDEX(PP_Grid[#Data],$DD814,64),0)</f>
        <v/>
      </c>
      <c r="BO814">
        <f>IFERROR(INDEX(PP_Grid[#Data],$DD814,65),0)</f>
        <v/>
      </c>
      <c r="BP814">
        <f>IFERROR(INDEX(PP_Grid[#Data],$DD814,66),0)</f>
        <v/>
      </c>
      <c r="BQ814">
        <f>IFERROR(INDEX(PP_Grid[#Data],$DD814,67),0)</f>
        <v/>
      </c>
      <c r="BR814">
        <f>IFERROR(INDEX(PP_Grid[#Data],$DD814,68),0)</f>
        <v/>
      </c>
      <c r="BS814">
        <f>IFERROR(INDEX(PP_Grid[#Data],$DD814,69),0)</f>
        <v/>
      </c>
      <c r="BT814">
        <f>IFERROR(INDEX(PP_Grid[#Data],$DD814,70),0)</f>
        <v/>
      </c>
      <c r="BU814">
        <f>IFERROR(INDEX(PP_Grid[#Data],$DD814,71),0)</f>
        <v/>
      </c>
      <c r="BV814">
        <f>IFERROR(INDEX(PP_Grid[#Data],$DD814,72),0)</f>
        <v/>
      </c>
      <c r="BW814">
        <f>IFERROR(INDEX(PP_Grid[#Data],$DD814,73),0)</f>
        <v/>
      </c>
      <c r="BX814">
        <f>IFERROR(INDEX(PP_Grid[#Data],$DD814,74),0)</f>
        <v/>
      </c>
      <c r="BY814">
        <f>IFERROR(INDEX(PP_Grid[#Data],$DD814,75),0)</f>
        <v/>
      </c>
      <c r="BZ814">
        <f>IFERROR(INDEX(PP_Grid[#Data],$DD814,76),0)</f>
        <v/>
      </c>
      <c r="CA814">
        <f>IFERROR(INDEX(PP_Grid[#Data],$DD814,77),0)</f>
        <v/>
      </c>
      <c r="CB814">
        <f>IFERROR(INDEX(PP_Grid[#Data],$DD814,78),0)</f>
        <v/>
      </c>
      <c r="CC814">
        <f>IFERROR(INDEX(PP_Grid[#Data],$DD814,79),0)</f>
        <v/>
      </c>
      <c r="CD814">
        <f>IFERROR(INDEX(PP_Grid[#Data],$DD814,80),0)</f>
        <v/>
      </c>
      <c r="CE814">
        <f>IFERROR(INDEX(PP_Grid[#Data],$DD814,81),0)</f>
        <v/>
      </c>
      <c r="CF814">
        <f>IFERROR(INDEX(PP_Grid[#Data],$DD814,82),0)</f>
        <v/>
      </c>
      <c r="CG814">
        <f>IFERROR(INDEX(PP_Grid[#Data],$DD814,83),0)</f>
        <v/>
      </c>
      <c r="CH814">
        <f>IFERROR(INDEX(PP_Grid[#Data],$DD814,84),0)</f>
        <v/>
      </c>
      <c r="CI814">
        <f>IFERROR(INDEX(PP_Grid[#Data],$DD814,85),0)</f>
        <v/>
      </c>
      <c r="CJ814">
        <f>IFERROR(INDEX(PP_Grid[#Data],$DD814,86),0)</f>
        <v/>
      </c>
      <c r="CK814">
        <f>IFERROR(INDEX(PP_Grid[#Data],$DD814,87),0)</f>
        <v/>
      </c>
      <c r="CL814">
        <f>IFERROR(INDEX(PP_Grid[#Data],$DD814,88),0)</f>
        <v/>
      </c>
      <c r="CM814">
        <f>IFERROR(INDEX(PP_Grid[#Data],$DD814,89),0)</f>
        <v/>
      </c>
      <c r="CN814">
        <f>IFERROR(INDEX(PP_Grid[#Data],$DD814,90),0)</f>
        <v/>
      </c>
      <c r="CO814">
        <f>IFERROR(INDEX(PP_Grid[#Data],$DD814,91),0)</f>
        <v/>
      </c>
      <c r="CP814">
        <f>IFERROR(INDEX(PP_Grid[#Data],$DD814,92),0)</f>
        <v/>
      </c>
      <c r="CQ814">
        <f>IFERROR(INDEX(PP_Grid[#Data],$DD814,93),0)</f>
        <v/>
      </c>
      <c r="CR814">
        <f>IFERROR(INDEX(PP_Grid[#Data],$DD814,94),0)</f>
        <v/>
      </c>
      <c r="CS814">
        <f>IFERROR(INDEX(PP_Grid[#Data],$DD814,95),0)</f>
        <v/>
      </c>
      <c r="CT814">
        <f>IFERROR(INDEX(PP_Grid[#Data],$DD814,96),0)</f>
        <v/>
      </c>
      <c r="CU814">
        <f>IFERROR(INDEX(PP_Grid[#Data],$DD814,97),0)</f>
        <v/>
      </c>
      <c r="CV814">
        <f>IFERROR(INDEX(PP_Grid[#Data],$DD814,98),0)</f>
        <v/>
      </c>
      <c r="CW814">
        <f>IFERROR(INDEX(PP_Grid[#Data],$DD814,99),0)</f>
        <v/>
      </c>
      <c r="CX814">
        <f>IFERROR(INDEX(PP_Grid[#Data],$DD814,100),0)</f>
        <v/>
      </c>
      <c r="CY814">
        <f>IFERROR(INDEX(PP_Grid[#Data],$DD814,101),0)</f>
        <v/>
      </c>
      <c r="CZ814">
        <f>IFERROR(INDEX(PP_Grid[#Data],$DD814,102),0)</f>
        <v/>
      </c>
      <c r="DA814">
        <f>IFERROR(INDEX(PP_Grid[#Data],$DD814,103),0)</f>
        <v/>
      </c>
      <c r="DB814">
        <f>IFERROR(INDEX(PP_Grid[#Data],$DD814,104),0)</f>
        <v/>
      </c>
      <c r="DC814">
        <f>IFERROR(INDEX(PP_Grid[#Data],$DD814,105),0)</f>
        <v/>
      </c>
      <c r="DD814" s="12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SUMIFS(M_BOM[RM_Qty_Per_Batch],M_BOM[Intermediate],$B814,M_BOM[Part Name],$A809)</f>
        <v/>
      </c>
      <c r="D815">
        <f>$C815*D814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</row>
    <row r="816">
      <c r="B816" t="inlineStr">
        <is>
          <t>TSP-1499</t>
        </is>
      </c>
      <c r="C816" t="inlineStr">
        <is>
          <t>No. of batches</t>
        </is>
      </c>
      <c r="D816">
        <f>IFERROR(INDEX(PP_Grid[#Data],$DD816,2),0)</f>
        <v/>
      </c>
      <c r="E816">
        <f>IFERROR(INDEX(PP_Grid[#Data],$DD816,3),0)</f>
        <v/>
      </c>
      <c r="F816">
        <f>IFERROR(INDEX(PP_Grid[#Data],$DD816,4),0)</f>
        <v/>
      </c>
      <c r="G816">
        <f>IFERROR(INDEX(PP_Grid[#Data],$DD816,5),0)</f>
        <v/>
      </c>
      <c r="H816">
        <f>IFERROR(INDEX(PP_Grid[#Data],$DD816,6),0)</f>
        <v/>
      </c>
      <c r="I816">
        <f>IFERROR(INDEX(PP_Grid[#Data],$DD816,7),0)</f>
        <v/>
      </c>
      <c r="J816">
        <f>IFERROR(INDEX(PP_Grid[#Data],$DD816,8),0)</f>
        <v/>
      </c>
      <c r="K816">
        <f>IFERROR(INDEX(PP_Grid[#Data],$DD816,9),0)</f>
        <v/>
      </c>
      <c r="L816">
        <f>IFERROR(INDEX(PP_Grid[#Data],$DD816,10),0)</f>
        <v/>
      </c>
      <c r="M816">
        <f>IFERROR(INDEX(PP_Grid[#Data],$DD816,11),0)</f>
        <v/>
      </c>
      <c r="N816">
        <f>IFERROR(INDEX(PP_Grid[#Data],$DD816,12),0)</f>
        <v/>
      </c>
      <c r="O816">
        <f>IFERROR(INDEX(PP_Grid[#Data],$DD816,13),0)</f>
        <v/>
      </c>
      <c r="P816">
        <f>IFERROR(INDEX(PP_Grid[#Data],$DD816,14),0)</f>
        <v/>
      </c>
      <c r="Q816">
        <f>IFERROR(INDEX(PP_Grid[#Data],$DD816,15),0)</f>
        <v/>
      </c>
      <c r="R816">
        <f>IFERROR(INDEX(PP_Grid[#Data],$DD816,16),0)</f>
        <v/>
      </c>
      <c r="S816">
        <f>IFERROR(INDEX(PP_Grid[#Data],$DD816,17),0)</f>
        <v/>
      </c>
      <c r="T816">
        <f>IFERROR(INDEX(PP_Grid[#Data],$DD816,18),0)</f>
        <v/>
      </c>
      <c r="U816">
        <f>IFERROR(INDEX(PP_Grid[#Data],$DD816,19),0)</f>
        <v/>
      </c>
      <c r="V816">
        <f>IFERROR(INDEX(PP_Grid[#Data],$DD816,20),0)</f>
        <v/>
      </c>
      <c r="W816">
        <f>IFERROR(INDEX(PP_Grid[#Data],$DD816,21),0)</f>
        <v/>
      </c>
      <c r="X816">
        <f>IFERROR(INDEX(PP_Grid[#Data],$DD816,22),0)</f>
        <v/>
      </c>
      <c r="Y816">
        <f>IFERROR(INDEX(PP_Grid[#Data],$DD816,23),0)</f>
        <v/>
      </c>
      <c r="Z816">
        <f>IFERROR(INDEX(PP_Grid[#Data],$DD816,24),0)</f>
        <v/>
      </c>
      <c r="AA816">
        <f>IFERROR(INDEX(PP_Grid[#Data],$DD816,25),0)</f>
        <v/>
      </c>
      <c r="AB816">
        <f>IFERROR(INDEX(PP_Grid[#Data],$DD816,26),0)</f>
        <v/>
      </c>
      <c r="AC816">
        <f>IFERROR(INDEX(PP_Grid[#Data],$DD816,27),0)</f>
        <v/>
      </c>
      <c r="AD816">
        <f>IFERROR(INDEX(PP_Grid[#Data],$DD816,28),0)</f>
        <v/>
      </c>
      <c r="AE816">
        <f>IFERROR(INDEX(PP_Grid[#Data],$DD816,29),0)</f>
        <v/>
      </c>
      <c r="AF816">
        <f>IFERROR(INDEX(PP_Grid[#Data],$DD816,30),0)</f>
        <v/>
      </c>
      <c r="AG816">
        <f>IFERROR(INDEX(PP_Grid[#Data],$DD816,31),0)</f>
        <v/>
      </c>
      <c r="AH816">
        <f>IFERROR(INDEX(PP_Grid[#Data],$DD816,32),0)</f>
        <v/>
      </c>
      <c r="AI816">
        <f>IFERROR(INDEX(PP_Grid[#Data],$DD816,33),0)</f>
        <v/>
      </c>
      <c r="AJ816">
        <f>IFERROR(INDEX(PP_Grid[#Data],$DD816,34),0)</f>
        <v/>
      </c>
      <c r="AK816">
        <f>IFERROR(INDEX(PP_Grid[#Data],$DD816,35),0)</f>
        <v/>
      </c>
      <c r="AL816">
        <f>IFERROR(INDEX(PP_Grid[#Data],$DD816,36),0)</f>
        <v/>
      </c>
      <c r="AM816">
        <f>IFERROR(INDEX(PP_Grid[#Data],$DD816,37),0)</f>
        <v/>
      </c>
      <c r="AN816">
        <f>IFERROR(INDEX(PP_Grid[#Data],$DD816,38),0)</f>
        <v/>
      </c>
      <c r="AO816">
        <f>IFERROR(INDEX(PP_Grid[#Data],$DD816,39),0)</f>
        <v/>
      </c>
      <c r="AP816">
        <f>IFERROR(INDEX(PP_Grid[#Data],$DD816,40),0)</f>
        <v/>
      </c>
      <c r="AQ816">
        <f>IFERROR(INDEX(PP_Grid[#Data],$DD816,41),0)</f>
        <v/>
      </c>
      <c r="AR816">
        <f>IFERROR(INDEX(PP_Grid[#Data],$DD816,42),0)</f>
        <v/>
      </c>
      <c r="AS816">
        <f>IFERROR(INDEX(PP_Grid[#Data],$DD816,43),0)</f>
        <v/>
      </c>
      <c r="AT816">
        <f>IFERROR(INDEX(PP_Grid[#Data],$DD816,44),0)</f>
        <v/>
      </c>
      <c r="AU816">
        <f>IFERROR(INDEX(PP_Grid[#Data],$DD816,45),0)</f>
        <v/>
      </c>
      <c r="AV816">
        <f>IFERROR(INDEX(PP_Grid[#Data],$DD816,46),0)</f>
        <v/>
      </c>
      <c r="AW816">
        <f>IFERROR(INDEX(PP_Grid[#Data],$DD816,47),0)</f>
        <v/>
      </c>
      <c r="AX816">
        <f>IFERROR(INDEX(PP_Grid[#Data],$DD816,48),0)</f>
        <v/>
      </c>
      <c r="AY816">
        <f>IFERROR(INDEX(PP_Grid[#Data],$DD816,49),0)</f>
        <v/>
      </c>
      <c r="AZ816">
        <f>IFERROR(INDEX(PP_Grid[#Data],$DD816,50),0)</f>
        <v/>
      </c>
      <c r="BA816">
        <f>IFERROR(INDEX(PP_Grid[#Data],$DD816,51),0)</f>
        <v/>
      </c>
      <c r="BB816">
        <f>IFERROR(INDEX(PP_Grid[#Data],$DD816,52),0)</f>
        <v/>
      </c>
      <c r="BC816">
        <f>IFERROR(INDEX(PP_Grid[#Data],$DD816,53),0)</f>
        <v/>
      </c>
      <c r="BD816">
        <f>IFERROR(INDEX(PP_Grid[#Data],$DD816,54),0)</f>
        <v/>
      </c>
      <c r="BE816">
        <f>IFERROR(INDEX(PP_Grid[#Data],$DD816,55),0)</f>
        <v/>
      </c>
      <c r="BF816">
        <f>IFERROR(INDEX(PP_Grid[#Data],$DD816,56),0)</f>
        <v/>
      </c>
      <c r="BG816">
        <f>IFERROR(INDEX(PP_Grid[#Data],$DD816,57),0)</f>
        <v/>
      </c>
      <c r="BH816">
        <f>IFERROR(INDEX(PP_Grid[#Data],$DD816,58),0)</f>
        <v/>
      </c>
      <c r="BI816">
        <f>IFERROR(INDEX(PP_Grid[#Data],$DD816,59),0)</f>
        <v/>
      </c>
      <c r="BJ816">
        <f>IFERROR(INDEX(PP_Grid[#Data],$DD816,60),0)</f>
        <v/>
      </c>
      <c r="BK816">
        <f>IFERROR(INDEX(PP_Grid[#Data],$DD816,61),0)</f>
        <v/>
      </c>
      <c r="BL816">
        <f>IFERROR(INDEX(PP_Grid[#Data],$DD816,62),0)</f>
        <v/>
      </c>
      <c r="BM816">
        <f>IFERROR(INDEX(PP_Grid[#Data],$DD816,63),0)</f>
        <v/>
      </c>
      <c r="BN816">
        <f>IFERROR(INDEX(PP_Grid[#Data],$DD816,64),0)</f>
        <v/>
      </c>
      <c r="BO816">
        <f>IFERROR(INDEX(PP_Grid[#Data],$DD816,65),0)</f>
        <v/>
      </c>
      <c r="BP816">
        <f>IFERROR(INDEX(PP_Grid[#Data],$DD816,66),0)</f>
        <v/>
      </c>
      <c r="BQ816">
        <f>IFERROR(INDEX(PP_Grid[#Data],$DD816,67),0)</f>
        <v/>
      </c>
      <c r="BR816">
        <f>IFERROR(INDEX(PP_Grid[#Data],$DD816,68),0)</f>
        <v/>
      </c>
      <c r="BS816">
        <f>IFERROR(INDEX(PP_Grid[#Data],$DD816,69),0)</f>
        <v/>
      </c>
      <c r="BT816">
        <f>IFERROR(INDEX(PP_Grid[#Data],$DD816,70),0)</f>
        <v/>
      </c>
      <c r="BU816">
        <f>IFERROR(INDEX(PP_Grid[#Data],$DD816,71),0)</f>
        <v/>
      </c>
      <c r="BV816">
        <f>IFERROR(INDEX(PP_Grid[#Data],$DD816,72),0)</f>
        <v/>
      </c>
      <c r="BW816">
        <f>IFERROR(INDEX(PP_Grid[#Data],$DD816,73),0)</f>
        <v/>
      </c>
      <c r="BX816">
        <f>IFERROR(INDEX(PP_Grid[#Data],$DD816,74),0)</f>
        <v/>
      </c>
      <c r="BY816">
        <f>IFERROR(INDEX(PP_Grid[#Data],$DD816,75),0)</f>
        <v/>
      </c>
      <c r="BZ816">
        <f>IFERROR(INDEX(PP_Grid[#Data],$DD816,76),0)</f>
        <v/>
      </c>
      <c r="CA816">
        <f>IFERROR(INDEX(PP_Grid[#Data],$DD816,77),0)</f>
        <v/>
      </c>
      <c r="CB816">
        <f>IFERROR(INDEX(PP_Grid[#Data],$DD816,78),0)</f>
        <v/>
      </c>
      <c r="CC816">
        <f>IFERROR(INDEX(PP_Grid[#Data],$DD816,79),0)</f>
        <v/>
      </c>
      <c r="CD816">
        <f>IFERROR(INDEX(PP_Grid[#Data],$DD816,80),0)</f>
        <v/>
      </c>
      <c r="CE816">
        <f>IFERROR(INDEX(PP_Grid[#Data],$DD816,81),0)</f>
        <v/>
      </c>
      <c r="CF816">
        <f>IFERROR(INDEX(PP_Grid[#Data],$DD816,82),0)</f>
        <v/>
      </c>
      <c r="CG816">
        <f>IFERROR(INDEX(PP_Grid[#Data],$DD816,83),0)</f>
        <v/>
      </c>
      <c r="CH816">
        <f>IFERROR(INDEX(PP_Grid[#Data],$DD816,84),0)</f>
        <v/>
      </c>
      <c r="CI816">
        <f>IFERROR(INDEX(PP_Grid[#Data],$DD816,85),0)</f>
        <v/>
      </c>
      <c r="CJ816">
        <f>IFERROR(INDEX(PP_Grid[#Data],$DD816,86),0)</f>
        <v/>
      </c>
      <c r="CK816">
        <f>IFERROR(INDEX(PP_Grid[#Data],$DD816,87),0)</f>
        <v/>
      </c>
      <c r="CL816">
        <f>IFERROR(INDEX(PP_Grid[#Data],$DD816,88),0)</f>
        <v/>
      </c>
      <c r="CM816">
        <f>IFERROR(INDEX(PP_Grid[#Data],$DD816,89),0)</f>
        <v/>
      </c>
      <c r="CN816">
        <f>IFERROR(INDEX(PP_Grid[#Data],$DD816,90),0)</f>
        <v/>
      </c>
      <c r="CO816">
        <f>IFERROR(INDEX(PP_Grid[#Data],$DD816,91),0)</f>
        <v/>
      </c>
      <c r="CP816">
        <f>IFERROR(INDEX(PP_Grid[#Data],$DD816,92),0)</f>
        <v/>
      </c>
      <c r="CQ816">
        <f>IFERROR(INDEX(PP_Grid[#Data],$DD816,93),0)</f>
        <v/>
      </c>
      <c r="CR816">
        <f>IFERROR(INDEX(PP_Grid[#Data],$DD816,94),0)</f>
        <v/>
      </c>
      <c r="CS816">
        <f>IFERROR(INDEX(PP_Grid[#Data],$DD816,95),0)</f>
        <v/>
      </c>
      <c r="CT816">
        <f>IFERROR(INDEX(PP_Grid[#Data],$DD816,96),0)</f>
        <v/>
      </c>
      <c r="CU816">
        <f>IFERROR(INDEX(PP_Grid[#Data],$DD816,97),0)</f>
        <v/>
      </c>
      <c r="CV816">
        <f>IFERROR(INDEX(PP_Grid[#Data],$DD816,98),0)</f>
        <v/>
      </c>
      <c r="CW816">
        <f>IFERROR(INDEX(PP_Grid[#Data],$DD816,99),0)</f>
        <v/>
      </c>
      <c r="CX816">
        <f>IFERROR(INDEX(PP_Grid[#Data],$DD816,100),0)</f>
        <v/>
      </c>
      <c r="CY816">
        <f>IFERROR(INDEX(PP_Grid[#Data],$DD816,101),0)</f>
        <v/>
      </c>
      <c r="CZ816">
        <f>IFERROR(INDEX(PP_Grid[#Data],$DD816,102),0)</f>
        <v/>
      </c>
      <c r="DA816">
        <f>IFERROR(INDEX(PP_Grid[#Data],$DD816,103),0)</f>
        <v/>
      </c>
      <c r="DB816">
        <f>IFERROR(INDEX(PP_Grid[#Data],$DD816,104),0)</f>
        <v/>
      </c>
      <c r="DC816">
        <f>IFERROR(INDEX(PP_Grid[#Data],$DD816,105),0)</f>
        <v/>
      </c>
      <c r="DD816" s="12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SUMIFS(M_BOM[RM_Qty_Per_Batch],M_BOM[Intermediate],$B816,M_BOM[Part Name],$A809)</f>
        <v/>
      </c>
      <c r="D817">
        <f>$C817*D816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</row>
    <row r="818">
      <c r="B818" t="inlineStr">
        <is>
          <t>TSP-1555</t>
        </is>
      </c>
      <c r="C818" t="inlineStr">
        <is>
          <t>No. of batches</t>
        </is>
      </c>
      <c r="D818">
        <f>IFERROR(INDEX(PP_Grid[#Data],$DD818,2),0)</f>
        <v/>
      </c>
      <c r="E818">
        <f>IFERROR(INDEX(PP_Grid[#Data],$DD818,3),0)</f>
        <v/>
      </c>
      <c r="F818">
        <f>IFERROR(INDEX(PP_Grid[#Data],$DD818,4),0)</f>
        <v/>
      </c>
      <c r="G818">
        <f>IFERROR(INDEX(PP_Grid[#Data],$DD818,5),0)</f>
        <v/>
      </c>
      <c r="H818">
        <f>IFERROR(INDEX(PP_Grid[#Data],$DD818,6),0)</f>
        <v/>
      </c>
      <c r="I818">
        <f>IFERROR(INDEX(PP_Grid[#Data],$DD818,7),0)</f>
        <v/>
      </c>
      <c r="J818">
        <f>IFERROR(INDEX(PP_Grid[#Data],$DD818,8),0)</f>
        <v/>
      </c>
      <c r="K818">
        <f>IFERROR(INDEX(PP_Grid[#Data],$DD818,9),0)</f>
        <v/>
      </c>
      <c r="L818">
        <f>IFERROR(INDEX(PP_Grid[#Data],$DD818,10),0)</f>
        <v/>
      </c>
      <c r="M818">
        <f>IFERROR(INDEX(PP_Grid[#Data],$DD818,11),0)</f>
        <v/>
      </c>
      <c r="N818">
        <f>IFERROR(INDEX(PP_Grid[#Data],$DD818,12),0)</f>
        <v/>
      </c>
      <c r="O818">
        <f>IFERROR(INDEX(PP_Grid[#Data],$DD818,13),0)</f>
        <v/>
      </c>
      <c r="P818">
        <f>IFERROR(INDEX(PP_Grid[#Data],$DD818,14),0)</f>
        <v/>
      </c>
      <c r="Q818">
        <f>IFERROR(INDEX(PP_Grid[#Data],$DD818,15),0)</f>
        <v/>
      </c>
      <c r="R818">
        <f>IFERROR(INDEX(PP_Grid[#Data],$DD818,16),0)</f>
        <v/>
      </c>
      <c r="S818">
        <f>IFERROR(INDEX(PP_Grid[#Data],$DD818,17),0)</f>
        <v/>
      </c>
      <c r="T818">
        <f>IFERROR(INDEX(PP_Grid[#Data],$DD818,18),0)</f>
        <v/>
      </c>
      <c r="U818">
        <f>IFERROR(INDEX(PP_Grid[#Data],$DD818,19),0)</f>
        <v/>
      </c>
      <c r="V818">
        <f>IFERROR(INDEX(PP_Grid[#Data],$DD818,20),0)</f>
        <v/>
      </c>
      <c r="W818">
        <f>IFERROR(INDEX(PP_Grid[#Data],$DD818,21),0)</f>
        <v/>
      </c>
      <c r="X818">
        <f>IFERROR(INDEX(PP_Grid[#Data],$DD818,22),0)</f>
        <v/>
      </c>
      <c r="Y818">
        <f>IFERROR(INDEX(PP_Grid[#Data],$DD818,23),0)</f>
        <v/>
      </c>
      <c r="Z818">
        <f>IFERROR(INDEX(PP_Grid[#Data],$DD818,24),0)</f>
        <v/>
      </c>
      <c r="AA818">
        <f>IFERROR(INDEX(PP_Grid[#Data],$DD818,25),0)</f>
        <v/>
      </c>
      <c r="AB818">
        <f>IFERROR(INDEX(PP_Grid[#Data],$DD818,26),0)</f>
        <v/>
      </c>
      <c r="AC818">
        <f>IFERROR(INDEX(PP_Grid[#Data],$DD818,27),0)</f>
        <v/>
      </c>
      <c r="AD818">
        <f>IFERROR(INDEX(PP_Grid[#Data],$DD818,28),0)</f>
        <v/>
      </c>
      <c r="AE818">
        <f>IFERROR(INDEX(PP_Grid[#Data],$DD818,29),0)</f>
        <v/>
      </c>
      <c r="AF818">
        <f>IFERROR(INDEX(PP_Grid[#Data],$DD818,30),0)</f>
        <v/>
      </c>
      <c r="AG818">
        <f>IFERROR(INDEX(PP_Grid[#Data],$DD818,31),0)</f>
        <v/>
      </c>
      <c r="AH818">
        <f>IFERROR(INDEX(PP_Grid[#Data],$DD818,32),0)</f>
        <v/>
      </c>
      <c r="AI818">
        <f>IFERROR(INDEX(PP_Grid[#Data],$DD818,33),0)</f>
        <v/>
      </c>
      <c r="AJ818">
        <f>IFERROR(INDEX(PP_Grid[#Data],$DD818,34),0)</f>
        <v/>
      </c>
      <c r="AK818">
        <f>IFERROR(INDEX(PP_Grid[#Data],$DD818,35),0)</f>
        <v/>
      </c>
      <c r="AL818">
        <f>IFERROR(INDEX(PP_Grid[#Data],$DD818,36),0)</f>
        <v/>
      </c>
      <c r="AM818">
        <f>IFERROR(INDEX(PP_Grid[#Data],$DD818,37),0)</f>
        <v/>
      </c>
      <c r="AN818">
        <f>IFERROR(INDEX(PP_Grid[#Data],$DD818,38),0)</f>
        <v/>
      </c>
      <c r="AO818">
        <f>IFERROR(INDEX(PP_Grid[#Data],$DD818,39),0)</f>
        <v/>
      </c>
      <c r="AP818">
        <f>IFERROR(INDEX(PP_Grid[#Data],$DD818,40),0)</f>
        <v/>
      </c>
      <c r="AQ818">
        <f>IFERROR(INDEX(PP_Grid[#Data],$DD818,41),0)</f>
        <v/>
      </c>
      <c r="AR818">
        <f>IFERROR(INDEX(PP_Grid[#Data],$DD818,42),0)</f>
        <v/>
      </c>
      <c r="AS818">
        <f>IFERROR(INDEX(PP_Grid[#Data],$DD818,43),0)</f>
        <v/>
      </c>
      <c r="AT818">
        <f>IFERROR(INDEX(PP_Grid[#Data],$DD818,44),0)</f>
        <v/>
      </c>
      <c r="AU818">
        <f>IFERROR(INDEX(PP_Grid[#Data],$DD818,45),0)</f>
        <v/>
      </c>
      <c r="AV818">
        <f>IFERROR(INDEX(PP_Grid[#Data],$DD818,46),0)</f>
        <v/>
      </c>
      <c r="AW818">
        <f>IFERROR(INDEX(PP_Grid[#Data],$DD818,47),0)</f>
        <v/>
      </c>
      <c r="AX818">
        <f>IFERROR(INDEX(PP_Grid[#Data],$DD818,48),0)</f>
        <v/>
      </c>
      <c r="AY818">
        <f>IFERROR(INDEX(PP_Grid[#Data],$DD818,49),0)</f>
        <v/>
      </c>
      <c r="AZ818">
        <f>IFERROR(INDEX(PP_Grid[#Data],$DD818,50),0)</f>
        <v/>
      </c>
      <c r="BA818">
        <f>IFERROR(INDEX(PP_Grid[#Data],$DD818,51),0)</f>
        <v/>
      </c>
      <c r="BB818">
        <f>IFERROR(INDEX(PP_Grid[#Data],$DD818,52),0)</f>
        <v/>
      </c>
      <c r="BC818">
        <f>IFERROR(INDEX(PP_Grid[#Data],$DD818,53),0)</f>
        <v/>
      </c>
      <c r="BD818">
        <f>IFERROR(INDEX(PP_Grid[#Data],$DD818,54),0)</f>
        <v/>
      </c>
      <c r="BE818">
        <f>IFERROR(INDEX(PP_Grid[#Data],$DD818,55),0)</f>
        <v/>
      </c>
      <c r="BF818">
        <f>IFERROR(INDEX(PP_Grid[#Data],$DD818,56),0)</f>
        <v/>
      </c>
      <c r="BG818">
        <f>IFERROR(INDEX(PP_Grid[#Data],$DD818,57),0)</f>
        <v/>
      </c>
      <c r="BH818">
        <f>IFERROR(INDEX(PP_Grid[#Data],$DD818,58),0)</f>
        <v/>
      </c>
      <c r="BI818">
        <f>IFERROR(INDEX(PP_Grid[#Data],$DD818,59),0)</f>
        <v/>
      </c>
      <c r="BJ818">
        <f>IFERROR(INDEX(PP_Grid[#Data],$DD818,60),0)</f>
        <v/>
      </c>
      <c r="BK818">
        <f>IFERROR(INDEX(PP_Grid[#Data],$DD818,61),0)</f>
        <v/>
      </c>
      <c r="BL818">
        <f>IFERROR(INDEX(PP_Grid[#Data],$DD818,62),0)</f>
        <v/>
      </c>
      <c r="BM818">
        <f>IFERROR(INDEX(PP_Grid[#Data],$DD818,63),0)</f>
        <v/>
      </c>
      <c r="BN818">
        <f>IFERROR(INDEX(PP_Grid[#Data],$DD818,64),0)</f>
        <v/>
      </c>
      <c r="BO818">
        <f>IFERROR(INDEX(PP_Grid[#Data],$DD818,65),0)</f>
        <v/>
      </c>
      <c r="BP818">
        <f>IFERROR(INDEX(PP_Grid[#Data],$DD818,66),0)</f>
        <v/>
      </c>
      <c r="BQ818">
        <f>IFERROR(INDEX(PP_Grid[#Data],$DD818,67),0)</f>
        <v/>
      </c>
      <c r="BR818">
        <f>IFERROR(INDEX(PP_Grid[#Data],$DD818,68),0)</f>
        <v/>
      </c>
      <c r="BS818">
        <f>IFERROR(INDEX(PP_Grid[#Data],$DD818,69),0)</f>
        <v/>
      </c>
      <c r="BT818">
        <f>IFERROR(INDEX(PP_Grid[#Data],$DD818,70),0)</f>
        <v/>
      </c>
      <c r="BU818">
        <f>IFERROR(INDEX(PP_Grid[#Data],$DD818,71),0)</f>
        <v/>
      </c>
      <c r="BV818">
        <f>IFERROR(INDEX(PP_Grid[#Data],$DD818,72),0)</f>
        <v/>
      </c>
      <c r="BW818">
        <f>IFERROR(INDEX(PP_Grid[#Data],$DD818,73),0)</f>
        <v/>
      </c>
      <c r="BX818">
        <f>IFERROR(INDEX(PP_Grid[#Data],$DD818,74),0)</f>
        <v/>
      </c>
      <c r="BY818">
        <f>IFERROR(INDEX(PP_Grid[#Data],$DD818,75),0)</f>
        <v/>
      </c>
      <c r="BZ818">
        <f>IFERROR(INDEX(PP_Grid[#Data],$DD818,76),0)</f>
        <v/>
      </c>
      <c r="CA818">
        <f>IFERROR(INDEX(PP_Grid[#Data],$DD818,77),0)</f>
        <v/>
      </c>
      <c r="CB818">
        <f>IFERROR(INDEX(PP_Grid[#Data],$DD818,78),0)</f>
        <v/>
      </c>
      <c r="CC818">
        <f>IFERROR(INDEX(PP_Grid[#Data],$DD818,79),0)</f>
        <v/>
      </c>
      <c r="CD818">
        <f>IFERROR(INDEX(PP_Grid[#Data],$DD818,80),0)</f>
        <v/>
      </c>
      <c r="CE818">
        <f>IFERROR(INDEX(PP_Grid[#Data],$DD818,81),0)</f>
        <v/>
      </c>
      <c r="CF818">
        <f>IFERROR(INDEX(PP_Grid[#Data],$DD818,82),0)</f>
        <v/>
      </c>
      <c r="CG818">
        <f>IFERROR(INDEX(PP_Grid[#Data],$DD818,83),0)</f>
        <v/>
      </c>
      <c r="CH818">
        <f>IFERROR(INDEX(PP_Grid[#Data],$DD818,84),0)</f>
        <v/>
      </c>
      <c r="CI818">
        <f>IFERROR(INDEX(PP_Grid[#Data],$DD818,85),0)</f>
        <v/>
      </c>
      <c r="CJ818">
        <f>IFERROR(INDEX(PP_Grid[#Data],$DD818,86),0)</f>
        <v/>
      </c>
      <c r="CK818">
        <f>IFERROR(INDEX(PP_Grid[#Data],$DD818,87),0)</f>
        <v/>
      </c>
      <c r="CL818">
        <f>IFERROR(INDEX(PP_Grid[#Data],$DD818,88),0)</f>
        <v/>
      </c>
      <c r="CM818">
        <f>IFERROR(INDEX(PP_Grid[#Data],$DD818,89),0)</f>
        <v/>
      </c>
      <c r="CN818">
        <f>IFERROR(INDEX(PP_Grid[#Data],$DD818,90),0)</f>
        <v/>
      </c>
      <c r="CO818">
        <f>IFERROR(INDEX(PP_Grid[#Data],$DD818,91),0)</f>
        <v/>
      </c>
      <c r="CP818">
        <f>IFERROR(INDEX(PP_Grid[#Data],$DD818,92),0)</f>
        <v/>
      </c>
      <c r="CQ818">
        <f>IFERROR(INDEX(PP_Grid[#Data],$DD818,93),0)</f>
        <v/>
      </c>
      <c r="CR818">
        <f>IFERROR(INDEX(PP_Grid[#Data],$DD818,94),0)</f>
        <v/>
      </c>
      <c r="CS818">
        <f>IFERROR(INDEX(PP_Grid[#Data],$DD818,95),0)</f>
        <v/>
      </c>
      <c r="CT818">
        <f>IFERROR(INDEX(PP_Grid[#Data],$DD818,96),0)</f>
        <v/>
      </c>
      <c r="CU818">
        <f>IFERROR(INDEX(PP_Grid[#Data],$DD818,97),0)</f>
        <v/>
      </c>
      <c r="CV818">
        <f>IFERROR(INDEX(PP_Grid[#Data],$DD818,98),0)</f>
        <v/>
      </c>
      <c r="CW818">
        <f>IFERROR(INDEX(PP_Grid[#Data],$DD818,99),0)</f>
        <v/>
      </c>
      <c r="CX818">
        <f>IFERROR(INDEX(PP_Grid[#Data],$DD818,100),0)</f>
        <v/>
      </c>
      <c r="CY818">
        <f>IFERROR(INDEX(PP_Grid[#Data],$DD818,101),0)</f>
        <v/>
      </c>
      <c r="CZ818">
        <f>IFERROR(INDEX(PP_Grid[#Data],$DD818,102),0)</f>
        <v/>
      </c>
      <c r="DA818">
        <f>IFERROR(INDEX(PP_Grid[#Data],$DD818,103),0)</f>
        <v/>
      </c>
      <c r="DB818">
        <f>IFERROR(INDEX(PP_Grid[#Data],$DD818,104),0)</f>
        <v/>
      </c>
      <c r="DC818">
        <f>IFERROR(INDEX(PP_Grid[#Data],$DD818,105),0)</f>
        <v/>
      </c>
      <c r="DD818" s="12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SUMIFS(M_BOM[RM_Qty_Per_Batch],M_BOM[Intermediate],$B818,M_BOM[Part Name],$A809)</f>
        <v/>
      </c>
      <c r="D819">
        <f>$C819*D818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</row>
    <row r="820">
      <c r="B820" t="inlineStr">
        <is>
          <t>TSP-558</t>
        </is>
      </c>
      <c r="C820" t="inlineStr">
        <is>
          <t>No. of batches</t>
        </is>
      </c>
      <c r="D820">
        <f>IFERROR(INDEX(PP_Grid[#Data],$DD820,2),0)</f>
        <v/>
      </c>
      <c r="E820">
        <f>IFERROR(INDEX(PP_Grid[#Data],$DD820,3),0)</f>
        <v/>
      </c>
      <c r="F820">
        <f>IFERROR(INDEX(PP_Grid[#Data],$DD820,4),0)</f>
        <v/>
      </c>
      <c r="G820">
        <f>IFERROR(INDEX(PP_Grid[#Data],$DD820,5),0)</f>
        <v/>
      </c>
      <c r="H820">
        <f>IFERROR(INDEX(PP_Grid[#Data],$DD820,6),0)</f>
        <v/>
      </c>
      <c r="I820">
        <f>IFERROR(INDEX(PP_Grid[#Data],$DD820,7),0)</f>
        <v/>
      </c>
      <c r="J820">
        <f>IFERROR(INDEX(PP_Grid[#Data],$DD820,8),0)</f>
        <v/>
      </c>
      <c r="K820">
        <f>IFERROR(INDEX(PP_Grid[#Data],$DD820,9),0)</f>
        <v/>
      </c>
      <c r="L820">
        <f>IFERROR(INDEX(PP_Grid[#Data],$DD820,10),0)</f>
        <v/>
      </c>
      <c r="M820">
        <f>IFERROR(INDEX(PP_Grid[#Data],$DD820,11),0)</f>
        <v/>
      </c>
      <c r="N820">
        <f>IFERROR(INDEX(PP_Grid[#Data],$DD820,12),0)</f>
        <v/>
      </c>
      <c r="O820">
        <f>IFERROR(INDEX(PP_Grid[#Data],$DD820,13),0)</f>
        <v/>
      </c>
      <c r="P820">
        <f>IFERROR(INDEX(PP_Grid[#Data],$DD820,14),0)</f>
        <v/>
      </c>
      <c r="Q820">
        <f>IFERROR(INDEX(PP_Grid[#Data],$DD820,15),0)</f>
        <v/>
      </c>
      <c r="R820">
        <f>IFERROR(INDEX(PP_Grid[#Data],$DD820,16),0)</f>
        <v/>
      </c>
      <c r="S820">
        <f>IFERROR(INDEX(PP_Grid[#Data],$DD820,17),0)</f>
        <v/>
      </c>
      <c r="T820">
        <f>IFERROR(INDEX(PP_Grid[#Data],$DD820,18),0)</f>
        <v/>
      </c>
      <c r="U820">
        <f>IFERROR(INDEX(PP_Grid[#Data],$DD820,19),0)</f>
        <v/>
      </c>
      <c r="V820">
        <f>IFERROR(INDEX(PP_Grid[#Data],$DD820,20),0)</f>
        <v/>
      </c>
      <c r="W820">
        <f>IFERROR(INDEX(PP_Grid[#Data],$DD820,21),0)</f>
        <v/>
      </c>
      <c r="X820">
        <f>IFERROR(INDEX(PP_Grid[#Data],$DD820,22),0)</f>
        <v/>
      </c>
      <c r="Y820">
        <f>IFERROR(INDEX(PP_Grid[#Data],$DD820,23),0)</f>
        <v/>
      </c>
      <c r="Z820">
        <f>IFERROR(INDEX(PP_Grid[#Data],$DD820,24),0)</f>
        <v/>
      </c>
      <c r="AA820">
        <f>IFERROR(INDEX(PP_Grid[#Data],$DD820,25),0)</f>
        <v/>
      </c>
      <c r="AB820">
        <f>IFERROR(INDEX(PP_Grid[#Data],$DD820,26),0)</f>
        <v/>
      </c>
      <c r="AC820">
        <f>IFERROR(INDEX(PP_Grid[#Data],$DD820,27),0)</f>
        <v/>
      </c>
      <c r="AD820">
        <f>IFERROR(INDEX(PP_Grid[#Data],$DD820,28),0)</f>
        <v/>
      </c>
      <c r="AE820">
        <f>IFERROR(INDEX(PP_Grid[#Data],$DD820,29),0)</f>
        <v/>
      </c>
      <c r="AF820">
        <f>IFERROR(INDEX(PP_Grid[#Data],$DD820,30),0)</f>
        <v/>
      </c>
      <c r="AG820">
        <f>IFERROR(INDEX(PP_Grid[#Data],$DD820,31),0)</f>
        <v/>
      </c>
      <c r="AH820">
        <f>IFERROR(INDEX(PP_Grid[#Data],$DD820,32),0)</f>
        <v/>
      </c>
      <c r="AI820">
        <f>IFERROR(INDEX(PP_Grid[#Data],$DD820,33),0)</f>
        <v/>
      </c>
      <c r="AJ820">
        <f>IFERROR(INDEX(PP_Grid[#Data],$DD820,34),0)</f>
        <v/>
      </c>
      <c r="AK820">
        <f>IFERROR(INDEX(PP_Grid[#Data],$DD820,35),0)</f>
        <v/>
      </c>
      <c r="AL820">
        <f>IFERROR(INDEX(PP_Grid[#Data],$DD820,36),0)</f>
        <v/>
      </c>
      <c r="AM820">
        <f>IFERROR(INDEX(PP_Grid[#Data],$DD820,37),0)</f>
        <v/>
      </c>
      <c r="AN820">
        <f>IFERROR(INDEX(PP_Grid[#Data],$DD820,38),0)</f>
        <v/>
      </c>
      <c r="AO820">
        <f>IFERROR(INDEX(PP_Grid[#Data],$DD820,39),0)</f>
        <v/>
      </c>
      <c r="AP820">
        <f>IFERROR(INDEX(PP_Grid[#Data],$DD820,40),0)</f>
        <v/>
      </c>
      <c r="AQ820">
        <f>IFERROR(INDEX(PP_Grid[#Data],$DD820,41),0)</f>
        <v/>
      </c>
      <c r="AR820">
        <f>IFERROR(INDEX(PP_Grid[#Data],$DD820,42),0)</f>
        <v/>
      </c>
      <c r="AS820">
        <f>IFERROR(INDEX(PP_Grid[#Data],$DD820,43),0)</f>
        <v/>
      </c>
      <c r="AT820">
        <f>IFERROR(INDEX(PP_Grid[#Data],$DD820,44),0)</f>
        <v/>
      </c>
      <c r="AU820">
        <f>IFERROR(INDEX(PP_Grid[#Data],$DD820,45),0)</f>
        <v/>
      </c>
      <c r="AV820">
        <f>IFERROR(INDEX(PP_Grid[#Data],$DD820,46),0)</f>
        <v/>
      </c>
      <c r="AW820">
        <f>IFERROR(INDEX(PP_Grid[#Data],$DD820,47),0)</f>
        <v/>
      </c>
      <c r="AX820">
        <f>IFERROR(INDEX(PP_Grid[#Data],$DD820,48),0)</f>
        <v/>
      </c>
      <c r="AY820">
        <f>IFERROR(INDEX(PP_Grid[#Data],$DD820,49),0)</f>
        <v/>
      </c>
      <c r="AZ820">
        <f>IFERROR(INDEX(PP_Grid[#Data],$DD820,50),0)</f>
        <v/>
      </c>
      <c r="BA820">
        <f>IFERROR(INDEX(PP_Grid[#Data],$DD820,51),0)</f>
        <v/>
      </c>
      <c r="BB820">
        <f>IFERROR(INDEX(PP_Grid[#Data],$DD820,52),0)</f>
        <v/>
      </c>
      <c r="BC820">
        <f>IFERROR(INDEX(PP_Grid[#Data],$DD820,53),0)</f>
        <v/>
      </c>
      <c r="BD820">
        <f>IFERROR(INDEX(PP_Grid[#Data],$DD820,54),0)</f>
        <v/>
      </c>
      <c r="BE820">
        <f>IFERROR(INDEX(PP_Grid[#Data],$DD820,55),0)</f>
        <v/>
      </c>
      <c r="BF820">
        <f>IFERROR(INDEX(PP_Grid[#Data],$DD820,56),0)</f>
        <v/>
      </c>
      <c r="BG820">
        <f>IFERROR(INDEX(PP_Grid[#Data],$DD820,57),0)</f>
        <v/>
      </c>
      <c r="BH820">
        <f>IFERROR(INDEX(PP_Grid[#Data],$DD820,58),0)</f>
        <v/>
      </c>
      <c r="BI820">
        <f>IFERROR(INDEX(PP_Grid[#Data],$DD820,59),0)</f>
        <v/>
      </c>
      <c r="BJ820">
        <f>IFERROR(INDEX(PP_Grid[#Data],$DD820,60),0)</f>
        <v/>
      </c>
      <c r="BK820">
        <f>IFERROR(INDEX(PP_Grid[#Data],$DD820,61),0)</f>
        <v/>
      </c>
      <c r="BL820">
        <f>IFERROR(INDEX(PP_Grid[#Data],$DD820,62),0)</f>
        <v/>
      </c>
      <c r="BM820">
        <f>IFERROR(INDEX(PP_Grid[#Data],$DD820,63),0)</f>
        <v/>
      </c>
      <c r="BN820">
        <f>IFERROR(INDEX(PP_Grid[#Data],$DD820,64),0)</f>
        <v/>
      </c>
      <c r="BO820">
        <f>IFERROR(INDEX(PP_Grid[#Data],$DD820,65),0)</f>
        <v/>
      </c>
      <c r="BP820">
        <f>IFERROR(INDEX(PP_Grid[#Data],$DD820,66),0)</f>
        <v/>
      </c>
      <c r="BQ820">
        <f>IFERROR(INDEX(PP_Grid[#Data],$DD820,67),0)</f>
        <v/>
      </c>
      <c r="BR820">
        <f>IFERROR(INDEX(PP_Grid[#Data],$DD820,68),0)</f>
        <v/>
      </c>
      <c r="BS820">
        <f>IFERROR(INDEX(PP_Grid[#Data],$DD820,69),0)</f>
        <v/>
      </c>
      <c r="BT820">
        <f>IFERROR(INDEX(PP_Grid[#Data],$DD820,70),0)</f>
        <v/>
      </c>
      <c r="BU820">
        <f>IFERROR(INDEX(PP_Grid[#Data],$DD820,71),0)</f>
        <v/>
      </c>
      <c r="BV820">
        <f>IFERROR(INDEX(PP_Grid[#Data],$DD820,72),0)</f>
        <v/>
      </c>
      <c r="BW820">
        <f>IFERROR(INDEX(PP_Grid[#Data],$DD820,73),0)</f>
        <v/>
      </c>
      <c r="BX820">
        <f>IFERROR(INDEX(PP_Grid[#Data],$DD820,74),0)</f>
        <v/>
      </c>
      <c r="BY820">
        <f>IFERROR(INDEX(PP_Grid[#Data],$DD820,75),0)</f>
        <v/>
      </c>
      <c r="BZ820">
        <f>IFERROR(INDEX(PP_Grid[#Data],$DD820,76),0)</f>
        <v/>
      </c>
      <c r="CA820">
        <f>IFERROR(INDEX(PP_Grid[#Data],$DD820,77),0)</f>
        <v/>
      </c>
      <c r="CB820">
        <f>IFERROR(INDEX(PP_Grid[#Data],$DD820,78),0)</f>
        <v/>
      </c>
      <c r="CC820">
        <f>IFERROR(INDEX(PP_Grid[#Data],$DD820,79),0)</f>
        <v/>
      </c>
      <c r="CD820">
        <f>IFERROR(INDEX(PP_Grid[#Data],$DD820,80),0)</f>
        <v/>
      </c>
      <c r="CE820">
        <f>IFERROR(INDEX(PP_Grid[#Data],$DD820,81),0)</f>
        <v/>
      </c>
      <c r="CF820">
        <f>IFERROR(INDEX(PP_Grid[#Data],$DD820,82),0)</f>
        <v/>
      </c>
      <c r="CG820">
        <f>IFERROR(INDEX(PP_Grid[#Data],$DD820,83),0)</f>
        <v/>
      </c>
      <c r="CH820">
        <f>IFERROR(INDEX(PP_Grid[#Data],$DD820,84),0)</f>
        <v/>
      </c>
      <c r="CI820">
        <f>IFERROR(INDEX(PP_Grid[#Data],$DD820,85),0)</f>
        <v/>
      </c>
      <c r="CJ820">
        <f>IFERROR(INDEX(PP_Grid[#Data],$DD820,86),0)</f>
        <v/>
      </c>
      <c r="CK820">
        <f>IFERROR(INDEX(PP_Grid[#Data],$DD820,87),0)</f>
        <v/>
      </c>
      <c r="CL820">
        <f>IFERROR(INDEX(PP_Grid[#Data],$DD820,88),0)</f>
        <v/>
      </c>
      <c r="CM820">
        <f>IFERROR(INDEX(PP_Grid[#Data],$DD820,89),0)</f>
        <v/>
      </c>
      <c r="CN820">
        <f>IFERROR(INDEX(PP_Grid[#Data],$DD820,90),0)</f>
        <v/>
      </c>
      <c r="CO820">
        <f>IFERROR(INDEX(PP_Grid[#Data],$DD820,91),0)</f>
        <v/>
      </c>
      <c r="CP820">
        <f>IFERROR(INDEX(PP_Grid[#Data],$DD820,92),0)</f>
        <v/>
      </c>
      <c r="CQ820">
        <f>IFERROR(INDEX(PP_Grid[#Data],$DD820,93),0)</f>
        <v/>
      </c>
      <c r="CR820">
        <f>IFERROR(INDEX(PP_Grid[#Data],$DD820,94),0)</f>
        <v/>
      </c>
      <c r="CS820">
        <f>IFERROR(INDEX(PP_Grid[#Data],$DD820,95),0)</f>
        <v/>
      </c>
      <c r="CT820">
        <f>IFERROR(INDEX(PP_Grid[#Data],$DD820,96),0)</f>
        <v/>
      </c>
      <c r="CU820">
        <f>IFERROR(INDEX(PP_Grid[#Data],$DD820,97),0)</f>
        <v/>
      </c>
      <c r="CV820">
        <f>IFERROR(INDEX(PP_Grid[#Data],$DD820,98),0)</f>
        <v/>
      </c>
      <c r="CW820">
        <f>IFERROR(INDEX(PP_Grid[#Data],$DD820,99),0)</f>
        <v/>
      </c>
      <c r="CX820">
        <f>IFERROR(INDEX(PP_Grid[#Data],$DD820,100),0)</f>
        <v/>
      </c>
      <c r="CY820">
        <f>IFERROR(INDEX(PP_Grid[#Data],$DD820,101),0)</f>
        <v/>
      </c>
      <c r="CZ820">
        <f>IFERROR(INDEX(PP_Grid[#Data],$DD820,102),0)</f>
        <v/>
      </c>
      <c r="DA820">
        <f>IFERROR(INDEX(PP_Grid[#Data],$DD820,103),0)</f>
        <v/>
      </c>
      <c r="DB820">
        <f>IFERROR(INDEX(PP_Grid[#Data],$DD820,104),0)</f>
        <v/>
      </c>
      <c r="DC820">
        <f>IFERROR(INDEX(PP_Grid[#Data],$DD820,105),0)</f>
        <v/>
      </c>
      <c r="DD820" s="12">
        <f>IFERROR(MATCH($B820,PP_Grid[Intermediate],0),99999)</f>
        <v/>
      </c>
    </row>
    <row r="821">
      <c r="B821" t="inlineStr">
        <is>
          <t>使用量(kg)</t>
        </is>
      </c>
      <c r="C821">
        <f>SUMIFS(M_BOM[RM_Qty_Per_Batch],M_BOM[Intermediate],$B820,M_BOM[Part Name],$A809)</f>
        <v/>
      </c>
      <c r="D821">
        <f>$C821*D820</f>
        <v/>
      </c>
      <c r="E821">
        <f>$C821*E820</f>
        <v/>
      </c>
      <c r="F821">
        <f>$C821*F820</f>
        <v/>
      </c>
      <c r="G821">
        <f>$C821*G820</f>
        <v/>
      </c>
      <c r="H821">
        <f>$C821*H820</f>
        <v/>
      </c>
      <c r="I821">
        <f>$C821*I820</f>
        <v/>
      </c>
      <c r="J821">
        <f>$C821*J820</f>
        <v/>
      </c>
      <c r="K821">
        <f>$C821*K820</f>
        <v/>
      </c>
      <c r="L821">
        <f>$C821*L820</f>
        <v/>
      </c>
      <c r="M821">
        <f>$C821*M820</f>
        <v/>
      </c>
      <c r="N821">
        <f>$C821*N820</f>
        <v/>
      </c>
      <c r="O821">
        <f>$C821*O820</f>
        <v/>
      </c>
      <c r="P821">
        <f>$C821*P820</f>
        <v/>
      </c>
      <c r="Q821">
        <f>$C821*Q820</f>
        <v/>
      </c>
      <c r="R821">
        <f>$C821*R820</f>
        <v/>
      </c>
      <c r="S821">
        <f>$C821*S820</f>
        <v/>
      </c>
      <c r="T821">
        <f>$C821*T820</f>
        <v/>
      </c>
      <c r="U821">
        <f>$C821*U820</f>
        <v/>
      </c>
      <c r="V821">
        <f>$C821*V820</f>
        <v/>
      </c>
      <c r="W821">
        <f>$C821*W820</f>
        <v/>
      </c>
      <c r="X821">
        <f>$C821*X820</f>
        <v/>
      </c>
      <c r="Y821">
        <f>$C821*Y820</f>
        <v/>
      </c>
      <c r="Z821">
        <f>$C821*Z820</f>
        <v/>
      </c>
      <c r="AA821">
        <f>$C821*AA820</f>
        <v/>
      </c>
      <c r="AB821">
        <f>$C821*AB820</f>
        <v/>
      </c>
      <c r="AC821">
        <f>$C821*AC820</f>
        <v/>
      </c>
      <c r="AD821">
        <f>$C821*AD820</f>
        <v/>
      </c>
      <c r="AE821">
        <f>$C821*AE820</f>
        <v/>
      </c>
      <c r="AF821">
        <f>$C821*AF820</f>
        <v/>
      </c>
      <c r="AG821">
        <f>$C821*AG820</f>
        <v/>
      </c>
      <c r="AH821">
        <f>$C821*AH820</f>
        <v/>
      </c>
      <c r="AI821">
        <f>$C821*AI820</f>
        <v/>
      </c>
      <c r="AJ821">
        <f>$C821*AJ820</f>
        <v/>
      </c>
      <c r="AK821">
        <f>$C821*AK820</f>
        <v/>
      </c>
      <c r="AL821">
        <f>$C821*AL820</f>
        <v/>
      </c>
      <c r="AM821">
        <f>$C821*AM820</f>
        <v/>
      </c>
      <c r="AN821">
        <f>$C821*AN820</f>
        <v/>
      </c>
      <c r="AO821">
        <f>$C821*AO820</f>
        <v/>
      </c>
      <c r="AP821">
        <f>$C821*AP820</f>
        <v/>
      </c>
      <c r="AQ821">
        <f>$C821*AQ820</f>
        <v/>
      </c>
      <c r="AR821">
        <f>$C821*AR820</f>
        <v/>
      </c>
      <c r="AS821">
        <f>$C821*AS820</f>
        <v/>
      </c>
      <c r="AT821">
        <f>$C821*AT820</f>
        <v/>
      </c>
      <c r="AU821">
        <f>$C821*AU820</f>
        <v/>
      </c>
      <c r="AV821">
        <f>$C821*AV820</f>
        <v/>
      </c>
      <c r="AW821">
        <f>$C821*AW820</f>
        <v/>
      </c>
      <c r="AX821">
        <f>$C821*AX820</f>
        <v/>
      </c>
      <c r="AY821">
        <f>$C821*AY820</f>
        <v/>
      </c>
      <c r="AZ821">
        <f>$C821*AZ820</f>
        <v/>
      </c>
      <c r="BA821">
        <f>$C821*BA820</f>
        <v/>
      </c>
      <c r="BB821">
        <f>$C821*BB820</f>
        <v/>
      </c>
      <c r="BC821">
        <f>$C821*BC820</f>
        <v/>
      </c>
      <c r="BD821">
        <f>$C821*BD820</f>
        <v/>
      </c>
      <c r="BE821">
        <f>$C821*BE820</f>
        <v/>
      </c>
      <c r="BF821">
        <f>$C821*BF820</f>
        <v/>
      </c>
      <c r="BG821">
        <f>$C821*BG820</f>
        <v/>
      </c>
      <c r="BH821">
        <f>$C821*BH820</f>
        <v/>
      </c>
      <c r="BI821">
        <f>$C821*BI820</f>
        <v/>
      </c>
      <c r="BJ821">
        <f>$C821*BJ820</f>
        <v/>
      </c>
      <c r="BK821">
        <f>$C821*BK820</f>
        <v/>
      </c>
      <c r="BL821">
        <f>$C821*BL820</f>
        <v/>
      </c>
      <c r="BM821">
        <f>$C821*BM820</f>
        <v/>
      </c>
      <c r="BN821">
        <f>$C821*BN820</f>
        <v/>
      </c>
      <c r="BO821">
        <f>$C821*BO820</f>
        <v/>
      </c>
      <c r="BP821">
        <f>$C821*BP820</f>
        <v/>
      </c>
      <c r="BQ821">
        <f>$C821*BQ820</f>
        <v/>
      </c>
      <c r="BR821">
        <f>$C821*BR820</f>
        <v/>
      </c>
      <c r="BS821">
        <f>$C821*BS820</f>
        <v/>
      </c>
      <c r="BT821">
        <f>$C821*BT820</f>
        <v/>
      </c>
      <c r="BU821">
        <f>$C821*BU820</f>
        <v/>
      </c>
      <c r="BV821">
        <f>$C821*BV820</f>
        <v/>
      </c>
      <c r="BW821">
        <f>$C821*BW820</f>
        <v/>
      </c>
      <c r="BX821">
        <f>$C821*BX820</f>
        <v/>
      </c>
      <c r="BY821">
        <f>$C821*BY820</f>
        <v/>
      </c>
      <c r="BZ821">
        <f>$C821*BZ820</f>
        <v/>
      </c>
      <c r="CA821">
        <f>$C821*CA820</f>
        <v/>
      </c>
      <c r="CB821">
        <f>$C821*CB820</f>
        <v/>
      </c>
      <c r="CC821">
        <f>$C821*CC820</f>
        <v/>
      </c>
      <c r="CD821">
        <f>$C821*CD820</f>
        <v/>
      </c>
      <c r="CE821">
        <f>$C821*CE820</f>
        <v/>
      </c>
      <c r="CF821">
        <f>$C821*CF820</f>
        <v/>
      </c>
      <c r="CG821">
        <f>$C821*CG820</f>
        <v/>
      </c>
      <c r="CH821">
        <f>$C821*CH820</f>
        <v/>
      </c>
      <c r="CI821">
        <f>$C821*CI820</f>
        <v/>
      </c>
      <c r="CJ821">
        <f>$C821*CJ820</f>
        <v/>
      </c>
      <c r="CK821">
        <f>$C821*CK820</f>
        <v/>
      </c>
      <c r="CL821">
        <f>$C821*CL820</f>
        <v/>
      </c>
      <c r="CM821">
        <f>$C821*CM820</f>
        <v/>
      </c>
      <c r="CN821">
        <f>$C821*CN820</f>
        <v/>
      </c>
      <c r="CO821">
        <f>$C821*CO820</f>
        <v/>
      </c>
      <c r="CP821">
        <f>$C821*CP820</f>
        <v/>
      </c>
      <c r="CQ821">
        <f>$C821*CQ820</f>
        <v/>
      </c>
      <c r="CR821">
        <f>$C821*CR820</f>
        <v/>
      </c>
      <c r="CS821">
        <f>$C821*CS820</f>
        <v/>
      </c>
      <c r="CT821">
        <f>$C821*CT820</f>
        <v/>
      </c>
      <c r="CU821">
        <f>$C821*CU820</f>
        <v/>
      </c>
      <c r="CV821">
        <f>$C821*CV820</f>
        <v/>
      </c>
      <c r="CW821">
        <f>$C821*CW820</f>
        <v/>
      </c>
      <c r="CX821">
        <f>$C821*CX820</f>
        <v/>
      </c>
      <c r="CY821">
        <f>$C821*CY820</f>
        <v/>
      </c>
      <c r="CZ821">
        <f>$C821*CZ820</f>
        <v/>
      </c>
      <c r="DA821">
        <f>$C821*DA820</f>
        <v/>
      </c>
      <c r="DB821">
        <f>$C821*DB820</f>
        <v/>
      </c>
      <c r="DC821">
        <f>$C821*DC820</f>
        <v/>
      </c>
    </row>
    <row r="822">
      <c r="B822" t="inlineStr">
        <is>
          <t>TSP-903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Name],$A809)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'Grid_Requirement'!B2</f>
        <v/>
      </c>
      <c r="E824">
        <f>'Grid_Requirement'!C2</f>
        <v/>
      </c>
      <c r="F824">
        <f>'Grid_Requirement'!D2</f>
        <v/>
      </c>
      <c r="G824">
        <f>'Grid_Requirement'!E2</f>
        <v/>
      </c>
      <c r="H824">
        <f>'Grid_Requirement'!F2</f>
        <v/>
      </c>
      <c r="I824">
        <f>'Grid_Requirement'!G2</f>
        <v/>
      </c>
      <c r="J824">
        <f>'Grid_Requirement'!H2</f>
        <v/>
      </c>
      <c r="K824">
        <f>'Grid_Requirement'!I2</f>
        <v/>
      </c>
      <c r="L824">
        <f>'Grid_Requirement'!J2</f>
        <v/>
      </c>
      <c r="M824">
        <f>'Grid_Requirement'!K2</f>
        <v/>
      </c>
      <c r="N824">
        <f>'Grid_Requirement'!L2</f>
        <v/>
      </c>
      <c r="O824">
        <f>'Grid_Requirement'!M2</f>
        <v/>
      </c>
      <c r="P824">
        <f>'Grid_Requirement'!N2</f>
        <v/>
      </c>
      <c r="Q824">
        <f>'Grid_Requirement'!O2</f>
        <v/>
      </c>
      <c r="R824">
        <f>'Grid_Requirement'!P2</f>
        <v/>
      </c>
      <c r="S824">
        <f>'Grid_Requirement'!Q2</f>
        <v/>
      </c>
      <c r="T824">
        <f>'Grid_Requirement'!R2</f>
        <v/>
      </c>
      <c r="U824">
        <f>'Grid_Requirement'!S2</f>
        <v/>
      </c>
      <c r="V824">
        <f>'Grid_Requirement'!T2</f>
        <v/>
      </c>
      <c r="W824">
        <f>'Grid_Requirement'!U2</f>
        <v/>
      </c>
      <c r="X824">
        <f>'Grid_Requirement'!V2</f>
        <v/>
      </c>
      <c r="Y824">
        <f>'Grid_Requirement'!W2</f>
        <v/>
      </c>
      <c r="Z824">
        <f>'Grid_Requirement'!X2</f>
        <v/>
      </c>
      <c r="AA824">
        <f>'Grid_Requirement'!Y2</f>
        <v/>
      </c>
      <c r="AB824">
        <f>'Grid_Requirement'!Z2</f>
        <v/>
      </c>
      <c r="AC824">
        <f>'Grid_Requirement'!AA2</f>
        <v/>
      </c>
      <c r="AD824">
        <f>'Grid_Requirement'!AB2</f>
        <v/>
      </c>
      <c r="AE824">
        <f>'Grid_Requirement'!AC2</f>
        <v/>
      </c>
      <c r="AF824">
        <f>'Grid_Requirement'!AD2</f>
        <v/>
      </c>
      <c r="AG824">
        <f>'Grid_Requirement'!AE2</f>
        <v/>
      </c>
      <c r="AH824">
        <f>'Grid_Requirement'!AF2</f>
        <v/>
      </c>
      <c r="AI824">
        <f>'Grid_Requirement'!AG2</f>
        <v/>
      </c>
      <c r="AJ824">
        <f>'Grid_Requirement'!AH2</f>
        <v/>
      </c>
      <c r="AK824">
        <f>'Grid_Requirement'!AI2</f>
        <v/>
      </c>
      <c r="AL824">
        <f>'Grid_Requirement'!AJ2</f>
        <v/>
      </c>
      <c r="AM824">
        <f>'Grid_Requirement'!AK2</f>
        <v/>
      </c>
      <c r="AN824">
        <f>'Grid_Requirement'!AL2</f>
        <v/>
      </c>
      <c r="AO824">
        <f>'Grid_Requirement'!AM2</f>
        <v/>
      </c>
      <c r="AP824">
        <f>'Grid_Requirement'!AN2</f>
        <v/>
      </c>
      <c r="AQ824">
        <f>'Grid_Requirement'!AO2</f>
        <v/>
      </c>
      <c r="AR824">
        <f>'Grid_Requirement'!AP2</f>
        <v/>
      </c>
      <c r="AS824">
        <f>'Grid_Requirement'!AQ2</f>
        <v/>
      </c>
      <c r="AT824">
        <f>'Grid_Requirement'!AR2</f>
        <v/>
      </c>
      <c r="AU824">
        <f>'Grid_Requirement'!AS2</f>
        <v/>
      </c>
      <c r="AV824">
        <f>'Grid_Requirement'!AT2</f>
        <v/>
      </c>
      <c r="AW824">
        <f>'Grid_Requirement'!AU2</f>
        <v/>
      </c>
      <c r="AX824">
        <f>'Grid_Requirement'!AV2</f>
        <v/>
      </c>
      <c r="AY824">
        <f>'Grid_Requirement'!AW2</f>
        <v/>
      </c>
      <c r="AZ824">
        <f>'Grid_Requirement'!AX2</f>
        <v/>
      </c>
      <c r="BA824">
        <f>'Grid_Requirement'!AY2</f>
        <v/>
      </c>
      <c r="BB824">
        <f>'Grid_Requirement'!AZ2</f>
        <v/>
      </c>
      <c r="BC824">
        <f>'Grid_Requirement'!BA2</f>
        <v/>
      </c>
      <c r="BD824">
        <f>'Grid_Requirement'!BB2</f>
        <v/>
      </c>
      <c r="BE824">
        <f>'Grid_Requirement'!BC2</f>
        <v/>
      </c>
      <c r="BF824">
        <f>'Grid_Requirement'!BD2</f>
        <v/>
      </c>
      <c r="BG824">
        <f>'Grid_Requirement'!BE2</f>
        <v/>
      </c>
      <c r="BH824">
        <f>'Grid_Requirement'!BF2</f>
        <v/>
      </c>
      <c r="BI824">
        <f>'Grid_Requirement'!BG2</f>
        <v/>
      </c>
      <c r="BJ824">
        <f>'Grid_Requirement'!BH2</f>
        <v/>
      </c>
      <c r="BK824">
        <f>'Grid_Requirement'!BI2</f>
        <v/>
      </c>
      <c r="BL824">
        <f>'Grid_Requirement'!BJ2</f>
        <v/>
      </c>
      <c r="BM824">
        <f>'Grid_Requirement'!BK2</f>
        <v/>
      </c>
      <c r="BN824">
        <f>'Grid_Requirement'!BL2</f>
        <v/>
      </c>
      <c r="BO824">
        <f>'Grid_Requirement'!BM2</f>
        <v/>
      </c>
      <c r="BP824">
        <f>'Grid_Requirement'!BN2</f>
        <v/>
      </c>
      <c r="BQ824">
        <f>'Grid_Requirement'!BO2</f>
        <v/>
      </c>
      <c r="BR824">
        <f>'Grid_Requirement'!BP2</f>
        <v/>
      </c>
      <c r="BS824">
        <f>'Grid_Requirement'!BQ2</f>
        <v/>
      </c>
      <c r="BT824">
        <f>'Grid_Requirement'!BR2</f>
        <v/>
      </c>
      <c r="BU824">
        <f>'Grid_Requirement'!BS2</f>
        <v/>
      </c>
      <c r="BV824">
        <f>'Grid_Requirement'!BT2</f>
        <v/>
      </c>
      <c r="BW824">
        <f>'Grid_Requirement'!BU2</f>
        <v/>
      </c>
      <c r="BX824">
        <f>'Grid_Requirement'!BV2</f>
        <v/>
      </c>
      <c r="BY824">
        <f>'Grid_Requirement'!BW2</f>
        <v/>
      </c>
      <c r="BZ824">
        <f>'Grid_Requirement'!BX2</f>
        <v/>
      </c>
      <c r="CA824">
        <f>'Grid_Requirement'!BY2</f>
        <v/>
      </c>
      <c r="CB824">
        <f>'Grid_Requirement'!BZ2</f>
        <v/>
      </c>
      <c r="CC824">
        <f>'Grid_Requirement'!CA2</f>
        <v/>
      </c>
      <c r="CD824">
        <f>'Grid_Requirement'!CB2</f>
        <v/>
      </c>
      <c r="CE824">
        <f>'Grid_Requirement'!CC2</f>
        <v/>
      </c>
      <c r="CF824">
        <f>'Grid_Requirement'!CD2</f>
        <v/>
      </c>
      <c r="CG824">
        <f>'Grid_Requirement'!CE2</f>
        <v/>
      </c>
      <c r="CH824">
        <f>'Grid_Requirement'!CF2</f>
        <v/>
      </c>
      <c r="CI824">
        <f>'Grid_Requirement'!CG2</f>
        <v/>
      </c>
      <c r="CJ824">
        <f>'Grid_Requirement'!CH2</f>
        <v/>
      </c>
      <c r="CK824">
        <f>'Grid_Requirement'!CI2</f>
        <v/>
      </c>
      <c r="CL824">
        <f>'Grid_Requirement'!CJ2</f>
        <v/>
      </c>
      <c r="CM824">
        <f>'Grid_Requirement'!CK2</f>
        <v/>
      </c>
      <c r="CN824">
        <f>'Grid_Requirement'!CL2</f>
        <v/>
      </c>
      <c r="CO824">
        <f>'Grid_Requirement'!CM2</f>
        <v/>
      </c>
      <c r="CP824">
        <f>'Grid_Requirement'!CN2</f>
        <v/>
      </c>
      <c r="CQ824">
        <f>'Grid_Requirement'!CO2</f>
        <v/>
      </c>
      <c r="CR824">
        <f>'Grid_Requirement'!CP2</f>
        <v/>
      </c>
      <c r="CS824">
        <f>'Grid_Requirement'!CQ2</f>
        <v/>
      </c>
      <c r="CT824">
        <f>'Grid_Requirement'!CR2</f>
        <v/>
      </c>
      <c r="CU824">
        <f>'Grid_Requirement'!CS2</f>
        <v/>
      </c>
      <c r="CV824">
        <f>'Grid_Requirement'!CT2</f>
        <v/>
      </c>
      <c r="CW824">
        <f>'Grid_Requirement'!CU2</f>
        <v/>
      </c>
      <c r="CX824">
        <f>'Grid_Requirement'!CV2</f>
        <v/>
      </c>
      <c r="CY824">
        <f>'Grid_Requirement'!CW2</f>
        <v/>
      </c>
      <c r="CZ824">
        <f>'Grid_Requirement'!CX2</f>
        <v/>
      </c>
      <c r="DA824">
        <f>'Grid_Requirement'!CY2</f>
        <v/>
      </c>
      <c r="DB824">
        <f>'Grid_Requirement'!CZ2</f>
        <v/>
      </c>
      <c r="DC824">
        <f>'Grid_Requirement'!DA2</f>
        <v/>
      </c>
    </row>
    <row r="825">
      <c r="B825" t="inlineStr">
        <is>
          <t>TTAF在庫(実績,kg)</t>
        </is>
      </c>
      <c r="D825">
        <f>'T_TTAFStock'!B6</f>
        <v/>
      </c>
      <c r="E825">
        <f>'T_TTAFStock'!C6</f>
        <v/>
      </c>
      <c r="F825">
        <f>'T_TTAFStock'!D6</f>
        <v/>
      </c>
      <c r="G825">
        <f>'T_TTAFStock'!E6</f>
        <v/>
      </c>
      <c r="H825">
        <f>'T_TTAFStock'!F6</f>
        <v/>
      </c>
      <c r="I825">
        <f>'T_TTAFStock'!G6</f>
        <v/>
      </c>
      <c r="J825">
        <f>'T_TTAFStock'!H6</f>
        <v/>
      </c>
      <c r="K825">
        <f>'T_TTAFStock'!I6</f>
        <v/>
      </c>
      <c r="L825">
        <f>'T_TTAFStock'!J6</f>
        <v/>
      </c>
      <c r="M825">
        <f>'T_TTAFStock'!K6</f>
        <v/>
      </c>
      <c r="N825">
        <f>'T_TTAFStock'!L6</f>
        <v/>
      </c>
      <c r="O825">
        <f>'T_TTAFStock'!M6</f>
        <v/>
      </c>
      <c r="P825">
        <f>'T_TTAFStock'!N6</f>
        <v/>
      </c>
      <c r="Q825">
        <f>'T_TTAFStock'!O6</f>
        <v/>
      </c>
      <c r="R825">
        <f>'T_TTAFStock'!P6</f>
        <v/>
      </c>
      <c r="S825">
        <f>'T_TTAFStock'!Q6</f>
        <v/>
      </c>
      <c r="T825">
        <f>'T_TTAFStock'!R6</f>
        <v/>
      </c>
      <c r="U825">
        <f>'T_TTAFStock'!S6</f>
        <v/>
      </c>
      <c r="V825">
        <f>'T_TTAFStock'!T6</f>
        <v/>
      </c>
      <c r="W825">
        <f>'T_TTAFStock'!U6</f>
        <v/>
      </c>
      <c r="X825">
        <f>'T_TTAFStock'!V6</f>
        <v/>
      </c>
      <c r="Y825">
        <f>'T_TTAFStock'!W6</f>
        <v/>
      </c>
      <c r="Z825">
        <f>'T_TTAFStock'!X6</f>
        <v/>
      </c>
      <c r="AA825">
        <f>'T_TTAFStock'!Y6</f>
        <v/>
      </c>
      <c r="AB825">
        <f>'T_TTAFStock'!Z6</f>
        <v/>
      </c>
      <c r="AC825">
        <f>'T_TTAFStock'!AA6</f>
        <v/>
      </c>
      <c r="AD825">
        <f>'T_TTAFStock'!AB6</f>
        <v/>
      </c>
      <c r="AE825">
        <f>'T_TTAFStock'!AC6</f>
        <v/>
      </c>
      <c r="AF825">
        <f>'T_TTAFStock'!AD6</f>
        <v/>
      </c>
      <c r="AG825">
        <f>'T_TTAFStock'!AE6</f>
        <v/>
      </c>
      <c r="AH825">
        <f>'T_TTAFStock'!AF6</f>
        <v/>
      </c>
      <c r="AI825">
        <f>'T_TTAFStock'!AG6</f>
        <v/>
      </c>
      <c r="AJ825">
        <f>'T_TTAFStock'!AH6</f>
        <v/>
      </c>
      <c r="AK825">
        <f>'T_TTAFStock'!AI6</f>
        <v/>
      </c>
      <c r="AL825">
        <f>'T_TTAFStock'!AJ6</f>
        <v/>
      </c>
      <c r="AM825">
        <f>'T_TTAFStock'!AK6</f>
        <v/>
      </c>
      <c r="AN825">
        <f>'T_TTAFStock'!AL6</f>
        <v/>
      </c>
      <c r="AO825">
        <f>'T_TTAFStock'!AM6</f>
        <v/>
      </c>
      <c r="AP825">
        <f>'T_TTAFStock'!AN6</f>
        <v/>
      </c>
      <c r="AQ825">
        <f>'T_TTAFStock'!AO6</f>
        <v/>
      </c>
      <c r="AR825">
        <f>'T_TTAFStock'!AP6</f>
        <v/>
      </c>
      <c r="AS825">
        <f>'T_TTAFStock'!AQ6</f>
        <v/>
      </c>
      <c r="AT825">
        <f>'T_TTAFStock'!AR6</f>
        <v/>
      </c>
      <c r="AU825">
        <f>'T_TTAFStock'!AS6</f>
        <v/>
      </c>
      <c r="AV825">
        <f>'T_TTAFStock'!AT6</f>
        <v/>
      </c>
      <c r="AW825">
        <f>'T_TTAFStock'!AU6</f>
        <v/>
      </c>
      <c r="AX825">
        <f>'T_TTAFStock'!AV6</f>
        <v/>
      </c>
      <c r="AY825">
        <f>'T_TTAFStock'!AW6</f>
        <v/>
      </c>
      <c r="AZ825">
        <f>'T_TTAFStock'!AX6</f>
        <v/>
      </c>
      <c r="BA825">
        <f>'T_TTAFStock'!AY6</f>
        <v/>
      </c>
      <c r="BB825">
        <f>'T_TTAFStock'!AZ6</f>
        <v/>
      </c>
      <c r="BC825">
        <f>'T_TTAFStock'!BA6</f>
        <v/>
      </c>
      <c r="BD825">
        <f>'T_TTAFStock'!BB6</f>
        <v/>
      </c>
      <c r="BE825">
        <f>'T_TTAFStock'!BC6</f>
        <v/>
      </c>
      <c r="BF825">
        <f>'T_TTAFStock'!BD6</f>
        <v/>
      </c>
      <c r="BG825">
        <f>'T_TTAFStock'!BE6</f>
        <v/>
      </c>
      <c r="BH825">
        <f>'T_TTAFStock'!BF6</f>
        <v/>
      </c>
      <c r="BI825">
        <f>'T_TTAFStock'!BG6</f>
        <v/>
      </c>
      <c r="BJ825">
        <f>'T_TTAFStock'!BH6</f>
        <v/>
      </c>
      <c r="BK825">
        <f>'T_TTAFStock'!BI6</f>
        <v/>
      </c>
      <c r="BL825">
        <f>'T_TTAFStock'!BJ6</f>
        <v/>
      </c>
      <c r="BM825">
        <f>'T_TTAFStock'!BK6</f>
        <v/>
      </c>
      <c r="BN825">
        <f>'T_TTAFStock'!BL6</f>
        <v/>
      </c>
      <c r="BO825">
        <f>'T_TTAFStock'!BM6</f>
        <v/>
      </c>
      <c r="BP825">
        <f>'T_TTAFStock'!BN6</f>
        <v/>
      </c>
      <c r="BQ825">
        <f>'T_TTAFStock'!BO6</f>
        <v/>
      </c>
      <c r="BR825">
        <f>'T_TTAFStock'!BP6</f>
        <v/>
      </c>
      <c r="BS825">
        <f>'T_TTAFStock'!BQ6</f>
        <v/>
      </c>
      <c r="BT825">
        <f>'T_TTAFStock'!BR6</f>
        <v/>
      </c>
      <c r="BU825">
        <f>'T_TTAFStock'!BS6</f>
        <v/>
      </c>
      <c r="BV825">
        <f>'T_TTAFStock'!BT6</f>
        <v/>
      </c>
      <c r="BW825">
        <f>'T_TTAFStock'!BU6</f>
        <v/>
      </c>
      <c r="BX825">
        <f>'T_TTAFStock'!BV6</f>
        <v/>
      </c>
      <c r="BY825">
        <f>'T_TTAFStock'!BW6</f>
        <v/>
      </c>
      <c r="BZ825">
        <f>'T_TTAFStock'!BX6</f>
        <v/>
      </c>
      <c r="CA825">
        <f>'T_TTAFStock'!BY6</f>
        <v/>
      </c>
      <c r="CB825">
        <f>'T_TTAFStock'!BZ6</f>
        <v/>
      </c>
      <c r="CC825">
        <f>'T_TTAFStock'!CA6</f>
        <v/>
      </c>
      <c r="CD825">
        <f>'T_TTAFStock'!CB6</f>
        <v/>
      </c>
      <c r="CE825">
        <f>'T_TTAFStock'!CC6</f>
        <v/>
      </c>
      <c r="CF825">
        <f>'T_TTAFStock'!CD6</f>
        <v/>
      </c>
      <c r="CG825">
        <f>'T_TTAFStock'!CE6</f>
        <v/>
      </c>
      <c r="CH825">
        <f>'T_TTAFStock'!CF6</f>
        <v/>
      </c>
      <c r="CI825">
        <f>'T_TTAFStock'!CG6</f>
        <v/>
      </c>
      <c r="CJ825">
        <f>'T_TTAFStock'!CH6</f>
        <v/>
      </c>
      <c r="CK825">
        <f>'T_TTAFStock'!CI6</f>
        <v/>
      </c>
      <c r="CL825">
        <f>'T_TTAFStock'!CJ6</f>
        <v/>
      </c>
      <c r="CM825">
        <f>'T_TTAFStock'!CK6</f>
        <v/>
      </c>
      <c r="CN825">
        <f>'T_TTAFStock'!CL6</f>
        <v/>
      </c>
      <c r="CO825">
        <f>'T_TTAFStock'!CM6</f>
        <v/>
      </c>
      <c r="CP825">
        <f>'T_TTAFStock'!CN6</f>
        <v/>
      </c>
      <c r="CQ825">
        <f>'T_TTAFStock'!CO6</f>
        <v/>
      </c>
      <c r="CR825">
        <f>'T_TTAFStock'!CP6</f>
        <v/>
      </c>
      <c r="CS825">
        <f>'T_TTAFStock'!CQ6</f>
        <v/>
      </c>
      <c r="CT825">
        <f>'T_TTAFStock'!CR6</f>
        <v/>
      </c>
      <c r="CU825">
        <f>'T_TTAFStock'!CS6</f>
        <v/>
      </c>
      <c r="CV825">
        <f>'T_TTAFStock'!CT6</f>
        <v/>
      </c>
      <c r="CW825">
        <f>'T_TTAFStock'!CU6</f>
        <v/>
      </c>
      <c r="CX825">
        <f>'T_TTAFStock'!CV6</f>
        <v/>
      </c>
      <c r="CY825">
        <f>'T_TTAFStock'!CW6</f>
        <v/>
      </c>
      <c r="CZ825">
        <f>'T_TTAFStock'!CX6</f>
        <v/>
      </c>
      <c r="DA825">
        <f>'T_TTAFStock'!CY6</f>
        <v/>
      </c>
      <c r="DB825">
        <f>'T_TTAFStock'!CZ6</f>
        <v/>
      </c>
      <c r="DC825">
        <f>'T_TTAFStock'!DA6</f>
        <v/>
      </c>
    </row>
    <row r="826">
      <c r="B826" t="inlineStr">
        <is>
          <t>自社在庫(実績,kg)</t>
        </is>
      </c>
      <c r="D826">
        <f>'T_SelfStock'!B6</f>
        <v/>
      </c>
      <c r="E826">
        <f>'T_SelfStock'!C6</f>
        <v/>
      </c>
      <c r="F826">
        <f>'T_SelfStock'!D6</f>
        <v/>
      </c>
      <c r="G826">
        <f>'T_SelfStock'!E6</f>
        <v/>
      </c>
      <c r="H826">
        <f>'T_SelfStock'!F6</f>
        <v/>
      </c>
      <c r="I826">
        <f>'T_SelfStock'!G6</f>
        <v/>
      </c>
      <c r="J826">
        <f>'T_SelfStock'!H6</f>
        <v/>
      </c>
      <c r="K826">
        <f>'T_SelfStock'!I6</f>
        <v/>
      </c>
      <c r="L826">
        <f>'T_SelfStock'!J6</f>
        <v/>
      </c>
      <c r="M826">
        <f>'T_SelfStock'!K6</f>
        <v/>
      </c>
      <c r="N826">
        <f>'T_SelfStock'!L6</f>
        <v/>
      </c>
      <c r="O826">
        <f>'T_SelfStock'!M6</f>
        <v/>
      </c>
      <c r="P826">
        <f>'T_SelfStock'!N6</f>
        <v/>
      </c>
      <c r="Q826">
        <f>'T_SelfStock'!O6</f>
        <v/>
      </c>
      <c r="R826">
        <f>'T_SelfStock'!P6</f>
        <v/>
      </c>
      <c r="S826">
        <f>'T_SelfStock'!Q6</f>
        <v/>
      </c>
      <c r="T826">
        <f>'T_SelfStock'!R6</f>
        <v/>
      </c>
      <c r="U826">
        <f>'T_SelfStock'!S6</f>
        <v/>
      </c>
      <c r="V826">
        <f>'T_SelfStock'!T6</f>
        <v/>
      </c>
      <c r="W826">
        <f>'T_SelfStock'!U6</f>
        <v/>
      </c>
      <c r="X826">
        <f>'T_SelfStock'!V6</f>
        <v/>
      </c>
      <c r="Y826">
        <f>'T_SelfStock'!W6</f>
        <v/>
      </c>
      <c r="Z826">
        <f>'T_SelfStock'!X6</f>
        <v/>
      </c>
      <c r="AA826">
        <f>'T_SelfStock'!Y6</f>
        <v/>
      </c>
      <c r="AB826">
        <f>'T_SelfStock'!Z6</f>
        <v/>
      </c>
      <c r="AC826">
        <f>'T_SelfStock'!AA6</f>
        <v/>
      </c>
      <c r="AD826">
        <f>'T_SelfStock'!AB6</f>
        <v/>
      </c>
      <c r="AE826">
        <f>'T_SelfStock'!AC6</f>
        <v/>
      </c>
      <c r="AF826">
        <f>'T_SelfStock'!AD6</f>
        <v/>
      </c>
      <c r="AG826">
        <f>'T_SelfStock'!AE6</f>
        <v/>
      </c>
      <c r="AH826">
        <f>'T_SelfStock'!AF6</f>
        <v/>
      </c>
      <c r="AI826">
        <f>'T_SelfStock'!AG6</f>
        <v/>
      </c>
      <c r="AJ826">
        <f>'T_SelfStock'!AH6</f>
        <v/>
      </c>
      <c r="AK826">
        <f>'T_SelfStock'!AI6</f>
        <v/>
      </c>
      <c r="AL826">
        <f>'T_SelfStock'!AJ6</f>
        <v/>
      </c>
      <c r="AM826">
        <f>'T_SelfStock'!AK6</f>
        <v/>
      </c>
      <c r="AN826">
        <f>'T_SelfStock'!AL6</f>
        <v/>
      </c>
      <c r="AO826">
        <f>'T_SelfStock'!AM6</f>
        <v/>
      </c>
      <c r="AP826">
        <f>'T_SelfStock'!AN6</f>
        <v/>
      </c>
      <c r="AQ826">
        <f>'T_SelfStock'!AO6</f>
        <v/>
      </c>
      <c r="AR826">
        <f>'T_SelfStock'!AP6</f>
        <v/>
      </c>
      <c r="AS826">
        <f>'T_SelfStock'!AQ6</f>
        <v/>
      </c>
      <c r="AT826">
        <f>'T_SelfStock'!AR6</f>
        <v/>
      </c>
      <c r="AU826">
        <f>'T_SelfStock'!AS6</f>
        <v/>
      </c>
      <c r="AV826">
        <f>'T_SelfStock'!AT6</f>
        <v/>
      </c>
      <c r="AW826">
        <f>'T_SelfStock'!AU6</f>
        <v/>
      </c>
      <c r="AX826">
        <f>'T_SelfStock'!AV6</f>
        <v/>
      </c>
      <c r="AY826">
        <f>'T_SelfStock'!AW6</f>
        <v/>
      </c>
      <c r="AZ826">
        <f>'T_SelfStock'!AX6</f>
        <v/>
      </c>
      <c r="BA826">
        <f>'T_SelfStock'!AY6</f>
        <v/>
      </c>
      <c r="BB826">
        <f>'T_SelfStock'!AZ6</f>
        <v/>
      </c>
      <c r="BC826">
        <f>'T_SelfStock'!BA6</f>
        <v/>
      </c>
      <c r="BD826">
        <f>'T_SelfStock'!BB6</f>
        <v/>
      </c>
      <c r="BE826">
        <f>'T_SelfStock'!BC6</f>
        <v/>
      </c>
      <c r="BF826">
        <f>'T_SelfStock'!BD6</f>
        <v/>
      </c>
      <c r="BG826">
        <f>'T_SelfStock'!BE6</f>
        <v/>
      </c>
      <c r="BH826">
        <f>'T_SelfStock'!BF6</f>
        <v/>
      </c>
      <c r="BI826">
        <f>'T_SelfStock'!BG6</f>
        <v/>
      </c>
      <c r="BJ826">
        <f>'T_SelfStock'!BH6</f>
        <v/>
      </c>
      <c r="BK826">
        <f>'T_SelfStock'!BI6</f>
        <v/>
      </c>
      <c r="BL826">
        <f>'T_SelfStock'!BJ6</f>
        <v/>
      </c>
      <c r="BM826">
        <f>'T_SelfStock'!BK6</f>
        <v/>
      </c>
      <c r="BN826">
        <f>'T_SelfStock'!BL6</f>
        <v/>
      </c>
      <c r="BO826">
        <f>'T_SelfStock'!BM6</f>
        <v/>
      </c>
      <c r="BP826">
        <f>'T_SelfStock'!BN6</f>
        <v/>
      </c>
      <c r="BQ826">
        <f>'T_SelfStock'!BO6</f>
        <v/>
      </c>
      <c r="BR826">
        <f>'T_SelfStock'!BP6</f>
        <v/>
      </c>
      <c r="BS826">
        <f>'T_SelfStock'!BQ6</f>
        <v/>
      </c>
      <c r="BT826">
        <f>'T_SelfStock'!BR6</f>
        <v/>
      </c>
      <c r="BU826">
        <f>'T_SelfStock'!BS6</f>
        <v/>
      </c>
      <c r="BV826">
        <f>'T_SelfStock'!BT6</f>
        <v/>
      </c>
      <c r="BW826">
        <f>'T_SelfStock'!BU6</f>
        <v/>
      </c>
      <c r="BX826">
        <f>'T_SelfStock'!BV6</f>
        <v/>
      </c>
      <c r="BY826">
        <f>'T_SelfStock'!BW6</f>
        <v/>
      </c>
      <c r="BZ826">
        <f>'T_SelfStock'!BX6</f>
        <v/>
      </c>
      <c r="CA826">
        <f>'T_SelfStock'!BY6</f>
        <v/>
      </c>
      <c r="CB826">
        <f>'T_SelfStock'!BZ6</f>
        <v/>
      </c>
      <c r="CC826">
        <f>'T_SelfStock'!CA6</f>
        <v/>
      </c>
      <c r="CD826">
        <f>'T_SelfStock'!CB6</f>
        <v/>
      </c>
      <c r="CE826">
        <f>'T_SelfStock'!CC6</f>
        <v/>
      </c>
      <c r="CF826">
        <f>'T_SelfStock'!CD6</f>
        <v/>
      </c>
      <c r="CG826">
        <f>'T_SelfStock'!CE6</f>
        <v/>
      </c>
      <c r="CH826">
        <f>'T_SelfStock'!CF6</f>
        <v/>
      </c>
      <c r="CI826">
        <f>'T_SelfStock'!CG6</f>
        <v/>
      </c>
      <c r="CJ826">
        <f>'T_SelfStock'!CH6</f>
        <v/>
      </c>
      <c r="CK826">
        <f>'T_SelfStock'!CI6</f>
        <v/>
      </c>
      <c r="CL826">
        <f>'T_SelfStock'!CJ6</f>
        <v/>
      </c>
      <c r="CM826">
        <f>'T_SelfStock'!CK6</f>
        <v/>
      </c>
      <c r="CN826">
        <f>'T_SelfStock'!CL6</f>
        <v/>
      </c>
      <c r="CO826">
        <f>'T_SelfStock'!CM6</f>
        <v/>
      </c>
      <c r="CP826">
        <f>'T_SelfStock'!CN6</f>
        <v/>
      </c>
      <c r="CQ826">
        <f>'T_SelfStock'!CO6</f>
        <v/>
      </c>
      <c r="CR826">
        <f>'T_SelfStock'!CP6</f>
        <v/>
      </c>
      <c r="CS826">
        <f>'T_SelfStock'!CQ6</f>
        <v/>
      </c>
      <c r="CT826">
        <f>'T_SelfStock'!CR6</f>
        <v/>
      </c>
      <c r="CU826">
        <f>'T_SelfStock'!CS6</f>
        <v/>
      </c>
      <c r="CV826">
        <f>'T_SelfStock'!CT6</f>
        <v/>
      </c>
      <c r="CW826">
        <f>'T_SelfStock'!CU6</f>
        <v/>
      </c>
      <c r="CX826">
        <f>'T_SelfStock'!CV6</f>
        <v/>
      </c>
      <c r="CY826">
        <f>'T_SelfStock'!CW6</f>
        <v/>
      </c>
      <c r="CZ826">
        <f>'T_SelfStock'!CX6</f>
        <v/>
      </c>
      <c r="DA826">
        <f>'T_SelfStock'!CY6</f>
        <v/>
      </c>
      <c r="DB826">
        <f>'T_SelfStock'!CZ6</f>
        <v/>
      </c>
      <c r="DC826">
        <f>'T_SelfStock'!DA6</f>
        <v/>
      </c>
    </row>
    <row r="827">
      <c r="B827" t="inlineStr">
        <is>
          <t>Order(発注予定,kg)</t>
        </is>
      </c>
      <c r="D827">
        <f>IF(SUMIFS(T_PlannedOrders[EffectiveQty],T_PlannedOrders[Part Name],$A809,T_PlannedOrders[WeekIndex],1)=0,"",SUMIFS(T_PlannedOrders[EffectiveQty],T_PlannedOrders[Part Name],$A809,T_PlannedOrders[WeekIndex],1)&amp;" ("&amp;TEXT(SUMPRODUCT(MAX((T_PlannedOrders[Part Name]=$A809)*(T_PlannedOrders[WeekIndex]=1)*(T_PlannedOrders[EffectiveQty]&gt;0)*T_PlannedOrders[Order_Month])),"m月")&amp;"発注)")</f>
        <v/>
      </c>
      <c r="E827">
        <f>IF(SUMIFS(T_PlannedOrders[EffectiveQty],T_PlannedOrders[Part Name],$A809,T_PlannedOrders[WeekIndex],2)=0,"",SUMIFS(T_PlannedOrders[EffectiveQty],T_PlannedOrders[Part Name],$A809,T_PlannedOrders[WeekIndex],2)&amp;" ("&amp;TEXT(SUMPRODUCT(MAX((T_PlannedOrders[Part Name]=$A809)*(T_PlannedOrders[WeekIndex]=2)*(T_PlannedOrders[EffectiveQty]&gt;0)*T_PlannedOrders[Order_Month])),"m月")&amp;"発注)")</f>
        <v/>
      </c>
      <c r="F827">
        <f>IF(SUMIFS(T_PlannedOrders[EffectiveQty],T_PlannedOrders[Part Name],$A809,T_PlannedOrders[WeekIndex],3)=0,"",SUMIFS(T_PlannedOrders[EffectiveQty],T_PlannedOrders[Part Name],$A809,T_PlannedOrders[WeekIndex],3)&amp;" ("&amp;TEXT(SUMPRODUCT(MAX((T_PlannedOrders[Part Name]=$A809)*(T_PlannedOrders[WeekIndex]=3)*(T_PlannedOrders[EffectiveQty]&gt;0)*T_PlannedOrders[Order_Month])),"m月")&amp;"発注)")</f>
        <v/>
      </c>
      <c r="G827">
        <f>IF(SUMIFS(T_PlannedOrders[EffectiveQty],T_PlannedOrders[Part Name],$A809,T_PlannedOrders[WeekIndex],4)=0,"",SUMIFS(T_PlannedOrders[EffectiveQty],T_PlannedOrders[Part Name],$A809,T_PlannedOrders[WeekIndex],4)&amp;" ("&amp;TEXT(SUMPRODUCT(MAX((T_PlannedOrders[Part Name]=$A809)*(T_PlannedOrders[WeekIndex]=4)*(T_PlannedOrders[EffectiveQty]&gt;0)*T_PlannedOrders[Order_Month])),"m月")&amp;"発注)")</f>
        <v/>
      </c>
      <c r="H827">
        <f>IF(SUMIFS(T_PlannedOrders[EffectiveQty],T_PlannedOrders[Part Name],$A809,T_PlannedOrders[WeekIndex],5)=0,"",SUMIFS(T_PlannedOrders[EffectiveQty],T_PlannedOrders[Part Name],$A809,T_PlannedOrders[WeekIndex],5)&amp;" ("&amp;TEXT(SUMPRODUCT(MAX((T_PlannedOrders[Part Name]=$A809)*(T_PlannedOrders[WeekIndex]=5)*(T_PlannedOrders[EffectiveQty]&gt;0)*T_PlannedOrders[Order_Month])),"m月")&amp;"発注)")</f>
        <v/>
      </c>
      <c r="I827">
        <f>IF(SUMIFS(T_PlannedOrders[EffectiveQty],T_PlannedOrders[Part Name],$A809,T_PlannedOrders[WeekIndex],6)=0,"",SUMIFS(T_PlannedOrders[EffectiveQty],T_PlannedOrders[Part Name],$A809,T_PlannedOrders[WeekIndex],6)&amp;" ("&amp;TEXT(SUMPRODUCT(MAX((T_PlannedOrders[Part Name]=$A809)*(T_PlannedOrders[WeekIndex]=6)*(T_PlannedOrders[EffectiveQty]&gt;0)*T_PlannedOrders[Order_Month])),"m月")&amp;"発注)")</f>
        <v/>
      </c>
      <c r="J827">
        <f>IF(SUMIFS(T_PlannedOrders[EffectiveQty],T_PlannedOrders[Part Name],$A809,T_PlannedOrders[WeekIndex],7)=0,"",SUMIFS(T_PlannedOrders[EffectiveQty],T_PlannedOrders[Part Name],$A809,T_PlannedOrders[WeekIndex],7)&amp;" ("&amp;TEXT(SUMPRODUCT(MAX((T_PlannedOrders[Part Name]=$A809)*(T_PlannedOrders[WeekIndex]=7)*(T_PlannedOrders[EffectiveQty]&gt;0)*T_PlannedOrders[Order_Month])),"m月")&amp;"発注)")</f>
        <v/>
      </c>
      <c r="K827">
        <f>IF(SUMIFS(T_PlannedOrders[EffectiveQty],T_PlannedOrders[Part Name],$A809,T_PlannedOrders[WeekIndex],8)=0,"",SUMIFS(T_PlannedOrders[EffectiveQty],T_PlannedOrders[Part Name],$A809,T_PlannedOrders[WeekIndex],8)&amp;" ("&amp;TEXT(SUMPRODUCT(MAX((T_PlannedOrders[Part Name]=$A809)*(T_PlannedOrders[WeekIndex]=8)*(T_PlannedOrders[EffectiveQty]&gt;0)*T_PlannedOrders[Order_Month])),"m月")&amp;"発注)")</f>
        <v/>
      </c>
      <c r="L827">
        <f>IF(SUMIFS(T_PlannedOrders[EffectiveQty],T_PlannedOrders[Part Name],$A809,T_PlannedOrders[WeekIndex],9)=0,"",SUMIFS(T_PlannedOrders[EffectiveQty],T_PlannedOrders[Part Name],$A809,T_PlannedOrders[WeekIndex],9)&amp;" ("&amp;TEXT(SUMPRODUCT(MAX((T_PlannedOrders[Part Name]=$A809)*(T_PlannedOrders[WeekIndex]=9)*(T_PlannedOrders[EffectiveQty]&gt;0)*T_PlannedOrders[Order_Month])),"m月")&amp;"発注)")</f>
        <v/>
      </c>
      <c r="M827">
        <f>IF(SUMIFS(T_PlannedOrders[EffectiveQty],T_PlannedOrders[Part Name],$A809,T_PlannedOrders[WeekIndex],10)=0,"",SUMIFS(T_PlannedOrders[EffectiveQty],T_PlannedOrders[Part Name],$A809,T_PlannedOrders[WeekIndex],10)&amp;" ("&amp;TEXT(SUMPRODUCT(MAX((T_PlannedOrders[Part Name]=$A809)*(T_PlannedOrders[WeekIndex]=10)*(T_PlannedOrders[EffectiveQty]&gt;0)*T_PlannedOrders[Order_Month])),"m月")&amp;"発注)")</f>
        <v/>
      </c>
      <c r="N827">
        <f>IF(SUMIFS(T_PlannedOrders[EffectiveQty],T_PlannedOrders[Part Name],$A809,T_PlannedOrders[WeekIndex],11)=0,"",SUMIFS(T_PlannedOrders[EffectiveQty],T_PlannedOrders[Part Name],$A809,T_PlannedOrders[WeekIndex],11)&amp;" ("&amp;TEXT(SUMPRODUCT(MAX((T_PlannedOrders[Part Name]=$A809)*(T_PlannedOrders[WeekIndex]=11)*(T_PlannedOrders[EffectiveQty]&gt;0)*T_PlannedOrders[Order_Month])),"m月")&amp;"発注)")</f>
        <v/>
      </c>
      <c r="O827">
        <f>IF(SUMIFS(T_PlannedOrders[EffectiveQty],T_PlannedOrders[Part Name],$A809,T_PlannedOrders[WeekIndex],12)=0,"",SUMIFS(T_PlannedOrders[EffectiveQty],T_PlannedOrders[Part Name],$A809,T_PlannedOrders[WeekIndex],12)&amp;" ("&amp;TEXT(SUMPRODUCT(MAX((T_PlannedOrders[Part Name]=$A809)*(T_PlannedOrders[WeekIndex]=12)*(T_PlannedOrders[EffectiveQty]&gt;0)*T_PlannedOrders[Order_Month])),"m月")&amp;"発注)")</f>
        <v/>
      </c>
      <c r="P827">
        <f>IF(SUMIFS(T_PlannedOrders[EffectiveQty],T_PlannedOrders[Part Name],$A809,T_PlannedOrders[WeekIndex],13)=0,"",SUMIFS(T_PlannedOrders[EffectiveQty],T_PlannedOrders[Part Name],$A809,T_PlannedOrders[WeekIndex],13)&amp;" ("&amp;TEXT(SUMPRODUCT(MAX((T_PlannedOrders[Part Name]=$A809)*(T_PlannedOrders[WeekIndex]=13)*(T_PlannedOrders[EffectiveQty]&gt;0)*T_PlannedOrders[Order_Month])),"m月")&amp;"発注)")</f>
        <v/>
      </c>
      <c r="Q827">
        <f>IF(SUMIFS(T_PlannedOrders[EffectiveQty],T_PlannedOrders[Part Name],$A809,T_PlannedOrders[WeekIndex],14)=0,"",SUMIFS(T_PlannedOrders[EffectiveQty],T_PlannedOrders[Part Name],$A809,T_PlannedOrders[WeekIndex],14)&amp;" ("&amp;TEXT(SUMPRODUCT(MAX((T_PlannedOrders[Part Name]=$A809)*(T_PlannedOrders[WeekIndex]=14)*(T_PlannedOrders[EffectiveQty]&gt;0)*T_PlannedOrders[Order_Month])),"m月")&amp;"発注)")</f>
        <v/>
      </c>
      <c r="R827">
        <f>IF(SUMIFS(T_PlannedOrders[EffectiveQty],T_PlannedOrders[Part Name],$A809,T_PlannedOrders[WeekIndex],15)=0,"",SUMIFS(T_PlannedOrders[EffectiveQty],T_PlannedOrders[Part Name],$A809,T_PlannedOrders[WeekIndex],15)&amp;" ("&amp;TEXT(SUMPRODUCT(MAX((T_PlannedOrders[Part Name]=$A809)*(T_PlannedOrders[WeekIndex]=15)*(T_PlannedOrders[EffectiveQty]&gt;0)*T_PlannedOrders[Order_Month])),"m月")&amp;"発注)")</f>
        <v/>
      </c>
      <c r="S827">
        <f>IF(SUMIFS(T_PlannedOrders[EffectiveQty],T_PlannedOrders[Part Name],$A809,T_PlannedOrders[WeekIndex],16)=0,"",SUMIFS(T_PlannedOrders[EffectiveQty],T_PlannedOrders[Part Name],$A809,T_PlannedOrders[WeekIndex],16)&amp;" ("&amp;TEXT(SUMPRODUCT(MAX((T_PlannedOrders[Part Name]=$A809)*(T_PlannedOrders[WeekIndex]=16)*(T_PlannedOrders[EffectiveQty]&gt;0)*T_PlannedOrders[Order_Month])),"m月")&amp;"発注)")</f>
        <v/>
      </c>
      <c r="T827">
        <f>IF(SUMIFS(T_PlannedOrders[EffectiveQty],T_PlannedOrders[Part Name],$A809,T_PlannedOrders[WeekIndex],17)=0,"",SUMIFS(T_PlannedOrders[EffectiveQty],T_PlannedOrders[Part Name],$A809,T_PlannedOrders[WeekIndex],17)&amp;" ("&amp;TEXT(SUMPRODUCT(MAX((T_PlannedOrders[Part Name]=$A809)*(T_PlannedOrders[WeekIndex]=17)*(T_PlannedOrders[EffectiveQty]&gt;0)*T_PlannedOrders[Order_Month])),"m月")&amp;"発注)")</f>
        <v/>
      </c>
      <c r="U827">
        <f>IF(SUMIFS(T_PlannedOrders[EffectiveQty],T_PlannedOrders[Part Name],$A809,T_PlannedOrders[WeekIndex],18)=0,"",SUMIFS(T_PlannedOrders[EffectiveQty],T_PlannedOrders[Part Name],$A809,T_PlannedOrders[WeekIndex],18)&amp;" ("&amp;TEXT(SUMPRODUCT(MAX((T_PlannedOrders[Part Name]=$A809)*(T_PlannedOrders[WeekIndex]=18)*(T_PlannedOrders[EffectiveQty]&gt;0)*T_PlannedOrders[Order_Month])),"m月")&amp;"発注)")</f>
        <v/>
      </c>
      <c r="V827">
        <f>IF(SUMIFS(T_PlannedOrders[EffectiveQty],T_PlannedOrders[Part Name],$A809,T_PlannedOrders[WeekIndex],19)=0,"",SUMIFS(T_PlannedOrders[EffectiveQty],T_PlannedOrders[Part Name],$A809,T_PlannedOrders[WeekIndex],19)&amp;" ("&amp;TEXT(SUMPRODUCT(MAX((T_PlannedOrders[Part Name]=$A809)*(T_PlannedOrders[WeekIndex]=19)*(T_PlannedOrders[EffectiveQty]&gt;0)*T_PlannedOrders[Order_Month])),"m月")&amp;"発注)")</f>
        <v/>
      </c>
      <c r="W827">
        <f>IF(SUMIFS(T_PlannedOrders[EffectiveQty],T_PlannedOrders[Part Name],$A809,T_PlannedOrders[WeekIndex],20)=0,"",SUMIFS(T_PlannedOrders[EffectiveQty],T_PlannedOrders[Part Name],$A809,T_PlannedOrders[WeekIndex],20)&amp;" ("&amp;TEXT(SUMPRODUCT(MAX((T_PlannedOrders[Part Name]=$A809)*(T_PlannedOrders[WeekIndex]=20)*(T_PlannedOrders[EffectiveQty]&gt;0)*T_PlannedOrders[Order_Month])),"m月")&amp;"発注)")</f>
        <v/>
      </c>
      <c r="X827">
        <f>IF(SUMIFS(T_PlannedOrders[EffectiveQty],T_PlannedOrders[Part Name],$A809,T_PlannedOrders[WeekIndex],21)=0,"",SUMIFS(T_PlannedOrders[EffectiveQty],T_PlannedOrders[Part Name],$A809,T_PlannedOrders[WeekIndex],21)&amp;" ("&amp;TEXT(SUMPRODUCT(MAX((T_PlannedOrders[Part Name]=$A809)*(T_PlannedOrders[WeekIndex]=21)*(T_PlannedOrders[EffectiveQty]&gt;0)*T_PlannedOrders[Order_Month])),"m月")&amp;"発注)")</f>
        <v/>
      </c>
      <c r="Y827">
        <f>IF(SUMIFS(T_PlannedOrders[EffectiveQty],T_PlannedOrders[Part Name],$A809,T_PlannedOrders[WeekIndex],22)=0,"",SUMIFS(T_PlannedOrders[EffectiveQty],T_PlannedOrders[Part Name],$A809,T_PlannedOrders[WeekIndex],22)&amp;" ("&amp;TEXT(SUMPRODUCT(MAX((T_PlannedOrders[Part Name]=$A809)*(T_PlannedOrders[WeekIndex]=22)*(T_PlannedOrders[EffectiveQty]&gt;0)*T_PlannedOrders[Order_Month])),"m月")&amp;"発注)")</f>
        <v/>
      </c>
      <c r="Z827">
        <f>IF(SUMIFS(T_PlannedOrders[EffectiveQty],T_PlannedOrders[Part Name],$A809,T_PlannedOrders[WeekIndex],23)=0,"",SUMIFS(T_PlannedOrders[EffectiveQty],T_PlannedOrders[Part Name],$A809,T_PlannedOrders[WeekIndex],23)&amp;" ("&amp;TEXT(SUMPRODUCT(MAX((T_PlannedOrders[Part Name]=$A809)*(T_PlannedOrders[WeekIndex]=23)*(T_PlannedOrders[EffectiveQty]&gt;0)*T_PlannedOrders[Order_Month])),"m月")&amp;"発注)")</f>
        <v/>
      </c>
      <c r="AA827">
        <f>IF(SUMIFS(T_PlannedOrders[EffectiveQty],T_PlannedOrders[Part Name],$A809,T_PlannedOrders[WeekIndex],24)=0,"",SUMIFS(T_PlannedOrders[EffectiveQty],T_PlannedOrders[Part Name],$A809,T_PlannedOrders[WeekIndex],24)&amp;" ("&amp;TEXT(SUMPRODUCT(MAX((T_PlannedOrders[Part Name]=$A809)*(T_PlannedOrders[WeekIndex]=24)*(T_PlannedOrders[EffectiveQty]&gt;0)*T_PlannedOrders[Order_Month])),"m月")&amp;"発注)")</f>
        <v/>
      </c>
      <c r="AB827">
        <f>IF(SUMIFS(T_PlannedOrders[EffectiveQty],T_PlannedOrders[Part Name],$A809,T_PlannedOrders[WeekIndex],25)=0,"",SUMIFS(T_PlannedOrders[EffectiveQty],T_PlannedOrders[Part Name],$A809,T_PlannedOrders[WeekIndex],25)&amp;" ("&amp;TEXT(SUMPRODUCT(MAX((T_PlannedOrders[Part Name]=$A809)*(T_PlannedOrders[WeekIndex]=25)*(T_PlannedOrders[EffectiveQty]&gt;0)*T_PlannedOrders[Order_Month])),"m月")&amp;"発注)")</f>
        <v/>
      </c>
      <c r="AC827">
        <f>IF(SUMIFS(T_PlannedOrders[EffectiveQty],T_PlannedOrders[Part Name],$A809,T_PlannedOrders[WeekIndex],26)=0,"",SUMIFS(T_PlannedOrders[EffectiveQty],T_PlannedOrders[Part Name],$A809,T_PlannedOrders[WeekIndex],26)&amp;" ("&amp;TEXT(SUMPRODUCT(MAX((T_PlannedOrders[Part Name]=$A809)*(T_PlannedOrders[WeekIndex]=26)*(T_PlannedOrders[EffectiveQty]&gt;0)*T_PlannedOrders[Order_Month])),"m月")&amp;"発注)")</f>
        <v/>
      </c>
      <c r="AD827">
        <f>IF(SUMIFS(T_PlannedOrders[EffectiveQty],T_PlannedOrders[Part Name],$A809,T_PlannedOrders[WeekIndex],27)=0,"",SUMIFS(T_PlannedOrders[EffectiveQty],T_PlannedOrders[Part Name],$A809,T_PlannedOrders[WeekIndex],27)&amp;" ("&amp;TEXT(SUMPRODUCT(MAX((T_PlannedOrders[Part Name]=$A809)*(T_PlannedOrders[WeekIndex]=27)*(T_PlannedOrders[EffectiveQty]&gt;0)*T_PlannedOrders[Order_Month])),"m月")&amp;"発注)")</f>
        <v/>
      </c>
      <c r="AE827">
        <f>IF(SUMIFS(T_PlannedOrders[EffectiveQty],T_PlannedOrders[Part Name],$A809,T_PlannedOrders[WeekIndex],28)=0,"",SUMIFS(T_PlannedOrders[EffectiveQty],T_PlannedOrders[Part Name],$A809,T_PlannedOrders[WeekIndex],28)&amp;" ("&amp;TEXT(SUMPRODUCT(MAX((T_PlannedOrders[Part Name]=$A809)*(T_PlannedOrders[WeekIndex]=28)*(T_PlannedOrders[EffectiveQty]&gt;0)*T_PlannedOrders[Order_Month])),"m月")&amp;"発注)")</f>
        <v/>
      </c>
      <c r="AF827">
        <f>IF(SUMIFS(T_PlannedOrders[EffectiveQty],T_PlannedOrders[Part Name],$A809,T_PlannedOrders[WeekIndex],29)=0,"",SUMIFS(T_PlannedOrders[EffectiveQty],T_PlannedOrders[Part Name],$A809,T_PlannedOrders[WeekIndex],29)&amp;" ("&amp;TEXT(SUMPRODUCT(MAX((T_PlannedOrders[Part Name]=$A809)*(T_PlannedOrders[WeekIndex]=29)*(T_PlannedOrders[EffectiveQty]&gt;0)*T_PlannedOrders[Order_Month])),"m月")&amp;"発注)")</f>
        <v/>
      </c>
      <c r="AG827">
        <f>IF(SUMIFS(T_PlannedOrders[EffectiveQty],T_PlannedOrders[Part Name],$A809,T_PlannedOrders[WeekIndex],30)=0,"",SUMIFS(T_PlannedOrders[EffectiveQty],T_PlannedOrders[Part Name],$A809,T_PlannedOrders[WeekIndex],30)&amp;" ("&amp;TEXT(SUMPRODUCT(MAX((T_PlannedOrders[Part Name]=$A809)*(T_PlannedOrders[WeekIndex]=30)*(T_PlannedOrders[EffectiveQty]&gt;0)*T_PlannedOrders[Order_Month])),"m月")&amp;"発注)")</f>
        <v/>
      </c>
      <c r="AH827">
        <f>IF(SUMIFS(T_PlannedOrders[EffectiveQty],T_PlannedOrders[Part Name],$A809,T_PlannedOrders[WeekIndex],31)=0,"",SUMIFS(T_PlannedOrders[EffectiveQty],T_PlannedOrders[Part Name],$A809,T_PlannedOrders[WeekIndex],31)&amp;" ("&amp;TEXT(SUMPRODUCT(MAX((T_PlannedOrders[Part Name]=$A809)*(T_PlannedOrders[WeekIndex]=31)*(T_PlannedOrders[EffectiveQty]&gt;0)*T_PlannedOrders[Order_Month])),"m月")&amp;"発注)")</f>
        <v/>
      </c>
      <c r="AI827">
        <f>IF(SUMIFS(T_PlannedOrders[EffectiveQty],T_PlannedOrders[Part Name],$A809,T_PlannedOrders[WeekIndex],32)=0,"",SUMIFS(T_PlannedOrders[EffectiveQty],T_PlannedOrders[Part Name],$A809,T_PlannedOrders[WeekIndex],32)&amp;" ("&amp;TEXT(SUMPRODUCT(MAX((T_PlannedOrders[Part Name]=$A809)*(T_PlannedOrders[WeekIndex]=32)*(T_PlannedOrders[EffectiveQty]&gt;0)*T_PlannedOrders[Order_Month])),"m月")&amp;"発注)")</f>
        <v/>
      </c>
      <c r="AJ827">
        <f>IF(SUMIFS(T_PlannedOrders[EffectiveQty],T_PlannedOrders[Part Name],$A809,T_PlannedOrders[WeekIndex],33)=0,"",SUMIFS(T_PlannedOrders[EffectiveQty],T_PlannedOrders[Part Name],$A809,T_PlannedOrders[WeekIndex],33)&amp;" ("&amp;TEXT(SUMPRODUCT(MAX((T_PlannedOrders[Part Name]=$A809)*(T_PlannedOrders[WeekIndex]=33)*(T_PlannedOrders[EffectiveQty]&gt;0)*T_PlannedOrders[Order_Month])),"m月")&amp;"発注)")</f>
        <v/>
      </c>
      <c r="AK827">
        <f>IF(SUMIFS(T_PlannedOrders[EffectiveQty],T_PlannedOrders[Part Name],$A809,T_PlannedOrders[WeekIndex],34)=0,"",SUMIFS(T_PlannedOrders[EffectiveQty],T_PlannedOrders[Part Name],$A809,T_PlannedOrders[WeekIndex],34)&amp;" ("&amp;TEXT(SUMPRODUCT(MAX((T_PlannedOrders[Part Name]=$A809)*(T_PlannedOrders[WeekIndex]=34)*(T_PlannedOrders[EffectiveQty]&gt;0)*T_PlannedOrders[Order_Month])),"m月")&amp;"発注)")</f>
        <v/>
      </c>
      <c r="AL827">
        <f>IF(SUMIFS(T_PlannedOrders[EffectiveQty],T_PlannedOrders[Part Name],$A809,T_PlannedOrders[WeekIndex],35)=0,"",SUMIFS(T_PlannedOrders[EffectiveQty],T_PlannedOrders[Part Name],$A809,T_PlannedOrders[WeekIndex],35)&amp;" ("&amp;TEXT(SUMPRODUCT(MAX((T_PlannedOrders[Part Name]=$A809)*(T_PlannedOrders[WeekIndex]=35)*(T_PlannedOrders[EffectiveQty]&gt;0)*T_PlannedOrders[Order_Month])),"m月")&amp;"発注)")</f>
        <v/>
      </c>
      <c r="AM827">
        <f>IF(SUMIFS(T_PlannedOrders[EffectiveQty],T_PlannedOrders[Part Name],$A809,T_PlannedOrders[WeekIndex],36)=0,"",SUMIFS(T_PlannedOrders[EffectiveQty],T_PlannedOrders[Part Name],$A809,T_PlannedOrders[WeekIndex],36)&amp;" ("&amp;TEXT(SUMPRODUCT(MAX((T_PlannedOrders[Part Name]=$A809)*(T_PlannedOrders[WeekIndex]=36)*(T_PlannedOrders[EffectiveQty]&gt;0)*T_PlannedOrders[Order_Month])),"m月")&amp;"発注)")</f>
        <v/>
      </c>
      <c r="AN827">
        <f>IF(SUMIFS(T_PlannedOrders[EffectiveQty],T_PlannedOrders[Part Name],$A809,T_PlannedOrders[WeekIndex],37)=0,"",SUMIFS(T_PlannedOrders[EffectiveQty],T_PlannedOrders[Part Name],$A809,T_PlannedOrders[WeekIndex],37)&amp;" ("&amp;TEXT(SUMPRODUCT(MAX((T_PlannedOrders[Part Name]=$A809)*(T_PlannedOrders[WeekIndex]=37)*(T_PlannedOrders[EffectiveQty]&gt;0)*T_PlannedOrders[Order_Month])),"m月")&amp;"発注)")</f>
        <v/>
      </c>
      <c r="AO827">
        <f>IF(SUMIFS(T_PlannedOrders[EffectiveQty],T_PlannedOrders[Part Name],$A809,T_PlannedOrders[WeekIndex],38)=0,"",SUMIFS(T_PlannedOrders[EffectiveQty],T_PlannedOrders[Part Name],$A809,T_PlannedOrders[WeekIndex],38)&amp;" ("&amp;TEXT(SUMPRODUCT(MAX((T_PlannedOrders[Part Name]=$A809)*(T_PlannedOrders[WeekIndex]=38)*(T_PlannedOrders[EffectiveQty]&gt;0)*T_PlannedOrders[Order_Month])),"m月")&amp;"発注)")</f>
        <v/>
      </c>
      <c r="AP827">
        <f>IF(SUMIFS(T_PlannedOrders[EffectiveQty],T_PlannedOrders[Part Name],$A809,T_PlannedOrders[WeekIndex],39)=0,"",SUMIFS(T_PlannedOrders[EffectiveQty],T_PlannedOrders[Part Name],$A809,T_PlannedOrders[WeekIndex],39)&amp;" ("&amp;TEXT(SUMPRODUCT(MAX((T_PlannedOrders[Part Name]=$A809)*(T_PlannedOrders[WeekIndex]=39)*(T_PlannedOrders[EffectiveQty]&gt;0)*T_PlannedOrders[Order_Month])),"m月")&amp;"発注)")</f>
        <v/>
      </c>
      <c r="AQ827">
        <f>IF(SUMIFS(T_PlannedOrders[EffectiveQty],T_PlannedOrders[Part Name],$A809,T_PlannedOrders[WeekIndex],40)=0,"",SUMIFS(T_PlannedOrders[EffectiveQty],T_PlannedOrders[Part Name],$A809,T_PlannedOrders[WeekIndex],40)&amp;" ("&amp;TEXT(SUMPRODUCT(MAX((T_PlannedOrders[Part Name]=$A809)*(T_PlannedOrders[WeekIndex]=40)*(T_PlannedOrders[EffectiveQty]&gt;0)*T_PlannedOrders[Order_Month])),"m月")&amp;"発注)")</f>
        <v/>
      </c>
      <c r="AR827">
        <f>IF(SUMIFS(T_PlannedOrders[EffectiveQty],T_PlannedOrders[Part Name],$A809,T_PlannedOrders[WeekIndex],41)=0,"",SUMIFS(T_PlannedOrders[EffectiveQty],T_PlannedOrders[Part Name],$A809,T_PlannedOrders[WeekIndex],41)&amp;" ("&amp;TEXT(SUMPRODUCT(MAX((T_PlannedOrders[Part Name]=$A809)*(T_PlannedOrders[WeekIndex]=41)*(T_PlannedOrders[EffectiveQty]&gt;0)*T_PlannedOrders[Order_Month])),"m月")&amp;"発注)")</f>
        <v/>
      </c>
      <c r="AS827">
        <f>IF(SUMIFS(T_PlannedOrders[EffectiveQty],T_PlannedOrders[Part Name],$A809,T_PlannedOrders[WeekIndex],42)=0,"",SUMIFS(T_PlannedOrders[EffectiveQty],T_PlannedOrders[Part Name],$A809,T_PlannedOrders[WeekIndex],42)&amp;" ("&amp;TEXT(SUMPRODUCT(MAX((T_PlannedOrders[Part Name]=$A809)*(T_PlannedOrders[WeekIndex]=42)*(T_PlannedOrders[EffectiveQty]&gt;0)*T_PlannedOrders[Order_Month])),"m月")&amp;"発注)")</f>
        <v/>
      </c>
      <c r="AT827">
        <f>IF(SUMIFS(T_PlannedOrders[EffectiveQty],T_PlannedOrders[Part Name],$A809,T_PlannedOrders[WeekIndex],43)=0,"",SUMIFS(T_PlannedOrders[EffectiveQty],T_PlannedOrders[Part Name],$A809,T_PlannedOrders[WeekIndex],43)&amp;" ("&amp;TEXT(SUMPRODUCT(MAX((T_PlannedOrders[Part Name]=$A809)*(T_PlannedOrders[WeekIndex]=43)*(T_PlannedOrders[EffectiveQty]&gt;0)*T_PlannedOrders[Order_Month])),"m月")&amp;"発注)")</f>
        <v/>
      </c>
      <c r="AU827">
        <f>IF(SUMIFS(T_PlannedOrders[EffectiveQty],T_PlannedOrders[Part Name],$A809,T_PlannedOrders[WeekIndex],44)=0,"",SUMIFS(T_PlannedOrders[EffectiveQty],T_PlannedOrders[Part Name],$A809,T_PlannedOrders[WeekIndex],44)&amp;" ("&amp;TEXT(SUMPRODUCT(MAX((T_PlannedOrders[Part Name]=$A809)*(T_PlannedOrders[WeekIndex]=44)*(T_PlannedOrders[EffectiveQty]&gt;0)*T_PlannedOrders[Order_Month])),"m月")&amp;"発注)")</f>
        <v/>
      </c>
      <c r="AV827">
        <f>IF(SUMIFS(T_PlannedOrders[EffectiveQty],T_PlannedOrders[Part Name],$A809,T_PlannedOrders[WeekIndex],45)=0,"",SUMIFS(T_PlannedOrders[EffectiveQty],T_PlannedOrders[Part Name],$A809,T_PlannedOrders[WeekIndex],45)&amp;" ("&amp;TEXT(SUMPRODUCT(MAX((T_PlannedOrders[Part Name]=$A809)*(T_PlannedOrders[WeekIndex]=45)*(T_PlannedOrders[EffectiveQty]&gt;0)*T_PlannedOrders[Order_Month])),"m月")&amp;"発注)")</f>
        <v/>
      </c>
      <c r="AW827">
        <f>IF(SUMIFS(T_PlannedOrders[EffectiveQty],T_PlannedOrders[Part Name],$A809,T_PlannedOrders[WeekIndex],46)=0,"",SUMIFS(T_PlannedOrders[EffectiveQty],T_PlannedOrders[Part Name],$A809,T_PlannedOrders[WeekIndex],46)&amp;" ("&amp;TEXT(SUMPRODUCT(MAX((T_PlannedOrders[Part Name]=$A809)*(T_PlannedOrders[WeekIndex]=46)*(T_PlannedOrders[EffectiveQty]&gt;0)*T_PlannedOrders[Order_Month])),"m月")&amp;"発注)")</f>
        <v/>
      </c>
      <c r="AX827">
        <f>IF(SUMIFS(T_PlannedOrders[EffectiveQty],T_PlannedOrders[Part Name],$A809,T_PlannedOrders[WeekIndex],47)=0,"",SUMIFS(T_PlannedOrders[EffectiveQty],T_PlannedOrders[Part Name],$A809,T_PlannedOrders[WeekIndex],47)&amp;" ("&amp;TEXT(SUMPRODUCT(MAX((T_PlannedOrders[Part Name]=$A809)*(T_PlannedOrders[WeekIndex]=47)*(T_PlannedOrders[EffectiveQty]&gt;0)*T_PlannedOrders[Order_Month])),"m月")&amp;"発注)")</f>
        <v/>
      </c>
      <c r="AY827">
        <f>IF(SUMIFS(T_PlannedOrders[EffectiveQty],T_PlannedOrders[Part Name],$A809,T_PlannedOrders[WeekIndex],48)=0,"",SUMIFS(T_PlannedOrders[EffectiveQty],T_PlannedOrders[Part Name],$A809,T_PlannedOrders[WeekIndex],48)&amp;" ("&amp;TEXT(SUMPRODUCT(MAX((T_PlannedOrders[Part Name]=$A809)*(T_PlannedOrders[WeekIndex]=48)*(T_PlannedOrders[EffectiveQty]&gt;0)*T_PlannedOrders[Order_Month])),"m月")&amp;"発注)")</f>
        <v/>
      </c>
      <c r="AZ827">
        <f>IF(SUMIFS(T_PlannedOrders[EffectiveQty],T_PlannedOrders[Part Name],$A809,T_PlannedOrders[WeekIndex],49)=0,"",SUMIFS(T_PlannedOrders[EffectiveQty],T_PlannedOrders[Part Name],$A809,T_PlannedOrders[WeekIndex],49)&amp;" ("&amp;TEXT(SUMPRODUCT(MAX((T_PlannedOrders[Part Name]=$A809)*(T_PlannedOrders[WeekIndex]=49)*(T_PlannedOrders[EffectiveQty]&gt;0)*T_PlannedOrders[Order_Month])),"m月")&amp;"発注)")</f>
        <v/>
      </c>
      <c r="BA827">
        <f>IF(SUMIFS(T_PlannedOrders[EffectiveQty],T_PlannedOrders[Part Name],$A809,T_PlannedOrders[WeekIndex],50)=0,"",SUMIFS(T_PlannedOrders[EffectiveQty],T_PlannedOrders[Part Name],$A809,T_PlannedOrders[WeekIndex],50)&amp;" ("&amp;TEXT(SUMPRODUCT(MAX((T_PlannedOrders[Part Name]=$A809)*(T_PlannedOrders[WeekIndex]=50)*(T_PlannedOrders[EffectiveQty]&gt;0)*T_PlannedOrders[Order_Month])),"m月")&amp;"発注)")</f>
        <v/>
      </c>
      <c r="BB827">
        <f>IF(SUMIFS(T_PlannedOrders[EffectiveQty],T_PlannedOrders[Part Name],$A809,T_PlannedOrders[WeekIndex],51)=0,"",SUMIFS(T_PlannedOrders[EffectiveQty],T_PlannedOrders[Part Name],$A809,T_PlannedOrders[WeekIndex],51)&amp;" ("&amp;TEXT(SUMPRODUCT(MAX((T_PlannedOrders[Part Name]=$A809)*(T_PlannedOrders[WeekIndex]=51)*(T_PlannedOrders[EffectiveQty]&gt;0)*T_PlannedOrders[Order_Month])),"m月")&amp;"発注)")</f>
        <v/>
      </c>
      <c r="BC827">
        <f>IF(SUMIFS(T_PlannedOrders[EffectiveQty],T_PlannedOrders[Part Name],$A809,T_PlannedOrders[WeekIndex],52)=0,"",SUMIFS(T_PlannedOrders[EffectiveQty],T_PlannedOrders[Part Name],$A809,T_PlannedOrders[WeekIndex],52)&amp;" ("&amp;TEXT(SUMPRODUCT(MAX((T_PlannedOrders[Part Name]=$A809)*(T_PlannedOrders[WeekIndex]=52)*(T_PlannedOrders[EffectiveQty]&gt;0)*T_PlannedOrders[Order_Month])),"m月")&amp;"発注)")</f>
        <v/>
      </c>
      <c r="BD827">
        <f>IF(SUMIFS(T_PlannedOrders[EffectiveQty],T_PlannedOrders[Part Name],$A809,T_PlannedOrders[WeekIndex],53)=0,"",SUMIFS(T_PlannedOrders[EffectiveQty],T_PlannedOrders[Part Name],$A809,T_PlannedOrders[WeekIndex],53)&amp;" ("&amp;TEXT(SUMPRODUCT(MAX((T_PlannedOrders[Part Name]=$A809)*(T_PlannedOrders[WeekIndex]=53)*(T_PlannedOrders[EffectiveQty]&gt;0)*T_PlannedOrders[Order_Month])),"m月")&amp;"発注)")</f>
        <v/>
      </c>
      <c r="BE827">
        <f>IF(SUMIFS(T_PlannedOrders[EffectiveQty],T_PlannedOrders[Part Name],$A809,T_PlannedOrders[WeekIndex],54)=0,"",SUMIFS(T_PlannedOrders[EffectiveQty],T_PlannedOrders[Part Name],$A809,T_PlannedOrders[WeekIndex],54)&amp;" ("&amp;TEXT(SUMPRODUCT(MAX((T_PlannedOrders[Part Name]=$A809)*(T_PlannedOrders[WeekIndex]=54)*(T_PlannedOrders[EffectiveQty]&gt;0)*T_PlannedOrders[Order_Month])),"m月")&amp;"発注)")</f>
        <v/>
      </c>
      <c r="BF827">
        <f>IF(SUMIFS(T_PlannedOrders[EffectiveQty],T_PlannedOrders[Part Name],$A809,T_PlannedOrders[WeekIndex],55)=0,"",SUMIFS(T_PlannedOrders[EffectiveQty],T_PlannedOrders[Part Name],$A809,T_PlannedOrders[WeekIndex],55)&amp;" ("&amp;TEXT(SUMPRODUCT(MAX((T_PlannedOrders[Part Name]=$A809)*(T_PlannedOrders[WeekIndex]=55)*(T_PlannedOrders[EffectiveQty]&gt;0)*T_PlannedOrders[Order_Month])),"m月")&amp;"発注)")</f>
        <v/>
      </c>
      <c r="BG827">
        <f>IF(SUMIFS(T_PlannedOrders[EffectiveQty],T_PlannedOrders[Part Name],$A809,T_PlannedOrders[WeekIndex],56)=0,"",SUMIFS(T_PlannedOrders[EffectiveQty],T_PlannedOrders[Part Name],$A809,T_PlannedOrders[WeekIndex],56)&amp;" ("&amp;TEXT(SUMPRODUCT(MAX((T_PlannedOrders[Part Name]=$A809)*(T_PlannedOrders[WeekIndex]=56)*(T_PlannedOrders[EffectiveQty]&gt;0)*T_PlannedOrders[Order_Month])),"m月")&amp;"発注)")</f>
        <v/>
      </c>
      <c r="BH827">
        <f>IF(SUMIFS(T_PlannedOrders[EffectiveQty],T_PlannedOrders[Part Name],$A809,T_PlannedOrders[WeekIndex],57)=0,"",SUMIFS(T_PlannedOrders[EffectiveQty],T_PlannedOrders[Part Name],$A809,T_PlannedOrders[WeekIndex],57)&amp;" ("&amp;TEXT(SUMPRODUCT(MAX((T_PlannedOrders[Part Name]=$A809)*(T_PlannedOrders[WeekIndex]=57)*(T_PlannedOrders[EffectiveQty]&gt;0)*T_PlannedOrders[Order_Month])),"m月")&amp;"発注)")</f>
        <v/>
      </c>
      <c r="BI827">
        <f>IF(SUMIFS(T_PlannedOrders[EffectiveQty],T_PlannedOrders[Part Name],$A809,T_PlannedOrders[WeekIndex],58)=0,"",SUMIFS(T_PlannedOrders[EffectiveQty],T_PlannedOrders[Part Name],$A809,T_PlannedOrders[WeekIndex],58)&amp;" ("&amp;TEXT(SUMPRODUCT(MAX((T_PlannedOrders[Part Name]=$A809)*(T_PlannedOrders[WeekIndex]=58)*(T_PlannedOrders[EffectiveQty]&gt;0)*T_PlannedOrders[Order_Month])),"m月")&amp;"発注)")</f>
        <v/>
      </c>
      <c r="BJ827">
        <f>IF(SUMIFS(T_PlannedOrders[EffectiveQty],T_PlannedOrders[Part Name],$A809,T_PlannedOrders[WeekIndex],59)=0,"",SUMIFS(T_PlannedOrders[EffectiveQty],T_PlannedOrders[Part Name],$A809,T_PlannedOrders[WeekIndex],59)&amp;" ("&amp;TEXT(SUMPRODUCT(MAX((T_PlannedOrders[Part Name]=$A809)*(T_PlannedOrders[WeekIndex]=59)*(T_PlannedOrders[EffectiveQty]&gt;0)*T_PlannedOrders[Order_Month])),"m月")&amp;"発注)")</f>
        <v/>
      </c>
      <c r="BK827">
        <f>IF(SUMIFS(T_PlannedOrders[EffectiveQty],T_PlannedOrders[Part Name],$A809,T_PlannedOrders[WeekIndex],60)=0,"",SUMIFS(T_PlannedOrders[EffectiveQty],T_PlannedOrders[Part Name],$A809,T_PlannedOrders[WeekIndex],60)&amp;" ("&amp;TEXT(SUMPRODUCT(MAX((T_PlannedOrders[Part Name]=$A809)*(T_PlannedOrders[WeekIndex]=60)*(T_PlannedOrders[EffectiveQty]&gt;0)*T_PlannedOrders[Order_Month])),"m月")&amp;"発注)")</f>
        <v/>
      </c>
      <c r="BL827">
        <f>IF(SUMIFS(T_PlannedOrders[EffectiveQty],T_PlannedOrders[Part Name],$A809,T_PlannedOrders[WeekIndex],61)=0,"",SUMIFS(T_PlannedOrders[EffectiveQty],T_PlannedOrders[Part Name],$A809,T_PlannedOrders[WeekIndex],61)&amp;" ("&amp;TEXT(SUMPRODUCT(MAX((T_PlannedOrders[Part Name]=$A809)*(T_PlannedOrders[WeekIndex]=61)*(T_PlannedOrders[EffectiveQty]&gt;0)*T_PlannedOrders[Order_Month])),"m月")&amp;"発注)")</f>
        <v/>
      </c>
      <c r="BM827">
        <f>IF(SUMIFS(T_PlannedOrders[EffectiveQty],T_PlannedOrders[Part Name],$A809,T_PlannedOrders[WeekIndex],62)=0,"",SUMIFS(T_PlannedOrders[EffectiveQty],T_PlannedOrders[Part Name],$A809,T_PlannedOrders[WeekIndex],62)&amp;" ("&amp;TEXT(SUMPRODUCT(MAX((T_PlannedOrders[Part Name]=$A809)*(T_PlannedOrders[WeekIndex]=62)*(T_PlannedOrders[EffectiveQty]&gt;0)*T_PlannedOrders[Order_Month])),"m月")&amp;"発注)")</f>
        <v/>
      </c>
      <c r="BN827">
        <f>IF(SUMIFS(T_PlannedOrders[EffectiveQty],T_PlannedOrders[Part Name],$A809,T_PlannedOrders[WeekIndex],63)=0,"",SUMIFS(T_PlannedOrders[EffectiveQty],T_PlannedOrders[Part Name],$A809,T_PlannedOrders[WeekIndex],63)&amp;" ("&amp;TEXT(SUMPRODUCT(MAX((T_PlannedOrders[Part Name]=$A809)*(T_PlannedOrders[WeekIndex]=63)*(T_PlannedOrders[EffectiveQty]&gt;0)*T_PlannedOrders[Order_Month])),"m月")&amp;"発注)")</f>
        <v/>
      </c>
      <c r="BO827">
        <f>IF(SUMIFS(T_PlannedOrders[EffectiveQty],T_PlannedOrders[Part Name],$A809,T_PlannedOrders[WeekIndex],64)=0,"",SUMIFS(T_PlannedOrders[EffectiveQty],T_PlannedOrders[Part Name],$A809,T_PlannedOrders[WeekIndex],64)&amp;" ("&amp;TEXT(SUMPRODUCT(MAX((T_PlannedOrders[Part Name]=$A809)*(T_PlannedOrders[WeekIndex]=64)*(T_PlannedOrders[EffectiveQty]&gt;0)*T_PlannedOrders[Order_Month])),"m月")&amp;"発注)")</f>
        <v/>
      </c>
      <c r="BP827">
        <f>IF(SUMIFS(T_PlannedOrders[EffectiveQty],T_PlannedOrders[Part Name],$A809,T_PlannedOrders[WeekIndex],65)=0,"",SUMIFS(T_PlannedOrders[EffectiveQty],T_PlannedOrders[Part Name],$A809,T_PlannedOrders[WeekIndex],65)&amp;" ("&amp;TEXT(SUMPRODUCT(MAX((T_PlannedOrders[Part Name]=$A809)*(T_PlannedOrders[WeekIndex]=65)*(T_PlannedOrders[EffectiveQty]&gt;0)*T_PlannedOrders[Order_Month])),"m月")&amp;"発注)")</f>
        <v/>
      </c>
      <c r="BQ827">
        <f>IF(SUMIFS(T_PlannedOrders[EffectiveQty],T_PlannedOrders[Part Name],$A809,T_PlannedOrders[WeekIndex],66)=0,"",SUMIFS(T_PlannedOrders[EffectiveQty],T_PlannedOrders[Part Name],$A809,T_PlannedOrders[WeekIndex],66)&amp;" ("&amp;TEXT(SUMPRODUCT(MAX((T_PlannedOrders[Part Name]=$A809)*(T_PlannedOrders[WeekIndex]=66)*(T_PlannedOrders[EffectiveQty]&gt;0)*T_PlannedOrders[Order_Month])),"m月")&amp;"発注)")</f>
        <v/>
      </c>
      <c r="BR827">
        <f>IF(SUMIFS(T_PlannedOrders[EffectiveQty],T_PlannedOrders[Part Name],$A809,T_PlannedOrders[WeekIndex],67)=0,"",SUMIFS(T_PlannedOrders[EffectiveQty],T_PlannedOrders[Part Name],$A809,T_PlannedOrders[WeekIndex],67)&amp;" ("&amp;TEXT(SUMPRODUCT(MAX((T_PlannedOrders[Part Name]=$A809)*(T_PlannedOrders[WeekIndex]=67)*(T_PlannedOrders[EffectiveQty]&gt;0)*T_PlannedOrders[Order_Month])),"m月")&amp;"発注)")</f>
        <v/>
      </c>
      <c r="BS827">
        <f>IF(SUMIFS(T_PlannedOrders[EffectiveQty],T_PlannedOrders[Part Name],$A809,T_PlannedOrders[WeekIndex],68)=0,"",SUMIFS(T_PlannedOrders[EffectiveQty],T_PlannedOrders[Part Name],$A809,T_PlannedOrders[WeekIndex],68)&amp;" ("&amp;TEXT(SUMPRODUCT(MAX((T_PlannedOrders[Part Name]=$A809)*(T_PlannedOrders[WeekIndex]=68)*(T_PlannedOrders[EffectiveQty]&gt;0)*T_PlannedOrders[Order_Month])),"m月")&amp;"発注)")</f>
        <v/>
      </c>
      <c r="BT827">
        <f>IF(SUMIFS(T_PlannedOrders[EffectiveQty],T_PlannedOrders[Part Name],$A809,T_PlannedOrders[WeekIndex],69)=0,"",SUMIFS(T_PlannedOrders[EffectiveQty],T_PlannedOrders[Part Name],$A809,T_PlannedOrders[WeekIndex],69)&amp;" ("&amp;TEXT(SUMPRODUCT(MAX((T_PlannedOrders[Part Name]=$A809)*(T_PlannedOrders[WeekIndex]=69)*(T_PlannedOrders[EffectiveQty]&gt;0)*T_PlannedOrders[Order_Month])),"m月")&amp;"発注)")</f>
        <v/>
      </c>
      <c r="BU827">
        <f>IF(SUMIFS(T_PlannedOrders[EffectiveQty],T_PlannedOrders[Part Name],$A809,T_PlannedOrders[WeekIndex],70)=0,"",SUMIFS(T_PlannedOrders[EffectiveQty],T_PlannedOrders[Part Name],$A809,T_PlannedOrders[WeekIndex],70)&amp;" ("&amp;TEXT(SUMPRODUCT(MAX((T_PlannedOrders[Part Name]=$A809)*(T_PlannedOrders[WeekIndex]=70)*(T_PlannedOrders[EffectiveQty]&gt;0)*T_PlannedOrders[Order_Month])),"m月")&amp;"発注)")</f>
        <v/>
      </c>
      <c r="BV827">
        <f>IF(SUMIFS(T_PlannedOrders[EffectiveQty],T_PlannedOrders[Part Name],$A809,T_PlannedOrders[WeekIndex],71)=0,"",SUMIFS(T_PlannedOrders[EffectiveQty],T_PlannedOrders[Part Name],$A809,T_PlannedOrders[WeekIndex],71)&amp;" ("&amp;TEXT(SUMPRODUCT(MAX((T_PlannedOrders[Part Name]=$A809)*(T_PlannedOrders[WeekIndex]=71)*(T_PlannedOrders[EffectiveQty]&gt;0)*T_PlannedOrders[Order_Month])),"m月")&amp;"発注)")</f>
        <v/>
      </c>
      <c r="BW827">
        <f>IF(SUMIFS(T_PlannedOrders[EffectiveQty],T_PlannedOrders[Part Name],$A809,T_PlannedOrders[WeekIndex],72)=0,"",SUMIFS(T_PlannedOrders[EffectiveQty],T_PlannedOrders[Part Name],$A809,T_PlannedOrders[WeekIndex],72)&amp;" ("&amp;TEXT(SUMPRODUCT(MAX((T_PlannedOrders[Part Name]=$A809)*(T_PlannedOrders[WeekIndex]=72)*(T_PlannedOrders[EffectiveQty]&gt;0)*T_PlannedOrders[Order_Month])),"m月")&amp;"発注)")</f>
        <v/>
      </c>
      <c r="BX827">
        <f>IF(SUMIFS(T_PlannedOrders[EffectiveQty],T_PlannedOrders[Part Name],$A809,T_PlannedOrders[WeekIndex],73)=0,"",SUMIFS(T_PlannedOrders[EffectiveQty],T_PlannedOrders[Part Name],$A809,T_PlannedOrders[WeekIndex],73)&amp;" ("&amp;TEXT(SUMPRODUCT(MAX((T_PlannedOrders[Part Name]=$A809)*(T_PlannedOrders[WeekIndex]=73)*(T_PlannedOrders[EffectiveQty]&gt;0)*T_PlannedOrders[Order_Month])),"m月")&amp;"発注)")</f>
        <v/>
      </c>
      <c r="BY827">
        <f>IF(SUMIFS(T_PlannedOrders[EffectiveQty],T_PlannedOrders[Part Name],$A809,T_PlannedOrders[WeekIndex],74)=0,"",SUMIFS(T_PlannedOrders[EffectiveQty],T_PlannedOrders[Part Name],$A809,T_PlannedOrders[WeekIndex],74)&amp;" ("&amp;TEXT(SUMPRODUCT(MAX((T_PlannedOrders[Part Name]=$A809)*(T_PlannedOrders[WeekIndex]=74)*(T_PlannedOrders[EffectiveQty]&gt;0)*T_PlannedOrders[Order_Month])),"m月")&amp;"発注)")</f>
        <v/>
      </c>
      <c r="BZ827">
        <f>IF(SUMIFS(T_PlannedOrders[EffectiveQty],T_PlannedOrders[Part Name],$A809,T_PlannedOrders[WeekIndex],75)=0,"",SUMIFS(T_PlannedOrders[EffectiveQty],T_PlannedOrders[Part Name],$A809,T_PlannedOrders[WeekIndex],75)&amp;" ("&amp;TEXT(SUMPRODUCT(MAX((T_PlannedOrders[Part Name]=$A809)*(T_PlannedOrders[WeekIndex]=75)*(T_PlannedOrders[EffectiveQty]&gt;0)*T_PlannedOrders[Order_Month])),"m月")&amp;"発注)")</f>
        <v/>
      </c>
      <c r="CA827">
        <f>IF(SUMIFS(T_PlannedOrders[EffectiveQty],T_PlannedOrders[Part Name],$A809,T_PlannedOrders[WeekIndex],76)=0,"",SUMIFS(T_PlannedOrders[EffectiveQty],T_PlannedOrders[Part Name],$A809,T_PlannedOrders[WeekIndex],76)&amp;" ("&amp;TEXT(SUMPRODUCT(MAX((T_PlannedOrders[Part Name]=$A809)*(T_PlannedOrders[WeekIndex]=76)*(T_PlannedOrders[EffectiveQty]&gt;0)*T_PlannedOrders[Order_Month])),"m月")&amp;"発注)")</f>
        <v/>
      </c>
      <c r="CB827">
        <f>IF(SUMIFS(T_PlannedOrders[EffectiveQty],T_PlannedOrders[Part Name],$A809,T_PlannedOrders[WeekIndex],77)=0,"",SUMIFS(T_PlannedOrders[EffectiveQty],T_PlannedOrders[Part Name],$A809,T_PlannedOrders[WeekIndex],77)&amp;" ("&amp;TEXT(SUMPRODUCT(MAX((T_PlannedOrders[Part Name]=$A809)*(T_PlannedOrders[WeekIndex]=77)*(T_PlannedOrders[EffectiveQty]&gt;0)*T_PlannedOrders[Order_Month])),"m月")&amp;"発注)")</f>
        <v/>
      </c>
      <c r="CC827">
        <f>IF(SUMIFS(T_PlannedOrders[EffectiveQty],T_PlannedOrders[Part Name],$A809,T_PlannedOrders[WeekIndex],78)=0,"",SUMIFS(T_PlannedOrders[EffectiveQty],T_PlannedOrders[Part Name],$A809,T_PlannedOrders[WeekIndex],78)&amp;" ("&amp;TEXT(SUMPRODUCT(MAX((T_PlannedOrders[Part Name]=$A809)*(T_PlannedOrders[WeekIndex]=78)*(T_PlannedOrders[EffectiveQty]&gt;0)*T_PlannedOrders[Order_Month])),"m月")&amp;"発注)")</f>
        <v/>
      </c>
      <c r="CD827">
        <f>IF(SUMIFS(T_PlannedOrders[EffectiveQty],T_PlannedOrders[Part Name],$A809,T_PlannedOrders[WeekIndex],79)=0,"",SUMIFS(T_PlannedOrders[EffectiveQty],T_PlannedOrders[Part Name],$A809,T_PlannedOrders[WeekIndex],79)&amp;" ("&amp;TEXT(SUMPRODUCT(MAX((T_PlannedOrders[Part Name]=$A809)*(T_PlannedOrders[WeekIndex]=79)*(T_PlannedOrders[EffectiveQty]&gt;0)*T_PlannedOrders[Order_Month])),"m月")&amp;"発注)")</f>
        <v/>
      </c>
      <c r="CE827">
        <f>IF(SUMIFS(T_PlannedOrders[EffectiveQty],T_PlannedOrders[Part Name],$A809,T_PlannedOrders[WeekIndex],80)=0,"",SUMIFS(T_PlannedOrders[EffectiveQty],T_PlannedOrders[Part Name],$A809,T_PlannedOrders[WeekIndex],80)&amp;" ("&amp;TEXT(SUMPRODUCT(MAX((T_PlannedOrders[Part Name]=$A809)*(T_PlannedOrders[WeekIndex]=80)*(T_PlannedOrders[EffectiveQty]&gt;0)*T_PlannedOrders[Order_Month])),"m月")&amp;"発注)")</f>
        <v/>
      </c>
      <c r="CF827">
        <f>IF(SUMIFS(T_PlannedOrders[EffectiveQty],T_PlannedOrders[Part Name],$A809,T_PlannedOrders[WeekIndex],81)=0,"",SUMIFS(T_PlannedOrders[EffectiveQty],T_PlannedOrders[Part Name],$A809,T_PlannedOrders[WeekIndex],81)&amp;" ("&amp;TEXT(SUMPRODUCT(MAX((T_PlannedOrders[Part Name]=$A809)*(T_PlannedOrders[WeekIndex]=81)*(T_PlannedOrders[EffectiveQty]&gt;0)*T_PlannedOrders[Order_Month])),"m月")&amp;"発注)")</f>
        <v/>
      </c>
      <c r="CG827">
        <f>IF(SUMIFS(T_PlannedOrders[EffectiveQty],T_PlannedOrders[Part Name],$A809,T_PlannedOrders[WeekIndex],82)=0,"",SUMIFS(T_PlannedOrders[EffectiveQty],T_PlannedOrders[Part Name],$A809,T_PlannedOrders[WeekIndex],82)&amp;" ("&amp;TEXT(SUMPRODUCT(MAX((T_PlannedOrders[Part Name]=$A809)*(T_PlannedOrders[WeekIndex]=82)*(T_PlannedOrders[EffectiveQty]&gt;0)*T_PlannedOrders[Order_Month])),"m月")&amp;"発注)")</f>
        <v/>
      </c>
      <c r="CH827">
        <f>IF(SUMIFS(T_PlannedOrders[EffectiveQty],T_PlannedOrders[Part Name],$A809,T_PlannedOrders[WeekIndex],83)=0,"",SUMIFS(T_PlannedOrders[EffectiveQty],T_PlannedOrders[Part Name],$A809,T_PlannedOrders[WeekIndex],83)&amp;" ("&amp;TEXT(SUMPRODUCT(MAX((T_PlannedOrders[Part Name]=$A809)*(T_PlannedOrders[WeekIndex]=83)*(T_PlannedOrders[EffectiveQty]&gt;0)*T_PlannedOrders[Order_Month])),"m月")&amp;"発注)")</f>
        <v/>
      </c>
      <c r="CI827">
        <f>IF(SUMIFS(T_PlannedOrders[EffectiveQty],T_PlannedOrders[Part Name],$A809,T_PlannedOrders[WeekIndex],84)=0,"",SUMIFS(T_PlannedOrders[EffectiveQty],T_PlannedOrders[Part Name],$A809,T_PlannedOrders[WeekIndex],84)&amp;" ("&amp;TEXT(SUMPRODUCT(MAX((T_PlannedOrders[Part Name]=$A809)*(T_PlannedOrders[WeekIndex]=84)*(T_PlannedOrders[EffectiveQty]&gt;0)*T_PlannedOrders[Order_Month])),"m月")&amp;"発注)")</f>
        <v/>
      </c>
      <c r="CJ827">
        <f>IF(SUMIFS(T_PlannedOrders[EffectiveQty],T_PlannedOrders[Part Name],$A809,T_PlannedOrders[WeekIndex],85)=0,"",SUMIFS(T_PlannedOrders[EffectiveQty],T_PlannedOrders[Part Name],$A809,T_PlannedOrders[WeekIndex],85)&amp;" ("&amp;TEXT(SUMPRODUCT(MAX((T_PlannedOrders[Part Name]=$A809)*(T_PlannedOrders[WeekIndex]=85)*(T_PlannedOrders[EffectiveQty]&gt;0)*T_PlannedOrders[Order_Month])),"m月")&amp;"発注)")</f>
        <v/>
      </c>
      <c r="CK827">
        <f>IF(SUMIFS(T_PlannedOrders[EffectiveQty],T_PlannedOrders[Part Name],$A809,T_PlannedOrders[WeekIndex],86)=0,"",SUMIFS(T_PlannedOrders[EffectiveQty],T_PlannedOrders[Part Name],$A809,T_PlannedOrders[WeekIndex],86)&amp;" ("&amp;TEXT(SUMPRODUCT(MAX((T_PlannedOrders[Part Name]=$A809)*(T_PlannedOrders[WeekIndex]=86)*(T_PlannedOrders[EffectiveQty]&gt;0)*T_PlannedOrders[Order_Month])),"m月")&amp;"発注)")</f>
        <v/>
      </c>
      <c r="CL827">
        <f>IF(SUMIFS(T_PlannedOrders[EffectiveQty],T_PlannedOrders[Part Name],$A809,T_PlannedOrders[WeekIndex],87)=0,"",SUMIFS(T_PlannedOrders[EffectiveQty],T_PlannedOrders[Part Name],$A809,T_PlannedOrders[WeekIndex],87)&amp;" ("&amp;TEXT(SUMPRODUCT(MAX((T_PlannedOrders[Part Name]=$A809)*(T_PlannedOrders[WeekIndex]=87)*(T_PlannedOrders[EffectiveQty]&gt;0)*T_PlannedOrders[Order_Month])),"m月")&amp;"発注)")</f>
        <v/>
      </c>
      <c r="CM827">
        <f>IF(SUMIFS(T_PlannedOrders[EffectiveQty],T_PlannedOrders[Part Name],$A809,T_PlannedOrders[WeekIndex],88)=0,"",SUMIFS(T_PlannedOrders[EffectiveQty],T_PlannedOrders[Part Name],$A809,T_PlannedOrders[WeekIndex],88)&amp;" ("&amp;TEXT(SUMPRODUCT(MAX((T_PlannedOrders[Part Name]=$A809)*(T_PlannedOrders[WeekIndex]=88)*(T_PlannedOrders[EffectiveQty]&gt;0)*T_PlannedOrders[Order_Month])),"m月")&amp;"発注)")</f>
        <v/>
      </c>
      <c r="CN827">
        <f>IF(SUMIFS(T_PlannedOrders[EffectiveQty],T_PlannedOrders[Part Name],$A809,T_PlannedOrders[WeekIndex],89)=0,"",SUMIFS(T_PlannedOrders[EffectiveQty],T_PlannedOrders[Part Name],$A809,T_PlannedOrders[WeekIndex],89)&amp;" ("&amp;TEXT(SUMPRODUCT(MAX((T_PlannedOrders[Part Name]=$A809)*(T_PlannedOrders[WeekIndex]=89)*(T_PlannedOrders[EffectiveQty]&gt;0)*T_PlannedOrders[Order_Month])),"m月")&amp;"発注)")</f>
        <v/>
      </c>
      <c r="CO827">
        <f>IF(SUMIFS(T_PlannedOrders[EffectiveQty],T_PlannedOrders[Part Name],$A809,T_PlannedOrders[WeekIndex],90)=0,"",SUMIFS(T_PlannedOrders[EffectiveQty],T_PlannedOrders[Part Name],$A809,T_PlannedOrders[WeekIndex],90)&amp;" ("&amp;TEXT(SUMPRODUCT(MAX((T_PlannedOrders[Part Name]=$A809)*(T_PlannedOrders[WeekIndex]=90)*(T_PlannedOrders[EffectiveQty]&gt;0)*T_PlannedOrders[Order_Month])),"m月")&amp;"発注)")</f>
        <v/>
      </c>
      <c r="CP827">
        <f>IF(SUMIFS(T_PlannedOrders[EffectiveQty],T_PlannedOrders[Part Name],$A809,T_PlannedOrders[WeekIndex],91)=0,"",SUMIFS(T_PlannedOrders[EffectiveQty],T_PlannedOrders[Part Name],$A809,T_PlannedOrders[WeekIndex],91)&amp;" ("&amp;TEXT(SUMPRODUCT(MAX((T_PlannedOrders[Part Name]=$A809)*(T_PlannedOrders[WeekIndex]=91)*(T_PlannedOrders[EffectiveQty]&gt;0)*T_PlannedOrders[Order_Month])),"m月")&amp;"発注)")</f>
        <v/>
      </c>
      <c r="CQ827">
        <f>IF(SUMIFS(T_PlannedOrders[EffectiveQty],T_PlannedOrders[Part Name],$A809,T_PlannedOrders[WeekIndex],92)=0,"",SUMIFS(T_PlannedOrders[EffectiveQty],T_PlannedOrders[Part Name],$A809,T_PlannedOrders[WeekIndex],92)&amp;" ("&amp;TEXT(SUMPRODUCT(MAX((T_PlannedOrders[Part Name]=$A809)*(T_PlannedOrders[WeekIndex]=92)*(T_PlannedOrders[EffectiveQty]&gt;0)*T_PlannedOrders[Order_Month])),"m月")&amp;"発注)")</f>
        <v/>
      </c>
      <c r="CR827">
        <f>IF(SUMIFS(T_PlannedOrders[EffectiveQty],T_PlannedOrders[Part Name],$A809,T_PlannedOrders[WeekIndex],93)=0,"",SUMIFS(T_PlannedOrders[EffectiveQty],T_PlannedOrders[Part Name],$A809,T_PlannedOrders[WeekIndex],93)&amp;" ("&amp;TEXT(SUMPRODUCT(MAX((T_PlannedOrders[Part Name]=$A809)*(T_PlannedOrders[WeekIndex]=93)*(T_PlannedOrders[EffectiveQty]&gt;0)*T_PlannedOrders[Order_Month])),"m月")&amp;"発注)")</f>
        <v/>
      </c>
      <c r="CS827">
        <f>IF(SUMIFS(T_PlannedOrders[EffectiveQty],T_PlannedOrders[Part Name],$A809,T_PlannedOrders[WeekIndex],94)=0,"",SUMIFS(T_PlannedOrders[EffectiveQty],T_PlannedOrders[Part Name],$A809,T_PlannedOrders[WeekIndex],94)&amp;" ("&amp;TEXT(SUMPRODUCT(MAX((T_PlannedOrders[Part Name]=$A809)*(T_PlannedOrders[WeekIndex]=94)*(T_PlannedOrders[EffectiveQty]&gt;0)*T_PlannedOrders[Order_Month])),"m月")&amp;"発注)")</f>
        <v/>
      </c>
      <c r="CT827">
        <f>IF(SUMIFS(T_PlannedOrders[EffectiveQty],T_PlannedOrders[Part Name],$A809,T_PlannedOrders[WeekIndex],95)=0,"",SUMIFS(T_PlannedOrders[EffectiveQty],T_PlannedOrders[Part Name],$A809,T_PlannedOrders[WeekIndex],95)&amp;" ("&amp;TEXT(SUMPRODUCT(MAX((T_PlannedOrders[Part Name]=$A809)*(T_PlannedOrders[WeekIndex]=95)*(T_PlannedOrders[EffectiveQty]&gt;0)*T_PlannedOrders[Order_Month])),"m月")&amp;"発注)")</f>
        <v/>
      </c>
      <c r="CU827">
        <f>IF(SUMIFS(T_PlannedOrders[EffectiveQty],T_PlannedOrders[Part Name],$A809,T_PlannedOrders[WeekIndex],96)=0,"",SUMIFS(T_PlannedOrders[EffectiveQty],T_PlannedOrders[Part Name],$A809,T_PlannedOrders[WeekIndex],96)&amp;" ("&amp;TEXT(SUMPRODUCT(MAX((T_PlannedOrders[Part Name]=$A809)*(T_PlannedOrders[WeekIndex]=96)*(T_PlannedOrders[EffectiveQty]&gt;0)*T_PlannedOrders[Order_Month])),"m月")&amp;"発注)")</f>
        <v/>
      </c>
      <c r="CV827">
        <f>IF(SUMIFS(T_PlannedOrders[EffectiveQty],T_PlannedOrders[Part Name],$A809,T_PlannedOrders[WeekIndex],97)=0,"",SUMIFS(T_PlannedOrders[EffectiveQty],T_PlannedOrders[Part Name],$A809,T_PlannedOrders[WeekIndex],97)&amp;" ("&amp;TEXT(SUMPRODUCT(MAX((T_PlannedOrders[Part Name]=$A809)*(T_PlannedOrders[WeekIndex]=97)*(T_PlannedOrders[EffectiveQty]&gt;0)*T_PlannedOrders[Order_Month])),"m月")&amp;"発注)")</f>
        <v/>
      </c>
      <c r="CW827">
        <f>IF(SUMIFS(T_PlannedOrders[EffectiveQty],T_PlannedOrders[Part Name],$A809,T_PlannedOrders[WeekIndex],98)=0,"",SUMIFS(T_PlannedOrders[EffectiveQty],T_PlannedOrders[Part Name],$A809,T_PlannedOrders[WeekIndex],98)&amp;" ("&amp;TEXT(SUMPRODUCT(MAX((T_PlannedOrders[Part Name]=$A809)*(T_PlannedOrders[WeekIndex]=98)*(T_PlannedOrders[EffectiveQty]&gt;0)*T_PlannedOrders[Order_Month])),"m月")&amp;"発注)")</f>
        <v/>
      </c>
      <c r="CX827">
        <f>IF(SUMIFS(T_PlannedOrders[EffectiveQty],T_PlannedOrders[Part Name],$A809,T_PlannedOrders[WeekIndex],99)=0,"",SUMIFS(T_PlannedOrders[EffectiveQty],T_PlannedOrders[Part Name],$A809,T_PlannedOrders[WeekIndex],99)&amp;" ("&amp;TEXT(SUMPRODUCT(MAX((T_PlannedOrders[Part Name]=$A809)*(T_PlannedOrders[WeekIndex]=99)*(T_PlannedOrders[EffectiveQty]&gt;0)*T_PlannedOrders[Order_Month])),"m月")&amp;"発注)")</f>
        <v/>
      </c>
      <c r="CY827">
        <f>IF(SUMIFS(T_PlannedOrders[EffectiveQty],T_PlannedOrders[Part Name],$A809,T_PlannedOrders[WeekIndex],100)=0,"",SUMIFS(T_PlannedOrders[EffectiveQty],T_PlannedOrders[Part Name],$A809,T_PlannedOrders[WeekIndex],100)&amp;" ("&amp;TEXT(SUMPRODUCT(MAX((T_PlannedOrders[Part Name]=$A809)*(T_PlannedOrders[WeekIndex]=100)*(T_PlannedOrders[EffectiveQty]&gt;0)*T_PlannedOrders[Order_Month])),"m月")&amp;"発注)")</f>
        <v/>
      </c>
      <c r="CZ827">
        <f>IF(SUMIFS(T_PlannedOrders[EffectiveQty],T_PlannedOrders[Part Name],$A809,T_PlannedOrders[WeekIndex],101)=0,"",SUMIFS(T_PlannedOrders[EffectiveQty],T_PlannedOrders[Part Name],$A809,T_PlannedOrders[WeekIndex],101)&amp;" ("&amp;TEXT(SUMPRODUCT(MAX((T_PlannedOrders[Part Name]=$A809)*(T_PlannedOrders[WeekIndex]=101)*(T_PlannedOrders[EffectiveQty]&gt;0)*T_PlannedOrders[Order_Month])),"m月")&amp;"発注)")</f>
        <v/>
      </c>
      <c r="DA827">
        <f>IF(SUMIFS(T_PlannedOrders[EffectiveQty],T_PlannedOrders[Part Name],$A809,T_PlannedOrders[WeekIndex],102)=0,"",SUMIFS(T_PlannedOrders[EffectiveQty],T_PlannedOrders[Part Name],$A809,T_PlannedOrders[WeekIndex],102)&amp;" ("&amp;TEXT(SUMPRODUCT(MAX((T_PlannedOrders[Part Name]=$A809)*(T_PlannedOrders[WeekIndex]=102)*(T_PlannedOrders[EffectiveQty]&gt;0)*T_PlannedOrders[Order_Month])),"m月")&amp;"発注)")</f>
        <v/>
      </c>
      <c r="DB827">
        <f>IF(SUMIFS(T_PlannedOrders[EffectiveQty],T_PlannedOrders[Part Name],$A809,T_PlannedOrders[WeekIndex],103)=0,"",SUMIFS(T_PlannedOrders[EffectiveQty],T_PlannedOrders[Part Name],$A809,T_PlannedOrders[WeekIndex],103)&amp;" ("&amp;TEXT(SUMPRODUCT(MAX((T_PlannedOrders[Part Name]=$A809)*(T_PlannedOrders[WeekIndex]=103)*(T_PlannedOrders[EffectiveQty]&gt;0)*T_PlannedOrders[Order_Month])),"m月")&amp;"発注)")</f>
        <v/>
      </c>
      <c r="DC827">
        <f>IF(SUMIFS(T_PlannedOrders[EffectiveQty],T_PlannedOrders[Part Name],$A809,T_PlannedOrders[WeekIndex],104)=0,"",SUMIFS(T_PlannedOrders[EffectiveQty],T_PlannedOrders[Part Name],$A809,T_PlannedOrders[WeekIndex],104)&amp;" ("&amp;TEXT(SUMPRODUCT(MAX((T_PlannedOrders[Part Name]=$A809)*(T_PlannedOrders[WeekIndex]=104)*(T_PlannedOrders[EffectiveQty]&gt;0)*T_PlannedOrders[Order_Month])),"m月")&amp;"発注)")</f>
        <v/>
      </c>
    </row>
    <row r="828">
      <c r="B828" s="5" t="inlineStr">
        <is>
          <t>合計在庫(週末時点,kg)</t>
        </is>
      </c>
      <c r="D828">
        <f>'Grid_Stock'!B2</f>
        <v/>
      </c>
      <c r="E828">
        <f>'Grid_Stock'!C2</f>
        <v/>
      </c>
      <c r="F828">
        <f>'Grid_Stock'!D2</f>
        <v/>
      </c>
      <c r="G828">
        <f>'Grid_Stock'!E2</f>
        <v/>
      </c>
      <c r="H828">
        <f>'Grid_Stock'!F2</f>
        <v/>
      </c>
      <c r="I828">
        <f>'Grid_Stock'!G2</f>
        <v/>
      </c>
      <c r="J828">
        <f>'Grid_Stock'!H2</f>
        <v/>
      </c>
      <c r="K828">
        <f>'Grid_Stock'!I2</f>
        <v/>
      </c>
      <c r="L828">
        <f>'Grid_Stock'!J2</f>
        <v/>
      </c>
      <c r="M828">
        <f>'Grid_Stock'!K2</f>
        <v/>
      </c>
      <c r="N828">
        <f>'Grid_Stock'!L2</f>
        <v/>
      </c>
      <c r="O828">
        <f>'Grid_Stock'!M2</f>
        <v/>
      </c>
      <c r="P828">
        <f>'Grid_Stock'!N2</f>
        <v/>
      </c>
      <c r="Q828">
        <f>'Grid_Stock'!O2</f>
        <v/>
      </c>
      <c r="R828">
        <f>'Grid_Stock'!P2</f>
        <v/>
      </c>
      <c r="S828">
        <f>'Grid_Stock'!Q2</f>
        <v/>
      </c>
      <c r="T828">
        <f>'Grid_Stock'!R2</f>
        <v/>
      </c>
      <c r="U828">
        <f>'Grid_Stock'!S2</f>
        <v/>
      </c>
      <c r="V828">
        <f>'Grid_Stock'!T2</f>
        <v/>
      </c>
      <c r="W828">
        <f>'Grid_Stock'!U2</f>
        <v/>
      </c>
      <c r="X828">
        <f>'Grid_Stock'!V2</f>
        <v/>
      </c>
      <c r="Y828">
        <f>'Grid_Stock'!W2</f>
        <v/>
      </c>
      <c r="Z828">
        <f>'Grid_Stock'!X2</f>
        <v/>
      </c>
      <c r="AA828">
        <f>'Grid_Stock'!Y2</f>
        <v/>
      </c>
      <c r="AB828">
        <f>'Grid_Stock'!Z2</f>
        <v/>
      </c>
      <c r="AC828">
        <f>'Grid_Stock'!AA2</f>
        <v/>
      </c>
      <c r="AD828">
        <f>'Grid_Stock'!AB2</f>
        <v/>
      </c>
      <c r="AE828">
        <f>'Grid_Stock'!AC2</f>
        <v/>
      </c>
      <c r="AF828">
        <f>'Grid_Stock'!AD2</f>
        <v/>
      </c>
      <c r="AG828">
        <f>'Grid_Stock'!AE2</f>
        <v/>
      </c>
      <c r="AH828">
        <f>'Grid_Stock'!AF2</f>
        <v/>
      </c>
      <c r="AI828">
        <f>'Grid_Stock'!AG2</f>
        <v/>
      </c>
      <c r="AJ828">
        <f>'Grid_Stock'!AH2</f>
        <v/>
      </c>
      <c r="AK828">
        <f>'Grid_Stock'!AI2</f>
        <v/>
      </c>
      <c r="AL828">
        <f>'Grid_Stock'!AJ2</f>
        <v/>
      </c>
      <c r="AM828">
        <f>'Grid_Stock'!AK2</f>
        <v/>
      </c>
      <c r="AN828">
        <f>'Grid_Stock'!AL2</f>
        <v/>
      </c>
      <c r="AO828">
        <f>'Grid_Stock'!AM2</f>
        <v/>
      </c>
      <c r="AP828">
        <f>'Grid_Stock'!AN2</f>
        <v/>
      </c>
      <c r="AQ828">
        <f>'Grid_Stock'!AO2</f>
        <v/>
      </c>
      <c r="AR828">
        <f>'Grid_Stock'!AP2</f>
        <v/>
      </c>
      <c r="AS828">
        <f>'Grid_Stock'!AQ2</f>
        <v/>
      </c>
      <c r="AT828">
        <f>'Grid_Stock'!AR2</f>
        <v/>
      </c>
      <c r="AU828">
        <f>'Grid_Stock'!AS2</f>
        <v/>
      </c>
      <c r="AV828">
        <f>'Grid_Stock'!AT2</f>
        <v/>
      </c>
      <c r="AW828">
        <f>'Grid_Stock'!AU2</f>
        <v/>
      </c>
      <c r="AX828">
        <f>'Grid_Stock'!AV2</f>
        <v/>
      </c>
      <c r="AY828">
        <f>'Grid_Stock'!AW2</f>
        <v/>
      </c>
      <c r="AZ828">
        <f>'Grid_Stock'!AX2</f>
        <v/>
      </c>
      <c r="BA828">
        <f>'Grid_Stock'!AY2</f>
        <v/>
      </c>
      <c r="BB828">
        <f>'Grid_Stock'!AZ2</f>
        <v/>
      </c>
      <c r="BC828">
        <f>'Grid_Stock'!BA2</f>
        <v/>
      </c>
      <c r="BD828">
        <f>'Grid_Stock'!BB2</f>
        <v/>
      </c>
      <c r="BE828">
        <f>'Grid_Stock'!BC2</f>
        <v/>
      </c>
      <c r="BF828">
        <f>'Grid_Stock'!BD2</f>
        <v/>
      </c>
      <c r="BG828">
        <f>'Grid_Stock'!BE2</f>
        <v/>
      </c>
      <c r="BH828">
        <f>'Grid_Stock'!BF2</f>
        <v/>
      </c>
      <c r="BI828">
        <f>'Grid_Stock'!BG2</f>
        <v/>
      </c>
      <c r="BJ828">
        <f>'Grid_Stock'!BH2</f>
        <v/>
      </c>
      <c r="BK828">
        <f>'Grid_Stock'!BI2</f>
        <v/>
      </c>
      <c r="BL828">
        <f>'Grid_Stock'!BJ2</f>
        <v/>
      </c>
      <c r="BM828">
        <f>'Grid_Stock'!BK2</f>
        <v/>
      </c>
      <c r="BN828">
        <f>'Grid_Stock'!BL2</f>
        <v/>
      </c>
      <c r="BO828">
        <f>'Grid_Stock'!BM2</f>
        <v/>
      </c>
      <c r="BP828">
        <f>'Grid_Stock'!BN2</f>
        <v/>
      </c>
      <c r="BQ828">
        <f>'Grid_Stock'!BO2</f>
        <v/>
      </c>
      <c r="BR828">
        <f>'Grid_Stock'!BP2</f>
        <v/>
      </c>
      <c r="BS828">
        <f>'Grid_Stock'!BQ2</f>
        <v/>
      </c>
      <c r="BT828">
        <f>'Grid_Stock'!BR2</f>
        <v/>
      </c>
      <c r="BU828">
        <f>'Grid_Stock'!BS2</f>
        <v/>
      </c>
      <c r="BV828">
        <f>'Grid_Stock'!BT2</f>
        <v/>
      </c>
      <c r="BW828">
        <f>'Grid_Stock'!BU2</f>
        <v/>
      </c>
      <c r="BX828">
        <f>'Grid_Stock'!BV2</f>
        <v/>
      </c>
      <c r="BY828">
        <f>'Grid_Stock'!BW2</f>
        <v/>
      </c>
      <c r="BZ828">
        <f>'Grid_Stock'!BX2</f>
        <v/>
      </c>
      <c r="CA828">
        <f>'Grid_Stock'!BY2</f>
        <v/>
      </c>
      <c r="CB828">
        <f>'Grid_Stock'!BZ2</f>
        <v/>
      </c>
      <c r="CC828">
        <f>'Grid_Stock'!CA2</f>
        <v/>
      </c>
      <c r="CD828">
        <f>'Grid_Stock'!CB2</f>
        <v/>
      </c>
      <c r="CE828">
        <f>'Grid_Stock'!CC2</f>
        <v/>
      </c>
      <c r="CF828">
        <f>'Grid_Stock'!CD2</f>
        <v/>
      </c>
      <c r="CG828">
        <f>'Grid_Stock'!CE2</f>
        <v/>
      </c>
      <c r="CH828">
        <f>'Grid_Stock'!CF2</f>
        <v/>
      </c>
      <c r="CI828">
        <f>'Grid_Stock'!CG2</f>
        <v/>
      </c>
      <c r="CJ828">
        <f>'Grid_Stock'!CH2</f>
        <v/>
      </c>
      <c r="CK828">
        <f>'Grid_Stock'!CI2</f>
        <v/>
      </c>
      <c r="CL828">
        <f>'Grid_Stock'!CJ2</f>
        <v/>
      </c>
      <c r="CM828">
        <f>'Grid_Stock'!CK2</f>
        <v/>
      </c>
      <c r="CN828">
        <f>'Grid_Stock'!CL2</f>
        <v/>
      </c>
      <c r="CO828">
        <f>'Grid_Stock'!CM2</f>
        <v/>
      </c>
      <c r="CP828">
        <f>'Grid_Stock'!CN2</f>
        <v/>
      </c>
      <c r="CQ828">
        <f>'Grid_Stock'!CO2</f>
        <v/>
      </c>
      <c r="CR828">
        <f>'Grid_Stock'!CP2</f>
        <v/>
      </c>
      <c r="CS828">
        <f>'Grid_Stock'!CQ2</f>
        <v/>
      </c>
      <c r="CT828">
        <f>'Grid_Stock'!CR2</f>
        <v/>
      </c>
      <c r="CU828">
        <f>'Grid_Stock'!CS2</f>
        <v/>
      </c>
      <c r="CV828">
        <f>'Grid_Stock'!CT2</f>
        <v/>
      </c>
      <c r="CW828">
        <f>'Grid_Stock'!CU2</f>
        <v/>
      </c>
      <c r="CX828">
        <f>'Grid_Stock'!CV2</f>
        <v/>
      </c>
      <c r="CY828">
        <f>'Grid_Stock'!CW2</f>
        <v/>
      </c>
      <c r="CZ828">
        <f>'Grid_Stock'!CX2</f>
        <v/>
      </c>
      <c r="DA828">
        <f>'Grid_Stock'!CY2</f>
        <v/>
      </c>
      <c r="DB828">
        <f>'Grid_Stock'!CZ2</f>
        <v/>
      </c>
      <c r="DC828">
        <f>'Grid_Stock'!DA2</f>
        <v/>
      </c>
    </row>
    <row r="829">
      <c r="B829" s="23" t="inlineStr">
        <is>
          <t>（発注の目安はDashboardの基準在庫[下限/上限]と色分けを参照）</t>
        </is>
      </c>
    </row>
    <row r="831">
      <c r="A831" s="21" t="inlineStr">
        <is>
          <t>CHEM-1720</t>
        </is>
      </c>
      <c r="B831" s="21" t="inlineStr">
        <is>
          <t>TPZ 868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TSP-1444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TSP-1445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TSP-1446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TSP-1448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TSP-1449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TSP-1499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TSP-1555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TSP-927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TSP-928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TSP-929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TSP-930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TSP-934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TSP-935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TSP-936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TSP-937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s="5" t="inlineStr">
        <is>
          <t>合計使用量(kg)/週</t>
        </is>
      </c>
      <c r="D862">
        <f>'Grid_Requirement'!B34</f>
        <v/>
      </c>
      <c r="E862">
        <f>'Grid_Requirement'!C34</f>
        <v/>
      </c>
      <c r="F862">
        <f>'Grid_Requirement'!D34</f>
        <v/>
      </c>
      <c r="G862">
        <f>'Grid_Requirement'!E34</f>
        <v/>
      </c>
      <c r="H862">
        <f>'Grid_Requirement'!F34</f>
        <v/>
      </c>
      <c r="I862">
        <f>'Grid_Requirement'!G34</f>
        <v/>
      </c>
      <c r="J862">
        <f>'Grid_Requirement'!H34</f>
        <v/>
      </c>
      <c r="K862">
        <f>'Grid_Requirement'!I34</f>
        <v/>
      </c>
      <c r="L862">
        <f>'Grid_Requirement'!J34</f>
        <v/>
      </c>
      <c r="M862">
        <f>'Grid_Requirement'!K34</f>
        <v/>
      </c>
      <c r="N862">
        <f>'Grid_Requirement'!L34</f>
        <v/>
      </c>
      <c r="O862">
        <f>'Grid_Requirement'!M34</f>
        <v/>
      </c>
      <c r="P862">
        <f>'Grid_Requirement'!N34</f>
        <v/>
      </c>
      <c r="Q862">
        <f>'Grid_Requirement'!O34</f>
        <v/>
      </c>
      <c r="R862">
        <f>'Grid_Requirement'!P34</f>
        <v/>
      </c>
      <c r="S862">
        <f>'Grid_Requirement'!Q34</f>
        <v/>
      </c>
      <c r="T862">
        <f>'Grid_Requirement'!R34</f>
        <v/>
      </c>
      <c r="U862">
        <f>'Grid_Requirement'!S34</f>
        <v/>
      </c>
      <c r="V862">
        <f>'Grid_Requirement'!T34</f>
        <v/>
      </c>
      <c r="W862">
        <f>'Grid_Requirement'!U34</f>
        <v/>
      </c>
      <c r="X862">
        <f>'Grid_Requirement'!V34</f>
        <v/>
      </c>
      <c r="Y862">
        <f>'Grid_Requirement'!W34</f>
        <v/>
      </c>
      <c r="Z862">
        <f>'Grid_Requirement'!X34</f>
        <v/>
      </c>
      <c r="AA862">
        <f>'Grid_Requirement'!Y34</f>
        <v/>
      </c>
      <c r="AB862">
        <f>'Grid_Requirement'!Z34</f>
        <v/>
      </c>
      <c r="AC862">
        <f>'Grid_Requirement'!AA34</f>
        <v/>
      </c>
      <c r="AD862">
        <f>'Grid_Requirement'!AB34</f>
        <v/>
      </c>
      <c r="AE862">
        <f>'Grid_Requirement'!AC34</f>
        <v/>
      </c>
      <c r="AF862">
        <f>'Grid_Requirement'!AD34</f>
        <v/>
      </c>
      <c r="AG862">
        <f>'Grid_Requirement'!AE34</f>
        <v/>
      </c>
      <c r="AH862">
        <f>'Grid_Requirement'!AF34</f>
        <v/>
      </c>
      <c r="AI862">
        <f>'Grid_Requirement'!AG34</f>
        <v/>
      </c>
      <c r="AJ862">
        <f>'Grid_Requirement'!AH34</f>
        <v/>
      </c>
      <c r="AK862">
        <f>'Grid_Requirement'!AI34</f>
        <v/>
      </c>
      <c r="AL862">
        <f>'Grid_Requirement'!AJ34</f>
        <v/>
      </c>
      <c r="AM862">
        <f>'Grid_Requirement'!AK34</f>
        <v/>
      </c>
      <c r="AN862">
        <f>'Grid_Requirement'!AL34</f>
        <v/>
      </c>
      <c r="AO862">
        <f>'Grid_Requirement'!AM34</f>
        <v/>
      </c>
      <c r="AP862">
        <f>'Grid_Requirement'!AN34</f>
        <v/>
      </c>
      <c r="AQ862">
        <f>'Grid_Requirement'!AO34</f>
        <v/>
      </c>
      <c r="AR862">
        <f>'Grid_Requirement'!AP34</f>
        <v/>
      </c>
      <c r="AS862">
        <f>'Grid_Requirement'!AQ34</f>
        <v/>
      </c>
      <c r="AT862">
        <f>'Grid_Requirement'!AR34</f>
        <v/>
      </c>
      <c r="AU862">
        <f>'Grid_Requirement'!AS34</f>
        <v/>
      </c>
      <c r="AV862">
        <f>'Grid_Requirement'!AT34</f>
        <v/>
      </c>
      <c r="AW862">
        <f>'Grid_Requirement'!AU34</f>
        <v/>
      </c>
      <c r="AX862">
        <f>'Grid_Requirement'!AV34</f>
        <v/>
      </c>
      <c r="AY862">
        <f>'Grid_Requirement'!AW34</f>
        <v/>
      </c>
      <c r="AZ862">
        <f>'Grid_Requirement'!AX34</f>
        <v/>
      </c>
      <c r="BA862">
        <f>'Grid_Requirement'!AY34</f>
        <v/>
      </c>
      <c r="BB862">
        <f>'Grid_Requirement'!AZ34</f>
        <v/>
      </c>
      <c r="BC862">
        <f>'Grid_Requirement'!BA34</f>
        <v/>
      </c>
      <c r="BD862">
        <f>'Grid_Requirement'!BB34</f>
        <v/>
      </c>
      <c r="BE862">
        <f>'Grid_Requirement'!BC34</f>
        <v/>
      </c>
      <c r="BF862">
        <f>'Grid_Requirement'!BD34</f>
        <v/>
      </c>
      <c r="BG862">
        <f>'Grid_Requirement'!BE34</f>
        <v/>
      </c>
      <c r="BH862">
        <f>'Grid_Requirement'!BF34</f>
        <v/>
      </c>
      <c r="BI862">
        <f>'Grid_Requirement'!BG34</f>
        <v/>
      </c>
      <c r="BJ862">
        <f>'Grid_Requirement'!BH34</f>
        <v/>
      </c>
      <c r="BK862">
        <f>'Grid_Requirement'!BI34</f>
        <v/>
      </c>
      <c r="BL862">
        <f>'Grid_Requirement'!BJ34</f>
        <v/>
      </c>
      <c r="BM862">
        <f>'Grid_Requirement'!BK34</f>
        <v/>
      </c>
      <c r="BN862">
        <f>'Grid_Requirement'!BL34</f>
        <v/>
      </c>
      <c r="BO862">
        <f>'Grid_Requirement'!BM34</f>
        <v/>
      </c>
      <c r="BP862">
        <f>'Grid_Requirement'!BN34</f>
        <v/>
      </c>
      <c r="BQ862">
        <f>'Grid_Requirement'!BO34</f>
        <v/>
      </c>
      <c r="BR862">
        <f>'Grid_Requirement'!BP34</f>
        <v/>
      </c>
      <c r="BS862">
        <f>'Grid_Requirement'!BQ34</f>
        <v/>
      </c>
      <c r="BT862">
        <f>'Grid_Requirement'!BR34</f>
        <v/>
      </c>
      <c r="BU862">
        <f>'Grid_Requirement'!BS34</f>
        <v/>
      </c>
      <c r="BV862">
        <f>'Grid_Requirement'!BT34</f>
        <v/>
      </c>
      <c r="BW862">
        <f>'Grid_Requirement'!BU34</f>
        <v/>
      </c>
      <c r="BX862">
        <f>'Grid_Requirement'!BV34</f>
        <v/>
      </c>
      <c r="BY862">
        <f>'Grid_Requirement'!BW34</f>
        <v/>
      </c>
      <c r="BZ862">
        <f>'Grid_Requirement'!BX34</f>
        <v/>
      </c>
      <c r="CA862">
        <f>'Grid_Requirement'!BY34</f>
        <v/>
      </c>
      <c r="CB862">
        <f>'Grid_Requirement'!BZ34</f>
        <v/>
      </c>
      <c r="CC862">
        <f>'Grid_Requirement'!CA34</f>
        <v/>
      </c>
      <c r="CD862">
        <f>'Grid_Requirement'!CB34</f>
        <v/>
      </c>
      <c r="CE862">
        <f>'Grid_Requirement'!CC34</f>
        <v/>
      </c>
      <c r="CF862">
        <f>'Grid_Requirement'!CD34</f>
        <v/>
      </c>
      <c r="CG862">
        <f>'Grid_Requirement'!CE34</f>
        <v/>
      </c>
      <c r="CH862">
        <f>'Grid_Requirement'!CF34</f>
        <v/>
      </c>
      <c r="CI862">
        <f>'Grid_Requirement'!CG34</f>
        <v/>
      </c>
      <c r="CJ862">
        <f>'Grid_Requirement'!CH34</f>
        <v/>
      </c>
      <c r="CK862">
        <f>'Grid_Requirement'!CI34</f>
        <v/>
      </c>
      <c r="CL862">
        <f>'Grid_Requirement'!CJ34</f>
        <v/>
      </c>
      <c r="CM862">
        <f>'Grid_Requirement'!CK34</f>
        <v/>
      </c>
      <c r="CN862">
        <f>'Grid_Requirement'!CL34</f>
        <v/>
      </c>
      <c r="CO862">
        <f>'Grid_Requirement'!CM34</f>
        <v/>
      </c>
      <c r="CP862">
        <f>'Grid_Requirement'!CN34</f>
        <v/>
      </c>
      <c r="CQ862">
        <f>'Grid_Requirement'!CO34</f>
        <v/>
      </c>
      <c r="CR862">
        <f>'Grid_Requirement'!CP34</f>
        <v/>
      </c>
      <c r="CS862">
        <f>'Grid_Requirement'!CQ34</f>
        <v/>
      </c>
      <c r="CT862">
        <f>'Grid_Requirement'!CR34</f>
        <v/>
      </c>
      <c r="CU862">
        <f>'Grid_Requirement'!CS34</f>
        <v/>
      </c>
      <c r="CV862">
        <f>'Grid_Requirement'!CT34</f>
        <v/>
      </c>
      <c r="CW862">
        <f>'Grid_Requirement'!CU34</f>
        <v/>
      </c>
      <c r="CX862">
        <f>'Grid_Requirement'!CV34</f>
        <v/>
      </c>
      <c r="CY862">
        <f>'Grid_Requirement'!CW34</f>
        <v/>
      </c>
      <c r="CZ862">
        <f>'Grid_Requirement'!CX34</f>
        <v/>
      </c>
      <c r="DA862">
        <f>'Grid_Requirement'!CY34</f>
        <v/>
      </c>
      <c r="DB862">
        <f>'Grid_Requirement'!CZ34</f>
        <v/>
      </c>
      <c r="DC862">
        <f>'Grid_Requirement'!DA34</f>
        <v/>
      </c>
    </row>
    <row r="863">
      <c r="B863" t="inlineStr">
        <is>
          <t>TTAF在庫(実績,kg)</t>
        </is>
      </c>
      <c r="D863">
        <f>'T_TTAFStock'!B38</f>
        <v/>
      </c>
      <c r="E863">
        <f>'T_TTAFStock'!C38</f>
        <v/>
      </c>
      <c r="F863">
        <f>'T_TTAFStock'!D38</f>
        <v/>
      </c>
      <c r="G863">
        <f>'T_TTAFStock'!E38</f>
        <v/>
      </c>
      <c r="H863">
        <f>'T_TTAFStock'!F38</f>
        <v/>
      </c>
      <c r="I863">
        <f>'T_TTAFStock'!G38</f>
        <v/>
      </c>
      <c r="J863">
        <f>'T_TTAFStock'!H38</f>
        <v/>
      </c>
      <c r="K863">
        <f>'T_TTAFStock'!I38</f>
        <v/>
      </c>
      <c r="L863">
        <f>'T_TTAFStock'!J38</f>
        <v/>
      </c>
      <c r="M863">
        <f>'T_TTAFStock'!K38</f>
        <v/>
      </c>
      <c r="N863">
        <f>'T_TTAFStock'!L38</f>
        <v/>
      </c>
      <c r="O863">
        <f>'T_TTAFStock'!M38</f>
        <v/>
      </c>
      <c r="P863">
        <f>'T_TTAFStock'!N38</f>
        <v/>
      </c>
      <c r="Q863">
        <f>'T_TTAFStock'!O38</f>
        <v/>
      </c>
      <c r="R863">
        <f>'T_TTAFStock'!P38</f>
        <v/>
      </c>
      <c r="S863">
        <f>'T_TTAFStock'!Q38</f>
        <v/>
      </c>
      <c r="T863">
        <f>'T_TTAFStock'!R38</f>
        <v/>
      </c>
      <c r="U863">
        <f>'T_TTAFStock'!S38</f>
        <v/>
      </c>
      <c r="V863">
        <f>'T_TTAFStock'!T38</f>
        <v/>
      </c>
      <c r="W863">
        <f>'T_TTAFStock'!U38</f>
        <v/>
      </c>
      <c r="X863">
        <f>'T_TTAFStock'!V38</f>
        <v/>
      </c>
      <c r="Y863">
        <f>'T_TTAFStock'!W38</f>
        <v/>
      </c>
      <c r="Z863">
        <f>'T_TTAFStock'!X38</f>
        <v/>
      </c>
      <c r="AA863">
        <f>'T_TTAFStock'!Y38</f>
        <v/>
      </c>
      <c r="AB863">
        <f>'T_TTAFStock'!Z38</f>
        <v/>
      </c>
      <c r="AC863">
        <f>'T_TTAFStock'!AA38</f>
        <v/>
      </c>
      <c r="AD863">
        <f>'T_TTAFStock'!AB38</f>
        <v/>
      </c>
      <c r="AE863">
        <f>'T_TTAFStock'!AC38</f>
        <v/>
      </c>
      <c r="AF863">
        <f>'T_TTAFStock'!AD38</f>
        <v/>
      </c>
      <c r="AG863">
        <f>'T_TTAFStock'!AE38</f>
        <v/>
      </c>
      <c r="AH863">
        <f>'T_TTAFStock'!AF38</f>
        <v/>
      </c>
      <c r="AI863">
        <f>'T_TTAFStock'!AG38</f>
        <v/>
      </c>
      <c r="AJ863">
        <f>'T_TTAFStock'!AH38</f>
        <v/>
      </c>
      <c r="AK863">
        <f>'T_TTAFStock'!AI38</f>
        <v/>
      </c>
      <c r="AL863">
        <f>'T_TTAFStock'!AJ38</f>
        <v/>
      </c>
      <c r="AM863">
        <f>'T_TTAFStock'!AK38</f>
        <v/>
      </c>
      <c r="AN863">
        <f>'T_TTAFStock'!AL38</f>
        <v/>
      </c>
      <c r="AO863">
        <f>'T_TTAFStock'!AM38</f>
        <v/>
      </c>
      <c r="AP863">
        <f>'T_TTAFStock'!AN38</f>
        <v/>
      </c>
      <c r="AQ863">
        <f>'T_TTAFStock'!AO38</f>
        <v/>
      </c>
      <c r="AR863">
        <f>'T_TTAFStock'!AP38</f>
        <v/>
      </c>
      <c r="AS863">
        <f>'T_TTAFStock'!AQ38</f>
        <v/>
      </c>
      <c r="AT863">
        <f>'T_TTAFStock'!AR38</f>
        <v/>
      </c>
      <c r="AU863">
        <f>'T_TTAFStock'!AS38</f>
        <v/>
      </c>
      <c r="AV863">
        <f>'T_TTAFStock'!AT38</f>
        <v/>
      </c>
      <c r="AW863">
        <f>'T_TTAFStock'!AU38</f>
        <v/>
      </c>
      <c r="AX863">
        <f>'T_TTAFStock'!AV38</f>
        <v/>
      </c>
      <c r="AY863">
        <f>'T_TTAFStock'!AW38</f>
        <v/>
      </c>
      <c r="AZ863">
        <f>'T_TTAFStock'!AX38</f>
        <v/>
      </c>
      <c r="BA863">
        <f>'T_TTAFStock'!AY38</f>
        <v/>
      </c>
      <c r="BB863">
        <f>'T_TTAFStock'!AZ38</f>
        <v/>
      </c>
      <c r="BC863">
        <f>'T_TTAFStock'!BA38</f>
        <v/>
      </c>
      <c r="BD863">
        <f>'T_TTAFStock'!BB38</f>
        <v/>
      </c>
      <c r="BE863">
        <f>'T_TTAFStock'!BC38</f>
        <v/>
      </c>
      <c r="BF863">
        <f>'T_TTAFStock'!BD38</f>
        <v/>
      </c>
      <c r="BG863">
        <f>'T_TTAFStock'!BE38</f>
        <v/>
      </c>
      <c r="BH863">
        <f>'T_TTAFStock'!BF38</f>
        <v/>
      </c>
      <c r="BI863">
        <f>'T_TTAFStock'!BG38</f>
        <v/>
      </c>
      <c r="BJ863">
        <f>'T_TTAFStock'!BH38</f>
        <v/>
      </c>
      <c r="BK863">
        <f>'T_TTAFStock'!BI38</f>
        <v/>
      </c>
      <c r="BL863">
        <f>'T_TTAFStock'!BJ38</f>
        <v/>
      </c>
      <c r="BM863">
        <f>'T_TTAFStock'!BK38</f>
        <v/>
      </c>
      <c r="BN863">
        <f>'T_TTAFStock'!BL38</f>
        <v/>
      </c>
      <c r="BO863">
        <f>'T_TTAFStock'!BM38</f>
        <v/>
      </c>
      <c r="BP863">
        <f>'T_TTAFStock'!BN38</f>
        <v/>
      </c>
      <c r="BQ863">
        <f>'T_TTAFStock'!BO38</f>
        <v/>
      </c>
      <c r="BR863">
        <f>'T_TTAFStock'!BP38</f>
        <v/>
      </c>
      <c r="BS863">
        <f>'T_TTAFStock'!BQ38</f>
        <v/>
      </c>
      <c r="BT863">
        <f>'T_TTAFStock'!BR38</f>
        <v/>
      </c>
      <c r="BU863">
        <f>'T_TTAFStock'!BS38</f>
        <v/>
      </c>
      <c r="BV863">
        <f>'T_TTAFStock'!BT38</f>
        <v/>
      </c>
      <c r="BW863">
        <f>'T_TTAFStock'!BU38</f>
        <v/>
      </c>
      <c r="BX863">
        <f>'T_TTAFStock'!BV38</f>
        <v/>
      </c>
      <c r="BY863">
        <f>'T_TTAFStock'!BW38</f>
        <v/>
      </c>
      <c r="BZ863">
        <f>'T_TTAFStock'!BX38</f>
        <v/>
      </c>
      <c r="CA863">
        <f>'T_TTAFStock'!BY38</f>
        <v/>
      </c>
      <c r="CB863">
        <f>'T_TTAFStock'!BZ38</f>
        <v/>
      </c>
      <c r="CC863">
        <f>'T_TTAFStock'!CA38</f>
        <v/>
      </c>
      <c r="CD863">
        <f>'T_TTAFStock'!CB38</f>
        <v/>
      </c>
      <c r="CE863">
        <f>'T_TTAFStock'!CC38</f>
        <v/>
      </c>
      <c r="CF863">
        <f>'T_TTAFStock'!CD38</f>
        <v/>
      </c>
      <c r="CG863">
        <f>'T_TTAFStock'!CE38</f>
        <v/>
      </c>
      <c r="CH863">
        <f>'T_TTAFStock'!CF38</f>
        <v/>
      </c>
      <c r="CI863">
        <f>'T_TTAFStock'!CG38</f>
        <v/>
      </c>
      <c r="CJ863">
        <f>'T_TTAFStock'!CH38</f>
        <v/>
      </c>
      <c r="CK863">
        <f>'T_TTAFStock'!CI38</f>
        <v/>
      </c>
      <c r="CL863">
        <f>'T_TTAFStock'!CJ38</f>
        <v/>
      </c>
      <c r="CM863">
        <f>'T_TTAFStock'!CK38</f>
        <v/>
      </c>
      <c r="CN863">
        <f>'T_TTAFStock'!CL38</f>
        <v/>
      </c>
      <c r="CO863">
        <f>'T_TTAFStock'!CM38</f>
        <v/>
      </c>
      <c r="CP863">
        <f>'T_TTAFStock'!CN38</f>
        <v/>
      </c>
      <c r="CQ863">
        <f>'T_TTAFStock'!CO38</f>
        <v/>
      </c>
      <c r="CR863">
        <f>'T_TTAFStock'!CP38</f>
        <v/>
      </c>
      <c r="CS863">
        <f>'T_TTAFStock'!CQ38</f>
        <v/>
      </c>
      <c r="CT863">
        <f>'T_TTAFStock'!CR38</f>
        <v/>
      </c>
      <c r="CU863">
        <f>'T_TTAFStock'!CS38</f>
        <v/>
      </c>
      <c r="CV863">
        <f>'T_TTAFStock'!CT38</f>
        <v/>
      </c>
      <c r="CW863">
        <f>'T_TTAFStock'!CU38</f>
        <v/>
      </c>
      <c r="CX863">
        <f>'T_TTAFStock'!CV38</f>
        <v/>
      </c>
      <c r="CY863">
        <f>'T_TTAFStock'!CW38</f>
        <v/>
      </c>
      <c r="CZ863">
        <f>'T_TTAFStock'!CX38</f>
        <v/>
      </c>
      <c r="DA863">
        <f>'T_TTAFStock'!CY38</f>
        <v/>
      </c>
      <c r="DB863">
        <f>'T_TTAFStock'!CZ38</f>
        <v/>
      </c>
      <c r="DC863">
        <f>'T_TTAFStock'!DA38</f>
        <v/>
      </c>
    </row>
    <row r="864">
      <c r="B864" t="inlineStr">
        <is>
          <t>自社在庫(実績,kg)</t>
        </is>
      </c>
      <c r="D864">
        <f>'T_SelfStock'!B38</f>
        <v/>
      </c>
      <c r="E864">
        <f>'T_SelfStock'!C38</f>
        <v/>
      </c>
      <c r="F864">
        <f>'T_SelfStock'!D38</f>
        <v/>
      </c>
      <c r="G864">
        <f>'T_SelfStock'!E38</f>
        <v/>
      </c>
      <c r="H864">
        <f>'T_SelfStock'!F38</f>
        <v/>
      </c>
      <c r="I864">
        <f>'T_SelfStock'!G38</f>
        <v/>
      </c>
      <c r="J864">
        <f>'T_SelfStock'!H38</f>
        <v/>
      </c>
      <c r="K864">
        <f>'T_SelfStock'!I38</f>
        <v/>
      </c>
      <c r="L864">
        <f>'T_SelfStock'!J38</f>
        <v/>
      </c>
      <c r="M864">
        <f>'T_SelfStock'!K38</f>
        <v/>
      </c>
      <c r="N864">
        <f>'T_SelfStock'!L38</f>
        <v/>
      </c>
      <c r="O864">
        <f>'T_SelfStock'!M38</f>
        <v/>
      </c>
      <c r="P864">
        <f>'T_SelfStock'!N38</f>
        <v/>
      </c>
      <c r="Q864">
        <f>'T_SelfStock'!O38</f>
        <v/>
      </c>
      <c r="R864">
        <f>'T_SelfStock'!P38</f>
        <v/>
      </c>
      <c r="S864">
        <f>'T_SelfStock'!Q38</f>
        <v/>
      </c>
      <c r="T864">
        <f>'T_SelfStock'!R38</f>
        <v/>
      </c>
      <c r="U864">
        <f>'T_SelfStock'!S38</f>
        <v/>
      </c>
      <c r="V864">
        <f>'T_SelfStock'!T38</f>
        <v/>
      </c>
      <c r="W864">
        <f>'T_SelfStock'!U38</f>
        <v/>
      </c>
      <c r="X864">
        <f>'T_SelfStock'!V38</f>
        <v/>
      </c>
      <c r="Y864">
        <f>'T_SelfStock'!W38</f>
        <v/>
      </c>
      <c r="Z864">
        <f>'T_SelfStock'!X38</f>
        <v/>
      </c>
      <c r="AA864">
        <f>'T_SelfStock'!Y38</f>
        <v/>
      </c>
      <c r="AB864">
        <f>'T_SelfStock'!Z38</f>
        <v/>
      </c>
      <c r="AC864">
        <f>'T_SelfStock'!AA38</f>
        <v/>
      </c>
      <c r="AD864">
        <f>'T_SelfStock'!AB38</f>
        <v/>
      </c>
      <c r="AE864">
        <f>'T_SelfStock'!AC38</f>
        <v/>
      </c>
      <c r="AF864">
        <f>'T_SelfStock'!AD38</f>
        <v/>
      </c>
      <c r="AG864">
        <f>'T_SelfStock'!AE38</f>
        <v/>
      </c>
      <c r="AH864">
        <f>'T_SelfStock'!AF38</f>
        <v/>
      </c>
      <c r="AI864">
        <f>'T_SelfStock'!AG38</f>
        <v/>
      </c>
      <c r="AJ864">
        <f>'T_SelfStock'!AH38</f>
        <v/>
      </c>
      <c r="AK864">
        <f>'T_SelfStock'!AI38</f>
        <v/>
      </c>
      <c r="AL864">
        <f>'T_SelfStock'!AJ38</f>
        <v/>
      </c>
      <c r="AM864">
        <f>'T_SelfStock'!AK38</f>
        <v/>
      </c>
      <c r="AN864">
        <f>'T_SelfStock'!AL38</f>
        <v/>
      </c>
      <c r="AO864">
        <f>'T_SelfStock'!AM38</f>
        <v/>
      </c>
      <c r="AP864">
        <f>'T_SelfStock'!AN38</f>
        <v/>
      </c>
      <c r="AQ864">
        <f>'T_SelfStock'!AO38</f>
        <v/>
      </c>
      <c r="AR864">
        <f>'T_SelfStock'!AP38</f>
        <v/>
      </c>
      <c r="AS864">
        <f>'T_SelfStock'!AQ38</f>
        <v/>
      </c>
      <c r="AT864">
        <f>'T_SelfStock'!AR38</f>
        <v/>
      </c>
      <c r="AU864">
        <f>'T_SelfStock'!AS38</f>
        <v/>
      </c>
      <c r="AV864">
        <f>'T_SelfStock'!AT38</f>
        <v/>
      </c>
      <c r="AW864">
        <f>'T_SelfStock'!AU38</f>
        <v/>
      </c>
      <c r="AX864">
        <f>'T_SelfStock'!AV38</f>
        <v/>
      </c>
      <c r="AY864">
        <f>'T_SelfStock'!AW38</f>
        <v/>
      </c>
      <c r="AZ864">
        <f>'T_SelfStock'!AX38</f>
        <v/>
      </c>
      <c r="BA864">
        <f>'T_SelfStock'!AY38</f>
        <v/>
      </c>
      <c r="BB864">
        <f>'T_SelfStock'!AZ38</f>
        <v/>
      </c>
      <c r="BC864">
        <f>'T_SelfStock'!BA38</f>
        <v/>
      </c>
      <c r="BD864">
        <f>'T_SelfStock'!BB38</f>
        <v/>
      </c>
      <c r="BE864">
        <f>'T_SelfStock'!BC38</f>
        <v/>
      </c>
      <c r="BF864">
        <f>'T_SelfStock'!BD38</f>
        <v/>
      </c>
      <c r="BG864">
        <f>'T_SelfStock'!BE38</f>
        <v/>
      </c>
      <c r="BH864">
        <f>'T_SelfStock'!BF38</f>
        <v/>
      </c>
      <c r="BI864">
        <f>'T_SelfStock'!BG38</f>
        <v/>
      </c>
      <c r="BJ864">
        <f>'T_SelfStock'!BH38</f>
        <v/>
      </c>
      <c r="BK864">
        <f>'T_SelfStock'!BI38</f>
        <v/>
      </c>
      <c r="BL864">
        <f>'T_SelfStock'!BJ38</f>
        <v/>
      </c>
      <c r="BM864">
        <f>'T_SelfStock'!BK38</f>
        <v/>
      </c>
      <c r="BN864">
        <f>'T_SelfStock'!BL38</f>
        <v/>
      </c>
      <c r="BO864">
        <f>'T_SelfStock'!BM38</f>
        <v/>
      </c>
      <c r="BP864">
        <f>'T_SelfStock'!BN38</f>
        <v/>
      </c>
      <c r="BQ864">
        <f>'T_SelfStock'!BO38</f>
        <v/>
      </c>
      <c r="BR864">
        <f>'T_SelfStock'!BP38</f>
        <v/>
      </c>
      <c r="BS864">
        <f>'T_SelfStock'!BQ38</f>
        <v/>
      </c>
      <c r="BT864">
        <f>'T_SelfStock'!BR38</f>
        <v/>
      </c>
      <c r="BU864">
        <f>'T_SelfStock'!BS38</f>
        <v/>
      </c>
      <c r="BV864">
        <f>'T_SelfStock'!BT38</f>
        <v/>
      </c>
      <c r="BW864">
        <f>'T_SelfStock'!BU38</f>
        <v/>
      </c>
      <c r="BX864">
        <f>'T_SelfStock'!BV38</f>
        <v/>
      </c>
      <c r="BY864">
        <f>'T_SelfStock'!BW38</f>
        <v/>
      </c>
      <c r="BZ864">
        <f>'T_SelfStock'!BX38</f>
        <v/>
      </c>
      <c r="CA864">
        <f>'T_SelfStock'!BY38</f>
        <v/>
      </c>
      <c r="CB864">
        <f>'T_SelfStock'!BZ38</f>
        <v/>
      </c>
      <c r="CC864">
        <f>'T_SelfStock'!CA38</f>
        <v/>
      </c>
      <c r="CD864">
        <f>'T_SelfStock'!CB38</f>
        <v/>
      </c>
      <c r="CE864">
        <f>'T_SelfStock'!CC38</f>
        <v/>
      </c>
      <c r="CF864">
        <f>'T_SelfStock'!CD38</f>
        <v/>
      </c>
      <c r="CG864">
        <f>'T_SelfStock'!CE38</f>
        <v/>
      </c>
      <c r="CH864">
        <f>'T_SelfStock'!CF38</f>
        <v/>
      </c>
      <c r="CI864">
        <f>'T_SelfStock'!CG38</f>
        <v/>
      </c>
      <c r="CJ864">
        <f>'T_SelfStock'!CH38</f>
        <v/>
      </c>
      <c r="CK864">
        <f>'T_SelfStock'!CI38</f>
        <v/>
      </c>
      <c r="CL864">
        <f>'T_SelfStock'!CJ38</f>
        <v/>
      </c>
      <c r="CM864">
        <f>'T_SelfStock'!CK38</f>
        <v/>
      </c>
      <c r="CN864">
        <f>'T_SelfStock'!CL38</f>
        <v/>
      </c>
      <c r="CO864">
        <f>'T_SelfStock'!CM38</f>
        <v/>
      </c>
      <c r="CP864">
        <f>'T_SelfStock'!CN38</f>
        <v/>
      </c>
      <c r="CQ864">
        <f>'T_SelfStock'!CO38</f>
        <v/>
      </c>
      <c r="CR864">
        <f>'T_SelfStock'!CP38</f>
        <v/>
      </c>
      <c r="CS864">
        <f>'T_SelfStock'!CQ38</f>
        <v/>
      </c>
      <c r="CT864">
        <f>'T_SelfStock'!CR38</f>
        <v/>
      </c>
      <c r="CU864">
        <f>'T_SelfStock'!CS38</f>
        <v/>
      </c>
      <c r="CV864">
        <f>'T_SelfStock'!CT38</f>
        <v/>
      </c>
      <c r="CW864">
        <f>'T_SelfStock'!CU38</f>
        <v/>
      </c>
      <c r="CX864">
        <f>'T_SelfStock'!CV38</f>
        <v/>
      </c>
      <c r="CY864">
        <f>'T_SelfStock'!CW38</f>
        <v/>
      </c>
      <c r="CZ864">
        <f>'T_SelfStock'!CX38</f>
        <v/>
      </c>
      <c r="DA864">
        <f>'T_SelfStock'!CY38</f>
        <v/>
      </c>
      <c r="DB864">
        <f>'T_SelfStock'!CZ38</f>
        <v/>
      </c>
      <c r="DC864">
        <f>'T_SelfStock'!DA38</f>
        <v/>
      </c>
    </row>
    <row r="865">
      <c r="B865" t="inlineStr">
        <is>
          <t>Order(発注予定,kg)</t>
        </is>
      </c>
      <c r="D865">
        <f>IF(SUMIFS(T_PlannedOrders[EffectiveQty],T_PlannedOrders[Part Name],$A831,T_PlannedOrders[WeekIndex],1)=0,"",SUMIFS(T_PlannedOrders[EffectiveQty],T_PlannedOrders[Part Name],$A831,T_PlannedOrders[WeekIndex],1)&amp;" ("&amp;TEXT(SUMPRODUCT(MAX((T_PlannedOrders[Part Name]=$A831)*(T_PlannedOrders[WeekIndex]=1)*(T_PlannedOrders[EffectiveQty]&gt;0)*T_PlannedOrders[Order_Month])),"m月")&amp;"発注)")</f>
        <v/>
      </c>
      <c r="E865">
        <f>IF(SUMIFS(T_PlannedOrders[EffectiveQty],T_PlannedOrders[Part Name],$A831,T_PlannedOrders[WeekIndex],2)=0,"",SUMIFS(T_PlannedOrders[EffectiveQty],T_PlannedOrders[Part Name],$A831,T_PlannedOrders[WeekIndex],2)&amp;" ("&amp;TEXT(SUMPRODUCT(MAX((T_PlannedOrders[Part Name]=$A831)*(T_PlannedOrders[WeekIndex]=2)*(T_PlannedOrders[EffectiveQty]&gt;0)*T_PlannedOrders[Order_Month])),"m月")&amp;"発注)")</f>
        <v/>
      </c>
      <c r="F865">
        <f>IF(SUMIFS(T_PlannedOrders[EffectiveQty],T_PlannedOrders[Part Name],$A831,T_PlannedOrders[WeekIndex],3)=0,"",SUMIFS(T_PlannedOrders[EffectiveQty],T_PlannedOrders[Part Name],$A831,T_PlannedOrders[WeekIndex],3)&amp;" ("&amp;TEXT(SUMPRODUCT(MAX((T_PlannedOrders[Part Name]=$A831)*(T_PlannedOrders[WeekIndex]=3)*(T_PlannedOrders[EffectiveQty]&gt;0)*T_PlannedOrders[Order_Month])),"m月")&amp;"発注)")</f>
        <v/>
      </c>
      <c r="G865">
        <f>IF(SUMIFS(T_PlannedOrders[EffectiveQty],T_PlannedOrders[Part Name],$A831,T_PlannedOrders[WeekIndex],4)=0,"",SUMIFS(T_PlannedOrders[EffectiveQty],T_PlannedOrders[Part Name],$A831,T_PlannedOrders[WeekIndex],4)&amp;" ("&amp;TEXT(SUMPRODUCT(MAX((T_PlannedOrders[Part Name]=$A831)*(T_PlannedOrders[WeekIndex]=4)*(T_PlannedOrders[EffectiveQty]&gt;0)*T_PlannedOrders[Order_Month])),"m月")&amp;"発注)")</f>
        <v/>
      </c>
      <c r="H865">
        <f>IF(SUMIFS(T_PlannedOrders[EffectiveQty],T_PlannedOrders[Part Name],$A831,T_PlannedOrders[WeekIndex],5)=0,"",SUMIFS(T_PlannedOrders[EffectiveQty],T_PlannedOrders[Part Name],$A831,T_PlannedOrders[WeekIndex],5)&amp;" ("&amp;TEXT(SUMPRODUCT(MAX((T_PlannedOrders[Part Name]=$A831)*(T_PlannedOrders[WeekIndex]=5)*(T_PlannedOrders[EffectiveQty]&gt;0)*T_PlannedOrders[Order_Month])),"m月")&amp;"発注)")</f>
        <v/>
      </c>
      <c r="I865">
        <f>IF(SUMIFS(T_PlannedOrders[EffectiveQty],T_PlannedOrders[Part Name],$A831,T_PlannedOrders[WeekIndex],6)=0,"",SUMIFS(T_PlannedOrders[EffectiveQty],T_PlannedOrders[Part Name],$A831,T_PlannedOrders[WeekIndex],6)&amp;" ("&amp;TEXT(SUMPRODUCT(MAX((T_PlannedOrders[Part Name]=$A831)*(T_PlannedOrders[WeekIndex]=6)*(T_PlannedOrders[EffectiveQty]&gt;0)*T_PlannedOrders[Order_Month])),"m月")&amp;"発注)")</f>
        <v/>
      </c>
      <c r="J865">
        <f>IF(SUMIFS(T_PlannedOrders[EffectiveQty],T_PlannedOrders[Part Name],$A831,T_PlannedOrders[WeekIndex],7)=0,"",SUMIFS(T_PlannedOrders[EffectiveQty],T_PlannedOrders[Part Name],$A831,T_PlannedOrders[WeekIndex],7)&amp;" ("&amp;TEXT(SUMPRODUCT(MAX((T_PlannedOrders[Part Name]=$A831)*(T_PlannedOrders[WeekIndex]=7)*(T_PlannedOrders[EffectiveQty]&gt;0)*T_PlannedOrders[Order_Month])),"m月")&amp;"発注)")</f>
        <v/>
      </c>
      <c r="K865">
        <f>IF(SUMIFS(T_PlannedOrders[EffectiveQty],T_PlannedOrders[Part Name],$A831,T_PlannedOrders[WeekIndex],8)=0,"",SUMIFS(T_PlannedOrders[EffectiveQty],T_PlannedOrders[Part Name],$A831,T_PlannedOrders[WeekIndex],8)&amp;" ("&amp;TEXT(SUMPRODUCT(MAX((T_PlannedOrders[Part Name]=$A831)*(T_PlannedOrders[WeekIndex]=8)*(T_PlannedOrders[EffectiveQty]&gt;0)*T_PlannedOrders[Order_Month])),"m月")&amp;"発注)")</f>
        <v/>
      </c>
      <c r="L865">
        <f>IF(SUMIFS(T_PlannedOrders[EffectiveQty],T_PlannedOrders[Part Name],$A831,T_PlannedOrders[WeekIndex],9)=0,"",SUMIFS(T_PlannedOrders[EffectiveQty],T_PlannedOrders[Part Name],$A831,T_PlannedOrders[WeekIndex],9)&amp;" ("&amp;TEXT(SUMPRODUCT(MAX((T_PlannedOrders[Part Name]=$A831)*(T_PlannedOrders[WeekIndex]=9)*(T_PlannedOrders[EffectiveQty]&gt;0)*T_PlannedOrders[Order_Month])),"m月")&amp;"発注)")</f>
        <v/>
      </c>
      <c r="M865">
        <f>IF(SUMIFS(T_PlannedOrders[EffectiveQty],T_PlannedOrders[Part Name],$A831,T_PlannedOrders[WeekIndex],10)=0,"",SUMIFS(T_PlannedOrders[EffectiveQty],T_PlannedOrders[Part Name],$A831,T_PlannedOrders[WeekIndex],10)&amp;" ("&amp;TEXT(SUMPRODUCT(MAX((T_PlannedOrders[Part Name]=$A831)*(T_PlannedOrders[WeekIndex]=10)*(T_PlannedOrders[EffectiveQty]&gt;0)*T_PlannedOrders[Order_Month])),"m月")&amp;"発注)")</f>
        <v/>
      </c>
      <c r="N865">
        <f>IF(SUMIFS(T_PlannedOrders[EffectiveQty],T_PlannedOrders[Part Name],$A831,T_PlannedOrders[WeekIndex],11)=0,"",SUMIFS(T_PlannedOrders[EffectiveQty],T_PlannedOrders[Part Name],$A831,T_PlannedOrders[WeekIndex],11)&amp;" ("&amp;TEXT(SUMPRODUCT(MAX((T_PlannedOrders[Part Name]=$A831)*(T_PlannedOrders[WeekIndex]=11)*(T_PlannedOrders[EffectiveQty]&gt;0)*T_PlannedOrders[Order_Month])),"m月")&amp;"発注)")</f>
        <v/>
      </c>
      <c r="O865">
        <f>IF(SUMIFS(T_PlannedOrders[EffectiveQty],T_PlannedOrders[Part Name],$A831,T_PlannedOrders[WeekIndex],12)=0,"",SUMIFS(T_PlannedOrders[EffectiveQty],T_PlannedOrders[Part Name],$A831,T_PlannedOrders[WeekIndex],12)&amp;" ("&amp;TEXT(SUMPRODUCT(MAX((T_PlannedOrders[Part Name]=$A831)*(T_PlannedOrders[WeekIndex]=12)*(T_PlannedOrders[EffectiveQty]&gt;0)*T_PlannedOrders[Order_Month])),"m月")&amp;"発注)")</f>
        <v/>
      </c>
      <c r="P865">
        <f>IF(SUMIFS(T_PlannedOrders[EffectiveQty],T_PlannedOrders[Part Name],$A831,T_PlannedOrders[WeekIndex],13)=0,"",SUMIFS(T_PlannedOrders[EffectiveQty],T_PlannedOrders[Part Name],$A831,T_PlannedOrders[WeekIndex],13)&amp;" ("&amp;TEXT(SUMPRODUCT(MAX((T_PlannedOrders[Part Name]=$A831)*(T_PlannedOrders[WeekIndex]=13)*(T_PlannedOrders[EffectiveQty]&gt;0)*T_PlannedOrders[Order_Month])),"m月")&amp;"発注)")</f>
        <v/>
      </c>
      <c r="Q865">
        <f>IF(SUMIFS(T_PlannedOrders[EffectiveQty],T_PlannedOrders[Part Name],$A831,T_PlannedOrders[WeekIndex],14)=0,"",SUMIFS(T_PlannedOrders[EffectiveQty],T_PlannedOrders[Part Name],$A831,T_PlannedOrders[WeekIndex],14)&amp;" ("&amp;TEXT(SUMPRODUCT(MAX((T_PlannedOrders[Part Name]=$A831)*(T_PlannedOrders[WeekIndex]=14)*(T_PlannedOrders[EffectiveQty]&gt;0)*T_PlannedOrders[Order_Month])),"m月")&amp;"発注)")</f>
        <v/>
      </c>
      <c r="R865">
        <f>IF(SUMIFS(T_PlannedOrders[EffectiveQty],T_PlannedOrders[Part Name],$A831,T_PlannedOrders[WeekIndex],15)=0,"",SUMIFS(T_PlannedOrders[EffectiveQty],T_PlannedOrders[Part Name],$A831,T_PlannedOrders[WeekIndex],15)&amp;" ("&amp;TEXT(SUMPRODUCT(MAX((T_PlannedOrders[Part Name]=$A831)*(T_PlannedOrders[WeekIndex]=15)*(T_PlannedOrders[EffectiveQty]&gt;0)*T_PlannedOrders[Order_Month])),"m月")&amp;"発注)")</f>
        <v/>
      </c>
      <c r="S865">
        <f>IF(SUMIFS(T_PlannedOrders[EffectiveQty],T_PlannedOrders[Part Name],$A831,T_PlannedOrders[WeekIndex],16)=0,"",SUMIFS(T_PlannedOrders[EffectiveQty],T_PlannedOrders[Part Name],$A831,T_PlannedOrders[WeekIndex],16)&amp;" ("&amp;TEXT(SUMPRODUCT(MAX((T_PlannedOrders[Part Name]=$A831)*(T_PlannedOrders[WeekIndex]=16)*(T_PlannedOrders[EffectiveQty]&gt;0)*T_PlannedOrders[Order_Month])),"m月")&amp;"発注)")</f>
        <v/>
      </c>
      <c r="T865">
        <f>IF(SUMIFS(T_PlannedOrders[EffectiveQty],T_PlannedOrders[Part Name],$A831,T_PlannedOrders[WeekIndex],17)=0,"",SUMIFS(T_PlannedOrders[EffectiveQty],T_PlannedOrders[Part Name],$A831,T_PlannedOrders[WeekIndex],17)&amp;" ("&amp;TEXT(SUMPRODUCT(MAX((T_PlannedOrders[Part Name]=$A831)*(T_PlannedOrders[WeekIndex]=17)*(T_PlannedOrders[EffectiveQty]&gt;0)*T_PlannedOrders[Order_Month])),"m月")&amp;"発注)")</f>
        <v/>
      </c>
      <c r="U865">
        <f>IF(SUMIFS(T_PlannedOrders[EffectiveQty],T_PlannedOrders[Part Name],$A831,T_PlannedOrders[WeekIndex],18)=0,"",SUMIFS(T_PlannedOrders[EffectiveQty],T_PlannedOrders[Part Name],$A831,T_PlannedOrders[WeekIndex],18)&amp;" ("&amp;TEXT(SUMPRODUCT(MAX((T_PlannedOrders[Part Name]=$A831)*(T_PlannedOrders[WeekIndex]=18)*(T_PlannedOrders[EffectiveQty]&gt;0)*T_PlannedOrders[Order_Month])),"m月")&amp;"発注)")</f>
        <v/>
      </c>
      <c r="V865">
        <f>IF(SUMIFS(T_PlannedOrders[EffectiveQty],T_PlannedOrders[Part Name],$A831,T_PlannedOrders[WeekIndex],19)=0,"",SUMIFS(T_PlannedOrders[EffectiveQty],T_PlannedOrders[Part Name],$A831,T_PlannedOrders[WeekIndex],19)&amp;" ("&amp;TEXT(SUMPRODUCT(MAX((T_PlannedOrders[Part Name]=$A831)*(T_PlannedOrders[WeekIndex]=19)*(T_PlannedOrders[EffectiveQty]&gt;0)*T_PlannedOrders[Order_Month])),"m月")&amp;"発注)")</f>
        <v/>
      </c>
      <c r="W865">
        <f>IF(SUMIFS(T_PlannedOrders[EffectiveQty],T_PlannedOrders[Part Name],$A831,T_PlannedOrders[WeekIndex],20)=0,"",SUMIFS(T_PlannedOrders[EffectiveQty],T_PlannedOrders[Part Name],$A831,T_PlannedOrders[WeekIndex],20)&amp;" ("&amp;TEXT(SUMPRODUCT(MAX((T_PlannedOrders[Part Name]=$A831)*(T_PlannedOrders[WeekIndex]=20)*(T_PlannedOrders[EffectiveQty]&gt;0)*T_PlannedOrders[Order_Month])),"m月")&amp;"発注)")</f>
        <v/>
      </c>
      <c r="X865">
        <f>IF(SUMIFS(T_PlannedOrders[EffectiveQty],T_PlannedOrders[Part Name],$A831,T_PlannedOrders[WeekIndex],21)=0,"",SUMIFS(T_PlannedOrders[EffectiveQty],T_PlannedOrders[Part Name],$A831,T_PlannedOrders[WeekIndex],21)&amp;" ("&amp;TEXT(SUMPRODUCT(MAX((T_PlannedOrders[Part Name]=$A831)*(T_PlannedOrders[WeekIndex]=21)*(T_PlannedOrders[EffectiveQty]&gt;0)*T_PlannedOrders[Order_Month])),"m月")&amp;"発注)")</f>
        <v/>
      </c>
      <c r="Y865">
        <f>IF(SUMIFS(T_PlannedOrders[EffectiveQty],T_PlannedOrders[Part Name],$A831,T_PlannedOrders[WeekIndex],22)=0,"",SUMIFS(T_PlannedOrders[EffectiveQty],T_PlannedOrders[Part Name],$A831,T_PlannedOrders[WeekIndex],22)&amp;" ("&amp;TEXT(SUMPRODUCT(MAX((T_PlannedOrders[Part Name]=$A831)*(T_PlannedOrders[WeekIndex]=22)*(T_PlannedOrders[EffectiveQty]&gt;0)*T_PlannedOrders[Order_Month])),"m月")&amp;"発注)")</f>
        <v/>
      </c>
      <c r="Z865">
        <f>IF(SUMIFS(T_PlannedOrders[EffectiveQty],T_PlannedOrders[Part Name],$A831,T_PlannedOrders[WeekIndex],23)=0,"",SUMIFS(T_PlannedOrders[EffectiveQty],T_PlannedOrders[Part Name],$A831,T_PlannedOrders[WeekIndex],23)&amp;" ("&amp;TEXT(SUMPRODUCT(MAX((T_PlannedOrders[Part Name]=$A831)*(T_PlannedOrders[WeekIndex]=23)*(T_PlannedOrders[EffectiveQty]&gt;0)*T_PlannedOrders[Order_Month])),"m月")&amp;"発注)")</f>
        <v/>
      </c>
      <c r="AA865">
        <f>IF(SUMIFS(T_PlannedOrders[EffectiveQty],T_PlannedOrders[Part Name],$A831,T_PlannedOrders[WeekIndex],24)=0,"",SUMIFS(T_PlannedOrders[EffectiveQty],T_PlannedOrders[Part Name],$A831,T_PlannedOrders[WeekIndex],24)&amp;" ("&amp;TEXT(SUMPRODUCT(MAX((T_PlannedOrders[Part Name]=$A831)*(T_PlannedOrders[WeekIndex]=24)*(T_PlannedOrders[EffectiveQty]&gt;0)*T_PlannedOrders[Order_Month])),"m月")&amp;"発注)")</f>
        <v/>
      </c>
      <c r="AB865">
        <f>IF(SUMIFS(T_PlannedOrders[EffectiveQty],T_PlannedOrders[Part Name],$A831,T_PlannedOrders[WeekIndex],25)=0,"",SUMIFS(T_PlannedOrders[EffectiveQty],T_PlannedOrders[Part Name],$A831,T_PlannedOrders[WeekIndex],25)&amp;" ("&amp;TEXT(SUMPRODUCT(MAX((T_PlannedOrders[Part Name]=$A831)*(T_PlannedOrders[WeekIndex]=25)*(T_PlannedOrders[EffectiveQty]&gt;0)*T_PlannedOrders[Order_Month])),"m月")&amp;"発注)")</f>
        <v/>
      </c>
      <c r="AC865">
        <f>IF(SUMIFS(T_PlannedOrders[EffectiveQty],T_PlannedOrders[Part Name],$A831,T_PlannedOrders[WeekIndex],26)=0,"",SUMIFS(T_PlannedOrders[EffectiveQty],T_PlannedOrders[Part Name],$A831,T_PlannedOrders[WeekIndex],26)&amp;" ("&amp;TEXT(SUMPRODUCT(MAX((T_PlannedOrders[Part Name]=$A831)*(T_PlannedOrders[WeekIndex]=26)*(T_PlannedOrders[EffectiveQty]&gt;0)*T_PlannedOrders[Order_Month])),"m月")&amp;"発注)")</f>
        <v/>
      </c>
      <c r="AD865">
        <f>IF(SUMIFS(T_PlannedOrders[EffectiveQty],T_PlannedOrders[Part Name],$A831,T_PlannedOrders[WeekIndex],27)=0,"",SUMIFS(T_PlannedOrders[EffectiveQty],T_PlannedOrders[Part Name],$A831,T_PlannedOrders[WeekIndex],27)&amp;" ("&amp;TEXT(SUMPRODUCT(MAX((T_PlannedOrders[Part Name]=$A831)*(T_PlannedOrders[WeekIndex]=27)*(T_PlannedOrders[EffectiveQty]&gt;0)*T_PlannedOrders[Order_Month])),"m月")&amp;"発注)")</f>
        <v/>
      </c>
      <c r="AE865">
        <f>IF(SUMIFS(T_PlannedOrders[EffectiveQty],T_PlannedOrders[Part Name],$A831,T_PlannedOrders[WeekIndex],28)=0,"",SUMIFS(T_PlannedOrders[EffectiveQty],T_PlannedOrders[Part Name],$A831,T_PlannedOrders[WeekIndex],28)&amp;" ("&amp;TEXT(SUMPRODUCT(MAX((T_PlannedOrders[Part Name]=$A831)*(T_PlannedOrders[WeekIndex]=28)*(T_PlannedOrders[EffectiveQty]&gt;0)*T_PlannedOrders[Order_Month])),"m月")&amp;"発注)")</f>
        <v/>
      </c>
      <c r="AF865">
        <f>IF(SUMIFS(T_PlannedOrders[EffectiveQty],T_PlannedOrders[Part Name],$A831,T_PlannedOrders[WeekIndex],29)=0,"",SUMIFS(T_PlannedOrders[EffectiveQty],T_PlannedOrders[Part Name],$A831,T_PlannedOrders[WeekIndex],29)&amp;" ("&amp;TEXT(SUMPRODUCT(MAX((T_PlannedOrders[Part Name]=$A831)*(T_PlannedOrders[WeekIndex]=29)*(T_PlannedOrders[EffectiveQty]&gt;0)*T_PlannedOrders[Order_Month])),"m月")&amp;"発注)")</f>
        <v/>
      </c>
      <c r="AG865">
        <f>IF(SUMIFS(T_PlannedOrders[EffectiveQty],T_PlannedOrders[Part Name],$A831,T_PlannedOrders[WeekIndex],30)=0,"",SUMIFS(T_PlannedOrders[EffectiveQty],T_PlannedOrders[Part Name],$A831,T_PlannedOrders[WeekIndex],30)&amp;" ("&amp;TEXT(SUMPRODUCT(MAX((T_PlannedOrders[Part Name]=$A831)*(T_PlannedOrders[WeekIndex]=30)*(T_PlannedOrders[EffectiveQty]&gt;0)*T_PlannedOrders[Order_Month])),"m月")&amp;"発注)")</f>
        <v/>
      </c>
      <c r="AH865">
        <f>IF(SUMIFS(T_PlannedOrders[EffectiveQty],T_PlannedOrders[Part Name],$A831,T_PlannedOrders[WeekIndex],31)=0,"",SUMIFS(T_PlannedOrders[EffectiveQty],T_PlannedOrders[Part Name],$A831,T_PlannedOrders[WeekIndex],31)&amp;" ("&amp;TEXT(SUMPRODUCT(MAX((T_PlannedOrders[Part Name]=$A831)*(T_PlannedOrders[WeekIndex]=31)*(T_PlannedOrders[EffectiveQty]&gt;0)*T_PlannedOrders[Order_Month])),"m月")&amp;"発注)")</f>
        <v/>
      </c>
      <c r="AI865">
        <f>IF(SUMIFS(T_PlannedOrders[EffectiveQty],T_PlannedOrders[Part Name],$A831,T_PlannedOrders[WeekIndex],32)=0,"",SUMIFS(T_PlannedOrders[EffectiveQty],T_PlannedOrders[Part Name],$A831,T_PlannedOrders[WeekIndex],32)&amp;" ("&amp;TEXT(SUMPRODUCT(MAX((T_PlannedOrders[Part Name]=$A831)*(T_PlannedOrders[WeekIndex]=32)*(T_PlannedOrders[EffectiveQty]&gt;0)*T_PlannedOrders[Order_Month])),"m月")&amp;"発注)")</f>
        <v/>
      </c>
      <c r="AJ865">
        <f>IF(SUMIFS(T_PlannedOrders[EffectiveQty],T_PlannedOrders[Part Name],$A831,T_PlannedOrders[WeekIndex],33)=0,"",SUMIFS(T_PlannedOrders[EffectiveQty],T_PlannedOrders[Part Name],$A831,T_PlannedOrders[WeekIndex],33)&amp;" ("&amp;TEXT(SUMPRODUCT(MAX((T_PlannedOrders[Part Name]=$A831)*(T_PlannedOrders[WeekIndex]=33)*(T_PlannedOrders[EffectiveQty]&gt;0)*T_PlannedOrders[Order_Month])),"m月")&amp;"発注)")</f>
        <v/>
      </c>
      <c r="AK865">
        <f>IF(SUMIFS(T_PlannedOrders[EffectiveQty],T_PlannedOrders[Part Name],$A831,T_PlannedOrders[WeekIndex],34)=0,"",SUMIFS(T_PlannedOrders[EffectiveQty],T_PlannedOrders[Part Name],$A831,T_PlannedOrders[WeekIndex],34)&amp;" ("&amp;TEXT(SUMPRODUCT(MAX((T_PlannedOrders[Part Name]=$A831)*(T_PlannedOrders[WeekIndex]=34)*(T_PlannedOrders[EffectiveQty]&gt;0)*T_PlannedOrders[Order_Month])),"m月")&amp;"発注)")</f>
        <v/>
      </c>
      <c r="AL865">
        <f>IF(SUMIFS(T_PlannedOrders[EffectiveQty],T_PlannedOrders[Part Name],$A831,T_PlannedOrders[WeekIndex],35)=0,"",SUMIFS(T_PlannedOrders[EffectiveQty],T_PlannedOrders[Part Name],$A831,T_PlannedOrders[WeekIndex],35)&amp;" ("&amp;TEXT(SUMPRODUCT(MAX((T_PlannedOrders[Part Name]=$A831)*(T_PlannedOrders[WeekIndex]=35)*(T_PlannedOrders[EffectiveQty]&gt;0)*T_PlannedOrders[Order_Month])),"m月")&amp;"発注)")</f>
        <v/>
      </c>
      <c r="AM865">
        <f>IF(SUMIFS(T_PlannedOrders[EffectiveQty],T_PlannedOrders[Part Name],$A831,T_PlannedOrders[WeekIndex],36)=0,"",SUMIFS(T_PlannedOrders[EffectiveQty],T_PlannedOrders[Part Name],$A831,T_PlannedOrders[WeekIndex],36)&amp;" ("&amp;TEXT(SUMPRODUCT(MAX((T_PlannedOrders[Part Name]=$A831)*(T_PlannedOrders[WeekIndex]=36)*(T_PlannedOrders[EffectiveQty]&gt;0)*T_PlannedOrders[Order_Month])),"m月")&amp;"発注)")</f>
        <v/>
      </c>
      <c r="AN865">
        <f>IF(SUMIFS(T_PlannedOrders[EffectiveQty],T_PlannedOrders[Part Name],$A831,T_PlannedOrders[WeekIndex],37)=0,"",SUMIFS(T_PlannedOrders[EffectiveQty],T_PlannedOrders[Part Name],$A831,T_PlannedOrders[WeekIndex],37)&amp;" ("&amp;TEXT(SUMPRODUCT(MAX((T_PlannedOrders[Part Name]=$A831)*(T_PlannedOrders[WeekIndex]=37)*(T_PlannedOrders[EffectiveQty]&gt;0)*T_PlannedOrders[Order_Month])),"m月")&amp;"発注)")</f>
        <v/>
      </c>
      <c r="AO865">
        <f>IF(SUMIFS(T_PlannedOrders[EffectiveQty],T_PlannedOrders[Part Name],$A831,T_PlannedOrders[WeekIndex],38)=0,"",SUMIFS(T_PlannedOrders[EffectiveQty],T_PlannedOrders[Part Name],$A831,T_PlannedOrders[WeekIndex],38)&amp;" ("&amp;TEXT(SUMPRODUCT(MAX((T_PlannedOrders[Part Name]=$A831)*(T_PlannedOrders[WeekIndex]=38)*(T_PlannedOrders[EffectiveQty]&gt;0)*T_PlannedOrders[Order_Month])),"m月")&amp;"発注)")</f>
        <v/>
      </c>
      <c r="AP865">
        <f>IF(SUMIFS(T_PlannedOrders[EffectiveQty],T_PlannedOrders[Part Name],$A831,T_PlannedOrders[WeekIndex],39)=0,"",SUMIFS(T_PlannedOrders[EffectiveQty],T_PlannedOrders[Part Name],$A831,T_PlannedOrders[WeekIndex],39)&amp;" ("&amp;TEXT(SUMPRODUCT(MAX((T_PlannedOrders[Part Name]=$A831)*(T_PlannedOrders[WeekIndex]=39)*(T_PlannedOrders[EffectiveQty]&gt;0)*T_PlannedOrders[Order_Month])),"m月")&amp;"発注)")</f>
        <v/>
      </c>
      <c r="AQ865">
        <f>IF(SUMIFS(T_PlannedOrders[EffectiveQty],T_PlannedOrders[Part Name],$A831,T_PlannedOrders[WeekIndex],40)=0,"",SUMIFS(T_PlannedOrders[EffectiveQty],T_PlannedOrders[Part Name],$A831,T_PlannedOrders[WeekIndex],40)&amp;" ("&amp;TEXT(SUMPRODUCT(MAX((T_PlannedOrders[Part Name]=$A831)*(T_PlannedOrders[WeekIndex]=40)*(T_PlannedOrders[EffectiveQty]&gt;0)*T_PlannedOrders[Order_Month])),"m月")&amp;"発注)")</f>
        <v/>
      </c>
      <c r="AR865">
        <f>IF(SUMIFS(T_PlannedOrders[EffectiveQty],T_PlannedOrders[Part Name],$A831,T_PlannedOrders[WeekIndex],41)=0,"",SUMIFS(T_PlannedOrders[EffectiveQty],T_PlannedOrders[Part Name],$A831,T_PlannedOrders[WeekIndex],41)&amp;" ("&amp;TEXT(SUMPRODUCT(MAX((T_PlannedOrders[Part Name]=$A831)*(T_PlannedOrders[WeekIndex]=41)*(T_PlannedOrders[EffectiveQty]&gt;0)*T_PlannedOrders[Order_Month])),"m月")&amp;"発注)")</f>
        <v/>
      </c>
      <c r="AS865">
        <f>IF(SUMIFS(T_PlannedOrders[EffectiveQty],T_PlannedOrders[Part Name],$A831,T_PlannedOrders[WeekIndex],42)=0,"",SUMIFS(T_PlannedOrders[EffectiveQty],T_PlannedOrders[Part Name],$A831,T_PlannedOrders[WeekIndex],42)&amp;" ("&amp;TEXT(SUMPRODUCT(MAX((T_PlannedOrders[Part Name]=$A831)*(T_PlannedOrders[WeekIndex]=42)*(T_PlannedOrders[EffectiveQty]&gt;0)*T_PlannedOrders[Order_Month])),"m月")&amp;"発注)")</f>
        <v/>
      </c>
      <c r="AT865">
        <f>IF(SUMIFS(T_PlannedOrders[EffectiveQty],T_PlannedOrders[Part Name],$A831,T_PlannedOrders[WeekIndex],43)=0,"",SUMIFS(T_PlannedOrders[EffectiveQty],T_PlannedOrders[Part Name],$A831,T_PlannedOrders[WeekIndex],43)&amp;" ("&amp;TEXT(SUMPRODUCT(MAX((T_PlannedOrders[Part Name]=$A831)*(T_PlannedOrders[WeekIndex]=43)*(T_PlannedOrders[EffectiveQty]&gt;0)*T_PlannedOrders[Order_Month])),"m月")&amp;"発注)")</f>
        <v/>
      </c>
      <c r="AU865">
        <f>IF(SUMIFS(T_PlannedOrders[EffectiveQty],T_PlannedOrders[Part Name],$A831,T_PlannedOrders[WeekIndex],44)=0,"",SUMIFS(T_PlannedOrders[EffectiveQty],T_PlannedOrders[Part Name],$A831,T_PlannedOrders[WeekIndex],44)&amp;" ("&amp;TEXT(SUMPRODUCT(MAX((T_PlannedOrders[Part Name]=$A831)*(T_PlannedOrders[WeekIndex]=44)*(T_PlannedOrders[EffectiveQty]&gt;0)*T_PlannedOrders[Order_Month])),"m月")&amp;"発注)")</f>
        <v/>
      </c>
      <c r="AV865">
        <f>IF(SUMIFS(T_PlannedOrders[EffectiveQty],T_PlannedOrders[Part Name],$A831,T_PlannedOrders[WeekIndex],45)=0,"",SUMIFS(T_PlannedOrders[EffectiveQty],T_PlannedOrders[Part Name],$A831,T_PlannedOrders[WeekIndex],45)&amp;" ("&amp;TEXT(SUMPRODUCT(MAX((T_PlannedOrders[Part Name]=$A831)*(T_PlannedOrders[WeekIndex]=45)*(T_PlannedOrders[EffectiveQty]&gt;0)*T_PlannedOrders[Order_Month])),"m月")&amp;"発注)")</f>
        <v/>
      </c>
      <c r="AW865">
        <f>IF(SUMIFS(T_PlannedOrders[EffectiveQty],T_PlannedOrders[Part Name],$A831,T_PlannedOrders[WeekIndex],46)=0,"",SUMIFS(T_PlannedOrders[EffectiveQty],T_PlannedOrders[Part Name],$A831,T_PlannedOrders[WeekIndex],46)&amp;" ("&amp;TEXT(SUMPRODUCT(MAX((T_PlannedOrders[Part Name]=$A831)*(T_PlannedOrders[WeekIndex]=46)*(T_PlannedOrders[EffectiveQty]&gt;0)*T_PlannedOrders[Order_Month])),"m月")&amp;"発注)")</f>
        <v/>
      </c>
      <c r="AX865">
        <f>IF(SUMIFS(T_PlannedOrders[EffectiveQty],T_PlannedOrders[Part Name],$A831,T_PlannedOrders[WeekIndex],47)=0,"",SUMIFS(T_PlannedOrders[EffectiveQty],T_PlannedOrders[Part Name],$A831,T_PlannedOrders[WeekIndex],47)&amp;" ("&amp;TEXT(SUMPRODUCT(MAX((T_PlannedOrders[Part Name]=$A831)*(T_PlannedOrders[WeekIndex]=47)*(T_PlannedOrders[EffectiveQty]&gt;0)*T_PlannedOrders[Order_Month])),"m月")&amp;"発注)")</f>
        <v/>
      </c>
      <c r="AY865">
        <f>IF(SUMIFS(T_PlannedOrders[EffectiveQty],T_PlannedOrders[Part Name],$A831,T_PlannedOrders[WeekIndex],48)=0,"",SUMIFS(T_PlannedOrders[EffectiveQty],T_PlannedOrders[Part Name],$A831,T_PlannedOrders[WeekIndex],48)&amp;" ("&amp;TEXT(SUMPRODUCT(MAX((T_PlannedOrders[Part Name]=$A831)*(T_PlannedOrders[WeekIndex]=48)*(T_PlannedOrders[EffectiveQty]&gt;0)*T_PlannedOrders[Order_Month])),"m月")&amp;"発注)")</f>
        <v/>
      </c>
      <c r="AZ865">
        <f>IF(SUMIFS(T_PlannedOrders[EffectiveQty],T_PlannedOrders[Part Name],$A831,T_PlannedOrders[WeekIndex],49)=0,"",SUMIFS(T_PlannedOrders[EffectiveQty],T_PlannedOrders[Part Name],$A831,T_PlannedOrders[WeekIndex],49)&amp;" ("&amp;TEXT(SUMPRODUCT(MAX((T_PlannedOrders[Part Name]=$A831)*(T_PlannedOrders[WeekIndex]=49)*(T_PlannedOrders[EffectiveQty]&gt;0)*T_PlannedOrders[Order_Month])),"m月")&amp;"発注)")</f>
        <v/>
      </c>
      <c r="BA865">
        <f>IF(SUMIFS(T_PlannedOrders[EffectiveQty],T_PlannedOrders[Part Name],$A831,T_PlannedOrders[WeekIndex],50)=0,"",SUMIFS(T_PlannedOrders[EffectiveQty],T_PlannedOrders[Part Name],$A831,T_PlannedOrders[WeekIndex],50)&amp;" ("&amp;TEXT(SUMPRODUCT(MAX((T_PlannedOrders[Part Name]=$A831)*(T_PlannedOrders[WeekIndex]=50)*(T_PlannedOrders[EffectiveQty]&gt;0)*T_PlannedOrders[Order_Month])),"m月")&amp;"発注)")</f>
        <v/>
      </c>
      <c r="BB865">
        <f>IF(SUMIFS(T_PlannedOrders[EffectiveQty],T_PlannedOrders[Part Name],$A831,T_PlannedOrders[WeekIndex],51)=0,"",SUMIFS(T_PlannedOrders[EffectiveQty],T_PlannedOrders[Part Name],$A831,T_PlannedOrders[WeekIndex],51)&amp;" ("&amp;TEXT(SUMPRODUCT(MAX((T_PlannedOrders[Part Name]=$A831)*(T_PlannedOrders[WeekIndex]=51)*(T_PlannedOrders[EffectiveQty]&gt;0)*T_PlannedOrders[Order_Month])),"m月")&amp;"発注)")</f>
        <v/>
      </c>
      <c r="BC865">
        <f>IF(SUMIFS(T_PlannedOrders[EffectiveQty],T_PlannedOrders[Part Name],$A831,T_PlannedOrders[WeekIndex],52)=0,"",SUMIFS(T_PlannedOrders[EffectiveQty],T_PlannedOrders[Part Name],$A831,T_PlannedOrders[WeekIndex],52)&amp;" ("&amp;TEXT(SUMPRODUCT(MAX((T_PlannedOrders[Part Name]=$A831)*(T_PlannedOrders[WeekIndex]=52)*(T_PlannedOrders[EffectiveQty]&gt;0)*T_PlannedOrders[Order_Month])),"m月")&amp;"発注)")</f>
        <v/>
      </c>
      <c r="BD865">
        <f>IF(SUMIFS(T_PlannedOrders[EffectiveQty],T_PlannedOrders[Part Name],$A831,T_PlannedOrders[WeekIndex],53)=0,"",SUMIFS(T_PlannedOrders[EffectiveQty],T_PlannedOrders[Part Name],$A831,T_PlannedOrders[WeekIndex],53)&amp;" ("&amp;TEXT(SUMPRODUCT(MAX((T_PlannedOrders[Part Name]=$A831)*(T_PlannedOrders[WeekIndex]=53)*(T_PlannedOrders[EffectiveQty]&gt;0)*T_PlannedOrders[Order_Month])),"m月")&amp;"発注)")</f>
        <v/>
      </c>
      <c r="BE865">
        <f>IF(SUMIFS(T_PlannedOrders[EffectiveQty],T_PlannedOrders[Part Name],$A831,T_PlannedOrders[WeekIndex],54)=0,"",SUMIFS(T_PlannedOrders[EffectiveQty],T_PlannedOrders[Part Name],$A831,T_PlannedOrders[WeekIndex],54)&amp;" ("&amp;TEXT(SUMPRODUCT(MAX((T_PlannedOrders[Part Name]=$A831)*(T_PlannedOrders[WeekIndex]=54)*(T_PlannedOrders[EffectiveQty]&gt;0)*T_PlannedOrders[Order_Month])),"m月")&amp;"発注)")</f>
        <v/>
      </c>
      <c r="BF865">
        <f>IF(SUMIFS(T_PlannedOrders[EffectiveQty],T_PlannedOrders[Part Name],$A831,T_PlannedOrders[WeekIndex],55)=0,"",SUMIFS(T_PlannedOrders[EffectiveQty],T_PlannedOrders[Part Name],$A831,T_PlannedOrders[WeekIndex],55)&amp;" ("&amp;TEXT(SUMPRODUCT(MAX((T_PlannedOrders[Part Name]=$A831)*(T_PlannedOrders[WeekIndex]=55)*(T_PlannedOrders[EffectiveQty]&gt;0)*T_PlannedOrders[Order_Month])),"m月")&amp;"発注)")</f>
        <v/>
      </c>
      <c r="BG865">
        <f>IF(SUMIFS(T_PlannedOrders[EffectiveQty],T_PlannedOrders[Part Name],$A831,T_PlannedOrders[WeekIndex],56)=0,"",SUMIFS(T_PlannedOrders[EffectiveQty],T_PlannedOrders[Part Name],$A831,T_PlannedOrders[WeekIndex],56)&amp;" ("&amp;TEXT(SUMPRODUCT(MAX((T_PlannedOrders[Part Name]=$A831)*(T_PlannedOrders[WeekIndex]=56)*(T_PlannedOrders[EffectiveQty]&gt;0)*T_PlannedOrders[Order_Month])),"m月")&amp;"発注)")</f>
        <v/>
      </c>
      <c r="BH865">
        <f>IF(SUMIFS(T_PlannedOrders[EffectiveQty],T_PlannedOrders[Part Name],$A831,T_PlannedOrders[WeekIndex],57)=0,"",SUMIFS(T_PlannedOrders[EffectiveQty],T_PlannedOrders[Part Name],$A831,T_PlannedOrders[WeekIndex],57)&amp;" ("&amp;TEXT(SUMPRODUCT(MAX((T_PlannedOrders[Part Name]=$A831)*(T_PlannedOrders[WeekIndex]=57)*(T_PlannedOrders[EffectiveQty]&gt;0)*T_PlannedOrders[Order_Month])),"m月")&amp;"発注)")</f>
        <v/>
      </c>
      <c r="BI865">
        <f>IF(SUMIFS(T_PlannedOrders[EffectiveQty],T_PlannedOrders[Part Name],$A831,T_PlannedOrders[WeekIndex],58)=0,"",SUMIFS(T_PlannedOrders[EffectiveQty],T_PlannedOrders[Part Name],$A831,T_PlannedOrders[WeekIndex],58)&amp;" ("&amp;TEXT(SUMPRODUCT(MAX((T_PlannedOrders[Part Name]=$A831)*(T_PlannedOrders[WeekIndex]=58)*(T_PlannedOrders[EffectiveQty]&gt;0)*T_PlannedOrders[Order_Month])),"m月")&amp;"発注)")</f>
        <v/>
      </c>
      <c r="BJ865">
        <f>IF(SUMIFS(T_PlannedOrders[EffectiveQty],T_PlannedOrders[Part Name],$A831,T_PlannedOrders[WeekIndex],59)=0,"",SUMIFS(T_PlannedOrders[EffectiveQty],T_PlannedOrders[Part Name],$A831,T_PlannedOrders[WeekIndex],59)&amp;" ("&amp;TEXT(SUMPRODUCT(MAX((T_PlannedOrders[Part Name]=$A831)*(T_PlannedOrders[WeekIndex]=59)*(T_PlannedOrders[EffectiveQty]&gt;0)*T_PlannedOrders[Order_Month])),"m月")&amp;"発注)")</f>
        <v/>
      </c>
      <c r="BK865">
        <f>IF(SUMIFS(T_PlannedOrders[EffectiveQty],T_PlannedOrders[Part Name],$A831,T_PlannedOrders[WeekIndex],60)=0,"",SUMIFS(T_PlannedOrders[EffectiveQty],T_PlannedOrders[Part Name],$A831,T_PlannedOrders[WeekIndex],60)&amp;" ("&amp;TEXT(SUMPRODUCT(MAX((T_PlannedOrders[Part Name]=$A831)*(T_PlannedOrders[WeekIndex]=60)*(T_PlannedOrders[EffectiveQty]&gt;0)*T_PlannedOrders[Order_Month])),"m月")&amp;"発注)")</f>
        <v/>
      </c>
      <c r="BL865">
        <f>IF(SUMIFS(T_PlannedOrders[EffectiveQty],T_PlannedOrders[Part Name],$A831,T_PlannedOrders[WeekIndex],61)=0,"",SUMIFS(T_PlannedOrders[EffectiveQty],T_PlannedOrders[Part Name],$A831,T_PlannedOrders[WeekIndex],61)&amp;" ("&amp;TEXT(SUMPRODUCT(MAX((T_PlannedOrders[Part Name]=$A831)*(T_PlannedOrders[WeekIndex]=61)*(T_PlannedOrders[EffectiveQty]&gt;0)*T_PlannedOrders[Order_Month])),"m月")&amp;"発注)")</f>
        <v/>
      </c>
      <c r="BM865">
        <f>IF(SUMIFS(T_PlannedOrders[EffectiveQty],T_PlannedOrders[Part Name],$A831,T_PlannedOrders[WeekIndex],62)=0,"",SUMIFS(T_PlannedOrders[EffectiveQty],T_PlannedOrders[Part Name],$A831,T_PlannedOrders[WeekIndex],62)&amp;" ("&amp;TEXT(SUMPRODUCT(MAX((T_PlannedOrders[Part Name]=$A831)*(T_PlannedOrders[WeekIndex]=62)*(T_PlannedOrders[EffectiveQty]&gt;0)*T_PlannedOrders[Order_Month])),"m月")&amp;"発注)")</f>
        <v/>
      </c>
      <c r="BN865">
        <f>IF(SUMIFS(T_PlannedOrders[EffectiveQty],T_PlannedOrders[Part Name],$A831,T_PlannedOrders[WeekIndex],63)=0,"",SUMIFS(T_PlannedOrders[EffectiveQty],T_PlannedOrders[Part Name],$A831,T_PlannedOrders[WeekIndex],63)&amp;" ("&amp;TEXT(SUMPRODUCT(MAX((T_PlannedOrders[Part Name]=$A831)*(T_PlannedOrders[WeekIndex]=63)*(T_PlannedOrders[EffectiveQty]&gt;0)*T_PlannedOrders[Order_Month])),"m月")&amp;"発注)")</f>
        <v/>
      </c>
      <c r="BO865">
        <f>IF(SUMIFS(T_PlannedOrders[EffectiveQty],T_PlannedOrders[Part Name],$A831,T_PlannedOrders[WeekIndex],64)=0,"",SUMIFS(T_PlannedOrders[EffectiveQty],T_PlannedOrders[Part Name],$A831,T_PlannedOrders[WeekIndex],64)&amp;" ("&amp;TEXT(SUMPRODUCT(MAX((T_PlannedOrders[Part Name]=$A831)*(T_PlannedOrders[WeekIndex]=64)*(T_PlannedOrders[EffectiveQty]&gt;0)*T_PlannedOrders[Order_Month])),"m月")&amp;"発注)")</f>
        <v/>
      </c>
      <c r="BP865">
        <f>IF(SUMIFS(T_PlannedOrders[EffectiveQty],T_PlannedOrders[Part Name],$A831,T_PlannedOrders[WeekIndex],65)=0,"",SUMIFS(T_PlannedOrders[EffectiveQty],T_PlannedOrders[Part Name],$A831,T_PlannedOrders[WeekIndex],65)&amp;" ("&amp;TEXT(SUMPRODUCT(MAX((T_PlannedOrders[Part Name]=$A831)*(T_PlannedOrders[WeekIndex]=65)*(T_PlannedOrders[EffectiveQty]&gt;0)*T_PlannedOrders[Order_Month])),"m月")&amp;"発注)")</f>
        <v/>
      </c>
      <c r="BQ865">
        <f>IF(SUMIFS(T_PlannedOrders[EffectiveQty],T_PlannedOrders[Part Name],$A831,T_PlannedOrders[WeekIndex],66)=0,"",SUMIFS(T_PlannedOrders[EffectiveQty],T_PlannedOrders[Part Name],$A831,T_PlannedOrders[WeekIndex],66)&amp;" ("&amp;TEXT(SUMPRODUCT(MAX((T_PlannedOrders[Part Name]=$A831)*(T_PlannedOrders[WeekIndex]=66)*(T_PlannedOrders[EffectiveQty]&gt;0)*T_PlannedOrders[Order_Month])),"m月")&amp;"発注)")</f>
        <v/>
      </c>
      <c r="BR865">
        <f>IF(SUMIFS(T_PlannedOrders[EffectiveQty],T_PlannedOrders[Part Name],$A831,T_PlannedOrders[WeekIndex],67)=0,"",SUMIFS(T_PlannedOrders[EffectiveQty],T_PlannedOrders[Part Name],$A831,T_PlannedOrders[WeekIndex],67)&amp;" ("&amp;TEXT(SUMPRODUCT(MAX((T_PlannedOrders[Part Name]=$A831)*(T_PlannedOrders[WeekIndex]=67)*(T_PlannedOrders[EffectiveQty]&gt;0)*T_PlannedOrders[Order_Month])),"m月")&amp;"発注)")</f>
        <v/>
      </c>
      <c r="BS865">
        <f>IF(SUMIFS(T_PlannedOrders[EffectiveQty],T_PlannedOrders[Part Name],$A831,T_PlannedOrders[WeekIndex],68)=0,"",SUMIFS(T_PlannedOrders[EffectiveQty],T_PlannedOrders[Part Name],$A831,T_PlannedOrders[WeekIndex],68)&amp;" ("&amp;TEXT(SUMPRODUCT(MAX((T_PlannedOrders[Part Name]=$A831)*(T_PlannedOrders[WeekIndex]=68)*(T_PlannedOrders[EffectiveQty]&gt;0)*T_PlannedOrders[Order_Month])),"m月")&amp;"発注)")</f>
        <v/>
      </c>
      <c r="BT865">
        <f>IF(SUMIFS(T_PlannedOrders[EffectiveQty],T_PlannedOrders[Part Name],$A831,T_PlannedOrders[WeekIndex],69)=0,"",SUMIFS(T_PlannedOrders[EffectiveQty],T_PlannedOrders[Part Name],$A831,T_PlannedOrders[WeekIndex],69)&amp;" ("&amp;TEXT(SUMPRODUCT(MAX((T_PlannedOrders[Part Name]=$A831)*(T_PlannedOrders[WeekIndex]=69)*(T_PlannedOrders[EffectiveQty]&gt;0)*T_PlannedOrders[Order_Month])),"m月")&amp;"発注)")</f>
        <v/>
      </c>
      <c r="BU865">
        <f>IF(SUMIFS(T_PlannedOrders[EffectiveQty],T_PlannedOrders[Part Name],$A831,T_PlannedOrders[WeekIndex],70)=0,"",SUMIFS(T_PlannedOrders[EffectiveQty],T_PlannedOrders[Part Name],$A831,T_PlannedOrders[WeekIndex],70)&amp;" ("&amp;TEXT(SUMPRODUCT(MAX((T_PlannedOrders[Part Name]=$A831)*(T_PlannedOrders[WeekIndex]=70)*(T_PlannedOrders[EffectiveQty]&gt;0)*T_PlannedOrders[Order_Month])),"m月")&amp;"発注)")</f>
        <v/>
      </c>
      <c r="BV865">
        <f>IF(SUMIFS(T_PlannedOrders[EffectiveQty],T_PlannedOrders[Part Name],$A831,T_PlannedOrders[WeekIndex],71)=0,"",SUMIFS(T_PlannedOrders[EffectiveQty],T_PlannedOrders[Part Name],$A831,T_PlannedOrders[WeekIndex],71)&amp;" ("&amp;TEXT(SUMPRODUCT(MAX((T_PlannedOrders[Part Name]=$A831)*(T_PlannedOrders[WeekIndex]=71)*(T_PlannedOrders[EffectiveQty]&gt;0)*T_PlannedOrders[Order_Month])),"m月")&amp;"発注)")</f>
        <v/>
      </c>
      <c r="BW865">
        <f>IF(SUMIFS(T_PlannedOrders[EffectiveQty],T_PlannedOrders[Part Name],$A831,T_PlannedOrders[WeekIndex],72)=0,"",SUMIFS(T_PlannedOrders[EffectiveQty],T_PlannedOrders[Part Name],$A831,T_PlannedOrders[WeekIndex],72)&amp;" ("&amp;TEXT(SUMPRODUCT(MAX((T_PlannedOrders[Part Name]=$A831)*(T_PlannedOrders[WeekIndex]=72)*(T_PlannedOrders[EffectiveQty]&gt;0)*T_PlannedOrders[Order_Month])),"m月")&amp;"発注)")</f>
        <v/>
      </c>
      <c r="BX865">
        <f>IF(SUMIFS(T_PlannedOrders[EffectiveQty],T_PlannedOrders[Part Name],$A831,T_PlannedOrders[WeekIndex],73)=0,"",SUMIFS(T_PlannedOrders[EffectiveQty],T_PlannedOrders[Part Name],$A831,T_PlannedOrders[WeekIndex],73)&amp;" ("&amp;TEXT(SUMPRODUCT(MAX((T_PlannedOrders[Part Name]=$A831)*(T_PlannedOrders[WeekIndex]=73)*(T_PlannedOrders[EffectiveQty]&gt;0)*T_PlannedOrders[Order_Month])),"m月")&amp;"発注)")</f>
        <v/>
      </c>
      <c r="BY865">
        <f>IF(SUMIFS(T_PlannedOrders[EffectiveQty],T_PlannedOrders[Part Name],$A831,T_PlannedOrders[WeekIndex],74)=0,"",SUMIFS(T_PlannedOrders[EffectiveQty],T_PlannedOrders[Part Name],$A831,T_PlannedOrders[WeekIndex],74)&amp;" ("&amp;TEXT(SUMPRODUCT(MAX((T_PlannedOrders[Part Name]=$A831)*(T_PlannedOrders[WeekIndex]=74)*(T_PlannedOrders[EffectiveQty]&gt;0)*T_PlannedOrders[Order_Month])),"m月")&amp;"発注)")</f>
        <v/>
      </c>
      <c r="BZ865">
        <f>IF(SUMIFS(T_PlannedOrders[EffectiveQty],T_PlannedOrders[Part Name],$A831,T_PlannedOrders[WeekIndex],75)=0,"",SUMIFS(T_PlannedOrders[EffectiveQty],T_PlannedOrders[Part Name],$A831,T_PlannedOrders[WeekIndex],75)&amp;" ("&amp;TEXT(SUMPRODUCT(MAX((T_PlannedOrders[Part Name]=$A831)*(T_PlannedOrders[WeekIndex]=75)*(T_PlannedOrders[EffectiveQty]&gt;0)*T_PlannedOrders[Order_Month])),"m月")&amp;"発注)")</f>
        <v/>
      </c>
      <c r="CA865">
        <f>IF(SUMIFS(T_PlannedOrders[EffectiveQty],T_PlannedOrders[Part Name],$A831,T_PlannedOrders[WeekIndex],76)=0,"",SUMIFS(T_PlannedOrders[EffectiveQty],T_PlannedOrders[Part Name],$A831,T_PlannedOrders[WeekIndex],76)&amp;" ("&amp;TEXT(SUMPRODUCT(MAX((T_PlannedOrders[Part Name]=$A831)*(T_PlannedOrders[WeekIndex]=76)*(T_PlannedOrders[EffectiveQty]&gt;0)*T_PlannedOrders[Order_Month])),"m月")&amp;"発注)")</f>
        <v/>
      </c>
      <c r="CB865">
        <f>IF(SUMIFS(T_PlannedOrders[EffectiveQty],T_PlannedOrders[Part Name],$A831,T_PlannedOrders[WeekIndex],77)=0,"",SUMIFS(T_PlannedOrders[EffectiveQty],T_PlannedOrders[Part Name],$A831,T_PlannedOrders[WeekIndex],77)&amp;" ("&amp;TEXT(SUMPRODUCT(MAX((T_PlannedOrders[Part Name]=$A831)*(T_PlannedOrders[WeekIndex]=77)*(T_PlannedOrders[EffectiveQty]&gt;0)*T_PlannedOrders[Order_Month])),"m月")&amp;"発注)")</f>
        <v/>
      </c>
      <c r="CC865">
        <f>IF(SUMIFS(T_PlannedOrders[EffectiveQty],T_PlannedOrders[Part Name],$A831,T_PlannedOrders[WeekIndex],78)=0,"",SUMIFS(T_PlannedOrders[EffectiveQty],T_PlannedOrders[Part Name],$A831,T_PlannedOrders[WeekIndex],78)&amp;" ("&amp;TEXT(SUMPRODUCT(MAX((T_PlannedOrders[Part Name]=$A831)*(T_PlannedOrders[WeekIndex]=78)*(T_PlannedOrders[EffectiveQty]&gt;0)*T_PlannedOrders[Order_Month])),"m月")&amp;"発注)")</f>
        <v/>
      </c>
      <c r="CD865">
        <f>IF(SUMIFS(T_PlannedOrders[EffectiveQty],T_PlannedOrders[Part Name],$A831,T_PlannedOrders[WeekIndex],79)=0,"",SUMIFS(T_PlannedOrders[EffectiveQty],T_PlannedOrders[Part Name],$A831,T_PlannedOrders[WeekIndex],79)&amp;" ("&amp;TEXT(SUMPRODUCT(MAX((T_PlannedOrders[Part Name]=$A831)*(T_PlannedOrders[WeekIndex]=79)*(T_PlannedOrders[EffectiveQty]&gt;0)*T_PlannedOrders[Order_Month])),"m月")&amp;"発注)")</f>
        <v/>
      </c>
      <c r="CE865">
        <f>IF(SUMIFS(T_PlannedOrders[EffectiveQty],T_PlannedOrders[Part Name],$A831,T_PlannedOrders[WeekIndex],80)=0,"",SUMIFS(T_PlannedOrders[EffectiveQty],T_PlannedOrders[Part Name],$A831,T_PlannedOrders[WeekIndex],80)&amp;" ("&amp;TEXT(SUMPRODUCT(MAX((T_PlannedOrders[Part Name]=$A831)*(T_PlannedOrders[WeekIndex]=80)*(T_PlannedOrders[EffectiveQty]&gt;0)*T_PlannedOrders[Order_Month])),"m月")&amp;"発注)")</f>
        <v/>
      </c>
      <c r="CF865">
        <f>IF(SUMIFS(T_PlannedOrders[EffectiveQty],T_PlannedOrders[Part Name],$A831,T_PlannedOrders[WeekIndex],81)=0,"",SUMIFS(T_PlannedOrders[EffectiveQty],T_PlannedOrders[Part Name],$A831,T_PlannedOrders[WeekIndex],81)&amp;" ("&amp;TEXT(SUMPRODUCT(MAX((T_PlannedOrders[Part Name]=$A831)*(T_PlannedOrders[WeekIndex]=81)*(T_PlannedOrders[EffectiveQty]&gt;0)*T_PlannedOrders[Order_Month])),"m月")&amp;"発注)")</f>
        <v/>
      </c>
      <c r="CG865">
        <f>IF(SUMIFS(T_PlannedOrders[EffectiveQty],T_PlannedOrders[Part Name],$A831,T_PlannedOrders[WeekIndex],82)=0,"",SUMIFS(T_PlannedOrders[EffectiveQty],T_PlannedOrders[Part Name],$A831,T_PlannedOrders[WeekIndex],82)&amp;" ("&amp;TEXT(SUMPRODUCT(MAX((T_PlannedOrders[Part Name]=$A831)*(T_PlannedOrders[WeekIndex]=82)*(T_PlannedOrders[EffectiveQty]&gt;0)*T_PlannedOrders[Order_Month])),"m月")&amp;"発注)")</f>
        <v/>
      </c>
      <c r="CH865">
        <f>IF(SUMIFS(T_PlannedOrders[EffectiveQty],T_PlannedOrders[Part Name],$A831,T_PlannedOrders[WeekIndex],83)=0,"",SUMIFS(T_PlannedOrders[EffectiveQty],T_PlannedOrders[Part Name],$A831,T_PlannedOrders[WeekIndex],83)&amp;" ("&amp;TEXT(SUMPRODUCT(MAX((T_PlannedOrders[Part Name]=$A831)*(T_PlannedOrders[WeekIndex]=83)*(T_PlannedOrders[EffectiveQty]&gt;0)*T_PlannedOrders[Order_Month])),"m月")&amp;"発注)")</f>
        <v/>
      </c>
      <c r="CI865">
        <f>IF(SUMIFS(T_PlannedOrders[EffectiveQty],T_PlannedOrders[Part Name],$A831,T_PlannedOrders[WeekIndex],84)=0,"",SUMIFS(T_PlannedOrders[EffectiveQty],T_PlannedOrders[Part Name],$A831,T_PlannedOrders[WeekIndex],84)&amp;" ("&amp;TEXT(SUMPRODUCT(MAX((T_PlannedOrders[Part Name]=$A831)*(T_PlannedOrders[WeekIndex]=84)*(T_PlannedOrders[EffectiveQty]&gt;0)*T_PlannedOrders[Order_Month])),"m月")&amp;"発注)")</f>
        <v/>
      </c>
      <c r="CJ865">
        <f>IF(SUMIFS(T_PlannedOrders[EffectiveQty],T_PlannedOrders[Part Name],$A831,T_PlannedOrders[WeekIndex],85)=0,"",SUMIFS(T_PlannedOrders[EffectiveQty],T_PlannedOrders[Part Name],$A831,T_PlannedOrders[WeekIndex],85)&amp;" ("&amp;TEXT(SUMPRODUCT(MAX((T_PlannedOrders[Part Name]=$A831)*(T_PlannedOrders[WeekIndex]=85)*(T_PlannedOrders[EffectiveQty]&gt;0)*T_PlannedOrders[Order_Month])),"m月")&amp;"発注)")</f>
        <v/>
      </c>
      <c r="CK865">
        <f>IF(SUMIFS(T_PlannedOrders[EffectiveQty],T_PlannedOrders[Part Name],$A831,T_PlannedOrders[WeekIndex],86)=0,"",SUMIFS(T_PlannedOrders[EffectiveQty],T_PlannedOrders[Part Name],$A831,T_PlannedOrders[WeekIndex],86)&amp;" ("&amp;TEXT(SUMPRODUCT(MAX((T_PlannedOrders[Part Name]=$A831)*(T_PlannedOrders[WeekIndex]=86)*(T_PlannedOrders[EffectiveQty]&gt;0)*T_PlannedOrders[Order_Month])),"m月")&amp;"発注)")</f>
        <v/>
      </c>
      <c r="CL865">
        <f>IF(SUMIFS(T_PlannedOrders[EffectiveQty],T_PlannedOrders[Part Name],$A831,T_PlannedOrders[WeekIndex],87)=0,"",SUMIFS(T_PlannedOrders[EffectiveQty],T_PlannedOrders[Part Name],$A831,T_PlannedOrders[WeekIndex],87)&amp;" ("&amp;TEXT(SUMPRODUCT(MAX((T_PlannedOrders[Part Name]=$A831)*(T_PlannedOrders[WeekIndex]=87)*(T_PlannedOrders[EffectiveQty]&gt;0)*T_PlannedOrders[Order_Month])),"m月")&amp;"発注)")</f>
        <v/>
      </c>
      <c r="CM865">
        <f>IF(SUMIFS(T_PlannedOrders[EffectiveQty],T_PlannedOrders[Part Name],$A831,T_PlannedOrders[WeekIndex],88)=0,"",SUMIFS(T_PlannedOrders[EffectiveQty],T_PlannedOrders[Part Name],$A831,T_PlannedOrders[WeekIndex],88)&amp;" ("&amp;TEXT(SUMPRODUCT(MAX((T_PlannedOrders[Part Name]=$A831)*(T_PlannedOrders[WeekIndex]=88)*(T_PlannedOrders[EffectiveQty]&gt;0)*T_PlannedOrders[Order_Month])),"m月")&amp;"発注)")</f>
        <v/>
      </c>
      <c r="CN865">
        <f>IF(SUMIFS(T_PlannedOrders[EffectiveQty],T_PlannedOrders[Part Name],$A831,T_PlannedOrders[WeekIndex],89)=0,"",SUMIFS(T_PlannedOrders[EffectiveQty],T_PlannedOrders[Part Name],$A831,T_PlannedOrders[WeekIndex],89)&amp;" ("&amp;TEXT(SUMPRODUCT(MAX((T_PlannedOrders[Part Name]=$A831)*(T_PlannedOrders[WeekIndex]=89)*(T_PlannedOrders[EffectiveQty]&gt;0)*T_PlannedOrders[Order_Month])),"m月")&amp;"発注)")</f>
        <v/>
      </c>
      <c r="CO865">
        <f>IF(SUMIFS(T_PlannedOrders[EffectiveQty],T_PlannedOrders[Part Name],$A831,T_PlannedOrders[WeekIndex],90)=0,"",SUMIFS(T_PlannedOrders[EffectiveQty],T_PlannedOrders[Part Name],$A831,T_PlannedOrders[WeekIndex],90)&amp;" ("&amp;TEXT(SUMPRODUCT(MAX((T_PlannedOrders[Part Name]=$A831)*(T_PlannedOrders[WeekIndex]=90)*(T_PlannedOrders[EffectiveQty]&gt;0)*T_PlannedOrders[Order_Month])),"m月")&amp;"発注)")</f>
        <v/>
      </c>
      <c r="CP865">
        <f>IF(SUMIFS(T_PlannedOrders[EffectiveQty],T_PlannedOrders[Part Name],$A831,T_PlannedOrders[WeekIndex],91)=0,"",SUMIFS(T_PlannedOrders[EffectiveQty],T_PlannedOrders[Part Name],$A831,T_PlannedOrders[WeekIndex],91)&amp;" ("&amp;TEXT(SUMPRODUCT(MAX((T_PlannedOrders[Part Name]=$A831)*(T_PlannedOrders[WeekIndex]=91)*(T_PlannedOrders[EffectiveQty]&gt;0)*T_PlannedOrders[Order_Month])),"m月")&amp;"発注)")</f>
        <v/>
      </c>
      <c r="CQ865">
        <f>IF(SUMIFS(T_PlannedOrders[EffectiveQty],T_PlannedOrders[Part Name],$A831,T_PlannedOrders[WeekIndex],92)=0,"",SUMIFS(T_PlannedOrders[EffectiveQty],T_PlannedOrders[Part Name],$A831,T_PlannedOrders[WeekIndex],92)&amp;" ("&amp;TEXT(SUMPRODUCT(MAX((T_PlannedOrders[Part Name]=$A831)*(T_PlannedOrders[WeekIndex]=92)*(T_PlannedOrders[EffectiveQty]&gt;0)*T_PlannedOrders[Order_Month])),"m月")&amp;"発注)")</f>
        <v/>
      </c>
      <c r="CR865">
        <f>IF(SUMIFS(T_PlannedOrders[EffectiveQty],T_PlannedOrders[Part Name],$A831,T_PlannedOrders[WeekIndex],93)=0,"",SUMIFS(T_PlannedOrders[EffectiveQty],T_PlannedOrders[Part Name],$A831,T_PlannedOrders[WeekIndex],93)&amp;" ("&amp;TEXT(SUMPRODUCT(MAX((T_PlannedOrders[Part Name]=$A831)*(T_PlannedOrders[WeekIndex]=93)*(T_PlannedOrders[EffectiveQty]&gt;0)*T_PlannedOrders[Order_Month])),"m月")&amp;"発注)")</f>
        <v/>
      </c>
      <c r="CS865">
        <f>IF(SUMIFS(T_PlannedOrders[EffectiveQty],T_PlannedOrders[Part Name],$A831,T_PlannedOrders[WeekIndex],94)=0,"",SUMIFS(T_PlannedOrders[EffectiveQty],T_PlannedOrders[Part Name],$A831,T_PlannedOrders[WeekIndex],94)&amp;" ("&amp;TEXT(SUMPRODUCT(MAX((T_PlannedOrders[Part Name]=$A831)*(T_PlannedOrders[WeekIndex]=94)*(T_PlannedOrders[EffectiveQty]&gt;0)*T_PlannedOrders[Order_Month])),"m月")&amp;"発注)")</f>
        <v/>
      </c>
      <c r="CT865">
        <f>IF(SUMIFS(T_PlannedOrders[EffectiveQty],T_PlannedOrders[Part Name],$A831,T_PlannedOrders[WeekIndex],95)=0,"",SUMIFS(T_PlannedOrders[EffectiveQty],T_PlannedOrders[Part Name],$A831,T_PlannedOrders[WeekIndex],95)&amp;" ("&amp;TEXT(SUMPRODUCT(MAX((T_PlannedOrders[Part Name]=$A831)*(T_PlannedOrders[WeekIndex]=95)*(T_PlannedOrders[EffectiveQty]&gt;0)*T_PlannedOrders[Order_Month])),"m月")&amp;"発注)")</f>
        <v/>
      </c>
      <c r="CU865">
        <f>IF(SUMIFS(T_PlannedOrders[EffectiveQty],T_PlannedOrders[Part Name],$A831,T_PlannedOrders[WeekIndex],96)=0,"",SUMIFS(T_PlannedOrders[EffectiveQty],T_PlannedOrders[Part Name],$A831,T_PlannedOrders[WeekIndex],96)&amp;" ("&amp;TEXT(SUMPRODUCT(MAX((T_PlannedOrders[Part Name]=$A831)*(T_PlannedOrders[WeekIndex]=96)*(T_PlannedOrders[EffectiveQty]&gt;0)*T_PlannedOrders[Order_Month])),"m月")&amp;"発注)")</f>
        <v/>
      </c>
      <c r="CV865">
        <f>IF(SUMIFS(T_PlannedOrders[EffectiveQty],T_PlannedOrders[Part Name],$A831,T_PlannedOrders[WeekIndex],97)=0,"",SUMIFS(T_PlannedOrders[EffectiveQty],T_PlannedOrders[Part Name],$A831,T_PlannedOrders[WeekIndex],97)&amp;" ("&amp;TEXT(SUMPRODUCT(MAX((T_PlannedOrders[Part Name]=$A831)*(T_PlannedOrders[WeekIndex]=97)*(T_PlannedOrders[EffectiveQty]&gt;0)*T_PlannedOrders[Order_Month])),"m月")&amp;"発注)")</f>
        <v/>
      </c>
      <c r="CW865">
        <f>IF(SUMIFS(T_PlannedOrders[EffectiveQty],T_PlannedOrders[Part Name],$A831,T_PlannedOrders[WeekIndex],98)=0,"",SUMIFS(T_PlannedOrders[EffectiveQty],T_PlannedOrders[Part Name],$A831,T_PlannedOrders[WeekIndex],98)&amp;" ("&amp;TEXT(SUMPRODUCT(MAX((T_PlannedOrders[Part Name]=$A831)*(T_PlannedOrders[WeekIndex]=98)*(T_PlannedOrders[EffectiveQty]&gt;0)*T_PlannedOrders[Order_Month])),"m月")&amp;"発注)")</f>
        <v/>
      </c>
      <c r="CX865">
        <f>IF(SUMIFS(T_PlannedOrders[EffectiveQty],T_PlannedOrders[Part Name],$A831,T_PlannedOrders[WeekIndex],99)=0,"",SUMIFS(T_PlannedOrders[EffectiveQty],T_PlannedOrders[Part Name],$A831,T_PlannedOrders[WeekIndex],99)&amp;" ("&amp;TEXT(SUMPRODUCT(MAX((T_PlannedOrders[Part Name]=$A831)*(T_PlannedOrders[WeekIndex]=99)*(T_PlannedOrders[EffectiveQty]&gt;0)*T_PlannedOrders[Order_Month])),"m月")&amp;"発注)")</f>
        <v/>
      </c>
      <c r="CY865">
        <f>IF(SUMIFS(T_PlannedOrders[EffectiveQty],T_PlannedOrders[Part Name],$A831,T_PlannedOrders[WeekIndex],100)=0,"",SUMIFS(T_PlannedOrders[EffectiveQty],T_PlannedOrders[Part Name],$A831,T_PlannedOrders[WeekIndex],100)&amp;" ("&amp;TEXT(SUMPRODUCT(MAX((T_PlannedOrders[Part Name]=$A831)*(T_PlannedOrders[WeekIndex]=100)*(T_PlannedOrders[EffectiveQty]&gt;0)*T_PlannedOrders[Order_Month])),"m月")&amp;"発注)")</f>
        <v/>
      </c>
      <c r="CZ865">
        <f>IF(SUMIFS(T_PlannedOrders[EffectiveQty],T_PlannedOrders[Part Name],$A831,T_PlannedOrders[WeekIndex],101)=0,"",SUMIFS(T_PlannedOrders[EffectiveQty],T_PlannedOrders[Part Name],$A831,T_PlannedOrders[WeekIndex],101)&amp;" ("&amp;TEXT(SUMPRODUCT(MAX((T_PlannedOrders[Part Name]=$A831)*(T_PlannedOrders[WeekIndex]=101)*(T_PlannedOrders[EffectiveQty]&gt;0)*T_PlannedOrders[Order_Month])),"m月")&amp;"発注)")</f>
        <v/>
      </c>
      <c r="DA865">
        <f>IF(SUMIFS(T_PlannedOrders[EffectiveQty],T_PlannedOrders[Part Name],$A831,T_PlannedOrders[WeekIndex],102)=0,"",SUMIFS(T_PlannedOrders[EffectiveQty],T_PlannedOrders[Part Name],$A831,T_PlannedOrders[WeekIndex],102)&amp;" ("&amp;TEXT(SUMPRODUCT(MAX((T_PlannedOrders[Part Name]=$A831)*(T_PlannedOrders[WeekIndex]=102)*(T_PlannedOrders[EffectiveQty]&gt;0)*T_PlannedOrders[Order_Month])),"m月")&amp;"発注)")</f>
        <v/>
      </c>
      <c r="DB865">
        <f>IF(SUMIFS(T_PlannedOrders[EffectiveQty],T_PlannedOrders[Part Name],$A831,T_PlannedOrders[WeekIndex],103)=0,"",SUMIFS(T_PlannedOrders[EffectiveQty],T_PlannedOrders[Part Name],$A831,T_PlannedOrders[WeekIndex],103)&amp;" ("&amp;TEXT(SUMPRODUCT(MAX((T_PlannedOrders[Part Name]=$A831)*(T_PlannedOrders[WeekIndex]=103)*(T_PlannedOrders[EffectiveQty]&gt;0)*T_PlannedOrders[Order_Month])),"m月")&amp;"発注)")</f>
        <v/>
      </c>
      <c r="DC865">
        <f>IF(SUMIFS(T_PlannedOrders[EffectiveQty],T_PlannedOrders[Part Name],$A831,T_PlannedOrders[WeekIndex],104)=0,"",SUMIFS(T_PlannedOrders[EffectiveQty],T_PlannedOrders[Part Name],$A831,T_PlannedOrders[WeekIndex],104)&amp;" ("&amp;TEXT(SUMPRODUCT(MAX((T_PlannedOrders[Part Name]=$A831)*(T_PlannedOrders[WeekIndex]=104)*(T_PlannedOrders[EffectiveQty]&gt;0)*T_PlannedOrders[Order_Month])),"m月")&amp;"発注)")</f>
        <v/>
      </c>
    </row>
    <row r="866">
      <c r="B866" s="5" t="inlineStr">
        <is>
          <t>合計在庫(週末時点,kg)</t>
        </is>
      </c>
      <c r="D866">
        <f>'Grid_Stock'!B34</f>
        <v/>
      </c>
      <c r="E866">
        <f>'Grid_Stock'!C34</f>
        <v/>
      </c>
      <c r="F866">
        <f>'Grid_Stock'!D34</f>
        <v/>
      </c>
      <c r="G866">
        <f>'Grid_Stock'!E34</f>
        <v/>
      </c>
      <c r="H866">
        <f>'Grid_Stock'!F34</f>
        <v/>
      </c>
      <c r="I866">
        <f>'Grid_Stock'!G34</f>
        <v/>
      </c>
      <c r="J866">
        <f>'Grid_Stock'!H34</f>
        <v/>
      </c>
      <c r="K866">
        <f>'Grid_Stock'!I34</f>
        <v/>
      </c>
      <c r="L866">
        <f>'Grid_Stock'!J34</f>
        <v/>
      </c>
      <c r="M866">
        <f>'Grid_Stock'!K34</f>
        <v/>
      </c>
      <c r="N866">
        <f>'Grid_Stock'!L34</f>
        <v/>
      </c>
      <c r="O866">
        <f>'Grid_Stock'!M34</f>
        <v/>
      </c>
      <c r="P866">
        <f>'Grid_Stock'!N34</f>
        <v/>
      </c>
      <c r="Q866">
        <f>'Grid_Stock'!O34</f>
        <v/>
      </c>
      <c r="R866">
        <f>'Grid_Stock'!P34</f>
        <v/>
      </c>
      <c r="S866">
        <f>'Grid_Stock'!Q34</f>
        <v/>
      </c>
      <c r="T866">
        <f>'Grid_Stock'!R34</f>
        <v/>
      </c>
      <c r="U866">
        <f>'Grid_Stock'!S34</f>
        <v/>
      </c>
      <c r="V866">
        <f>'Grid_Stock'!T34</f>
        <v/>
      </c>
      <c r="W866">
        <f>'Grid_Stock'!U34</f>
        <v/>
      </c>
      <c r="X866">
        <f>'Grid_Stock'!V34</f>
        <v/>
      </c>
      <c r="Y866">
        <f>'Grid_Stock'!W34</f>
        <v/>
      </c>
      <c r="Z866">
        <f>'Grid_Stock'!X34</f>
        <v/>
      </c>
      <c r="AA866">
        <f>'Grid_Stock'!Y34</f>
        <v/>
      </c>
      <c r="AB866">
        <f>'Grid_Stock'!Z34</f>
        <v/>
      </c>
      <c r="AC866">
        <f>'Grid_Stock'!AA34</f>
        <v/>
      </c>
      <c r="AD866">
        <f>'Grid_Stock'!AB34</f>
        <v/>
      </c>
      <c r="AE866">
        <f>'Grid_Stock'!AC34</f>
        <v/>
      </c>
      <c r="AF866">
        <f>'Grid_Stock'!AD34</f>
        <v/>
      </c>
      <c r="AG866">
        <f>'Grid_Stock'!AE34</f>
        <v/>
      </c>
      <c r="AH866">
        <f>'Grid_Stock'!AF34</f>
        <v/>
      </c>
      <c r="AI866">
        <f>'Grid_Stock'!AG34</f>
        <v/>
      </c>
      <c r="AJ866">
        <f>'Grid_Stock'!AH34</f>
        <v/>
      </c>
      <c r="AK866">
        <f>'Grid_Stock'!AI34</f>
        <v/>
      </c>
      <c r="AL866">
        <f>'Grid_Stock'!AJ34</f>
        <v/>
      </c>
      <c r="AM866">
        <f>'Grid_Stock'!AK34</f>
        <v/>
      </c>
      <c r="AN866">
        <f>'Grid_Stock'!AL34</f>
        <v/>
      </c>
      <c r="AO866">
        <f>'Grid_Stock'!AM34</f>
        <v/>
      </c>
      <c r="AP866">
        <f>'Grid_Stock'!AN34</f>
        <v/>
      </c>
      <c r="AQ866">
        <f>'Grid_Stock'!AO34</f>
        <v/>
      </c>
      <c r="AR866">
        <f>'Grid_Stock'!AP34</f>
        <v/>
      </c>
      <c r="AS866">
        <f>'Grid_Stock'!AQ34</f>
        <v/>
      </c>
      <c r="AT866">
        <f>'Grid_Stock'!AR34</f>
        <v/>
      </c>
      <c r="AU866">
        <f>'Grid_Stock'!AS34</f>
        <v/>
      </c>
      <c r="AV866">
        <f>'Grid_Stock'!AT34</f>
        <v/>
      </c>
      <c r="AW866">
        <f>'Grid_Stock'!AU34</f>
        <v/>
      </c>
      <c r="AX866">
        <f>'Grid_Stock'!AV34</f>
        <v/>
      </c>
      <c r="AY866">
        <f>'Grid_Stock'!AW34</f>
        <v/>
      </c>
      <c r="AZ866">
        <f>'Grid_Stock'!AX34</f>
        <v/>
      </c>
      <c r="BA866">
        <f>'Grid_Stock'!AY34</f>
        <v/>
      </c>
      <c r="BB866">
        <f>'Grid_Stock'!AZ34</f>
        <v/>
      </c>
      <c r="BC866">
        <f>'Grid_Stock'!BA34</f>
        <v/>
      </c>
      <c r="BD866">
        <f>'Grid_Stock'!BB34</f>
        <v/>
      </c>
      <c r="BE866">
        <f>'Grid_Stock'!BC34</f>
        <v/>
      </c>
      <c r="BF866">
        <f>'Grid_Stock'!BD34</f>
        <v/>
      </c>
      <c r="BG866">
        <f>'Grid_Stock'!BE34</f>
        <v/>
      </c>
      <c r="BH866">
        <f>'Grid_Stock'!BF34</f>
        <v/>
      </c>
      <c r="BI866">
        <f>'Grid_Stock'!BG34</f>
        <v/>
      </c>
      <c r="BJ866">
        <f>'Grid_Stock'!BH34</f>
        <v/>
      </c>
      <c r="BK866">
        <f>'Grid_Stock'!BI34</f>
        <v/>
      </c>
      <c r="BL866">
        <f>'Grid_Stock'!BJ34</f>
        <v/>
      </c>
      <c r="BM866">
        <f>'Grid_Stock'!BK34</f>
        <v/>
      </c>
      <c r="BN866">
        <f>'Grid_Stock'!BL34</f>
        <v/>
      </c>
      <c r="BO866">
        <f>'Grid_Stock'!BM34</f>
        <v/>
      </c>
      <c r="BP866">
        <f>'Grid_Stock'!BN34</f>
        <v/>
      </c>
      <c r="BQ866">
        <f>'Grid_Stock'!BO34</f>
        <v/>
      </c>
      <c r="BR866">
        <f>'Grid_Stock'!BP34</f>
        <v/>
      </c>
      <c r="BS866">
        <f>'Grid_Stock'!BQ34</f>
        <v/>
      </c>
      <c r="BT866">
        <f>'Grid_Stock'!BR34</f>
        <v/>
      </c>
      <c r="BU866">
        <f>'Grid_Stock'!BS34</f>
        <v/>
      </c>
      <c r="BV866">
        <f>'Grid_Stock'!BT34</f>
        <v/>
      </c>
      <c r="BW866">
        <f>'Grid_Stock'!BU34</f>
        <v/>
      </c>
      <c r="BX866">
        <f>'Grid_Stock'!BV34</f>
        <v/>
      </c>
      <c r="BY866">
        <f>'Grid_Stock'!BW34</f>
        <v/>
      </c>
      <c r="BZ866">
        <f>'Grid_Stock'!BX34</f>
        <v/>
      </c>
      <c r="CA866">
        <f>'Grid_Stock'!BY34</f>
        <v/>
      </c>
      <c r="CB866">
        <f>'Grid_Stock'!BZ34</f>
        <v/>
      </c>
      <c r="CC866">
        <f>'Grid_Stock'!CA34</f>
        <v/>
      </c>
      <c r="CD866">
        <f>'Grid_Stock'!CB34</f>
        <v/>
      </c>
      <c r="CE866">
        <f>'Grid_Stock'!CC34</f>
        <v/>
      </c>
      <c r="CF866">
        <f>'Grid_Stock'!CD34</f>
        <v/>
      </c>
      <c r="CG866">
        <f>'Grid_Stock'!CE34</f>
        <v/>
      </c>
      <c r="CH866">
        <f>'Grid_Stock'!CF34</f>
        <v/>
      </c>
      <c r="CI866">
        <f>'Grid_Stock'!CG34</f>
        <v/>
      </c>
      <c r="CJ866">
        <f>'Grid_Stock'!CH34</f>
        <v/>
      </c>
      <c r="CK866">
        <f>'Grid_Stock'!CI34</f>
        <v/>
      </c>
      <c r="CL866">
        <f>'Grid_Stock'!CJ34</f>
        <v/>
      </c>
      <c r="CM866">
        <f>'Grid_Stock'!CK34</f>
        <v/>
      </c>
      <c r="CN866">
        <f>'Grid_Stock'!CL34</f>
        <v/>
      </c>
      <c r="CO866">
        <f>'Grid_Stock'!CM34</f>
        <v/>
      </c>
      <c r="CP866">
        <f>'Grid_Stock'!CN34</f>
        <v/>
      </c>
      <c r="CQ866">
        <f>'Grid_Stock'!CO34</f>
        <v/>
      </c>
      <c r="CR866">
        <f>'Grid_Stock'!CP34</f>
        <v/>
      </c>
      <c r="CS866">
        <f>'Grid_Stock'!CQ34</f>
        <v/>
      </c>
      <c r="CT866">
        <f>'Grid_Stock'!CR34</f>
        <v/>
      </c>
      <c r="CU866">
        <f>'Grid_Stock'!CS34</f>
        <v/>
      </c>
      <c r="CV866">
        <f>'Grid_Stock'!CT34</f>
        <v/>
      </c>
      <c r="CW866">
        <f>'Grid_Stock'!CU34</f>
        <v/>
      </c>
      <c r="CX866">
        <f>'Grid_Stock'!CV34</f>
        <v/>
      </c>
      <c r="CY866">
        <f>'Grid_Stock'!CW34</f>
        <v/>
      </c>
      <c r="CZ866">
        <f>'Grid_Stock'!CX34</f>
        <v/>
      </c>
      <c r="DA866">
        <f>'Grid_Stock'!CY34</f>
        <v/>
      </c>
      <c r="DB866">
        <f>'Grid_Stock'!CZ34</f>
        <v/>
      </c>
      <c r="DC866">
        <f>'Grid_Stock'!DA34</f>
        <v/>
      </c>
    </row>
    <row r="867">
      <c r="B867" s="23" t="inlineStr">
        <is>
          <t>（発注の目安はDashboardの基準在庫[下限/上限]と色分けを参照）</t>
        </is>
      </c>
    </row>
    <row r="869">
      <c r="A869" s="21" t="inlineStr">
        <is>
          <t>CHEM-1240</t>
        </is>
      </c>
      <c r="B869" s="21" t="inlineStr">
        <is>
          <t>Alumina Sol [AS-200]</t>
        </is>
      </c>
      <c r="C869" s="22" t="n"/>
      <c r="D869" s="21" t="n"/>
      <c r="E869" s="21" t="n"/>
      <c r="F869" s="21" t="n"/>
      <c r="G869" s="21" t="n"/>
      <c r="H869" s="2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  <c r="AA869" s="21" t="n"/>
      <c r="AB869" s="21" t="n"/>
      <c r="AC869" s="21" t="n"/>
      <c r="AD869" s="21" t="n"/>
      <c r="AE869" s="21" t="n"/>
      <c r="AF869" s="21" t="n"/>
      <c r="AG869" s="21" t="n"/>
      <c r="AH869" s="21" t="n"/>
      <c r="AI869" s="21" t="n"/>
      <c r="AJ869" s="21" t="n"/>
      <c r="AK869" s="21" t="n"/>
      <c r="AL869" s="21" t="n"/>
      <c r="AM869" s="21" t="n"/>
      <c r="AN869" s="21" t="n"/>
      <c r="AO869" s="21" t="n"/>
      <c r="AP869" s="21" t="n"/>
      <c r="AQ869" s="21" t="n"/>
      <c r="AR869" s="21" t="n"/>
      <c r="AS869" s="21" t="n"/>
      <c r="AT869" s="21" t="n"/>
      <c r="AU869" s="21" t="n"/>
      <c r="AV869" s="21" t="n"/>
      <c r="AW869" s="21" t="n"/>
      <c r="AX869" s="21" t="n"/>
      <c r="AY869" s="21" t="n"/>
      <c r="AZ869" s="21" t="n"/>
      <c r="BA869" s="21" t="n"/>
      <c r="BB869" s="21" t="n"/>
      <c r="BC869" s="21" t="n"/>
      <c r="BD869" s="21" t="n"/>
      <c r="BE869" s="21" t="n"/>
      <c r="BF869" s="21" t="n"/>
      <c r="BG869" s="21" t="n"/>
      <c r="BH869" s="21" t="n"/>
      <c r="BI869" s="21" t="n"/>
      <c r="BJ869" s="21" t="n"/>
      <c r="BK869" s="21" t="n"/>
      <c r="BL869" s="21" t="n"/>
      <c r="BM869" s="21" t="n"/>
      <c r="BN869" s="21" t="n"/>
      <c r="BO869" s="21" t="n"/>
      <c r="BP869" s="21" t="n"/>
      <c r="BQ869" s="21" t="n"/>
      <c r="BR869" s="21" t="n"/>
      <c r="BS869" s="21" t="n"/>
      <c r="BT869" s="21" t="n"/>
      <c r="BU869" s="21" t="n"/>
      <c r="BV869" s="21" t="n"/>
      <c r="BW869" s="21" t="n"/>
      <c r="BX869" s="21" t="n"/>
      <c r="BY869" s="21" t="n"/>
      <c r="BZ869" s="21" t="n"/>
      <c r="CA869" s="21" t="n"/>
      <c r="CB869" s="21" t="n"/>
      <c r="CC869" s="21" t="n"/>
      <c r="CD869" s="21" t="n"/>
      <c r="CE869" s="21" t="n"/>
      <c r="CF869" s="21" t="n"/>
      <c r="CG869" s="21" t="n"/>
      <c r="CH869" s="21" t="n"/>
      <c r="CI869" s="21" t="n"/>
      <c r="CJ869" s="21" t="n"/>
      <c r="CK869" s="21" t="n"/>
      <c r="CL869" s="21" t="n"/>
      <c r="CM869" s="21" t="n"/>
      <c r="CN869" s="21" t="n"/>
      <c r="CO869" s="21" t="n"/>
      <c r="CP869" s="21" t="n"/>
      <c r="CQ869" s="21" t="n"/>
      <c r="CR869" s="21" t="n"/>
      <c r="CS869" s="21" t="n"/>
      <c r="CT869" s="21" t="n"/>
      <c r="CU869" s="21" t="n"/>
      <c r="CV869" s="21" t="n"/>
      <c r="CW869" s="21" t="n"/>
      <c r="CX869" s="21" t="n"/>
      <c r="CY869" s="21" t="n"/>
      <c r="CZ869" s="21" t="n"/>
      <c r="DA869" s="21" t="n"/>
      <c r="DB869" s="21" t="n"/>
      <c r="DC869" s="21" t="n"/>
    </row>
    <row r="870">
      <c r="B870" t="inlineStr">
        <is>
          <t>TSP-1448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12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Name],$A869)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t="inlineStr">
        <is>
          <t>TSP-1449</t>
        </is>
      </c>
      <c r="C872" t="inlineStr">
        <is>
          <t>No. of batches</t>
        </is>
      </c>
      <c r="D872">
        <f>IFERROR(INDEX(PP_Grid[#Data],$DD872,2),0)</f>
        <v/>
      </c>
      <c r="E872">
        <f>IFERROR(INDEX(PP_Grid[#Data],$DD872,3),0)</f>
        <v/>
      </c>
      <c r="F872">
        <f>IFERROR(INDEX(PP_Grid[#Data],$DD872,4),0)</f>
        <v/>
      </c>
      <c r="G872">
        <f>IFERROR(INDEX(PP_Grid[#Data],$DD872,5),0)</f>
        <v/>
      </c>
      <c r="H872">
        <f>IFERROR(INDEX(PP_Grid[#Data],$DD872,6),0)</f>
        <v/>
      </c>
      <c r="I872">
        <f>IFERROR(INDEX(PP_Grid[#Data],$DD872,7),0)</f>
        <v/>
      </c>
      <c r="J872">
        <f>IFERROR(INDEX(PP_Grid[#Data],$DD872,8),0)</f>
        <v/>
      </c>
      <c r="K872">
        <f>IFERROR(INDEX(PP_Grid[#Data],$DD872,9),0)</f>
        <v/>
      </c>
      <c r="L872">
        <f>IFERROR(INDEX(PP_Grid[#Data],$DD872,10),0)</f>
        <v/>
      </c>
      <c r="M872">
        <f>IFERROR(INDEX(PP_Grid[#Data],$DD872,11),0)</f>
        <v/>
      </c>
      <c r="N872">
        <f>IFERROR(INDEX(PP_Grid[#Data],$DD872,12),0)</f>
        <v/>
      </c>
      <c r="O872">
        <f>IFERROR(INDEX(PP_Grid[#Data],$DD872,13),0)</f>
        <v/>
      </c>
      <c r="P872">
        <f>IFERROR(INDEX(PP_Grid[#Data],$DD872,14),0)</f>
        <v/>
      </c>
      <c r="Q872">
        <f>IFERROR(INDEX(PP_Grid[#Data],$DD872,15),0)</f>
        <v/>
      </c>
      <c r="R872">
        <f>IFERROR(INDEX(PP_Grid[#Data],$DD872,16),0)</f>
        <v/>
      </c>
      <c r="S872">
        <f>IFERROR(INDEX(PP_Grid[#Data],$DD872,17),0)</f>
        <v/>
      </c>
      <c r="T872">
        <f>IFERROR(INDEX(PP_Grid[#Data],$DD872,18),0)</f>
        <v/>
      </c>
      <c r="U872">
        <f>IFERROR(INDEX(PP_Grid[#Data],$DD872,19),0)</f>
        <v/>
      </c>
      <c r="V872">
        <f>IFERROR(INDEX(PP_Grid[#Data],$DD872,20),0)</f>
        <v/>
      </c>
      <c r="W872">
        <f>IFERROR(INDEX(PP_Grid[#Data],$DD872,21),0)</f>
        <v/>
      </c>
      <c r="X872">
        <f>IFERROR(INDEX(PP_Grid[#Data],$DD872,22),0)</f>
        <v/>
      </c>
      <c r="Y872">
        <f>IFERROR(INDEX(PP_Grid[#Data],$DD872,23),0)</f>
        <v/>
      </c>
      <c r="Z872">
        <f>IFERROR(INDEX(PP_Grid[#Data],$DD872,24),0)</f>
        <v/>
      </c>
      <c r="AA872">
        <f>IFERROR(INDEX(PP_Grid[#Data],$DD872,25),0)</f>
        <v/>
      </c>
      <c r="AB872">
        <f>IFERROR(INDEX(PP_Grid[#Data],$DD872,26),0)</f>
        <v/>
      </c>
      <c r="AC872">
        <f>IFERROR(INDEX(PP_Grid[#Data],$DD872,27),0)</f>
        <v/>
      </c>
      <c r="AD872">
        <f>IFERROR(INDEX(PP_Grid[#Data],$DD872,28),0)</f>
        <v/>
      </c>
      <c r="AE872">
        <f>IFERROR(INDEX(PP_Grid[#Data],$DD872,29),0)</f>
        <v/>
      </c>
      <c r="AF872">
        <f>IFERROR(INDEX(PP_Grid[#Data],$DD872,30),0)</f>
        <v/>
      </c>
      <c r="AG872">
        <f>IFERROR(INDEX(PP_Grid[#Data],$DD872,31),0)</f>
        <v/>
      </c>
      <c r="AH872">
        <f>IFERROR(INDEX(PP_Grid[#Data],$DD872,32),0)</f>
        <v/>
      </c>
      <c r="AI872">
        <f>IFERROR(INDEX(PP_Grid[#Data],$DD872,33),0)</f>
        <v/>
      </c>
      <c r="AJ872">
        <f>IFERROR(INDEX(PP_Grid[#Data],$DD872,34),0)</f>
        <v/>
      </c>
      <c r="AK872">
        <f>IFERROR(INDEX(PP_Grid[#Data],$DD872,35),0)</f>
        <v/>
      </c>
      <c r="AL872">
        <f>IFERROR(INDEX(PP_Grid[#Data],$DD872,36),0)</f>
        <v/>
      </c>
      <c r="AM872">
        <f>IFERROR(INDEX(PP_Grid[#Data],$DD872,37),0)</f>
        <v/>
      </c>
      <c r="AN872">
        <f>IFERROR(INDEX(PP_Grid[#Data],$DD872,38),0)</f>
        <v/>
      </c>
      <c r="AO872">
        <f>IFERROR(INDEX(PP_Grid[#Data],$DD872,39),0)</f>
        <v/>
      </c>
      <c r="AP872">
        <f>IFERROR(INDEX(PP_Grid[#Data],$DD872,40),0)</f>
        <v/>
      </c>
      <c r="AQ872">
        <f>IFERROR(INDEX(PP_Grid[#Data],$DD872,41),0)</f>
        <v/>
      </c>
      <c r="AR872">
        <f>IFERROR(INDEX(PP_Grid[#Data],$DD872,42),0)</f>
        <v/>
      </c>
      <c r="AS872">
        <f>IFERROR(INDEX(PP_Grid[#Data],$DD872,43),0)</f>
        <v/>
      </c>
      <c r="AT872">
        <f>IFERROR(INDEX(PP_Grid[#Data],$DD872,44),0)</f>
        <v/>
      </c>
      <c r="AU872">
        <f>IFERROR(INDEX(PP_Grid[#Data],$DD872,45),0)</f>
        <v/>
      </c>
      <c r="AV872">
        <f>IFERROR(INDEX(PP_Grid[#Data],$DD872,46),0)</f>
        <v/>
      </c>
      <c r="AW872">
        <f>IFERROR(INDEX(PP_Grid[#Data],$DD872,47),0)</f>
        <v/>
      </c>
      <c r="AX872">
        <f>IFERROR(INDEX(PP_Grid[#Data],$DD872,48),0)</f>
        <v/>
      </c>
      <c r="AY872">
        <f>IFERROR(INDEX(PP_Grid[#Data],$DD872,49),0)</f>
        <v/>
      </c>
      <c r="AZ872">
        <f>IFERROR(INDEX(PP_Grid[#Data],$DD872,50),0)</f>
        <v/>
      </c>
      <c r="BA872">
        <f>IFERROR(INDEX(PP_Grid[#Data],$DD872,51),0)</f>
        <v/>
      </c>
      <c r="BB872">
        <f>IFERROR(INDEX(PP_Grid[#Data],$DD872,52),0)</f>
        <v/>
      </c>
      <c r="BC872">
        <f>IFERROR(INDEX(PP_Grid[#Data],$DD872,53),0)</f>
        <v/>
      </c>
      <c r="BD872">
        <f>IFERROR(INDEX(PP_Grid[#Data],$DD872,54),0)</f>
        <v/>
      </c>
      <c r="BE872">
        <f>IFERROR(INDEX(PP_Grid[#Data],$DD872,55),0)</f>
        <v/>
      </c>
      <c r="BF872">
        <f>IFERROR(INDEX(PP_Grid[#Data],$DD872,56),0)</f>
        <v/>
      </c>
      <c r="BG872">
        <f>IFERROR(INDEX(PP_Grid[#Data],$DD872,57),0)</f>
        <v/>
      </c>
      <c r="BH872">
        <f>IFERROR(INDEX(PP_Grid[#Data],$DD872,58),0)</f>
        <v/>
      </c>
      <c r="BI872">
        <f>IFERROR(INDEX(PP_Grid[#Data],$DD872,59),0)</f>
        <v/>
      </c>
      <c r="BJ872">
        <f>IFERROR(INDEX(PP_Grid[#Data],$DD872,60),0)</f>
        <v/>
      </c>
      <c r="BK872">
        <f>IFERROR(INDEX(PP_Grid[#Data],$DD872,61),0)</f>
        <v/>
      </c>
      <c r="BL872">
        <f>IFERROR(INDEX(PP_Grid[#Data],$DD872,62),0)</f>
        <v/>
      </c>
      <c r="BM872">
        <f>IFERROR(INDEX(PP_Grid[#Data],$DD872,63),0)</f>
        <v/>
      </c>
      <c r="BN872">
        <f>IFERROR(INDEX(PP_Grid[#Data],$DD872,64),0)</f>
        <v/>
      </c>
      <c r="BO872">
        <f>IFERROR(INDEX(PP_Grid[#Data],$DD872,65),0)</f>
        <v/>
      </c>
      <c r="BP872">
        <f>IFERROR(INDEX(PP_Grid[#Data],$DD872,66),0)</f>
        <v/>
      </c>
      <c r="BQ872">
        <f>IFERROR(INDEX(PP_Grid[#Data],$DD872,67),0)</f>
        <v/>
      </c>
      <c r="BR872">
        <f>IFERROR(INDEX(PP_Grid[#Data],$DD872,68),0)</f>
        <v/>
      </c>
      <c r="BS872">
        <f>IFERROR(INDEX(PP_Grid[#Data],$DD872,69),0)</f>
        <v/>
      </c>
      <c r="BT872">
        <f>IFERROR(INDEX(PP_Grid[#Data],$DD872,70),0)</f>
        <v/>
      </c>
      <c r="BU872">
        <f>IFERROR(INDEX(PP_Grid[#Data],$DD872,71),0)</f>
        <v/>
      </c>
      <c r="BV872">
        <f>IFERROR(INDEX(PP_Grid[#Data],$DD872,72),0)</f>
        <v/>
      </c>
      <c r="BW872">
        <f>IFERROR(INDEX(PP_Grid[#Data],$DD872,73),0)</f>
        <v/>
      </c>
      <c r="BX872">
        <f>IFERROR(INDEX(PP_Grid[#Data],$DD872,74),0)</f>
        <v/>
      </c>
      <c r="BY872">
        <f>IFERROR(INDEX(PP_Grid[#Data],$DD872,75),0)</f>
        <v/>
      </c>
      <c r="BZ872">
        <f>IFERROR(INDEX(PP_Grid[#Data],$DD872,76),0)</f>
        <v/>
      </c>
      <c r="CA872">
        <f>IFERROR(INDEX(PP_Grid[#Data],$DD872,77),0)</f>
        <v/>
      </c>
      <c r="CB872">
        <f>IFERROR(INDEX(PP_Grid[#Data],$DD872,78),0)</f>
        <v/>
      </c>
      <c r="CC872">
        <f>IFERROR(INDEX(PP_Grid[#Data],$DD872,79),0)</f>
        <v/>
      </c>
      <c r="CD872">
        <f>IFERROR(INDEX(PP_Grid[#Data],$DD872,80),0)</f>
        <v/>
      </c>
      <c r="CE872">
        <f>IFERROR(INDEX(PP_Grid[#Data],$DD872,81),0)</f>
        <v/>
      </c>
      <c r="CF872">
        <f>IFERROR(INDEX(PP_Grid[#Data],$DD872,82),0)</f>
        <v/>
      </c>
      <c r="CG872">
        <f>IFERROR(INDEX(PP_Grid[#Data],$DD872,83),0)</f>
        <v/>
      </c>
      <c r="CH872">
        <f>IFERROR(INDEX(PP_Grid[#Data],$DD872,84),0)</f>
        <v/>
      </c>
      <c r="CI872">
        <f>IFERROR(INDEX(PP_Grid[#Data],$DD872,85),0)</f>
        <v/>
      </c>
      <c r="CJ872">
        <f>IFERROR(INDEX(PP_Grid[#Data],$DD872,86),0)</f>
        <v/>
      </c>
      <c r="CK872">
        <f>IFERROR(INDEX(PP_Grid[#Data],$DD872,87),0)</f>
        <v/>
      </c>
      <c r="CL872">
        <f>IFERROR(INDEX(PP_Grid[#Data],$DD872,88),0)</f>
        <v/>
      </c>
      <c r="CM872">
        <f>IFERROR(INDEX(PP_Grid[#Data],$DD872,89),0)</f>
        <v/>
      </c>
      <c r="CN872">
        <f>IFERROR(INDEX(PP_Grid[#Data],$DD872,90),0)</f>
        <v/>
      </c>
      <c r="CO872">
        <f>IFERROR(INDEX(PP_Grid[#Data],$DD872,91),0)</f>
        <v/>
      </c>
      <c r="CP872">
        <f>IFERROR(INDEX(PP_Grid[#Data],$DD872,92),0)</f>
        <v/>
      </c>
      <c r="CQ872">
        <f>IFERROR(INDEX(PP_Grid[#Data],$DD872,93),0)</f>
        <v/>
      </c>
      <c r="CR872">
        <f>IFERROR(INDEX(PP_Grid[#Data],$DD872,94),0)</f>
        <v/>
      </c>
      <c r="CS872">
        <f>IFERROR(INDEX(PP_Grid[#Data],$DD872,95),0)</f>
        <v/>
      </c>
      <c r="CT872">
        <f>IFERROR(INDEX(PP_Grid[#Data],$DD872,96),0)</f>
        <v/>
      </c>
      <c r="CU872">
        <f>IFERROR(INDEX(PP_Grid[#Data],$DD872,97),0)</f>
        <v/>
      </c>
      <c r="CV872">
        <f>IFERROR(INDEX(PP_Grid[#Data],$DD872,98),0)</f>
        <v/>
      </c>
      <c r="CW872">
        <f>IFERROR(INDEX(PP_Grid[#Data],$DD872,99),0)</f>
        <v/>
      </c>
      <c r="CX872">
        <f>IFERROR(INDEX(PP_Grid[#Data],$DD872,100),0)</f>
        <v/>
      </c>
      <c r="CY872">
        <f>IFERROR(INDEX(PP_Grid[#Data],$DD872,101),0)</f>
        <v/>
      </c>
      <c r="CZ872">
        <f>IFERROR(INDEX(PP_Grid[#Data],$DD872,102),0)</f>
        <v/>
      </c>
      <c r="DA872">
        <f>IFERROR(INDEX(PP_Grid[#Data],$DD872,103),0)</f>
        <v/>
      </c>
      <c r="DB872">
        <f>IFERROR(INDEX(PP_Grid[#Data],$DD872,104),0)</f>
        <v/>
      </c>
      <c r="DC872">
        <f>IFERROR(INDEX(PP_Grid[#Data],$DD872,105),0)</f>
        <v/>
      </c>
      <c r="DD872" s="12">
        <f>IFERROR(MATCH($B872,PP_Grid[Intermediate],0),99999)</f>
        <v/>
      </c>
    </row>
    <row r="873">
      <c r="B873" t="inlineStr">
        <is>
          <t>使用量(kg)</t>
        </is>
      </c>
      <c r="C873">
        <f>SUMIFS(M_BOM[RM_Qty_Per_Batch],M_BOM[Intermediate],$B872,M_BOM[Part Name],$A869)</f>
        <v/>
      </c>
      <c r="D873">
        <f>$C873*D872</f>
        <v/>
      </c>
      <c r="E873">
        <f>$C873*E872</f>
        <v/>
      </c>
      <c r="F873">
        <f>$C873*F872</f>
        <v/>
      </c>
      <c r="G873">
        <f>$C873*G872</f>
        <v/>
      </c>
      <c r="H873">
        <f>$C873*H872</f>
        <v/>
      </c>
      <c r="I873">
        <f>$C873*I872</f>
        <v/>
      </c>
      <c r="J873">
        <f>$C873*J872</f>
        <v/>
      </c>
      <c r="K873">
        <f>$C873*K872</f>
        <v/>
      </c>
      <c r="L873">
        <f>$C873*L872</f>
        <v/>
      </c>
      <c r="M873">
        <f>$C873*M872</f>
        <v/>
      </c>
      <c r="N873">
        <f>$C873*N872</f>
        <v/>
      </c>
      <c r="O873">
        <f>$C873*O872</f>
        <v/>
      </c>
      <c r="P873">
        <f>$C873*P872</f>
        <v/>
      </c>
      <c r="Q873">
        <f>$C873*Q872</f>
        <v/>
      </c>
      <c r="R873">
        <f>$C873*R872</f>
        <v/>
      </c>
      <c r="S873">
        <f>$C873*S872</f>
        <v/>
      </c>
      <c r="T873">
        <f>$C873*T872</f>
        <v/>
      </c>
      <c r="U873">
        <f>$C873*U872</f>
        <v/>
      </c>
      <c r="V873">
        <f>$C873*V872</f>
        <v/>
      </c>
      <c r="W873">
        <f>$C873*W872</f>
        <v/>
      </c>
      <c r="X873">
        <f>$C873*X872</f>
        <v/>
      </c>
      <c r="Y873">
        <f>$C873*Y872</f>
        <v/>
      </c>
      <c r="Z873">
        <f>$C873*Z872</f>
        <v/>
      </c>
      <c r="AA873">
        <f>$C873*AA872</f>
        <v/>
      </c>
      <c r="AB873">
        <f>$C873*AB872</f>
        <v/>
      </c>
      <c r="AC873">
        <f>$C873*AC872</f>
        <v/>
      </c>
      <c r="AD873">
        <f>$C873*AD872</f>
        <v/>
      </c>
      <c r="AE873">
        <f>$C873*AE872</f>
        <v/>
      </c>
      <c r="AF873">
        <f>$C873*AF872</f>
        <v/>
      </c>
      <c r="AG873">
        <f>$C873*AG872</f>
        <v/>
      </c>
      <c r="AH873">
        <f>$C873*AH872</f>
        <v/>
      </c>
      <c r="AI873">
        <f>$C873*AI872</f>
        <v/>
      </c>
      <c r="AJ873">
        <f>$C873*AJ872</f>
        <v/>
      </c>
      <c r="AK873">
        <f>$C873*AK872</f>
        <v/>
      </c>
      <c r="AL873">
        <f>$C873*AL872</f>
        <v/>
      </c>
      <c r="AM873">
        <f>$C873*AM872</f>
        <v/>
      </c>
      <c r="AN873">
        <f>$C873*AN872</f>
        <v/>
      </c>
      <c r="AO873">
        <f>$C873*AO872</f>
        <v/>
      </c>
      <c r="AP873">
        <f>$C873*AP872</f>
        <v/>
      </c>
      <c r="AQ873">
        <f>$C873*AQ872</f>
        <v/>
      </c>
      <c r="AR873">
        <f>$C873*AR872</f>
        <v/>
      </c>
      <c r="AS873">
        <f>$C873*AS872</f>
        <v/>
      </c>
      <c r="AT873">
        <f>$C873*AT872</f>
        <v/>
      </c>
      <c r="AU873">
        <f>$C873*AU872</f>
        <v/>
      </c>
      <c r="AV873">
        <f>$C873*AV872</f>
        <v/>
      </c>
      <c r="AW873">
        <f>$C873*AW872</f>
        <v/>
      </c>
      <c r="AX873">
        <f>$C873*AX872</f>
        <v/>
      </c>
      <c r="AY873">
        <f>$C873*AY872</f>
        <v/>
      </c>
      <c r="AZ873">
        <f>$C873*AZ872</f>
        <v/>
      </c>
      <c r="BA873">
        <f>$C873*BA872</f>
        <v/>
      </c>
      <c r="BB873">
        <f>$C873*BB872</f>
        <v/>
      </c>
      <c r="BC873">
        <f>$C873*BC872</f>
        <v/>
      </c>
      <c r="BD873">
        <f>$C873*BD872</f>
        <v/>
      </c>
      <c r="BE873">
        <f>$C873*BE872</f>
        <v/>
      </c>
      <c r="BF873">
        <f>$C873*BF872</f>
        <v/>
      </c>
      <c r="BG873">
        <f>$C873*BG872</f>
        <v/>
      </c>
      <c r="BH873">
        <f>$C873*BH872</f>
        <v/>
      </c>
      <c r="BI873">
        <f>$C873*BI872</f>
        <v/>
      </c>
      <c r="BJ873">
        <f>$C873*BJ872</f>
        <v/>
      </c>
      <c r="BK873">
        <f>$C873*BK872</f>
        <v/>
      </c>
      <c r="BL873">
        <f>$C873*BL872</f>
        <v/>
      </c>
      <c r="BM873">
        <f>$C873*BM872</f>
        <v/>
      </c>
      <c r="BN873">
        <f>$C873*BN872</f>
        <v/>
      </c>
      <c r="BO873">
        <f>$C873*BO872</f>
        <v/>
      </c>
      <c r="BP873">
        <f>$C873*BP872</f>
        <v/>
      </c>
      <c r="BQ873">
        <f>$C873*BQ872</f>
        <v/>
      </c>
      <c r="BR873">
        <f>$C873*BR872</f>
        <v/>
      </c>
      <c r="BS873">
        <f>$C873*BS872</f>
        <v/>
      </c>
      <c r="BT873">
        <f>$C873*BT872</f>
        <v/>
      </c>
      <c r="BU873">
        <f>$C873*BU872</f>
        <v/>
      </c>
      <c r="BV873">
        <f>$C873*BV872</f>
        <v/>
      </c>
      <c r="BW873">
        <f>$C873*BW872</f>
        <v/>
      </c>
      <c r="BX873">
        <f>$C873*BX872</f>
        <v/>
      </c>
      <c r="BY873">
        <f>$C873*BY872</f>
        <v/>
      </c>
      <c r="BZ873">
        <f>$C873*BZ872</f>
        <v/>
      </c>
      <c r="CA873">
        <f>$C873*CA872</f>
        <v/>
      </c>
      <c r="CB873">
        <f>$C873*CB872</f>
        <v/>
      </c>
      <c r="CC873">
        <f>$C873*CC872</f>
        <v/>
      </c>
      <c r="CD873">
        <f>$C873*CD872</f>
        <v/>
      </c>
      <c r="CE873">
        <f>$C873*CE872</f>
        <v/>
      </c>
      <c r="CF873">
        <f>$C873*CF872</f>
        <v/>
      </c>
      <c r="CG873">
        <f>$C873*CG872</f>
        <v/>
      </c>
      <c r="CH873">
        <f>$C873*CH872</f>
        <v/>
      </c>
      <c r="CI873">
        <f>$C873*CI872</f>
        <v/>
      </c>
      <c r="CJ873">
        <f>$C873*CJ872</f>
        <v/>
      </c>
      <c r="CK873">
        <f>$C873*CK872</f>
        <v/>
      </c>
      <c r="CL873">
        <f>$C873*CL872</f>
        <v/>
      </c>
      <c r="CM873">
        <f>$C873*CM872</f>
        <v/>
      </c>
      <c r="CN873">
        <f>$C873*CN872</f>
        <v/>
      </c>
      <c r="CO873">
        <f>$C873*CO872</f>
        <v/>
      </c>
      <c r="CP873">
        <f>$C873*CP872</f>
        <v/>
      </c>
      <c r="CQ873">
        <f>$C873*CQ872</f>
        <v/>
      </c>
      <c r="CR873">
        <f>$C873*CR872</f>
        <v/>
      </c>
      <c r="CS873">
        <f>$C873*CS872</f>
        <v/>
      </c>
      <c r="CT873">
        <f>$C873*CT872</f>
        <v/>
      </c>
      <c r="CU873">
        <f>$C873*CU872</f>
        <v/>
      </c>
      <c r="CV873">
        <f>$C873*CV872</f>
        <v/>
      </c>
      <c r="CW873">
        <f>$C873*CW872</f>
        <v/>
      </c>
      <c r="CX873">
        <f>$C873*CX872</f>
        <v/>
      </c>
      <c r="CY873">
        <f>$C873*CY872</f>
        <v/>
      </c>
      <c r="CZ873">
        <f>$C873*CZ872</f>
        <v/>
      </c>
      <c r="DA873">
        <f>$C873*DA872</f>
        <v/>
      </c>
      <c r="DB873">
        <f>$C873*DB872</f>
        <v/>
      </c>
      <c r="DC873">
        <f>$C873*DC872</f>
        <v/>
      </c>
    </row>
    <row r="874">
      <c r="B874" t="inlineStr">
        <is>
          <t>TSP-1558</t>
        </is>
      </c>
      <c r="C874" t="inlineStr">
        <is>
          <t>No. of batches</t>
        </is>
      </c>
      <c r="D874">
        <f>IFERROR(INDEX(PP_Grid[#Data],$DD874,2),0)</f>
        <v/>
      </c>
      <c r="E874">
        <f>IFERROR(INDEX(PP_Grid[#Data],$DD874,3),0)</f>
        <v/>
      </c>
      <c r="F874">
        <f>IFERROR(INDEX(PP_Grid[#Data],$DD874,4),0)</f>
        <v/>
      </c>
      <c r="G874">
        <f>IFERROR(INDEX(PP_Grid[#Data],$DD874,5),0)</f>
        <v/>
      </c>
      <c r="H874">
        <f>IFERROR(INDEX(PP_Grid[#Data],$DD874,6),0)</f>
        <v/>
      </c>
      <c r="I874">
        <f>IFERROR(INDEX(PP_Grid[#Data],$DD874,7),0)</f>
        <v/>
      </c>
      <c r="J874">
        <f>IFERROR(INDEX(PP_Grid[#Data],$DD874,8),0)</f>
        <v/>
      </c>
      <c r="K874">
        <f>IFERROR(INDEX(PP_Grid[#Data],$DD874,9),0)</f>
        <v/>
      </c>
      <c r="L874">
        <f>IFERROR(INDEX(PP_Grid[#Data],$DD874,10),0)</f>
        <v/>
      </c>
      <c r="M874">
        <f>IFERROR(INDEX(PP_Grid[#Data],$DD874,11),0)</f>
        <v/>
      </c>
      <c r="N874">
        <f>IFERROR(INDEX(PP_Grid[#Data],$DD874,12),0)</f>
        <v/>
      </c>
      <c r="O874">
        <f>IFERROR(INDEX(PP_Grid[#Data],$DD874,13),0)</f>
        <v/>
      </c>
      <c r="P874">
        <f>IFERROR(INDEX(PP_Grid[#Data],$DD874,14),0)</f>
        <v/>
      </c>
      <c r="Q874">
        <f>IFERROR(INDEX(PP_Grid[#Data],$DD874,15),0)</f>
        <v/>
      </c>
      <c r="R874">
        <f>IFERROR(INDEX(PP_Grid[#Data],$DD874,16),0)</f>
        <v/>
      </c>
      <c r="S874">
        <f>IFERROR(INDEX(PP_Grid[#Data],$DD874,17),0)</f>
        <v/>
      </c>
      <c r="T874">
        <f>IFERROR(INDEX(PP_Grid[#Data],$DD874,18),0)</f>
        <v/>
      </c>
      <c r="U874">
        <f>IFERROR(INDEX(PP_Grid[#Data],$DD874,19),0)</f>
        <v/>
      </c>
      <c r="V874">
        <f>IFERROR(INDEX(PP_Grid[#Data],$DD874,20),0)</f>
        <v/>
      </c>
      <c r="W874">
        <f>IFERROR(INDEX(PP_Grid[#Data],$DD874,21),0)</f>
        <v/>
      </c>
      <c r="X874">
        <f>IFERROR(INDEX(PP_Grid[#Data],$DD874,22),0)</f>
        <v/>
      </c>
      <c r="Y874">
        <f>IFERROR(INDEX(PP_Grid[#Data],$DD874,23),0)</f>
        <v/>
      </c>
      <c r="Z874">
        <f>IFERROR(INDEX(PP_Grid[#Data],$DD874,24),0)</f>
        <v/>
      </c>
      <c r="AA874">
        <f>IFERROR(INDEX(PP_Grid[#Data],$DD874,25),0)</f>
        <v/>
      </c>
      <c r="AB874">
        <f>IFERROR(INDEX(PP_Grid[#Data],$DD874,26),0)</f>
        <v/>
      </c>
      <c r="AC874">
        <f>IFERROR(INDEX(PP_Grid[#Data],$DD874,27),0)</f>
        <v/>
      </c>
      <c r="AD874">
        <f>IFERROR(INDEX(PP_Grid[#Data],$DD874,28),0)</f>
        <v/>
      </c>
      <c r="AE874">
        <f>IFERROR(INDEX(PP_Grid[#Data],$DD874,29),0)</f>
        <v/>
      </c>
      <c r="AF874">
        <f>IFERROR(INDEX(PP_Grid[#Data],$DD874,30),0)</f>
        <v/>
      </c>
      <c r="AG874">
        <f>IFERROR(INDEX(PP_Grid[#Data],$DD874,31),0)</f>
        <v/>
      </c>
      <c r="AH874">
        <f>IFERROR(INDEX(PP_Grid[#Data],$DD874,32),0)</f>
        <v/>
      </c>
      <c r="AI874">
        <f>IFERROR(INDEX(PP_Grid[#Data],$DD874,33),0)</f>
        <v/>
      </c>
      <c r="AJ874">
        <f>IFERROR(INDEX(PP_Grid[#Data],$DD874,34),0)</f>
        <v/>
      </c>
      <c r="AK874">
        <f>IFERROR(INDEX(PP_Grid[#Data],$DD874,35),0)</f>
        <v/>
      </c>
      <c r="AL874">
        <f>IFERROR(INDEX(PP_Grid[#Data],$DD874,36),0)</f>
        <v/>
      </c>
      <c r="AM874">
        <f>IFERROR(INDEX(PP_Grid[#Data],$DD874,37),0)</f>
        <v/>
      </c>
      <c r="AN874">
        <f>IFERROR(INDEX(PP_Grid[#Data],$DD874,38),0)</f>
        <v/>
      </c>
      <c r="AO874">
        <f>IFERROR(INDEX(PP_Grid[#Data],$DD874,39),0)</f>
        <v/>
      </c>
      <c r="AP874">
        <f>IFERROR(INDEX(PP_Grid[#Data],$DD874,40),0)</f>
        <v/>
      </c>
      <c r="AQ874">
        <f>IFERROR(INDEX(PP_Grid[#Data],$DD874,41),0)</f>
        <v/>
      </c>
      <c r="AR874">
        <f>IFERROR(INDEX(PP_Grid[#Data],$DD874,42),0)</f>
        <v/>
      </c>
      <c r="AS874">
        <f>IFERROR(INDEX(PP_Grid[#Data],$DD874,43),0)</f>
        <v/>
      </c>
      <c r="AT874">
        <f>IFERROR(INDEX(PP_Grid[#Data],$DD874,44),0)</f>
        <v/>
      </c>
      <c r="AU874">
        <f>IFERROR(INDEX(PP_Grid[#Data],$DD874,45),0)</f>
        <v/>
      </c>
      <c r="AV874">
        <f>IFERROR(INDEX(PP_Grid[#Data],$DD874,46),0)</f>
        <v/>
      </c>
      <c r="AW874">
        <f>IFERROR(INDEX(PP_Grid[#Data],$DD874,47),0)</f>
        <v/>
      </c>
      <c r="AX874">
        <f>IFERROR(INDEX(PP_Grid[#Data],$DD874,48),0)</f>
        <v/>
      </c>
      <c r="AY874">
        <f>IFERROR(INDEX(PP_Grid[#Data],$DD874,49),0)</f>
        <v/>
      </c>
      <c r="AZ874">
        <f>IFERROR(INDEX(PP_Grid[#Data],$DD874,50),0)</f>
        <v/>
      </c>
      <c r="BA874">
        <f>IFERROR(INDEX(PP_Grid[#Data],$DD874,51),0)</f>
        <v/>
      </c>
      <c r="BB874">
        <f>IFERROR(INDEX(PP_Grid[#Data],$DD874,52),0)</f>
        <v/>
      </c>
      <c r="BC874">
        <f>IFERROR(INDEX(PP_Grid[#Data],$DD874,53),0)</f>
        <v/>
      </c>
      <c r="BD874">
        <f>IFERROR(INDEX(PP_Grid[#Data],$DD874,54),0)</f>
        <v/>
      </c>
      <c r="BE874">
        <f>IFERROR(INDEX(PP_Grid[#Data],$DD874,55),0)</f>
        <v/>
      </c>
      <c r="BF874">
        <f>IFERROR(INDEX(PP_Grid[#Data],$DD874,56),0)</f>
        <v/>
      </c>
      <c r="BG874">
        <f>IFERROR(INDEX(PP_Grid[#Data],$DD874,57),0)</f>
        <v/>
      </c>
      <c r="BH874">
        <f>IFERROR(INDEX(PP_Grid[#Data],$DD874,58),0)</f>
        <v/>
      </c>
      <c r="BI874">
        <f>IFERROR(INDEX(PP_Grid[#Data],$DD874,59),0)</f>
        <v/>
      </c>
      <c r="BJ874">
        <f>IFERROR(INDEX(PP_Grid[#Data],$DD874,60),0)</f>
        <v/>
      </c>
      <c r="BK874">
        <f>IFERROR(INDEX(PP_Grid[#Data],$DD874,61),0)</f>
        <v/>
      </c>
      <c r="BL874">
        <f>IFERROR(INDEX(PP_Grid[#Data],$DD874,62),0)</f>
        <v/>
      </c>
      <c r="BM874">
        <f>IFERROR(INDEX(PP_Grid[#Data],$DD874,63),0)</f>
        <v/>
      </c>
      <c r="BN874">
        <f>IFERROR(INDEX(PP_Grid[#Data],$DD874,64),0)</f>
        <v/>
      </c>
      <c r="BO874">
        <f>IFERROR(INDEX(PP_Grid[#Data],$DD874,65),0)</f>
        <v/>
      </c>
      <c r="BP874">
        <f>IFERROR(INDEX(PP_Grid[#Data],$DD874,66),0)</f>
        <v/>
      </c>
      <c r="BQ874">
        <f>IFERROR(INDEX(PP_Grid[#Data],$DD874,67),0)</f>
        <v/>
      </c>
      <c r="BR874">
        <f>IFERROR(INDEX(PP_Grid[#Data],$DD874,68),0)</f>
        <v/>
      </c>
      <c r="BS874">
        <f>IFERROR(INDEX(PP_Grid[#Data],$DD874,69),0)</f>
        <v/>
      </c>
      <c r="BT874">
        <f>IFERROR(INDEX(PP_Grid[#Data],$DD874,70),0)</f>
        <v/>
      </c>
      <c r="BU874">
        <f>IFERROR(INDEX(PP_Grid[#Data],$DD874,71),0)</f>
        <v/>
      </c>
      <c r="BV874">
        <f>IFERROR(INDEX(PP_Grid[#Data],$DD874,72),0)</f>
        <v/>
      </c>
      <c r="BW874">
        <f>IFERROR(INDEX(PP_Grid[#Data],$DD874,73),0)</f>
        <v/>
      </c>
      <c r="BX874">
        <f>IFERROR(INDEX(PP_Grid[#Data],$DD874,74),0)</f>
        <v/>
      </c>
      <c r="BY874">
        <f>IFERROR(INDEX(PP_Grid[#Data],$DD874,75),0)</f>
        <v/>
      </c>
      <c r="BZ874">
        <f>IFERROR(INDEX(PP_Grid[#Data],$DD874,76),0)</f>
        <v/>
      </c>
      <c r="CA874">
        <f>IFERROR(INDEX(PP_Grid[#Data],$DD874,77),0)</f>
        <v/>
      </c>
      <c r="CB874">
        <f>IFERROR(INDEX(PP_Grid[#Data],$DD874,78),0)</f>
        <v/>
      </c>
      <c r="CC874">
        <f>IFERROR(INDEX(PP_Grid[#Data],$DD874,79),0)</f>
        <v/>
      </c>
      <c r="CD874">
        <f>IFERROR(INDEX(PP_Grid[#Data],$DD874,80),0)</f>
        <v/>
      </c>
      <c r="CE874">
        <f>IFERROR(INDEX(PP_Grid[#Data],$DD874,81),0)</f>
        <v/>
      </c>
      <c r="CF874">
        <f>IFERROR(INDEX(PP_Grid[#Data],$DD874,82),0)</f>
        <v/>
      </c>
      <c r="CG874">
        <f>IFERROR(INDEX(PP_Grid[#Data],$DD874,83),0)</f>
        <v/>
      </c>
      <c r="CH874">
        <f>IFERROR(INDEX(PP_Grid[#Data],$DD874,84),0)</f>
        <v/>
      </c>
      <c r="CI874">
        <f>IFERROR(INDEX(PP_Grid[#Data],$DD874,85),0)</f>
        <v/>
      </c>
      <c r="CJ874">
        <f>IFERROR(INDEX(PP_Grid[#Data],$DD874,86),0)</f>
        <v/>
      </c>
      <c r="CK874">
        <f>IFERROR(INDEX(PP_Grid[#Data],$DD874,87),0)</f>
        <v/>
      </c>
      <c r="CL874">
        <f>IFERROR(INDEX(PP_Grid[#Data],$DD874,88),0)</f>
        <v/>
      </c>
      <c r="CM874">
        <f>IFERROR(INDEX(PP_Grid[#Data],$DD874,89),0)</f>
        <v/>
      </c>
      <c r="CN874">
        <f>IFERROR(INDEX(PP_Grid[#Data],$DD874,90),0)</f>
        <v/>
      </c>
      <c r="CO874">
        <f>IFERROR(INDEX(PP_Grid[#Data],$DD874,91),0)</f>
        <v/>
      </c>
      <c r="CP874">
        <f>IFERROR(INDEX(PP_Grid[#Data],$DD874,92),0)</f>
        <v/>
      </c>
      <c r="CQ874">
        <f>IFERROR(INDEX(PP_Grid[#Data],$DD874,93),0)</f>
        <v/>
      </c>
      <c r="CR874">
        <f>IFERROR(INDEX(PP_Grid[#Data],$DD874,94),0)</f>
        <v/>
      </c>
      <c r="CS874">
        <f>IFERROR(INDEX(PP_Grid[#Data],$DD874,95),0)</f>
        <v/>
      </c>
      <c r="CT874">
        <f>IFERROR(INDEX(PP_Grid[#Data],$DD874,96),0)</f>
        <v/>
      </c>
      <c r="CU874">
        <f>IFERROR(INDEX(PP_Grid[#Data],$DD874,97),0)</f>
        <v/>
      </c>
      <c r="CV874">
        <f>IFERROR(INDEX(PP_Grid[#Data],$DD874,98),0)</f>
        <v/>
      </c>
      <c r="CW874">
        <f>IFERROR(INDEX(PP_Grid[#Data],$DD874,99),0)</f>
        <v/>
      </c>
      <c r="CX874">
        <f>IFERROR(INDEX(PP_Grid[#Data],$DD874,100),0)</f>
        <v/>
      </c>
      <c r="CY874">
        <f>IFERROR(INDEX(PP_Grid[#Data],$DD874,101),0)</f>
        <v/>
      </c>
      <c r="CZ874">
        <f>IFERROR(INDEX(PP_Grid[#Data],$DD874,102),0)</f>
        <v/>
      </c>
      <c r="DA874">
        <f>IFERROR(INDEX(PP_Grid[#Data],$DD874,103),0)</f>
        <v/>
      </c>
      <c r="DB874">
        <f>IFERROR(INDEX(PP_Grid[#Data],$DD874,104),0)</f>
        <v/>
      </c>
      <c r="DC874">
        <f>IFERROR(INDEX(PP_Grid[#Data],$DD874,105),0)</f>
        <v/>
      </c>
      <c r="DD874" s="12">
        <f>IFERROR(MATCH($B874,PP_Grid[Intermediate],0),99999)</f>
        <v/>
      </c>
    </row>
    <row r="875">
      <c r="B875" t="inlineStr">
        <is>
          <t>使用量(kg)</t>
        </is>
      </c>
      <c r="C875">
        <f>SUMIFS(M_BOM[RM_Qty_Per_Batch],M_BOM[Intermediate],$B874,M_BOM[Part Name],$A869)</f>
        <v/>
      </c>
      <c r="D875">
        <f>$C875*D874</f>
        <v/>
      </c>
      <c r="E875">
        <f>$C875*E874</f>
        <v/>
      </c>
      <c r="F875">
        <f>$C875*F874</f>
        <v/>
      </c>
      <c r="G875">
        <f>$C875*G874</f>
        <v/>
      </c>
      <c r="H875">
        <f>$C875*H874</f>
        <v/>
      </c>
      <c r="I875">
        <f>$C875*I874</f>
        <v/>
      </c>
      <c r="J875">
        <f>$C875*J874</f>
        <v/>
      </c>
      <c r="K875">
        <f>$C875*K874</f>
        <v/>
      </c>
      <c r="L875">
        <f>$C875*L874</f>
        <v/>
      </c>
      <c r="M875">
        <f>$C875*M874</f>
        <v/>
      </c>
      <c r="N875">
        <f>$C875*N874</f>
        <v/>
      </c>
      <c r="O875">
        <f>$C875*O874</f>
        <v/>
      </c>
      <c r="P875">
        <f>$C875*P874</f>
        <v/>
      </c>
      <c r="Q875">
        <f>$C875*Q874</f>
        <v/>
      </c>
      <c r="R875">
        <f>$C875*R874</f>
        <v/>
      </c>
      <c r="S875">
        <f>$C875*S874</f>
        <v/>
      </c>
      <c r="T875">
        <f>$C875*T874</f>
        <v/>
      </c>
      <c r="U875">
        <f>$C875*U874</f>
        <v/>
      </c>
      <c r="V875">
        <f>$C875*V874</f>
        <v/>
      </c>
      <c r="W875">
        <f>$C875*W874</f>
        <v/>
      </c>
      <c r="X875">
        <f>$C875*X874</f>
        <v/>
      </c>
      <c r="Y875">
        <f>$C875*Y874</f>
        <v/>
      </c>
      <c r="Z875">
        <f>$C875*Z874</f>
        <v/>
      </c>
      <c r="AA875">
        <f>$C875*AA874</f>
        <v/>
      </c>
      <c r="AB875">
        <f>$C875*AB874</f>
        <v/>
      </c>
      <c r="AC875">
        <f>$C875*AC874</f>
        <v/>
      </c>
      <c r="AD875">
        <f>$C875*AD874</f>
        <v/>
      </c>
      <c r="AE875">
        <f>$C875*AE874</f>
        <v/>
      </c>
      <c r="AF875">
        <f>$C875*AF874</f>
        <v/>
      </c>
      <c r="AG875">
        <f>$C875*AG874</f>
        <v/>
      </c>
      <c r="AH875">
        <f>$C875*AH874</f>
        <v/>
      </c>
      <c r="AI875">
        <f>$C875*AI874</f>
        <v/>
      </c>
      <c r="AJ875">
        <f>$C875*AJ874</f>
        <v/>
      </c>
      <c r="AK875">
        <f>$C875*AK874</f>
        <v/>
      </c>
      <c r="AL875">
        <f>$C875*AL874</f>
        <v/>
      </c>
      <c r="AM875">
        <f>$C875*AM874</f>
        <v/>
      </c>
      <c r="AN875">
        <f>$C875*AN874</f>
        <v/>
      </c>
      <c r="AO875">
        <f>$C875*AO874</f>
        <v/>
      </c>
      <c r="AP875">
        <f>$C875*AP874</f>
        <v/>
      </c>
      <c r="AQ875">
        <f>$C875*AQ874</f>
        <v/>
      </c>
      <c r="AR875">
        <f>$C875*AR874</f>
        <v/>
      </c>
      <c r="AS875">
        <f>$C875*AS874</f>
        <v/>
      </c>
      <c r="AT875">
        <f>$C875*AT874</f>
        <v/>
      </c>
      <c r="AU875">
        <f>$C875*AU874</f>
        <v/>
      </c>
      <c r="AV875">
        <f>$C875*AV874</f>
        <v/>
      </c>
      <c r="AW875">
        <f>$C875*AW874</f>
        <v/>
      </c>
      <c r="AX875">
        <f>$C875*AX874</f>
        <v/>
      </c>
      <c r="AY875">
        <f>$C875*AY874</f>
        <v/>
      </c>
      <c r="AZ875">
        <f>$C875*AZ874</f>
        <v/>
      </c>
      <c r="BA875">
        <f>$C875*BA874</f>
        <v/>
      </c>
      <c r="BB875">
        <f>$C875*BB874</f>
        <v/>
      </c>
      <c r="BC875">
        <f>$C875*BC874</f>
        <v/>
      </c>
      <c r="BD875">
        <f>$C875*BD874</f>
        <v/>
      </c>
      <c r="BE875">
        <f>$C875*BE874</f>
        <v/>
      </c>
      <c r="BF875">
        <f>$C875*BF874</f>
        <v/>
      </c>
      <c r="BG875">
        <f>$C875*BG874</f>
        <v/>
      </c>
      <c r="BH875">
        <f>$C875*BH874</f>
        <v/>
      </c>
      <c r="BI875">
        <f>$C875*BI874</f>
        <v/>
      </c>
      <c r="BJ875">
        <f>$C875*BJ874</f>
        <v/>
      </c>
      <c r="BK875">
        <f>$C875*BK874</f>
        <v/>
      </c>
      <c r="BL875">
        <f>$C875*BL874</f>
        <v/>
      </c>
      <c r="BM875">
        <f>$C875*BM874</f>
        <v/>
      </c>
      <c r="BN875">
        <f>$C875*BN874</f>
        <v/>
      </c>
      <c r="BO875">
        <f>$C875*BO874</f>
        <v/>
      </c>
      <c r="BP875">
        <f>$C875*BP874</f>
        <v/>
      </c>
      <c r="BQ875">
        <f>$C875*BQ874</f>
        <v/>
      </c>
      <c r="BR875">
        <f>$C875*BR874</f>
        <v/>
      </c>
      <c r="BS875">
        <f>$C875*BS874</f>
        <v/>
      </c>
      <c r="BT875">
        <f>$C875*BT874</f>
        <v/>
      </c>
      <c r="BU875">
        <f>$C875*BU874</f>
        <v/>
      </c>
      <c r="BV875">
        <f>$C875*BV874</f>
        <v/>
      </c>
      <c r="BW875">
        <f>$C875*BW874</f>
        <v/>
      </c>
      <c r="BX875">
        <f>$C875*BX874</f>
        <v/>
      </c>
      <c r="BY875">
        <f>$C875*BY874</f>
        <v/>
      </c>
      <c r="BZ875">
        <f>$C875*BZ874</f>
        <v/>
      </c>
      <c r="CA875">
        <f>$C875*CA874</f>
        <v/>
      </c>
      <c r="CB875">
        <f>$C875*CB874</f>
        <v/>
      </c>
      <c r="CC875">
        <f>$C875*CC874</f>
        <v/>
      </c>
      <c r="CD875">
        <f>$C875*CD874</f>
        <v/>
      </c>
      <c r="CE875">
        <f>$C875*CE874</f>
        <v/>
      </c>
      <c r="CF875">
        <f>$C875*CF874</f>
        <v/>
      </c>
      <c r="CG875">
        <f>$C875*CG874</f>
        <v/>
      </c>
      <c r="CH875">
        <f>$C875*CH874</f>
        <v/>
      </c>
      <c r="CI875">
        <f>$C875*CI874</f>
        <v/>
      </c>
      <c r="CJ875">
        <f>$C875*CJ874</f>
        <v/>
      </c>
      <c r="CK875">
        <f>$C875*CK874</f>
        <v/>
      </c>
      <c r="CL875">
        <f>$C875*CL874</f>
        <v/>
      </c>
      <c r="CM875">
        <f>$C875*CM874</f>
        <v/>
      </c>
      <c r="CN875">
        <f>$C875*CN874</f>
        <v/>
      </c>
      <c r="CO875">
        <f>$C875*CO874</f>
        <v/>
      </c>
      <c r="CP875">
        <f>$C875*CP874</f>
        <v/>
      </c>
      <c r="CQ875">
        <f>$C875*CQ874</f>
        <v/>
      </c>
      <c r="CR875">
        <f>$C875*CR874</f>
        <v/>
      </c>
      <c r="CS875">
        <f>$C875*CS874</f>
        <v/>
      </c>
      <c r="CT875">
        <f>$C875*CT874</f>
        <v/>
      </c>
      <c r="CU875">
        <f>$C875*CU874</f>
        <v/>
      </c>
      <c r="CV875">
        <f>$C875*CV874</f>
        <v/>
      </c>
      <c r="CW875">
        <f>$C875*CW874</f>
        <v/>
      </c>
      <c r="CX875">
        <f>$C875*CX874</f>
        <v/>
      </c>
      <c r="CY875">
        <f>$C875*CY874</f>
        <v/>
      </c>
      <c r="CZ875">
        <f>$C875*CZ874</f>
        <v/>
      </c>
      <c r="DA875">
        <f>$C875*DA874</f>
        <v/>
      </c>
      <c r="DB875">
        <f>$C875*DB874</f>
        <v/>
      </c>
      <c r="DC875">
        <f>$C875*DC874</f>
        <v/>
      </c>
    </row>
    <row r="876">
      <c r="B876" t="inlineStr">
        <is>
          <t>TSP-1559</t>
        </is>
      </c>
      <c r="C876" t="inlineStr">
        <is>
          <t>No. of batches</t>
        </is>
      </c>
      <c r="D876">
        <f>IFERROR(INDEX(PP_Grid[#Data],$DD876,2),0)</f>
        <v/>
      </c>
      <c r="E876">
        <f>IFERROR(INDEX(PP_Grid[#Data],$DD876,3),0)</f>
        <v/>
      </c>
      <c r="F876">
        <f>IFERROR(INDEX(PP_Grid[#Data],$DD876,4),0)</f>
        <v/>
      </c>
      <c r="G876">
        <f>IFERROR(INDEX(PP_Grid[#Data],$DD876,5),0)</f>
        <v/>
      </c>
      <c r="H876">
        <f>IFERROR(INDEX(PP_Grid[#Data],$DD876,6),0)</f>
        <v/>
      </c>
      <c r="I876">
        <f>IFERROR(INDEX(PP_Grid[#Data],$DD876,7),0)</f>
        <v/>
      </c>
      <c r="J876">
        <f>IFERROR(INDEX(PP_Grid[#Data],$DD876,8),0)</f>
        <v/>
      </c>
      <c r="K876">
        <f>IFERROR(INDEX(PP_Grid[#Data],$DD876,9),0)</f>
        <v/>
      </c>
      <c r="L876">
        <f>IFERROR(INDEX(PP_Grid[#Data],$DD876,10),0)</f>
        <v/>
      </c>
      <c r="M876">
        <f>IFERROR(INDEX(PP_Grid[#Data],$DD876,11),0)</f>
        <v/>
      </c>
      <c r="N876">
        <f>IFERROR(INDEX(PP_Grid[#Data],$DD876,12),0)</f>
        <v/>
      </c>
      <c r="O876">
        <f>IFERROR(INDEX(PP_Grid[#Data],$DD876,13),0)</f>
        <v/>
      </c>
      <c r="P876">
        <f>IFERROR(INDEX(PP_Grid[#Data],$DD876,14),0)</f>
        <v/>
      </c>
      <c r="Q876">
        <f>IFERROR(INDEX(PP_Grid[#Data],$DD876,15),0)</f>
        <v/>
      </c>
      <c r="R876">
        <f>IFERROR(INDEX(PP_Grid[#Data],$DD876,16),0)</f>
        <v/>
      </c>
      <c r="S876">
        <f>IFERROR(INDEX(PP_Grid[#Data],$DD876,17),0)</f>
        <v/>
      </c>
      <c r="T876">
        <f>IFERROR(INDEX(PP_Grid[#Data],$DD876,18),0)</f>
        <v/>
      </c>
      <c r="U876">
        <f>IFERROR(INDEX(PP_Grid[#Data],$DD876,19),0)</f>
        <v/>
      </c>
      <c r="V876">
        <f>IFERROR(INDEX(PP_Grid[#Data],$DD876,20),0)</f>
        <v/>
      </c>
      <c r="W876">
        <f>IFERROR(INDEX(PP_Grid[#Data],$DD876,21),0)</f>
        <v/>
      </c>
      <c r="X876">
        <f>IFERROR(INDEX(PP_Grid[#Data],$DD876,22),0)</f>
        <v/>
      </c>
      <c r="Y876">
        <f>IFERROR(INDEX(PP_Grid[#Data],$DD876,23),0)</f>
        <v/>
      </c>
      <c r="Z876">
        <f>IFERROR(INDEX(PP_Grid[#Data],$DD876,24),0)</f>
        <v/>
      </c>
      <c r="AA876">
        <f>IFERROR(INDEX(PP_Grid[#Data],$DD876,25),0)</f>
        <v/>
      </c>
      <c r="AB876">
        <f>IFERROR(INDEX(PP_Grid[#Data],$DD876,26),0)</f>
        <v/>
      </c>
      <c r="AC876">
        <f>IFERROR(INDEX(PP_Grid[#Data],$DD876,27),0)</f>
        <v/>
      </c>
      <c r="AD876">
        <f>IFERROR(INDEX(PP_Grid[#Data],$DD876,28),0)</f>
        <v/>
      </c>
      <c r="AE876">
        <f>IFERROR(INDEX(PP_Grid[#Data],$DD876,29),0)</f>
        <v/>
      </c>
      <c r="AF876">
        <f>IFERROR(INDEX(PP_Grid[#Data],$DD876,30),0)</f>
        <v/>
      </c>
      <c r="AG876">
        <f>IFERROR(INDEX(PP_Grid[#Data],$DD876,31),0)</f>
        <v/>
      </c>
      <c r="AH876">
        <f>IFERROR(INDEX(PP_Grid[#Data],$DD876,32),0)</f>
        <v/>
      </c>
      <c r="AI876">
        <f>IFERROR(INDEX(PP_Grid[#Data],$DD876,33),0)</f>
        <v/>
      </c>
      <c r="AJ876">
        <f>IFERROR(INDEX(PP_Grid[#Data],$DD876,34),0)</f>
        <v/>
      </c>
      <c r="AK876">
        <f>IFERROR(INDEX(PP_Grid[#Data],$DD876,35),0)</f>
        <v/>
      </c>
      <c r="AL876">
        <f>IFERROR(INDEX(PP_Grid[#Data],$DD876,36),0)</f>
        <v/>
      </c>
      <c r="AM876">
        <f>IFERROR(INDEX(PP_Grid[#Data],$DD876,37),0)</f>
        <v/>
      </c>
      <c r="AN876">
        <f>IFERROR(INDEX(PP_Grid[#Data],$DD876,38),0)</f>
        <v/>
      </c>
      <c r="AO876">
        <f>IFERROR(INDEX(PP_Grid[#Data],$DD876,39),0)</f>
        <v/>
      </c>
      <c r="AP876">
        <f>IFERROR(INDEX(PP_Grid[#Data],$DD876,40),0)</f>
        <v/>
      </c>
      <c r="AQ876">
        <f>IFERROR(INDEX(PP_Grid[#Data],$DD876,41),0)</f>
        <v/>
      </c>
      <c r="AR876">
        <f>IFERROR(INDEX(PP_Grid[#Data],$DD876,42),0)</f>
        <v/>
      </c>
      <c r="AS876">
        <f>IFERROR(INDEX(PP_Grid[#Data],$DD876,43),0)</f>
        <v/>
      </c>
      <c r="AT876">
        <f>IFERROR(INDEX(PP_Grid[#Data],$DD876,44),0)</f>
        <v/>
      </c>
      <c r="AU876">
        <f>IFERROR(INDEX(PP_Grid[#Data],$DD876,45),0)</f>
        <v/>
      </c>
      <c r="AV876">
        <f>IFERROR(INDEX(PP_Grid[#Data],$DD876,46),0)</f>
        <v/>
      </c>
      <c r="AW876">
        <f>IFERROR(INDEX(PP_Grid[#Data],$DD876,47),0)</f>
        <v/>
      </c>
      <c r="AX876">
        <f>IFERROR(INDEX(PP_Grid[#Data],$DD876,48),0)</f>
        <v/>
      </c>
      <c r="AY876">
        <f>IFERROR(INDEX(PP_Grid[#Data],$DD876,49),0)</f>
        <v/>
      </c>
      <c r="AZ876">
        <f>IFERROR(INDEX(PP_Grid[#Data],$DD876,50),0)</f>
        <v/>
      </c>
      <c r="BA876">
        <f>IFERROR(INDEX(PP_Grid[#Data],$DD876,51),0)</f>
        <v/>
      </c>
      <c r="BB876">
        <f>IFERROR(INDEX(PP_Grid[#Data],$DD876,52),0)</f>
        <v/>
      </c>
      <c r="BC876">
        <f>IFERROR(INDEX(PP_Grid[#Data],$DD876,53),0)</f>
        <v/>
      </c>
      <c r="BD876">
        <f>IFERROR(INDEX(PP_Grid[#Data],$DD876,54),0)</f>
        <v/>
      </c>
      <c r="BE876">
        <f>IFERROR(INDEX(PP_Grid[#Data],$DD876,55),0)</f>
        <v/>
      </c>
      <c r="BF876">
        <f>IFERROR(INDEX(PP_Grid[#Data],$DD876,56),0)</f>
        <v/>
      </c>
      <c r="BG876">
        <f>IFERROR(INDEX(PP_Grid[#Data],$DD876,57),0)</f>
        <v/>
      </c>
      <c r="BH876">
        <f>IFERROR(INDEX(PP_Grid[#Data],$DD876,58),0)</f>
        <v/>
      </c>
      <c r="BI876">
        <f>IFERROR(INDEX(PP_Grid[#Data],$DD876,59),0)</f>
        <v/>
      </c>
      <c r="BJ876">
        <f>IFERROR(INDEX(PP_Grid[#Data],$DD876,60),0)</f>
        <v/>
      </c>
      <c r="BK876">
        <f>IFERROR(INDEX(PP_Grid[#Data],$DD876,61),0)</f>
        <v/>
      </c>
      <c r="BL876">
        <f>IFERROR(INDEX(PP_Grid[#Data],$DD876,62),0)</f>
        <v/>
      </c>
      <c r="BM876">
        <f>IFERROR(INDEX(PP_Grid[#Data],$DD876,63),0)</f>
        <v/>
      </c>
      <c r="BN876">
        <f>IFERROR(INDEX(PP_Grid[#Data],$DD876,64),0)</f>
        <v/>
      </c>
      <c r="BO876">
        <f>IFERROR(INDEX(PP_Grid[#Data],$DD876,65),0)</f>
        <v/>
      </c>
      <c r="BP876">
        <f>IFERROR(INDEX(PP_Grid[#Data],$DD876,66),0)</f>
        <v/>
      </c>
      <c r="BQ876">
        <f>IFERROR(INDEX(PP_Grid[#Data],$DD876,67),0)</f>
        <v/>
      </c>
      <c r="BR876">
        <f>IFERROR(INDEX(PP_Grid[#Data],$DD876,68),0)</f>
        <v/>
      </c>
      <c r="BS876">
        <f>IFERROR(INDEX(PP_Grid[#Data],$DD876,69),0)</f>
        <v/>
      </c>
      <c r="BT876">
        <f>IFERROR(INDEX(PP_Grid[#Data],$DD876,70),0)</f>
        <v/>
      </c>
      <c r="BU876">
        <f>IFERROR(INDEX(PP_Grid[#Data],$DD876,71),0)</f>
        <v/>
      </c>
      <c r="BV876">
        <f>IFERROR(INDEX(PP_Grid[#Data],$DD876,72),0)</f>
        <v/>
      </c>
      <c r="BW876">
        <f>IFERROR(INDEX(PP_Grid[#Data],$DD876,73),0)</f>
        <v/>
      </c>
      <c r="BX876">
        <f>IFERROR(INDEX(PP_Grid[#Data],$DD876,74),0)</f>
        <v/>
      </c>
      <c r="BY876">
        <f>IFERROR(INDEX(PP_Grid[#Data],$DD876,75),0)</f>
        <v/>
      </c>
      <c r="BZ876">
        <f>IFERROR(INDEX(PP_Grid[#Data],$DD876,76),0)</f>
        <v/>
      </c>
      <c r="CA876">
        <f>IFERROR(INDEX(PP_Grid[#Data],$DD876,77),0)</f>
        <v/>
      </c>
      <c r="CB876">
        <f>IFERROR(INDEX(PP_Grid[#Data],$DD876,78),0)</f>
        <v/>
      </c>
      <c r="CC876">
        <f>IFERROR(INDEX(PP_Grid[#Data],$DD876,79),0)</f>
        <v/>
      </c>
      <c r="CD876">
        <f>IFERROR(INDEX(PP_Grid[#Data],$DD876,80),0)</f>
        <v/>
      </c>
      <c r="CE876">
        <f>IFERROR(INDEX(PP_Grid[#Data],$DD876,81),0)</f>
        <v/>
      </c>
      <c r="CF876">
        <f>IFERROR(INDEX(PP_Grid[#Data],$DD876,82),0)</f>
        <v/>
      </c>
      <c r="CG876">
        <f>IFERROR(INDEX(PP_Grid[#Data],$DD876,83),0)</f>
        <v/>
      </c>
      <c r="CH876">
        <f>IFERROR(INDEX(PP_Grid[#Data],$DD876,84),0)</f>
        <v/>
      </c>
      <c r="CI876">
        <f>IFERROR(INDEX(PP_Grid[#Data],$DD876,85),0)</f>
        <v/>
      </c>
      <c r="CJ876">
        <f>IFERROR(INDEX(PP_Grid[#Data],$DD876,86),0)</f>
        <v/>
      </c>
      <c r="CK876">
        <f>IFERROR(INDEX(PP_Grid[#Data],$DD876,87),0)</f>
        <v/>
      </c>
      <c r="CL876">
        <f>IFERROR(INDEX(PP_Grid[#Data],$DD876,88),0)</f>
        <v/>
      </c>
      <c r="CM876">
        <f>IFERROR(INDEX(PP_Grid[#Data],$DD876,89),0)</f>
        <v/>
      </c>
      <c r="CN876">
        <f>IFERROR(INDEX(PP_Grid[#Data],$DD876,90),0)</f>
        <v/>
      </c>
      <c r="CO876">
        <f>IFERROR(INDEX(PP_Grid[#Data],$DD876,91),0)</f>
        <v/>
      </c>
      <c r="CP876">
        <f>IFERROR(INDEX(PP_Grid[#Data],$DD876,92),0)</f>
        <v/>
      </c>
      <c r="CQ876">
        <f>IFERROR(INDEX(PP_Grid[#Data],$DD876,93),0)</f>
        <v/>
      </c>
      <c r="CR876">
        <f>IFERROR(INDEX(PP_Grid[#Data],$DD876,94),0)</f>
        <v/>
      </c>
      <c r="CS876">
        <f>IFERROR(INDEX(PP_Grid[#Data],$DD876,95),0)</f>
        <v/>
      </c>
      <c r="CT876">
        <f>IFERROR(INDEX(PP_Grid[#Data],$DD876,96),0)</f>
        <v/>
      </c>
      <c r="CU876">
        <f>IFERROR(INDEX(PP_Grid[#Data],$DD876,97),0)</f>
        <v/>
      </c>
      <c r="CV876">
        <f>IFERROR(INDEX(PP_Grid[#Data],$DD876,98),0)</f>
        <v/>
      </c>
      <c r="CW876">
        <f>IFERROR(INDEX(PP_Grid[#Data],$DD876,99),0)</f>
        <v/>
      </c>
      <c r="CX876">
        <f>IFERROR(INDEX(PP_Grid[#Data],$DD876,100),0)</f>
        <v/>
      </c>
      <c r="CY876">
        <f>IFERROR(INDEX(PP_Grid[#Data],$DD876,101),0)</f>
        <v/>
      </c>
      <c r="CZ876">
        <f>IFERROR(INDEX(PP_Grid[#Data],$DD876,102),0)</f>
        <v/>
      </c>
      <c r="DA876">
        <f>IFERROR(INDEX(PP_Grid[#Data],$DD876,103),0)</f>
        <v/>
      </c>
      <c r="DB876">
        <f>IFERROR(INDEX(PP_Grid[#Data],$DD876,104),0)</f>
        <v/>
      </c>
      <c r="DC876">
        <f>IFERROR(INDEX(PP_Grid[#Data],$DD876,105),0)</f>
        <v/>
      </c>
      <c r="DD876" s="12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SUMIFS(M_BOM[RM_Qty_Per_Batch],M_BOM[Intermediate],$B876,M_BOM[Part Name],$A869)</f>
        <v/>
      </c>
      <c r="D877">
        <f>$C877*D876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</row>
    <row r="878">
      <c r="B878" t="inlineStr">
        <is>
          <t>TSP-224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Name],$A869)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TSP-668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Name],$A869)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TSP-669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Name],$A869)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TSP-670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Name],$A869)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s="5" t="inlineStr">
        <is>
          <t>合計使用量(kg)/週</t>
        </is>
      </c>
      <c r="D886">
        <f>'Grid_Requirement'!B4</f>
        <v/>
      </c>
      <c r="E886">
        <f>'Grid_Requirement'!C4</f>
        <v/>
      </c>
      <c r="F886">
        <f>'Grid_Requirement'!D4</f>
        <v/>
      </c>
      <c r="G886">
        <f>'Grid_Requirement'!E4</f>
        <v/>
      </c>
      <c r="H886">
        <f>'Grid_Requirement'!F4</f>
        <v/>
      </c>
      <c r="I886">
        <f>'Grid_Requirement'!G4</f>
        <v/>
      </c>
      <c r="J886">
        <f>'Grid_Requirement'!H4</f>
        <v/>
      </c>
      <c r="K886">
        <f>'Grid_Requirement'!I4</f>
        <v/>
      </c>
      <c r="L886">
        <f>'Grid_Requirement'!J4</f>
        <v/>
      </c>
      <c r="M886">
        <f>'Grid_Requirement'!K4</f>
        <v/>
      </c>
      <c r="N886">
        <f>'Grid_Requirement'!L4</f>
        <v/>
      </c>
      <c r="O886">
        <f>'Grid_Requirement'!M4</f>
        <v/>
      </c>
      <c r="P886">
        <f>'Grid_Requirement'!N4</f>
        <v/>
      </c>
      <c r="Q886">
        <f>'Grid_Requirement'!O4</f>
        <v/>
      </c>
      <c r="R886">
        <f>'Grid_Requirement'!P4</f>
        <v/>
      </c>
      <c r="S886">
        <f>'Grid_Requirement'!Q4</f>
        <v/>
      </c>
      <c r="T886">
        <f>'Grid_Requirement'!R4</f>
        <v/>
      </c>
      <c r="U886">
        <f>'Grid_Requirement'!S4</f>
        <v/>
      </c>
      <c r="V886">
        <f>'Grid_Requirement'!T4</f>
        <v/>
      </c>
      <c r="W886">
        <f>'Grid_Requirement'!U4</f>
        <v/>
      </c>
      <c r="X886">
        <f>'Grid_Requirement'!V4</f>
        <v/>
      </c>
      <c r="Y886">
        <f>'Grid_Requirement'!W4</f>
        <v/>
      </c>
      <c r="Z886">
        <f>'Grid_Requirement'!X4</f>
        <v/>
      </c>
      <c r="AA886">
        <f>'Grid_Requirement'!Y4</f>
        <v/>
      </c>
      <c r="AB886">
        <f>'Grid_Requirement'!Z4</f>
        <v/>
      </c>
      <c r="AC886">
        <f>'Grid_Requirement'!AA4</f>
        <v/>
      </c>
      <c r="AD886">
        <f>'Grid_Requirement'!AB4</f>
        <v/>
      </c>
      <c r="AE886">
        <f>'Grid_Requirement'!AC4</f>
        <v/>
      </c>
      <c r="AF886">
        <f>'Grid_Requirement'!AD4</f>
        <v/>
      </c>
      <c r="AG886">
        <f>'Grid_Requirement'!AE4</f>
        <v/>
      </c>
      <c r="AH886">
        <f>'Grid_Requirement'!AF4</f>
        <v/>
      </c>
      <c r="AI886">
        <f>'Grid_Requirement'!AG4</f>
        <v/>
      </c>
      <c r="AJ886">
        <f>'Grid_Requirement'!AH4</f>
        <v/>
      </c>
      <c r="AK886">
        <f>'Grid_Requirement'!AI4</f>
        <v/>
      </c>
      <c r="AL886">
        <f>'Grid_Requirement'!AJ4</f>
        <v/>
      </c>
      <c r="AM886">
        <f>'Grid_Requirement'!AK4</f>
        <v/>
      </c>
      <c r="AN886">
        <f>'Grid_Requirement'!AL4</f>
        <v/>
      </c>
      <c r="AO886">
        <f>'Grid_Requirement'!AM4</f>
        <v/>
      </c>
      <c r="AP886">
        <f>'Grid_Requirement'!AN4</f>
        <v/>
      </c>
      <c r="AQ886">
        <f>'Grid_Requirement'!AO4</f>
        <v/>
      </c>
      <c r="AR886">
        <f>'Grid_Requirement'!AP4</f>
        <v/>
      </c>
      <c r="AS886">
        <f>'Grid_Requirement'!AQ4</f>
        <v/>
      </c>
      <c r="AT886">
        <f>'Grid_Requirement'!AR4</f>
        <v/>
      </c>
      <c r="AU886">
        <f>'Grid_Requirement'!AS4</f>
        <v/>
      </c>
      <c r="AV886">
        <f>'Grid_Requirement'!AT4</f>
        <v/>
      </c>
      <c r="AW886">
        <f>'Grid_Requirement'!AU4</f>
        <v/>
      </c>
      <c r="AX886">
        <f>'Grid_Requirement'!AV4</f>
        <v/>
      </c>
      <c r="AY886">
        <f>'Grid_Requirement'!AW4</f>
        <v/>
      </c>
      <c r="AZ886">
        <f>'Grid_Requirement'!AX4</f>
        <v/>
      </c>
      <c r="BA886">
        <f>'Grid_Requirement'!AY4</f>
        <v/>
      </c>
      <c r="BB886">
        <f>'Grid_Requirement'!AZ4</f>
        <v/>
      </c>
      <c r="BC886">
        <f>'Grid_Requirement'!BA4</f>
        <v/>
      </c>
      <c r="BD886">
        <f>'Grid_Requirement'!BB4</f>
        <v/>
      </c>
      <c r="BE886">
        <f>'Grid_Requirement'!BC4</f>
        <v/>
      </c>
      <c r="BF886">
        <f>'Grid_Requirement'!BD4</f>
        <v/>
      </c>
      <c r="BG886">
        <f>'Grid_Requirement'!BE4</f>
        <v/>
      </c>
      <c r="BH886">
        <f>'Grid_Requirement'!BF4</f>
        <v/>
      </c>
      <c r="BI886">
        <f>'Grid_Requirement'!BG4</f>
        <v/>
      </c>
      <c r="BJ886">
        <f>'Grid_Requirement'!BH4</f>
        <v/>
      </c>
      <c r="BK886">
        <f>'Grid_Requirement'!BI4</f>
        <v/>
      </c>
      <c r="BL886">
        <f>'Grid_Requirement'!BJ4</f>
        <v/>
      </c>
      <c r="BM886">
        <f>'Grid_Requirement'!BK4</f>
        <v/>
      </c>
      <c r="BN886">
        <f>'Grid_Requirement'!BL4</f>
        <v/>
      </c>
      <c r="BO886">
        <f>'Grid_Requirement'!BM4</f>
        <v/>
      </c>
      <c r="BP886">
        <f>'Grid_Requirement'!BN4</f>
        <v/>
      </c>
      <c r="BQ886">
        <f>'Grid_Requirement'!BO4</f>
        <v/>
      </c>
      <c r="BR886">
        <f>'Grid_Requirement'!BP4</f>
        <v/>
      </c>
      <c r="BS886">
        <f>'Grid_Requirement'!BQ4</f>
        <v/>
      </c>
      <c r="BT886">
        <f>'Grid_Requirement'!BR4</f>
        <v/>
      </c>
      <c r="BU886">
        <f>'Grid_Requirement'!BS4</f>
        <v/>
      </c>
      <c r="BV886">
        <f>'Grid_Requirement'!BT4</f>
        <v/>
      </c>
      <c r="BW886">
        <f>'Grid_Requirement'!BU4</f>
        <v/>
      </c>
      <c r="BX886">
        <f>'Grid_Requirement'!BV4</f>
        <v/>
      </c>
      <c r="BY886">
        <f>'Grid_Requirement'!BW4</f>
        <v/>
      </c>
      <c r="BZ886">
        <f>'Grid_Requirement'!BX4</f>
        <v/>
      </c>
      <c r="CA886">
        <f>'Grid_Requirement'!BY4</f>
        <v/>
      </c>
      <c r="CB886">
        <f>'Grid_Requirement'!BZ4</f>
        <v/>
      </c>
      <c r="CC886">
        <f>'Grid_Requirement'!CA4</f>
        <v/>
      </c>
      <c r="CD886">
        <f>'Grid_Requirement'!CB4</f>
        <v/>
      </c>
      <c r="CE886">
        <f>'Grid_Requirement'!CC4</f>
        <v/>
      </c>
      <c r="CF886">
        <f>'Grid_Requirement'!CD4</f>
        <v/>
      </c>
      <c r="CG886">
        <f>'Grid_Requirement'!CE4</f>
        <v/>
      </c>
      <c r="CH886">
        <f>'Grid_Requirement'!CF4</f>
        <v/>
      </c>
      <c r="CI886">
        <f>'Grid_Requirement'!CG4</f>
        <v/>
      </c>
      <c r="CJ886">
        <f>'Grid_Requirement'!CH4</f>
        <v/>
      </c>
      <c r="CK886">
        <f>'Grid_Requirement'!CI4</f>
        <v/>
      </c>
      <c r="CL886">
        <f>'Grid_Requirement'!CJ4</f>
        <v/>
      </c>
      <c r="CM886">
        <f>'Grid_Requirement'!CK4</f>
        <v/>
      </c>
      <c r="CN886">
        <f>'Grid_Requirement'!CL4</f>
        <v/>
      </c>
      <c r="CO886">
        <f>'Grid_Requirement'!CM4</f>
        <v/>
      </c>
      <c r="CP886">
        <f>'Grid_Requirement'!CN4</f>
        <v/>
      </c>
      <c r="CQ886">
        <f>'Grid_Requirement'!CO4</f>
        <v/>
      </c>
      <c r="CR886">
        <f>'Grid_Requirement'!CP4</f>
        <v/>
      </c>
      <c r="CS886">
        <f>'Grid_Requirement'!CQ4</f>
        <v/>
      </c>
      <c r="CT886">
        <f>'Grid_Requirement'!CR4</f>
        <v/>
      </c>
      <c r="CU886">
        <f>'Grid_Requirement'!CS4</f>
        <v/>
      </c>
      <c r="CV886">
        <f>'Grid_Requirement'!CT4</f>
        <v/>
      </c>
      <c r="CW886">
        <f>'Grid_Requirement'!CU4</f>
        <v/>
      </c>
      <c r="CX886">
        <f>'Grid_Requirement'!CV4</f>
        <v/>
      </c>
      <c r="CY886">
        <f>'Grid_Requirement'!CW4</f>
        <v/>
      </c>
      <c r="CZ886">
        <f>'Grid_Requirement'!CX4</f>
        <v/>
      </c>
      <c r="DA886">
        <f>'Grid_Requirement'!CY4</f>
        <v/>
      </c>
      <c r="DB886">
        <f>'Grid_Requirement'!CZ4</f>
        <v/>
      </c>
      <c r="DC886">
        <f>'Grid_Requirement'!DA4</f>
        <v/>
      </c>
    </row>
    <row r="887">
      <c r="B887" t="inlineStr">
        <is>
          <t>TTAF在庫(実績,kg)</t>
        </is>
      </c>
      <c r="D887">
        <f>'T_TTAFStock'!B8</f>
        <v/>
      </c>
      <c r="E887">
        <f>'T_TTAFStock'!C8</f>
        <v/>
      </c>
      <c r="F887">
        <f>'T_TTAFStock'!D8</f>
        <v/>
      </c>
      <c r="G887">
        <f>'T_TTAFStock'!E8</f>
        <v/>
      </c>
      <c r="H887">
        <f>'T_TTAFStock'!F8</f>
        <v/>
      </c>
      <c r="I887">
        <f>'T_TTAFStock'!G8</f>
        <v/>
      </c>
      <c r="J887">
        <f>'T_TTAFStock'!H8</f>
        <v/>
      </c>
      <c r="K887">
        <f>'T_TTAFStock'!I8</f>
        <v/>
      </c>
      <c r="L887">
        <f>'T_TTAFStock'!J8</f>
        <v/>
      </c>
      <c r="M887">
        <f>'T_TTAFStock'!K8</f>
        <v/>
      </c>
      <c r="N887">
        <f>'T_TTAFStock'!L8</f>
        <v/>
      </c>
      <c r="O887">
        <f>'T_TTAFStock'!M8</f>
        <v/>
      </c>
      <c r="P887">
        <f>'T_TTAFStock'!N8</f>
        <v/>
      </c>
      <c r="Q887">
        <f>'T_TTAFStock'!O8</f>
        <v/>
      </c>
      <c r="R887">
        <f>'T_TTAFStock'!P8</f>
        <v/>
      </c>
      <c r="S887">
        <f>'T_TTAFStock'!Q8</f>
        <v/>
      </c>
      <c r="T887">
        <f>'T_TTAFStock'!R8</f>
        <v/>
      </c>
      <c r="U887">
        <f>'T_TTAFStock'!S8</f>
        <v/>
      </c>
      <c r="V887">
        <f>'T_TTAFStock'!T8</f>
        <v/>
      </c>
      <c r="W887">
        <f>'T_TTAFStock'!U8</f>
        <v/>
      </c>
      <c r="X887">
        <f>'T_TTAFStock'!V8</f>
        <v/>
      </c>
      <c r="Y887">
        <f>'T_TTAFStock'!W8</f>
        <v/>
      </c>
      <c r="Z887">
        <f>'T_TTAFStock'!X8</f>
        <v/>
      </c>
      <c r="AA887">
        <f>'T_TTAFStock'!Y8</f>
        <v/>
      </c>
      <c r="AB887">
        <f>'T_TTAFStock'!Z8</f>
        <v/>
      </c>
      <c r="AC887">
        <f>'T_TTAFStock'!AA8</f>
        <v/>
      </c>
      <c r="AD887">
        <f>'T_TTAFStock'!AB8</f>
        <v/>
      </c>
      <c r="AE887">
        <f>'T_TTAFStock'!AC8</f>
        <v/>
      </c>
      <c r="AF887">
        <f>'T_TTAFStock'!AD8</f>
        <v/>
      </c>
      <c r="AG887">
        <f>'T_TTAFStock'!AE8</f>
        <v/>
      </c>
      <c r="AH887">
        <f>'T_TTAFStock'!AF8</f>
        <v/>
      </c>
      <c r="AI887">
        <f>'T_TTAFStock'!AG8</f>
        <v/>
      </c>
      <c r="AJ887">
        <f>'T_TTAFStock'!AH8</f>
        <v/>
      </c>
      <c r="AK887">
        <f>'T_TTAFStock'!AI8</f>
        <v/>
      </c>
      <c r="AL887">
        <f>'T_TTAFStock'!AJ8</f>
        <v/>
      </c>
      <c r="AM887">
        <f>'T_TTAFStock'!AK8</f>
        <v/>
      </c>
      <c r="AN887">
        <f>'T_TTAFStock'!AL8</f>
        <v/>
      </c>
      <c r="AO887">
        <f>'T_TTAFStock'!AM8</f>
        <v/>
      </c>
      <c r="AP887">
        <f>'T_TTAFStock'!AN8</f>
        <v/>
      </c>
      <c r="AQ887">
        <f>'T_TTAFStock'!AO8</f>
        <v/>
      </c>
      <c r="AR887">
        <f>'T_TTAFStock'!AP8</f>
        <v/>
      </c>
      <c r="AS887">
        <f>'T_TTAFStock'!AQ8</f>
        <v/>
      </c>
      <c r="AT887">
        <f>'T_TTAFStock'!AR8</f>
        <v/>
      </c>
      <c r="AU887">
        <f>'T_TTAFStock'!AS8</f>
        <v/>
      </c>
      <c r="AV887">
        <f>'T_TTAFStock'!AT8</f>
        <v/>
      </c>
      <c r="AW887">
        <f>'T_TTAFStock'!AU8</f>
        <v/>
      </c>
      <c r="AX887">
        <f>'T_TTAFStock'!AV8</f>
        <v/>
      </c>
      <c r="AY887">
        <f>'T_TTAFStock'!AW8</f>
        <v/>
      </c>
      <c r="AZ887">
        <f>'T_TTAFStock'!AX8</f>
        <v/>
      </c>
      <c r="BA887">
        <f>'T_TTAFStock'!AY8</f>
        <v/>
      </c>
      <c r="BB887">
        <f>'T_TTAFStock'!AZ8</f>
        <v/>
      </c>
      <c r="BC887">
        <f>'T_TTAFStock'!BA8</f>
        <v/>
      </c>
      <c r="BD887">
        <f>'T_TTAFStock'!BB8</f>
        <v/>
      </c>
      <c r="BE887">
        <f>'T_TTAFStock'!BC8</f>
        <v/>
      </c>
      <c r="BF887">
        <f>'T_TTAFStock'!BD8</f>
        <v/>
      </c>
      <c r="BG887">
        <f>'T_TTAFStock'!BE8</f>
        <v/>
      </c>
      <c r="BH887">
        <f>'T_TTAFStock'!BF8</f>
        <v/>
      </c>
      <c r="BI887">
        <f>'T_TTAFStock'!BG8</f>
        <v/>
      </c>
      <c r="BJ887">
        <f>'T_TTAFStock'!BH8</f>
        <v/>
      </c>
      <c r="BK887">
        <f>'T_TTAFStock'!BI8</f>
        <v/>
      </c>
      <c r="BL887">
        <f>'T_TTAFStock'!BJ8</f>
        <v/>
      </c>
      <c r="BM887">
        <f>'T_TTAFStock'!BK8</f>
        <v/>
      </c>
      <c r="BN887">
        <f>'T_TTAFStock'!BL8</f>
        <v/>
      </c>
      <c r="BO887">
        <f>'T_TTAFStock'!BM8</f>
        <v/>
      </c>
      <c r="BP887">
        <f>'T_TTAFStock'!BN8</f>
        <v/>
      </c>
      <c r="BQ887">
        <f>'T_TTAFStock'!BO8</f>
        <v/>
      </c>
      <c r="BR887">
        <f>'T_TTAFStock'!BP8</f>
        <v/>
      </c>
      <c r="BS887">
        <f>'T_TTAFStock'!BQ8</f>
        <v/>
      </c>
      <c r="BT887">
        <f>'T_TTAFStock'!BR8</f>
        <v/>
      </c>
      <c r="BU887">
        <f>'T_TTAFStock'!BS8</f>
        <v/>
      </c>
      <c r="BV887">
        <f>'T_TTAFStock'!BT8</f>
        <v/>
      </c>
      <c r="BW887">
        <f>'T_TTAFStock'!BU8</f>
        <v/>
      </c>
      <c r="BX887">
        <f>'T_TTAFStock'!BV8</f>
        <v/>
      </c>
      <c r="BY887">
        <f>'T_TTAFStock'!BW8</f>
        <v/>
      </c>
      <c r="BZ887">
        <f>'T_TTAFStock'!BX8</f>
        <v/>
      </c>
      <c r="CA887">
        <f>'T_TTAFStock'!BY8</f>
        <v/>
      </c>
      <c r="CB887">
        <f>'T_TTAFStock'!BZ8</f>
        <v/>
      </c>
      <c r="CC887">
        <f>'T_TTAFStock'!CA8</f>
        <v/>
      </c>
      <c r="CD887">
        <f>'T_TTAFStock'!CB8</f>
        <v/>
      </c>
      <c r="CE887">
        <f>'T_TTAFStock'!CC8</f>
        <v/>
      </c>
      <c r="CF887">
        <f>'T_TTAFStock'!CD8</f>
        <v/>
      </c>
      <c r="CG887">
        <f>'T_TTAFStock'!CE8</f>
        <v/>
      </c>
      <c r="CH887">
        <f>'T_TTAFStock'!CF8</f>
        <v/>
      </c>
      <c r="CI887">
        <f>'T_TTAFStock'!CG8</f>
        <v/>
      </c>
      <c r="CJ887">
        <f>'T_TTAFStock'!CH8</f>
        <v/>
      </c>
      <c r="CK887">
        <f>'T_TTAFStock'!CI8</f>
        <v/>
      </c>
      <c r="CL887">
        <f>'T_TTAFStock'!CJ8</f>
        <v/>
      </c>
      <c r="CM887">
        <f>'T_TTAFStock'!CK8</f>
        <v/>
      </c>
      <c r="CN887">
        <f>'T_TTAFStock'!CL8</f>
        <v/>
      </c>
      <c r="CO887">
        <f>'T_TTAFStock'!CM8</f>
        <v/>
      </c>
      <c r="CP887">
        <f>'T_TTAFStock'!CN8</f>
        <v/>
      </c>
      <c r="CQ887">
        <f>'T_TTAFStock'!CO8</f>
        <v/>
      </c>
      <c r="CR887">
        <f>'T_TTAFStock'!CP8</f>
        <v/>
      </c>
      <c r="CS887">
        <f>'T_TTAFStock'!CQ8</f>
        <v/>
      </c>
      <c r="CT887">
        <f>'T_TTAFStock'!CR8</f>
        <v/>
      </c>
      <c r="CU887">
        <f>'T_TTAFStock'!CS8</f>
        <v/>
      </c>
      <c r="CV887">
        <f>'T_TTAFStock'!CT8</f>
        <v/>
      </c>
      <c r="CW887">
        <f>'T_TTAFStock'!CU8</f>
        <v/>
      </c>
      <c r="CX887">
        <f>'T_TTAFStock'!CV8</f>
        <v/>
      </c>
      <c r="CY887">
        <f>'T_TTAFStock'!CW8</f>
        <v/>
      </c>
      <c r="CZ887">
        <f>'T_TTAFStock'!CX8</f>
        <v/>
      </c>
      <c r="DA887">
        <f>'T_TTAFStock'!CY8</f>
        <v/>
      </c>
      <c r="DB887">
        <f>'T_TTAFStock'!CZ8</f>
        <v/>
      </c>
      <c r="DC887">
        <f>'T_TTAFStock'!DA8</f>
        <v/>
      </c>
    </row>
    <row r="888">
      <c r="B888" t="inlineStr">
        <is>
          <t>自社在庫(実績,kg)</t>
        </is>
      </c>
      <c r="D888">
        <f>'T_SelfStock'!B8</f>
        <v/>
      </c>
      <c r="E888">
        <f>'T_SelfStock'!C8</f>
        <v/>
      </c>
      <c r="F888">
        <f>'T_SelfStock'!D8</f>
        <v/>
      </c>
      <c r="G888">
        <f>'T_SelfStock'!E8</f>
        <v/>
      </c>
      <c r="H888">
        <f>'T_SelfStock'!F8</f>
        <v/>
      </c>
      <c r="I888">
        <f>'T_SelfStock'!G8</f>
        <v/>
      </c>
      <c r="J888">
        <f>'T_SelfStock'!H8</f>
        <v/>
      </c>
      <c r="K888">
        <f>'T_SelfStock'!I8</f>
        <v/>
      </c>
      <c r="L888">
        <f>'T_SelfStock'!J8</f>
        <v/>
      </c>
      <c r="M888">
        <f>'T_SelfStock'!K8</f>
        <v/>
      </c>
      <c r="N888">
        <f>'T_SelfStock'!L8</f>
        <v/>
      </c>
      <c r="O888">
        <f>'T_SelfStock'!M8</f>
        <v/>
      </c>
      <c r="P888">
        <f>'T_SelfStock'!N8</f>
        <v/>
      </c>
      <c r="Q888">
        <f>'T_SelfStock'!O8</f>
        <v/>
      </c>
      <c r="R888">
        <f>'T_SelfStock'!P8</f>
        <v/>
      </c>
      <c r="S888">
        <f>'T_SelfStock'!Q8</f>
        <v/>
      </c>
      <c r="T888">
        <f>'T_SelfStock'!R8</f>
        <v/>
      </c>
      <c r="U888">
        <f>'T_SelfStock'!S8</f>
        <v/>
      </c>
      <c r="V888">
        <f>'T_SelfStock'!T8</f>
        <v/>
      </c>
      <c r="W888">
        <f>'T_SelfStock'!U8</f>
        <v/>
      </c>
      <c r="X888">
        <f>'T_SelfStock'!V8</f>
        <v/>
      </c>
      <c r="Y888">
        <f>'T_SelfStock'!W8</f>
        <v/>
      </c>
      <c r="Z888">
        <f>'T_SelfStock'!X8</f>
        <v/>
      </c>
      <c r="AA888">
        <f>'T_SelfStock'!Y8</f>
        <v/>
      </c>
      <c r="AB888">
        <f>'T_SelfStock'!Z8</f>
        <v/>
      </c>
      <c r="AC888">
        <f>'T_SelfStock'!AA8</f>
        <v/>
      </c>
      <c r="AD888">
        <f>'T_SelfStock'!AB8</f>
        <v/>
      </c>
      <c r="AE888">
        <f>'T_SelfStock'!AC8</f>
        <v/>
      </c>
      <c r="AF888">
        <f>'T_SelfStock'!AD8</f>
        <v/>
      </c>
      <c r="AG888">
        <f>'T_SelfStock'!AE8</f>
        <v/>
      </c>
      <c r="AH888">
        <f>'T_SelfStock'!AF8</f>
        <v/>
      </c>
      <c r="AI888">
        <f>'T_SelfStock'!AG8</f>
        <v/>
      </c>
      <c r="AJ888">
        <f>'T_SelfStock'!AH8</f>
        <v/>
      </c>
      <c r="AK888">
        <f>'T_SelfStock'!AI8</f>
        <v/>
      </c>
      <c r="AL888">
        <f>'T_SelfStock'!AJ8</f>
        <v/>
      </c>
      <c r="AM888">
        <f>'T_SelfStock'!AK8</f>
        <v/>
      </c>
      <c r="AN888">
        <f>'T_SelfStock'!AL8</f>
        <v/>
      </c>
      <c r="AO888">
        <f>'T_SelfStock'!AM8</f>
        <v/>
      </c>
      <c r="AP888">
        <f>'T_SelfStock'!AN8</f>
        <v/>
      </c>
      <c r="AQ888">
        <f>'T_SelfStock'!AO8</f>
        <v/>
      </c>
      <c r="AR888">
        <f>'T_SelfStock'!AP8</f>
        <v/>
      </c>
      <c r="AS888">
        <f>'T_SelfStock'!AQ8</f>
        <v/>
      </c>
      <c r="AT888">
        <f>'T_SelfStock'!AR8</f>
        <v/>
      </c>
      <c r="AU888">
        <f>'T_SelfStock'!AS8</f>
        <v/>
      </c>
      <c r="AV888">
        <f>'T_SelfStock'!AT8</f>
        <v/>
      </c>
      <c r="AW888">
        <f>'T_SelfStock'!AU8</f>
        <v/>
      </c>
      <c r="AX888">
        <f>'T_SelfStock'!AV8</f>
        <v/>
      </c>
      <c r="AY888">
        <f>'T_SelfStock'!AW8</f>
        <v/>
      </c>
      <c r="AZ888">
        <f>'T_SelfStock'!AX8</f>
        <v/>
      </c>
      <c r="BA888">
        <f>'T_SelfStock'!AY8</f>
        <v/>
      </c>
      <c r="BB888">
        <f>'T_SelfStock'!AZ8</f>
        <v/>
      </c>
      <c r="BC888">
        <f>'T_SelfStock'!BA8</f>
        <v/>
      </c>
      <c r="BD888">
        <f>'T_SelfStock'!BB8</f>
        <v/>
      </c>
      <c r="BE888">
        <f>'T_SelfStock'!BC8</f>
        <v/>
      </c>
      <c r="BF888">
        <f>'T_SelfStock'!BD8</f>
        <v/>
      </c>
      <c r="BG888">
        <f>'T_SelfStock'!BE8</f>
        <v/>
      </c>
      <c r="BH888">
        <f>'T_SelfStock'!BF8</f>
        <v/>
      </c>
      <c r="BI888">
        <f>'T_SelfStock'!BG8</f>
        <v/>
      </c>
      <c r="BJ888">
        <f>'T_SelfStock'!BH8</f>
        <v/>
      </c>
      <c r="BK888">
        <f>'T_SelfStock'!BI8</f>
        <v/>
      </c>
      <c r="BL888">
        <f>'T_SelfStock'!BJ8</f>
        <v/>
      </c>
      <c r="BM888">
        <f>'T_SelfStock'!BK8</f>
        <v/>
      </c>
      <c r="BN888">
        <f>'T_SelfStock'!BL8</f>
        <v/>
      </c>
      <c r="BO888">
        <f>'T_SelfStock'!BM8</f>
        <v/>
      </c>
      <c r="BP888">
        <f>'T_SelfStock'!BN8</f>
        <v/>
      </c>
      <c r="BQ888">
        <f>'T_SelfStock'!BO8</f>
        <v/>
      </c>
      <c r="BR888">
        <f>'T_SelfStock'!BP8</f>
        <v/>
      </c>
      <c r="BS888">
        <f>'T_SelfStock'!BQ8</f>
        <v/>
      </c>
      <c r="BT888">
        <f>'T_SelfStock'!BR8</f>
        <v/>
      </c>
      <c r="BU888">
        <f>'T_SelfStock'!BS8</f>
        <v/>
      </c>
      <c r="BV888">
        <f>'T_SelfStock'!BT8</f>
        <v/>
      </c>
      <c r="BW888">
        <f>'T_SelfStock'!BU8</f>
        <v/>
      </c>
      <c r="BX888">
        <f>'T_SelfStock'!BV8</f>
        <v/>
      </c>
      <c r="BY888">
        <f>'T_SelfStock'!BW8</f>
        <v/>
      </c>
      <c r="BZ888">
        <f>'T_SelfStock'!BX8</f>
        <v/>
      </c>
      <c r="CA888">
        <f>'T_SelfStock'!BY8</f>
        <v/>
      </c>
      <c r="CB888">
        <f>'T_SelfStock'!BZ8</f>
        <v/>
      </c>
      <c r="CC888">
        <f>'T_SelfStock'!CA8</f>
        <v/>
      </c>
      <c r="CD888">
        <f>'T_SelfStock'!CB8</f>
        <v/>
      </c>
      <c r="CE888">
        <f>'T_SelfStock'!CC8</f>
        <v/>
      </c>
      <c r="CF888">
        <f>'T_SelfStock'!CD8</f>
        <v/>
      </c>
      <c r="CG888">
        <f>'T_SelfStock'!CE8</f>
        <v/>
      </c>
      <c r="CH888">
        <f>'T_SelfStock'!CF8</f>
        <v/>
      </c>
      <c r="CI888">
        <f>'T_SelfStock'!CG8</f>
        <v/>
      </c>
      <c r="CJ888">
        <f>'T_SelfStock'!CH8</f>
        <v/>
      </c>
      <c r="CK888">
        <f>'T_SelfStock'!CI8</f>
        <v/>
      </c>
      <c r="CL888">
        <f>'T_SelfStock'!CJ8</f>
        <v/>
      </c>
      <c r="CM888">
        <f>'T_SelfStock'!CK8</f>
        <v/>
      </c>
      <c r="CN888">
        <f>'T_SelfStock'!CL8</f>
        <v/>
      </c>
      <c r="CO888">
        <f>'T_SelfStock'!CM8</f>
        <v/>
      </c>
      <c r="CP888">
        <f>'T_SelfStock'!CN8</f>
        <v/>
      </c>
      <c r="CQ888">
        <f>'T_SelfStock'!CO8</f>
        <v/>
      </c>
      <c r="CR888">
        <f>'T_SelfStock'!CP8</f>
        <v/>
      </c>
      <c r="CS888">
        <f>'T_SelfStock'!CQ8</f>
        <v/>
      </c>
      <c r="CT888">
        <f>'T_SelfStock'!CR8</f>
        <v/>
      </c>
      <c r="CU888">
        <f>'T_SelfStock'!CS8</f>
        <v/>
      </c>
      <c r="CV888">
        <f>'T_SelfStock'!CT8</f>
        <v/>
      </c>
      <c r="CW888">
        <f>'T_SelfStock'!CU8</f>
        <v/>
      </c>
      <c r="CX888">
        <f>'T_SelfStock'!CV8</f>
        <v/>
      </c>
      <c r="CY888">
        <f>'T_SelfStock'!CW8</f>
        <v/>
      </c>
      <c r="CZ888">
        <f>'T_SelfStock'!CX8</f>
        <v/>
      </c>
      <c r="DA888">
        <f>'T_SelfStock'!CY8</f>
        <v/>
      </c>
      <c r="DB888">
        <f>'T_SelfStock'!CZ8</f>
        <v/>
      </c>
      <c r="DC888">
        <f>'T_SelfStock'!DA8</f>
        <v/>
      </c>
    </row>
    <row r="889">
      <c r="B889" t="inlineStr">
        <is>
          <t>Order(発注予定,kg)</t>
        </is>
      </c>
      <c r="D889">
        <f>IF(SUMIFS(T_PlannedOrders[EffectiveQty],T_PlannedOrders[Part Name],$A869,T_PlannedOrders[WeekIndex],1)=0,"",SUMIFS(T_PlannedOrders[EffectiveQty],T_PlannedOrders[Part Name],$A869,T_PlannedOrders[WeekIndex],1)&amp;" ("&amp;TEXT(SUMPRODUCT(MAX((T_PlannedOrders[Part Name]=$A869)*(T_PlannedOrders[WeekIndex]=1)*(T_PlannedOrders[EffectiveQty]&gt;0)*T_PlannedOrders[Order_Month])),"m月")&amp;"発注)")</f>
        <v/>
      </c>
      <c r="E889">
        <f>IF(SUMIFS(T_PlannedOrders[EffectiveQty],T_PlannedOrders[Part Name],$A869,T_PlannedOrders[WeekIndex],2)=0,"",SUMIFS(T_PlannedOrders[EffectiveQty],T_PlannedOrders[Part Name],$A869,T_PlannedOrders[WeekIndex],2)&amp;" ("&amp;TEXT(SUMPRODUCT(MAX((T_PlannedOrders[Part Name]=$A869)*(T_PlannedOrders[WeekIndex]=2)*(T_PlannedOrders[EffectiveQty]&gt;0)*T_PlannedOrders[Order_Month])),"m月")&amp;"発注)")</f>
        <v/>
      </c>
      <c r="F889">
        <f>IF(SUMIFS(T_PlannedOrders[EffectiveQty],T_PlannedOrders[Part Name],$A869,T_PlannedOrders[WeekIndex],3)=0,"",SUMIFS(T_PlannedOrders[EffectiveQty],T_PlannedOrders[Part Name],$A869,T_PlannedOrders[WeekIndex],3)&amp;" ("&amp;TEXT(SUMPRODUCT(MAX((T_PlannedOrders[Part Name]=$A869)*(T_PlannedOrders[WeekIndex]=3)*(T_PlannedOrders[EffectiveQty]&gt;0)*T_PlannedOrders[Order_Month])),"m月")&amp;"発注)")</f>
        <v/>
      </c>
      <c r="G889">
        <f>IF(SUMIFS(T_PlannedOrders[EffectiveQty],T_PlannedOrders[Part Name],$A869,T_PlannedOrders[WeekIndex],4)=0,"",SUMIFS(T_PlannedOrders[EffectiveQty],T_PlannedOrders[Part Name],$A869,T_PlannedOrders[WeekIndex],4)&amp;" ("&amp;TEXT(SUMPRODUCT(MAX((T_PlannedOrders[Part Name]=$A869)*(T_PlannedOrders[WeekIndex]=4)*(T_PlannedOrders[EffectiveQty]&gt;0)*T_PlannedOrders[Order_Month])),"m月")&amp;"発注)")</f>
        <v/>
      </c>
      <c r="H889">
        <f>IF(SUMIFS(T_PlannedOrders[EffectiveQty],T_PlannedOrders[Part Name],$A869,T_PlannedOrders[WeekIndex],5)=0,"",SUMIFS(T_PlannedOrders[EffectiveQty],T_PlannedOrders[Part Name],$A869,T_PlannedOrders[WeekIndex],5)&amp;" ("&amp;TEXT(SUMPRODUCT(MAX((T_PlannedOrders[Part Name]=$A869)*(T_PlannedOrders[WeekIndex]=5)*(T_PlannedOrders[EffectiveQty]&gt;0)*T_PlannedOrders[Order_Month])),"m月")&amp;"発注)")</f>
        <v/>
      </c>
      <c r="I889">
        <f>IF(SUMIFS(T_PlannedOrders[EffectiveQty],T_PlannedOrders[Part Name],$A869,T_PlannedOrders[WeekIndex],6)=0,"",SUMIFS(T_PlannedOrders[EffectiveQty],T_PlannedOrders[Part Name],$A869,T_PlannedOrders[WeekIndex],6)&amp;" ("&amp;TEXT(SUMPRODUCT(MAX((T_PlannedOrders[Part Name]=$A869)*(T_PlannedOrders[WeekIndex]=6)*(T_PlannedOrders[EffectiveQty]&gt;0)*T_PlannedOrders[Order_Month])),"m月")&amp;"発注)")</f>
        <v/>
      </c>
      <c r="J889">
        <f>IF(SUMIFS(T_PlannedOrders[EffectiveQty],T_PlannedOrders[Part Name],$A869,T_PlannedOrders[WeekIndex],7)=0,"",SUMIFS(T_PlannedOrders[EffectiveQty],T_PlannedOrders[Part Name],$A869,T_PlannedOrders[WeekIndex],7)&amp;" ("&amp;TEXT(SUMPRODUCT(MAX((T_PlannedOrders[Part Name]=$A869)*(T_PlannedOrders[WeekIndex]=7)*(T_PlannedOrders[EffectiveQty]&gt;0)*T_PlannedOrders[Order_Month])),"m月")&amp;"発注)")</f>
        <v/>
      </c>
      <c r="K889">
        <f>IF(SUMIFS(T_PlannedOrders[EffectiveQty],T_PlannedOrders[Part Name],$A869,T_PlannedOrders[WeekIndex],8)=0,"",SUMIFS(T_PlannedOrders[EffectiveQty],T_PlannedOrders[Part Name],$A869,T_PlannedOrders[WeekIndex],8)&amp;" ("&amp;TEXT(SUMPRODUCT(MAX((T_PlannedOrders[Part Name]=$A869)*(T_PlannedOrders[WeekIndex]=8)*(T_PlannedOrders[EffectiveQty]&gt;0)*T_PlannedOrders[Order_Month])),"m月")&amp;"発注)")</f>
        <v/>
      </c>
      <c r="L889">
        <f>IF(SUMIFS(T_PlannedOrders[EffectiveQty],T_PlannedOrders[Part Name],$A869,T_PlannedOrders[WeekIndex],9)=0,"",SUMIFS(T_PlannedOrders[EffectiveQty],T_PlannedOrders[Part Name],$A869,T_PlannedOrders[WeekIndex],9)&amp;" ("&amp;TEXT(SUMPRODUCT(MAX((T_PlannedOrders[Part Name]=$A869)*(T_PlannedOrders[WeekIndex]=9)*(T_PlannedOrders[EffectiveQty]&gt;0)*T_PlannedOrders[Order_Month])),"m月")&amp;"発注)")</f>
        <v/>
      </c>
      <c r="M889">
        <f>IF(SUMIFS(T_PlannedOrders[EffectiveQty],T_PlannedOrders[Part Name],$A869,T_PlannedOrders[WeekIndex],10)=0,"",SUMIFS(T_PlannedOrders[EffectiveQty],T_PlannedOrders[Part Name],$A869,T_PlannedOrders[WeekIndex],10)&amp;" ("&amp;TEXT(SUMPRODUCT(MAX((T_PlannedOrders[Part Name]=$A869)*(T_PlannedOrders[WeekIndex]=10)*(T_PlannedOrders[EffectiveQty]&gt;0)*T_PlannedOrders[Order_Month])),"m月")&amp;"発注)")</f>
        <v/>
      </c>
      <c r="N889">
        <f>IF(SUMIFS(T_PlannedOrders[EffectiveQty],T_PlannedOrders[Part Name],$A869,T_PlannedOrders[WeekIndex],11)=0,"",SUMIFS(T_PlannedOrders[EffectiveQty],T_PlannedOrders[Part Name],$A869,T_PlannedOrders[WeekIndex],11)&amp;" ("&amp;TEXT(SUMPRODUCT(MAX((T_PlannedOrders[Part Name]=$A869)*(T_PlannedOrders[WeekIndex]=11)*(T_PlannedOrders[EffectiveQty]&gt;0)*T_PlannedOrders[Order_Month])),"m月")&amp;"発注)")</f>
        <v/>
      </c>
      <c r="O889">
        <f>IF(SUMIFS(T_PlannedOrders[EffectiveQty],T_PlannedOrders[Part Name],$A869,T_PlannedOrders[WeekIndex],12)=0,"",SUMIFS(T_PlannedOrders[EffectiveQty],T_PlannedOrders[Part Name],$A869,T_PlannedOrders[WeekIndex],12)&amp;" ("&amp;TEXT(SUMPRODUCT(MAX((T_PlannedOrders[Part Name]=$A869)*(T_PlannedOrders[WeekIndex]=12)*(T_PlannedOrders[EffectiveQty]&gt;0)*T_PlannedOrders[Order_Month])),"m月")&amp;"発注)")</f>
        <v/>
      </c>
      <c r="P889">
        <f>IF(SUMIFS(T_PlannedOrders[EffectiveQty],T_PlannedOrders[Part Name],$A869,T_PlannedOrders[WeekIndex],13)=0,"",SUMIFS(T_PlannedOrders[EffectiveQty],T_PlannedOrders[Part Name],$A869,T_PlannedOrders[WeekIndex],13)&amp;" ("&amp;TEXT(SUMPRODUCT(MAX((T_PlannedOrders[Part Name]=$A869)*(T_PlannedOrders[WeekIndex]=13)*(T_PlannedOrders[EffectiveQty]&gt;0)*T_PlannedOrders[Order_Month])),"m月")&amp;"発注)")</f>
        <v/>
      </c>
      <c r="Q889">
        <f>IF(SUMIFS(T_PlannedOrders[EffectiveQty],T_PlannedOrders[Part Name],$A869,T_PlannedOrders[WeekIndex],14)=0,"",SUMIFS(T_PlannedOrders[EffectiveQty],T_PlannedOrders[Part Name],$A869,T_PlannedOrders[WeekIndex],14)&amp;" ("&amp;TEXT(SUMPRODUCT(MAX((T_PlannedOrders[Part Name]=$A869)*(T_PlannedOrders[WeekIndex]=14)*(T_PlannedOrders[EffectiveQty]&gt;0)*T_PlannedOrders[Order_Month])),"m月")&amp;"発注)")</f>
        <v/>
      </c>
      <c r="R889">
        <f>IF(SUMIFS(T_PlannedOrders[EffectiveQty],T_PlannedOrders[Part Name],$A869,T_PlannedOrders[WeekIndex],15)=0,"",SUMIFS(T_PlannedOrders[EffectiveQty],T_PlannedOrders[Part Name],$A869,T_PlannedOrders[WeekIndex],15)&amp;" ("&amp;TEXT(SUMPRODUCT(MAX((T_PlannedOrders[Part Name]=$A869)*(T_PlannedOrders[WeekIndex]=15)*(T_PlannedOrders[EffectiveQty]&gt;0)*T_PlannedOrders[Order_Month])),"m月")&amp;"発注)")</f>
        <v/>
      </c>
      <c r="S889">
        <f>IF(SUMIFS(T_PlannedOrders[EffectiveQty],T_PlannedOrders[Part Name],$A869,T_PlannedOrders[WeekIndex],16)=0,"",SUMIFS(T_PlannedOrders[EffectiveQty],T_PlannedOrders[Part Name],$A869,T_PlannedOrders[WeekIndex],16)&amp;" ("&amp;TEXT(SUMPRODUCT(MAX((T_PlannedOrders[Part Name]=$A869)*(T_PlannedOrders[WeekIndex]=16)*(T_PlannedOrders[EffectiveQty]&gt;0)*T_PlannedOrders[Order_Month])),"m月")&amp;"発注)")</f>
        <v/>
      </c>
      <c r="T889">
        <f>IF(SUMIFS(T_PlannedOrders[EffectiveQty],T_PlannedOrders[Part Name],$A869,T_PlannedOrders[WeekIndex],17)=0,"",SUMIFS(T_PlannedOrders[EffectiveQty],T_PlannedOrders[Part Name],$A869,T_PlannedOrders[WeekIndex],17)&amp;" ("&amp;TEXT(SUMPRODUCT(MAX((T_PlannedOrders[Part Name]=$A869)*(T_PlannedOrders[WeekIndex]=17)*(T_PlannedOrders[EffectiveQty]&gt;0)*T_PlannedOrders[Order_Month])),"m月")&amp;"発注)")</f>
        <v/>
      </c>
      <c r="U889">
        <f>IF(SUMIFS(T_PlannedOrders[EffectiveQty],T_PlannedOrders[Part Name],$A869,T_PlannedOrders[WeekIndex],18)=0,"",SUMIFS(T_PlannedOrders[EffectiveQty],T_PlannedOrders[Part Name],$A869,T_PlannedOrders[WeekIndex],18)&amp;" ("&amp;TEXT(SUMPRODUCT(MAX((T_PlannedOrders[Part Name]=$A869)*(T_PlannedOrders[WeekIndex]=18)*(T_PlannedOrders[EffectiveQty]&gt;0)*T_PlannedOrders[Order_Month])),"m月")&amp;"発注)")</f>
        <v/>
      </c>
      <c r="V889">
        <f>IF(SUMIFS(T_PlannedOrders[EffectiveQty],T_PlannedOrders[Part Name],$A869,T_PlannedOrders[WeekIndex],19)=0,"",SUMIFS(T_PlannedOrders[EffectiveQty],T_PlannedOrders[Part Name],$A869,T_PlannedOrders[WeekIndex],19)&amp;" ("&amp;TEXT(SUMPRODUCT(MAX((T_PlannedOrders[Part Name]=$A869)*(T_PlannedOrders[WeekIndex]=19)*(T_PlannedOrders[EffectiveQty]&gt;0)*T_PlannedOrders[Order_Month])),"m月")&amp;"発注)")</f>
        <v/>
      </c>
      <c r="W889">
        <f>IF(SUMIFS(T_PlannedOrders[EffectiveQty],T_PlannedOrders[Part Name],$A869,T_PlannedOrders[WeekIndex],20)=0,"",SUMIFS(T_PlannedOrders[EffectiveQty],T_PlannedOrders[Part Name],$A869,T_PlannedOrders[WeekIndex],20)&amp;" ("&amp;TEXT(SUMPRODUCT(MAX((T_PlannedOrders[Part Name]=$A869)*(T_PlannedOrders[WeekIndex]=20)*(T_PlannedOrders[EffectiveQty]&gt;0)*T_PlannedOrders[Order_Month])),"m月")&amp;"発注)")</f>
        <v/>
      </c>
      <c r="X889">
        <f>IF(SUMIFS(T_PlannedOrders[EffectiveQty],T_PlannedOrders[Part Name],$A869,T_PlannedOrders[WeekIndex],21)=0,"",SUMIFS(T_PlannedOrders[EffectiveQty],T_PlannedOrders[Part Name],$A869,T_PlannedOrders[WeekIndex],21)&amp;" ("&amp;TEXT(SUMPRODUCT(MAX((T_PlannedOrders[Part Name]=$A869)*(T_PlannedOrders[WeekIndex]=21)*(T_PlannedOrders[EffectiveQty]&gt;0)*T_PlannedOrders[Order_Month])),"m月")&amp;"発注)")</f>
        <v/>
      </c>
      <c r="Y889">
        <f>IF(SUMIFS(T_PlannedOrders[EffectiveQty],T_PlannedOrders[Part Name],$A869,T_PlannedOrders[WeekIndex],22)=0,"",SUMIFS(T_PlannedOrders[EffectiveQty],T_PlannedOrders[Part Name],$A869,T_PlannedOrders[WeekIndex],22)&amp;" ("&amp;TEXT(SUMPRODUCT(MAX((T_PlannedOrders[Part Name]=$A869)*(T_PlannedOrders[WeekIndex]=22)*(T_PlannedOrders[EffectiveQty]&gt;0)*T_PlannedOrders[Order_Month])),"m月")&amp;"発注)")</f>
        <v/>
      </c>
      <c r="Z889">
        <f>IF(SUMIFS(T_PlannedOrders[EffectiveQty],T_PlannedOrders[Part Name],$A869,T_PlannedOrders[WeekIndex],23)=0,"",SUMIFS(T_PlannedOrders[EffectiveQty],T_PlannedOrders[Part Name],$A869,T_PlannedOrders[WeekIndex],23)&amp;" ("&amp;TEXT(SUMPRODUCT(MAX((T_PlannedOrders[Part Name]=$A869)*(T_PlannedOrders[WeekIndex]=23)*(T_PlannedOrders[EffectiveQty]&gt;0)*T_PlannedOrders[Order_Month])),"m月")&amp;"発注)")</f>
        <v/>
      </c>
      <c r="AA889">
        <f>IF(SUMIFS(T_PlannedOrders[EffectiveQty],T_PlannedOrders[Part Name],$A869,T_PlannedOrders[WeekIndex],24)=0,"",SUMIFS(T_PlannedOrders[EffectiveQty],T_PlannedOrders[Part Name],$A869,T_PlannedOrders[WeekIndex],24)&amp;" ("&amp;TEXT(SUMPRODUCT(MAX((T_PlannedOrders[Part Name]=$A869)*(T_PlannedOrders[WeekIndex]=24)*(T_PlannedOrders[EffectiveQty]&gt;0)*T_PlannedOrders[Order_Month])),"m月")&amp;"発注)")</f>
        <v/>
      </c>
      <c r="AB889">
        <f>IF(SUMIFS(T_PlannedOrders[EffectiveQty],T_PlannedOrders[Part Name],$A869,T_PlannedOrders[WeekIndex],25)=0,"",SUMIFS(T_PlannedOrders[EffectiveQty],T_PlannedOrders[Part Name],$A869,T_PlannedOrders[WeekIndex],25)&amp;" ("&amp;TEXT(SUMPRODUCT(MAX((T_PlannedOrders[Part Name]=$A869)*(T_PlannedOrders[WeekIndex]=25)*(T_PlannedOrders[EffectiveQty]&gt;0)*T_PlannedOrders[Order_Month])),"m月")&amp;"発注)")</f>
        <v/>
      </c>
      <c r="AC889">
        <f>IF(SUMIFS(T_PlannedOrders[EffectiveQty],T_PlannedOrders[Part Name],$A869,T_PlannedOrders[WeekIndex],26)=0,"",SUMIFS(T_PlannedOrders[EffectiveQty],T_PlannedOrders[Part Name],$A869,T_PlannedOrders[WeekIndex],26)&amp;" ("&amp;TEXT(SUMPRODUCT(MAX((T_PlannedOrders[Part Name]=$A869)*(T_PlannedOrders[WeekIndex]=26)*(T_PlannedOrders[EffectiveQty]&gt;0)*T_PlannedOrders[Order_Month])),"m月")&amp;"発注)")</f>
        <v/>
      </c>
      <c r="AD889">
        <f>IF(SUMIFS(T_PlannedOrders[EffectiveQty],T_PlannedOrders[Part Name],$A869,T_PlannedOrders[WeekIndex],27)=0,"",SUMIFS(T_PlannedOrders[EffectiveQty],T_PlannedOrders[Part Name],$A869,T_PlannedOrders[WeekIndex],27)&amp;" ("&amp;TEXT(SUMPRODUCT(MAX((T_PlannedOrders[Part Name]=$A869)*(T_PlannedOrders[WeekIndex]=27)*(T_PlannedOrders[EffectiveQty]&gt;0)*T_PlannedOrders[Order_Month])),"m月")&amp;"発注)")</f>
        <v/>
      </c>
      <c r="AE889">
        <f>IF(SUMIFS(T_PlannedOrders[EffectiveQty],T_PlannedOrders[Part Name],$A869,T_PlannedOrders[WeekIndex],28)=0,"",SUMIFS(T_PlannedOrders[EffectiveQty],T_PlannedOrders[Part Name],$A869,T_PlannedOrders[WeekIndex],28)&amp;" ("&amp;TEXT(SUMPRODUCT(MAX((T_PlannedOrders[Part Name]=$A869)*(T_PlannedOrders[WeekIndex]=28)*(T_PlannedOrders[EffectiveQty]&gt;0)*T_PlannedOrders[Order_Month])),"m月")&amp;"発注)")</f>
        <v/>
      </c>
      <c r="AF889">
        <f>IF(SUMIFS(T_PlannedOrders[EffectiveQty],T_PlannedOrders[Part Name],$A869,T_PlannedOrders[WeekIndex],29)=0,"",SUMIFS(T_PlannedOrders[EffectiveQty],T_PlannedOrders[Part Name],$A869,T_PlannedOrders[WeekIndex],29)&amp;" ("&amp;TEXT(SUMPRODUCT(MAX((T_PlannedOrders[Part Name]=$A869)*(T_PlannedOrders[WeekIndex]=29)*(T_PlannedOrders[EffectiveQty]&gt;0)*T_PlannedOrders[Order_Month])),"m月")&amp;"発注)")</f>
        <v/>
      </c>
      <c r="AG889">
        <f>IF(SUMIFS(T_PlannedOrders[EffectiveQty],T_PlannedOrders[Part Name],$A869,T_PlannedOrders[WeekIndex],30)=0,"",SUMIFS(T_PlannedOrders[EffectiveQty],T_PlannedOrders[Part Name],$A869,T_PlannedOrders[WeekIndex],30)&amp;" ("&amp;TEXT(SUMPRODUCT(MAX((T_PlannedOrders[Part Name]=$A869)*(T_PlannedOrders[WeekIndex]=30)*(T_PlannedOrders[EffectiveQty]&gt;0)*T_PlannedOrders[Order_Month])),"m月")&amp;"発注)")</f>
        <v/>
      </c>
      <c r="AH889">
        <f>IF(SUMIFS(T_PlannedOrders[EffectiveQty],T_PlannedOrders[Part Name],$A869,T_PlannedOrders[WeekIndex],31)=0,"",SUMIFS(T_PlannedOrders[EffectiveQty],T_PlannedOrders[Part Name],$A869,T_PlannedOrders[WeekIndex],31)&amp;" ("&amp;TEXT(SUMPRODUCT(MAX((T_PlannedOrders[Part Name]=$A869)*(T_PlannedOrders[WeekIndex]=31)*(T_PlannedOrders[EffectiveQty]&gt;0)*T_PlannedOrders[Order_Month])),"m月")&amp;"発注)")</f>
        <v/>
      </c>
      <c r="AI889">
        <f>IF(SUMIFS(T_PlannedOrders[EffectiveQty],T_PlannedOrders[Part Name],$A869,T_PlannedOrders[WeekIndex],32)=0,"",SUMIFS(T_PlannedOrders[EffectiveQty],T_PlannedOrders[Part Name],$A869,T_PlannedOrders[WeekIndex],32)&amp;" ("&amp;TEXT(SUMPRODUCT(MAX((T_PlannedOrders[Part Name]=$A869)*(T_PlannedOrders[WeekIndex]=32)*(T_PlannedOrders[EffectiveQty]&gt;0)*T_PlannedOrders[Order_Month])),"m月")&amp;"発注)")</f>
        <v/>
      </c>
      <c r="AJ889">
        <f>IF(SUMIFS(T_PlannedOrders[EffectiveQty],T_PlannedOrders[Part Name],$A869,T_PlannedOrders[WeekIndex],33)=0,"",SUMIFS(T_PlannedOrders[EffectiveQty],T_PlannedOrders[Part Name],$A869,T_PlannedOrders[WeekIndex],33)&amp;" ("&amp;TEXT(SUMPRODUCT(MAX((T_PlannedOrders[Part Name]=$A869)*(T_PlannedOrders[WeekIndex]=33)*(T_PlannedOrders[EffectiveQty]&gt;0)*T_PlannedOrders[Order_Month])),"m月")&amp;"発注)")</f>
        <v/>
      </c>
      <c r="AK889">
        <f>IF(SUMIFS(T_PlannedOrders[EffectiveQty],T_PlannedOrders[Part Name],$A869,T_PlannedOrders[WeekIndex],34)=0,"",SUMIFS(T_PlannedOrders[EffectiveQty],T_PlannedOrders[Part Name],$A869,T_PlannedOrders[WeekIndex],34)&amp;" ("&amp;TEXT(SUMPRODUCT(MAX((T_PlannedOrders[Part Name]=$A869)*(T_PlannedOrders[WeekIndex]=34)*(T_PlannedOrders[EffectiveQty]&gt;0)*T_PlannedOrders[Order_Month])),"m月")&amp;"発注)")</f>
        <v/>
      </c>
      <c r="AL889">
        <f>IF(SUMIFS(T_PlannedOrders[EffectiveQty],T_PlannedOrders[Part Name],$A869,T_PlannedOrders[WeekIndex],35)=0,"",SUMIFS(T_PlannedOrders[EffectiveQty],T_PlannedOrders[Part Name],$A869,T_PlannedOrders[WeekIndex],35)&amp;" ("&amp;TEXT(SUMPRODUCT(MAX((T_PlannedOrders[Part Name]=$A869)*(T_PlannedOrders[WeekIndex]=35)*(T_PlannedOrders[EffectiveQty]&gt;0)*T_PlannedOrders[Order_Month])),"m月")&amp;"発注)")</f>
        <v/>
      </c>
      <c r="AM889">
        <f>IF(SUMIFS(T_PlannedOrders[EffectiveQty],T_PlannedOrders[Part Name],$A869,T_PlannedOrders[WeekIndex],36)=0,"",SUMIFS(T_PlannedOrders[EffectiveQty],T_PlannedOrders[Part Name],$A869,T_PlannedOrders[WeekIndex],36)&amp;" ("&amp;TEXT(SUMPRODUCT(MAX((T_PlannedOrders[Part Name]=$A869)*(T_PlannedOrders[WeekIndex]=36)*(T_PlannedOrders[EffectiveQty]&gt;0)*T_PlannedOrders[Order_Month])),"m月")&amp;"発注)")</f>
        <v/>
      </c>
      <c r="AN889">
        <f>IF(SUMIFS(T_PlannedOrders[EffectiveQty],T_PlannedOrders[Part Name],$A869,T_PlannedOrders[WeekIndex],37)=0,"",SUMIFS(T_PlannedOrders[EffectiveQty],T_PlannedOrders[Part Name],$A869,T_PlannedOrders[WeekIndex],37)&amp;" ("&amp;TEXT(SUMPRODUCT(MAX((T_PlannedOrders[Part Name]=$A869)*(T_PlannedOrders[WeekIndex]=37)*(T_PlannedOrders[EffectiveQty]&gt;0)*T_PlannedOrders[Order_Month])),"m月")&amp;"発注)")</f>
        <v/>
      </c>
      <c r="AO889">
        <f>IF(SUMIFS(T_PlannedOrders[EffectiveQty],T_PlannedOrders[Part Name],$A869,T_PlannedOrders[WeekIndex],38)=0,"",SUMIFS(T_PlannedOrders[EffectiveQty],T_PlannedOrders[Part Name],$A869,T_PlannedOrders[WeekIndex],38)&amp;" ("&amp;TEXT(SUMPRODUCT(MAX((T_PlannedOrders[Part Name]=$A869)*(T_PlannedOrders[WeekIndex]=38)*(T_PlannedOrders[EffectiveQty]&gt;0)*T_PlannedOrders[Order_Month])),"m月")&amp;"発注)")</f>
        <v/>
      </c>
      <c r="AP889">
        <f>IF(SUMIFS(T_PlannedOrders[EffectiveQty],T_PlannedOrders[Part Name],$A869,T_PlannedOrders[WeekIndex],39)=0,"",SUMIFS(T_PlannedOrders[EffectiveQty],T_PlannedOrders[Part Name],$A869,T_PlannedOrders[WeekIndex],39)&amp;" ("&amp;TEXT(SUMPRODUCT(MAX((T_PlannedOrders[Part Name]=$A869)*(T_PlannedOrders[WeekIndex]=39)*(T_PlannedOrders[EffectiveQty]&gt;0)*T_PlannedOrders[Order_Month])),"m月")&amp;"発注)")</f>
        <v/>
      </c>
      <c r="AQ889">
        <f>IF(SUMIFS(T_PlannedOrders[EffectiveQty],T_PlannedOrders[Part Name],$A869,T_PlannedOrders[WeekIndex],40)=0,"",SUMIFS(T_PlannedOrders[EffectiveQty],T_PlannedOrders[Part Name],$A869,T_PlannedOrders[WeekIndex],40)&amp;" ("&amp;TEXT(SUMPRODUCT(MAX((T_PlannedOrders[Part Name]=$A869)*(T_PlannedOrders[WeekIndex]=40)*(T_PlannedOrders[EffectiveQty]&gt;0)*T_PlannedOrders[Order_Month])),"m月")&amp;"発注)")</f>
        <v/>
      </c>
      <c r="AR889">
        <f>IF(SUMIFS(T_PlannedOrders[EffectiveQty],T_PlannedOrders[Part Name],$A869,T_PlannedOrders[WeekIndex],41)=0,"",SUMIFS(T_PlannedOrders[EffectiveQty],T_PlannedOrders[Part Name],$A869,T_PlannedOrders[WeekIndex],41)&amp;" ("&amp;TEXT(SUMPRODUCT(MAX((T_PlannedOrders[Part Name]=$A869)*(T_PlannedOrders[WeekIndex]=41)*(T_PlannedOrders[EffectiveQty]&gt;0)*T_PlannedOrders[Order_Month])),"m月")&amp;"発注)")</f>
        <v/>
      </c>
      <c r="AS889">
        <f>IF(SUMIFS(T_PlannedOrders[EffectiveQty],T_PlannedOrders[Part Name],$A869,T_PlannedOrders[WeekIndex],42)=0,"",SUMIFS(T_PlannedOrders[EffectiveQty],T_PlannedOrders[Part Name],$A869,T_PlannedOrders[WeekIndex],42)&amp;" ("&amp;TEXT(SUMPRODUCT(MAX((T_PlannedOrders[Part Name]=$A869)*(T_PlannedOrders[WeekIndex]=42)*(T_PlannedOrders[EffectiveQty]&gt;0)*T_PlannedOrders[Order_Month])),"m月")&amp;"発注)")</f>
        <v/>
      </c>
      <c r="AT889">
        <f>IF(SUMIFS(T_PlannedOrders[EffectiveQty],T_PlannedOrders[Part Name],$A869,T_PlannedOrders[WeekIndex],43)=0,"",SUMIFS(T_PlannedOrders[EffectiveQty],T_PlannedOrders[Part Name],$A869,T_PlannedOrders[WeekIndex],43)&amp;" ("&amp;TEXT(SUMPRODUCT(MAX((T_PlannedOrders[Part Name]=$A869)*(T_PlannedOrders[WeekIndex]=43)*(T_PlannedOrders[EffectiveQty]&gt;0)*T_PlannedOrders[Order_Month])),"m月")&amp;"発注)")</f>
        <v/>
      </c>
      <c r="AU889">
        <f>IF(SUMIFS(T_PlannedOrders[EffectiveQty],T_PlannedOrders[Part Name],$A869,T_PlannedOrders[WeekIndex],44)=0,"",SUMIFS(T_PlannedOrders[EffectiveQty],T_PlannedOrders[Part Name],$A869,T_PlannedOrders[WeekIndex],44)&amp;" ("&amp;TEXT(SUMPRODUCT(MAX((T_PlannedOrders[Part Name]=$A869)*(T_PlannedOrders[WeekIndex]=44)*(T_PlannedOrders[EffectiveQty]&gt;0)*T_PlannedOrders[Order_Month])),"m月")&amp;"発注)")</f>
        <v/>
      </c>
      <c r="AV889">
        <f>IF(SUMIFS(T_PlannedOrders[EffectiveQty],T_PlannedOrders[Part Name],$A869,T_PlannedOrders[WeekIndex],45)=0,"",SUMIFS(T_PlannedOrders[EffectiveQty],T_PlannedOrders[Part Name],$A869,T_PlannedOrders[WeekIndex],45)&amp;" ("&amp;TEXT(SUMPRODUCT(MAX((T_PlannedOrders[Part Name]=$A869)*(T_PlannedOrders[WeekIndex]=45)*(T_PlannedOrders[EffectiveQty]&gt;0)*T_PlannedOrders[Order_Month])),"m月")&amp;"発注)")</f>
        <v/>
      </c>
      <c r="AW889">
        <f>IF(SUMIFS(T_PlannedOrders[EffectiveQty],T_PlannedOrders[Part Name],$A869,T_PlannedOrders[WeekIndex],46)=0,"",SUMIFS(T_PlannedOrders[EffectiveQty],T_PlannedOrders[Part Name],$A869,T_PlannedOrders[WeekIndex],46)&amp;" ("&amp;TEXT(SUMPRODUCT(MAX((T_PlannedOrders[Part Name]=$A869)*(T_PlannedOrders[WeekIndex]=46)*(T_PlannedOrders[EffectiveQty]&gt;0)*T_PlannedOrders[Order_Month])),"m月")&amp;"発注)")</f>
        <v/>
      </c>
      <c r="AX889">
        <f>IF(SUMIFS(T_PlannedOrders[EffectiveQty],T_PlannedOrders[Part Name],$A869,T_PlannedOrders[WeekIndex],47)=0,"",SUMIFS(T_PlannedOrders[EffectiveQty],T_PlannedOrders[Part Name],$A869,T_PlannedOrders[WeekIndex],47)&amp;" ("&amp;TEXT(SUMPRODUCT(MAX((T_PlannedOrders[Part Name]=$A869)*(T_PlannedOrders[WeekIndex]=47)*(T_PlannedOrders[EffectiveQty]&gt;0)*T_PlannedOrders[Order_Month])),"m月")&amp;"発注)")</f>
        <v/>
      </c>
      <c r="AY889">
        <f>IF(SUMIFS(T_PlannedOrders[EffectiveQty],T_PlannedOrders[Part Name],$A869,T_PlannedOrders[WeekIndex],48)=0,"",SUMIFS(T_PlannedOrders[EffectiveQty],T_PlannedOrders[Part Name],$A869,T_PlannedOrders[WeekIndex],48)&amp;" ("&amp;TEXT(SUMPRODUCT(MAX((T_PlannedOrders[Part Name]=$A869)*(T_PlannedOrders[WeekIndex]=48)*(T_PlannedOrders[EffectiveQty]&gt;0)*T_PlannedOrders[Order_Month])),"m月")&amp;"発注)")</f>
        <v/>
      </c>
      <c r="AZ889">
        <f>IF(SUMIFS(T_PlannedOrders[EffectiveQty],T_PlannedOrders[Part Name],$A869,T_PlannedOrders[WeekIndex],49)=0,"",SUMIFS(T_PlannedOrders[EffectiveQty],T_PlannedOrders[Part Name],$A869,T_PlannedOrders[WeekIndex],49)&amp;" ("&amp;TEXT(SUMPRODUCT(MAX((T_PlannedOrders[Part Name]=$A869)*(T_PlannedOrders[WeekIndex]=49)*(T_PlannedOrders[EffectiveQty]&gt;0)*T_PlannedOrders[Order_Month])),"m月")&amp;"発注)")</f>
        <v/>
      </c>
      <c r="BA889">
        <f>IF(SUMIFS(T_PlannedOrders[EffectiveQty],T_PlannedOrders[Part Name],$A869,T_PlannedOrders[WeekIndex],50)=0,"",SUMIFS(T_PlannedOrders[EffectiveQty],T_PlannedOrders[Part Name],$A869,T_PlannedOrders[WeekIndex],50)&amp;" ("&amp;TEXT(SUMPRODUCT(MAX((T_PlannedOrders[Part Name]=$A869)*(T_PlannedOrders[WeekIndex]=50)*(T_PlannedOrders[EffectiveQty]&gt;0)*T_PlannedOrders[Order_Month])),"m月")&amp;"発注)")</f>
        <v/>
      </c>
      <c r="BB889">
        <f>IF(SUMIFS(T_PlannedOrders[EffectiveQty],T_PlannedOrders[Part Name],$A869,T_PlannedOrders[WeekIndex],51)=0,"",SUMIFS(T_PlannedOrders[EffectiveQty],T_PlannedOrders[Part Name],$A869,T_PlannedOrders[WeekIndex],51)&amp;" ("&amp;TEXT(SUMPRODUCT(MAX((T_PlannedOrders[Part Name]=$A869)*(T_PlannedOrders[WeekIndex]=51)*(T_PlannedOrders[EffectiveQty]&gt;0)*T_PlannedOrders[Order_Month])),"m月")&amp;"発注)")</f>
        <v/>
      </c>
      <c r="BC889">
        <f>IF(SUMIFS(T_PlannedOrders[EffectiveQty],T_PlannedOrders[Part Name],$A869,T_PlannedOrders[WeekIndex],52)=0,"",SUMIFS(T_PlannedOrders[EffectiveQty],T_PlannedOrders[Part Name],$A869,T_PlannedOrders[WeekIndex],52)&amp;" ("&amp;TEXT(SUMPRODUCT(MAX((T_PlannedOrders[Part Name]=$A869)*(T_PlannedOrders[WeekIndex]=52)*(T_PlannedOrders[EffectiveQty]&gt;0)*T_PlannedOrders[Order_Month])),"m月")&amp;"発注)")</f>
        <v/>
      </c>
      <c r="BD889">
        <f>IF(SUMIFS(T_PlannedOrders[EffectiveQty],T_PlannedOrders[Part Name],$A869,T_PlannedOrders[WeekIndex],53)=0,"",SUMIFS(T_PlannedOrders[EffectiveQty],T_PlannedOrders[Part Name],$A869,T_PlannedOrders[WeekIndex],53)&amp;" ("&amp;TEXT(SUMPRODUCT(MAX((T_PlannedOrders[Part Name]=$A869)*(T_PlannedOrders[WeekIndex]=53)*(T_PlannedOrders[EffectiveQty]&gt;0)*T_PlannedOrders[Order_Month])),"m月")&amp;"発注)")</f>
        <v/>
      </c>
      <c r="BE889">
        <f>IF(SUMIFS(T_PlannedOrders[EffectiveQty],T_PlannedOrders[Part Name],$A869,T_PlannedOrders[WeekIndex],54)=0,"",SUMIFS(T_PlannedOrders[EffectiveQty],T_PlannedOrders[Part Name],$A869,T_PlannedOrders[WeekIndex],54)&amp;" ("&amp;TEXT(SUMPRODUCT(MAX((T_PlannedOrders[Part Name]=$A869)*(T_PlannedOrders[WeekIndex]=54)*(T_PlannedOrders[EffectiveQty]&gt;0)*T_PlannedOrders[Order_Month])),"m月")&amp;"発注)")</f>
        <v/>
      </c>
      <c r="BF889">
        <f>IF(SUMIFS(T_PlannedOrders[EffectiveQty],T_PlannedOrders[Part Name],$A869,T_PlannedOrders[WeekIndex],55)=0,"",SUMIFS(T_PlannedOrders[EffectiveQty],T_PlannedOrders[Part Name],$A869,T_PlannedOrders[WeekIndex],55)&amp;" ("&amp;TEXT(SUMPRODUCT(MAX((T_PlannedOrders[Part Name]=$A869)*(T_PlannedOrders[WeekIndex]=55)*(T_PlannedOrders[EffectiveQty]&gt;0)*T_PlannedOrders[Order_Month])),"m月")&amp;"発注)")</f>
        <v/>
      </c>
      <c r="BG889">
        <f>IF(SUMIFS(T_PlannedOrders[EffectiveQty],T_PlannedOrders[Part Name],$A869,T_PlannedOrders[WeekIndex],56)=0,"",SUMIFS(T_PlannedOrders[EffectiveQty],T_PlannedOrders[Part Name],$A869,T_PlannedOrders[WeekIndex],56)&amp;" ("&amp;TEXT(SUMPRODUCT(MAX((T_PlannedOrders[Part Name]=$A869)*(T_PlannedOrders[WeekIndex]=56)*(T_PlannedOrders[EffectiveQty]&gt;0)*T_PlannedOrders[Order_Month])),"m月")&amp;"発注)")</f>
        <v/>
      </c>
      <c r="BH889">
        <f>IF(SUMIFS(T_PlannedOrders[EffectiveQty],T_PlannedOrders[Part Name],$A869,T_PlannedOrders[WeekIndex],57)=0,"",SUMIFS(T_PlannedOrders[EffectiveQty],T_PlannedOrders[Part Name],$A869,T_PlannedOrders[WeekIndex],57)&amp;" ("&amp;TEXT(SUMPRODUCT(MAX((T_PlannedOrders[Part Name]=$A869)*(T_PlannedOrders[WeekIndex]=57)*(T_PlannedOrders[EffectiveQty]&gt;0)*T_PlannedOrders[Order_Month])),"m月")&amp;"発注)")</f>
        <v/>
      </c>
      <c r="BI889">
        <f>IF(SUMIFS(T_PlannedOrders[EffectiveQty],T_PlannedOrders[Part Name],$A869,T_PlannedOrders[WeekIndex],58)=0,"",SUMIFS(T_PlannedOrders[EffectiveQty],T_PlannedOrders[Part Name],$A869,T_PlannedOrders[WeekIndex],58)&amp;" ("&amp;TEXT(SUMPRODUCT(MAX((T_PlannedOrders[Part Name]=$A869)*(T_PlannedOrders[WeekIndex]=58)*(T_PlannedOrders[EffectiveQty]&gt;0)*T_PlannedOrders[Order_Month])),"m月")&amp;"発注)")</f>
        <v/>
      </c>
      <c r="BJ889">
        <f>IF(SUMIFS(T_PlannedOrders[EffectiveQty],T_PlannedOrders[Part Name],$A869,T_PlannedOrders[WeekIndex],59)=0,"",SUMIFS(T_PlannedOrders[EffectiveQty],T_PlannedOrders[Part Name],$A869,T_PlannedOrders[WeekIndex],59)&amp;" ("&amp;TEXT(SUMPRODUCT(MAX((T_PlannedOrders[Part Name]=$A869)*(T_PlannedOrders[WeekIndex]=59)*(T_PlannedOrders[EffectiveQty]&gt;0)*T_PlannedOrders[Order_Month])),"m月")&amp;"発注)")</f>
        <v/>
      </c>
      <c r="BK889">
        <f>IF(SUMIFS(T_PlannedOrders[EffectiveQty],T_PlannedOrders[Part Name],$A869,T_PlannedOrders[WeekIndex],60)=0,"",SUMIFS(T_PlannedOrders[EffectiveQty],T_PlannedOrders[Part Name],$A869,T_PlannedOrders[WeekIndex],60)&amp;" ("&amp;TEXT(SUMPRODUCT(MAX((T_PlannedOrders[Part Name]=$A869)*(T_PlannedOrders[WeekIndex]=60)*(T_PlannedOrders[EffectiveQty]&gt;0)*T_PlannedOrders[Order_Month])),"m月")&amp;"発注)")</f>
        <v/>
      </c>
      <c r="BL889">
        <f>IF(SUMIFS(T_PlannedOrders[EffectiveQty],T_PlannedOrders[Part Name],$A869,T_PlannedOrders[WeekIndex],61)=0,"",SUMIFS(T_PlannedOrders[EffectiveQty],T_PlannedOrders[Part Name],$A869,T_PlannedOrders[WeekIndex],61)&amp;" ("&amp;TEXT(SUMPRODUCT(MAX((T_PlannedOrders[Part Name]=$A869)*(T_PlannedOrders[WeekIndex]=61)*(T_PlannedOrders[EffectiveQty]&gt;0)*T_PlannedOrders[Order_Month])),"m月")&amp;"発注)")</f>
        <v/>
      </c>
      <c r="BM889">
        <f>IF(SUMIFS(T_PlannedOrders[EffectiveQty],T_PlannedOrders[Part Name],$A869,T_PlannedOrders[WeekIndex],62)=0,"",SUMIFS(T_PlannedOrders[EffectiveQty],T_PlannedOrders[Part Name],$A869,T_PlannedOrders[WeekIndex],62)&amp;" ("&amp;TEXT(SUMPRODUCT(MAX((T_PlannedOrders[Part Name]=$A869)*(T_PlannedOrders[WeekIndex]=62)*(T_PlannedOrders[EffectiveQty]&gt;0)*T_PlannedOrders[Order_Month])),"m月")&amp;"発注)")</f>
        <v/>
      </c>
      <c r="BN889">
        <f>IF(SUMIFS(T_PlannedOrders[EffectiveQty],T_PlannedOrders[Part Name],$A869,T_PlannedOrders[WeekIndex],63)=0,"",SUMIFS(T_PlannedOrders[EffectiveQty],T_PlannedOrders[Part Name],$A869,T_PlannedOrders[WeekIndex],63)&amp;" ("&amp;TEXT(SUMPRODUCT(MAX((T_PlannedOrders[Part Name]=$A869)*(T_PlannedOrders[WeekIndex]=63)*(T_PlannedOrders[EffectiveQty]&gt;0)*T_PlannedOrders[Order_Month])),"m月")&amp;"発注)")</f>
        <v/>
      </c>
      <c r="BO889">
        <f>IF(SUMIFS(T_PlannedOrders[EffectiveQty],T_PlannedOrders[Part Name],$A869,T_PlannedOrders[WeekIndex],64)=0,"",SUMIFS(T_PlannedOrders[EffectiveQty],T_PlannedOrders[Part Name],$A869,T_PlannedOrders[WeekIndex],64)&amp;" ("&amp;TEXT(SUMPRODUCT(MAX((T_PlannedOrders[Part Name]=$A869)*(T_PlannedOrders[WeekIndex]=64)*(T_PlannedOrders[EffectiveQty]&gt;0)*T_PlannedOrders[Order_Month])),"m月")&amp;"発注)")</f>
        <v/>
      </c>
      <c r="BP889">
        <f>IF(SUMIFS(T_PlannedOrders[EffectiveQty],T_PlannedOrders[Part Name],$A869,T_PlannedOrders[WeekIndex],65)=0,"",SUMIFS(T_PlannedOrders[EffectiveQty],T_PlannedOrders[Part Name],$A869,T_PlannedOrders[WeekIndex],65)&amp;" ("&amp;TEXT(SUMPRODUCT(MAX((T_PlannedOrders[Part Name]=$A869)*(T_PlannedOrders[WeekIndex]=65)*(T_PlannedOrders[EffectiveQty]&gt;0)*T_PlannedOrders[Order_Month])),"m月")&amp;"発注)")</f>
        <v/>
      </c>
      <c r="BQ889">
        <f>IF(SUMIFS(T_PlannedOrders[EffectiveQty],T_PlannedOrders[Part Name],$A869,T_PlannedOrders[WeekIndex],66)=0,"",SUMIFS(T_PlannedOrders[EffectiveQty],T_PlannedOrders[Part Name],$A869,T_PlannedOrders[WeekIndex],66)&amp;" ("&amp;TEXT(SUMPRODUCT(MAX((T_PlannedOrders[Part Name]=$A869)*(T_PlannedOrders[WeekIndex]=66)*(T_PlannedOrders[EffectiveQty]&gt;0)*T_PlannedOrders[Order_Month])),"m月")&amp;"発注)")</f>
        <v/>
      </c>
      <c r="BR889">
        <f>IF(SUMIFS(T_PlannedOrders[EffectiveQty],T_PlannedOrders[Part Name],$A869,T_PlannedOrders[WeekIndex],67)=0,"",SUMIFS(T_PlannedOrders[EffectiveQty],T_PlannedOrders[Part Name],$A869,T_PlannedOrders[WeekIndex],67)&amp;" ("&amp;TEXT(SUMPRODUCT(MAX((T_PlannedOrders[Part Name]=$A869)*(T_PlannedOrders[WeekIndex]=67)*(T_PlannedOrders[EffectiveQty]&gt;0)*T_PlannedOrders[Order_Month])),"m月")&amp;"発注)")</f>
        <v/>
      </c>
      <c r="BS889">
        <f>IF(SUMIFS(T_PlannedOrders[EffectiveQty],T_PlannedOrders[Part Name],$A869,T_PlannedOrders[WeekIndex],68)=0,"",SUMIFS(T_PlannedOrders[EffectiveQty],T_PlannedOrders[Part Name],$A869,T_PlannedOrders[WeekIndex],68)&amp;" ("&amp;TEXT(SUMPRODUCT(MAX((T_PlannedOrders[Part Name]=$A869)*(T_PlannedOrders[WeekIndex]=68)*(T_PlannedOrders[EffectiveQty]&gt;0)*T_PlannedOrders[Order_Month])),"m月")&amp;"発注)")</f>
        <v/>
      </c>
      <c r="BT889">
        <f>IF(SUMIFS(T_PlannedOrders[EffectiveQty],T_PlannedOrders[Part Name],$A869,T_PlannedOrders[WeekIndex],69)=0,"",SUMIFS(T_PlannedOrders[EffectiveQty],T_PlannedOrders[Part Name],$A869,T_PlannedOrders[WeekIndex],69)&amp;" ("&amp;TEXT(SUMPRODUCT(MAX((T_PlannedOrders[Part Name]=$A869)*(T_PlannedOrders[WeekIndex]=69)*(T_PlannedOrders[EffectiveQty]&gt;0)*T_PlannedOrders[Order_Month])),"m月")&amp;"発注)")</f>
        <v/>
      </c>
      <c r="BU889">
        <f>IF(SUMIFS(T_PlannedOrders[EffectiveQty],T_PlannedOrders[Part Name],$A869,T_PlannedOrders[WeekIndex],70)=0,"",SUMIFS(T_PlannedOrders[EffectiveQty],T_PlannedOrders[Part Name],$A869,T_PlannedOrders[WeekIndex],70)&amp;" ("&amp;TEXT(SUMPRODUCT(MAX((T_PlannedOrders[Part Name]=$A869)*(T_PlannedOrders[WeekIndex]=70)*(T_PlannedOrders[EffectiveQty]&gt;0)*T_PlannedOrders[Order_Month])),"m月")&amp;"発注)")</f>
        <v/>
      </c>
      <c r="BV889">
        <f>IF(SUMIFS(T_PlannedOrders[EffectiveQty],T_PlannedOrders[Part Name],$A869,T_PlannedOrders[WeekIndex],71)=0,"",SUMIFS(T_PlannedOrders[EffectiveQty],T_PlannedOrders[Part Name],$A869,T_PlannedOrders[WeekIndex],71)&amp;" ("&amp;TEXT(SUMPRODUCT(MAX((T_PlannedOrders[Part Name]=$A869)*(T_PlannedOrders[WeekIndex]=71)*(T_PlannedOrders[EffectiveQty]&gt;0)*T_PlannedOrders[Order_Month])),"m月")&amp;"発注)")</f>
        <v/>
      </c>
      <c r="BW889">
        <f>IF(SUMIFS(T_PlannedOrders[EffectiveQty],T_PlannedOrders[Part Name],$A869,T_PlannedOrders[WeekIndex],72)=0,"",SUMIFS(T_PlannedOrders[EffectiveQty],T_PlannedOrders[Part Name],$A869,T_PlannedOrders[WeekIndex],72)&amp;" ("&amp;TEXT(SUMPRODUCT(MAX((T_PlannedOrders[Part Name]=$A869)*(T_PlannedOrders[WeekIndex]=72)*(T_PlannedOrders[EffectiveQty]&gt;0)*T_PlannedOrders[Order_Month])),"m月")&amp;"発注)")</f>
        <v/>
      </c>
      <c r="BX889">
        <f>IF(SUMIFS(T_PlannedOrders[EffectiveQty],T_PlannedOrders[Part Name],$A869,T_PlannedOrders[WeekIndex],73)=0,"",SUMIFS(T_PlannedOrders[EffectiveQty],T_PlannedOrders[Part Name],$A869,T_PlannedOrders[WeekIndex],73)&amp;" ("&amp;TEXT(SUMPRODUCT(MAX((T_PlannedOrders[Part Name]=$A869)*(T_PlannedOrders[WeekIndex]=73)*(T_PlannedOrders[EffectiveQty]&gt;0)*T_PlannedOrders[Order_Month])),"m月")&amp;"発注)")</f>
        <v/>
      </c>
      <c r="BY889">
        <f>IF(SUMIFS(T_PlannedOrders[EffectiveQty],T_PlannedOrders[Part Name],$A869,T_PlannedOrders[WeekIndex],74)=0,"",SUMIFS(T_PlannedOrders[EffectiveQty],T_PlannedOrders[Part Name],$A869,T_PlannedOrders[WeekIndex],74)&amp;" ("&amp;TEXT(SUMPRODUCT(MAX((T_PlannedOrders[Part Name]=$A869)*(T_PlannedOrders[WeekIndex]=74)*(T_PlannedOrders[EffectiveQty]&gt;0)*T_PlannedOrders[Order_Month])),"m月")&amp;"発注)")</f>
        <v/>
      </c>
      <c r="BZ889">
        <f>IF(SUMIFS(T_PlannedOrders[EffectiveQty],T_PlannedOrders[Part Name],$A869,T_PlannedOrders[WeekIndex],75)=0,"",SUMIFS(T_PlannedOrders[EffectiveQty],T_PlannedOrders[Part Name],$A869,T_PlannedOrders[WeekIndex],75)&amp;" ("&amp;TEXT(SUMPRODUCT(MAX((T_PlannedOrders[Part Name]=$A869)*(T_PlannedOrders[WeekIndex]=75)*(T_PlannedOrders[EffectiveQty]&gt;0)*T_PlannedOrders[Order_Month])),"m月")&amp;"発注)")</f>
        <v/>
      </c>
      <c r="CA889">
        <f>IF(SUMIFS(T_PlannedOrders[EffectiveQty],T_PlannedOrders[Part Name],$A869,T_PlannedOrders[WeekIndex],76)=0,"",SUMIFS(T_PlannedOrders[EffectiveQty],T_PlannedOrders[Part Name],$A869,T_PlannedOrders[WeekIndex],76)&amp;" ("&amp;TEXT(SUMPRODUCT(MAX((T_PlannedOrders[Part Name]=$A869)*(T_PlannedOrders[WeekIndex]=76)*(T_PlannedOrders[EffectiveQty]&gt;0)*T_PlannedOrders[Order_Month])),"m月")&amp;"発注)")</f>
        <v/>
      </c>
      <c r="CB889">
        <f>IF(SUMIFS(T_PlannedOrders[EffectiveQty],T_PlannedOrders[Part Name],$A869,T_PlannedOrders[WeekIndex],77)=0,"",SUMIFS(T_PlannedOrders[EffectiveQty],T_PlannedOrders[Part Name],$A869,T_PlannedOrders[WeekIndex],77)&amp;" ("&amp;TEXT(SUMPRODUCT(MAX((T_PlannedOrders[Part Name]=$A869)*(T_PlannedOrders[WeekIndex]=77)*(T_PlannedOrders[EffectiveQty]&gt;0)*T_PlannedOrders[Order_Month])),"m月")&amp;"発注)")</f>
        <v/>
      </c>
      <c r="CC889">
        <f>IF(SUMIFS(T_PlannedOrders[EffectiveQty],T_PlannedOrders[Part Name],$A869,T_PlannedOrders[WeekIndex],78)=0,"",SUMIFS(T_PlannedOrders[EffectiveQty],T_PlannedOrders[Part Name],$A869,T_PlannedOrders[WeekIndex],78)&amp;" ("&amp;TEXT(SUMPRODUCT(MAX((T_PlannedOrders[Part Name]=$A869)*(T_PlannedOrders[WeekIndex]=78)*(T_PlannedOrders[EffectiveQty]&gt;0)*T_PlannedOrders[Order_Month])),"m月")&amp;"発注)")</f>
        <v/>
      </c>
      <c r="CD889">
        <f>IF(SUMIFS(T_PlannedOrders[EffectiveQty],T_PlannedOrders[Part Name],$A869,T_PlannedOrders[WeekIndex],79)=0,"",SUMIFS(T_PlannedOrders[EffectiveQty],T_PlannedOrders[Part Name],$A869,T_PlannedOrders[WeekIndex],79)&amp;" ("&amp;TEXT(SUMPRODUCT(MAX((T_PlannedOrders[Part Name]=$A869)*(T_PlannedOrders[WeekIndex]=79)*(T_PlannedOrders[EffectiveQty]&gt;0)*T_PlannedOrders[Order_Month])),"m月")&amp;"発注)")</f>
        <v/>
      </c>
      <c r="CE889">
        <f>IF(SUMIFS(T_PlannedOrders[EffectiveQty],T_PlannedOrders[Part Name],$A869,T_PlannedOrders[WeekIndex],80)=0,"",SUMIFS(T_PlannedOrders[EffectiveQty],T_PlannedOrders[Part Name],$A869,T_PlannedOrders[WeekIndex],80)&amp;" ("&amp;TEXT(SUMPRODUCT(MAX((T_PlannedOrders[Part Name]=$A869)*(T_PlannedOrders[WeekIndex]=80)*(T_PlannedOrders[EffectiveQty]&gt;0)*T_PlannedOrders[Order_Month])),"m月")&amp;"発注)")</f>
        <v/>
      </c>
      <c r="CF889">
        <f>IF(SUMIFS(T_PlannedOrders[EffectiveQty],T_PlannedOrders[Part Name],$A869,T_PlannedOrders[WeekIndex],81)=0,"",SUMIFS(T_PlannedOrders[EffectiveQty],T_PlannedOrders[Part Name],$A869,T_PlannedOrders[WeekIndex],81)&amp;" ("&amp;TEXT(SUMPRODUCT(MAX((T_PlannedOrders[Part Name]=$A869)*(T_PlannedOrders[WeekIndex]=81)*(T_PlannedOrders[EffectiveQty]&gt;0)*T_PlannedOrders[Order_Month])),"m月")&amp;"発注)")</f>
        <v/>
      </c>
      <c r="CG889">
        <f>IF(SUMIFS(T_PlannedOrders[EffectiveQty],T_PlannedOrders[Part Name],$A869,T_PlannedOrders[WeekIndex],82)=0,"",SUMIFS(T_PlannedOrders[EffectiveQty],T_PlannedOrders[Part Name],$A869,T_PlannedOrders[WeekIndex],82)&amp;" ("&amp;TEXT(SUMPRODUCT(MAX((T_PlannedOrders[Part Name]=$A869)*(T_PlannedOrders[WeekIndex]=82)*(T_PlannedOrders[EffectiveQty]&gt;0)*T_PlannedOrders[Order_Month])),"m月")&amp;"発注)")</f>
        <v/>
      </c>
      <c r="CH889">
        <f>IF(SUMIFS(T_PlannedOrders[EffectiveQty],T_PlannedOrders[Part Name],$A869,T_PlannedOrders[WeekIndex],83)=0,"",SUMIFS(T_PlannedOrders[EffectiveQty],T_PlannedOrders[Part Name],$A869,T_PlannedOrders[WeekIndex],83)&amp;" ("&amp;TEXT(SUMPRODUCT(MAX((T_PlannedOrders[Part Name]=$A869)*(T_PlannedOrders[WeekIndex]=83)*(T_PlannedOrders[EffectiveQty]&gt;0)*T_PlannedOrders[Order_Month])),"m月")&amp;"発注)")</f>
        <v/>
      </c>
      <c r="CI889">
        <f>IF(SUMIFS(T_PlannedOrders[EffectiveQty],T_PlannedOrders[Part Name],$A869,T_PlannedOrders[WeekIndex],84)=0,"",SUMIFS(T_PlannedOrders[EffectiveQty],T_PlannedOrders[Part Name],$A869,T_PlannedOrders[WeekIndex],84)&amp;" ("&amp;TEXT(SUMPRODUCT(MAX((T_PlannedOrders[Part Name]=$A869)*(T_PlannedOrders[WeekIndex]=84)*(T_PlannedOrders[EffectiveQty]&gt;0)*T_PlannedOrders[Order_Month])),"m月")&amp;"発注)")</f>
        <v/>
      </c>
      <c r="CJ889">
        <f>IF(SUMIFS(T_PlannedOrders[EffectiveQty],T_PlannedOrders[Part Name],$A869,T_PlannedOrders[WeekIndex],85)=0,"",SUMIFS(T_PlannedOrders[EffectiveQty],T_PlannedOrders[Part Name],$A869,T_PlannedOrders[WeekIndex],85)&amp;" ("&amp;TEXT(SUMPRODUCT(MAX((T_PlannedOrders[Part Name]=$A869)*(T_PlannedOrders[WeekIndex]=85)*(T_PlannedOrders[EffectiveQty]&gt;0)*T_PlannedOrders[Order_Month])),"m月")&amp;"発注)")</f>
        <v/>
      </c>
      <c r="CK889">
        <f>IF(SUMIFS(T_PlannedOrders[EffectiveQty],T_PlannedOrders[Part Name],$A869,T_PlannedOrders[WeekIndex],86)=0,"",SUMIFS(T_PlannedOrders[EffectiveQty],T_PlannedOrders[Part Name],$A869,T_PlannedOrders[WeekIndex],86)&amp;" ("&amp;TEXT(SUMPRODUCT(MAX((T_PlannedOrders[Part Name]=$A869)*(T_PlannedOrders[WeekIndex]=86)*(T_PlannedOrders[EffectiveQty]&gt;0)*T_PlannedOrders[Order_Month])),"m月")&amp;"発注)")</f>
        <v/>
      </c>
      <c r="CL889">
        <f>IF(SUMIFS(T_PlannedOrders[EffectiveQty],T_PlannedOrders[Part Name],$A869,T_PlannedOrders[WeekIndex],87)=0,"",SUMIFS(T_PlannedOrders[EffectiveQty],T_PlannedOrders[Part Name],$A869,T_PlannedOrders[WeekIndex],87)&amp;" ("&amp;TEXT(SUMPRODUCT(MAX((T_PlannedOrders[Part Name]=$A869)*(T_PlannedOrders[WeekIndex]=87)*(T_PlannedOrders[EffectiveQty]&gt;0)*T_PlannedOrders[Order_Month])),"m月")&amp;"発注)")</f>
        <v/>
      </c>
      <c r="CM889">
        <f>IF(SUMIFS(T_PlannedOrders[EffectiveQty],T_PlannedOrders[Part Name],$A869,T_PlannedOrders[WeekIndex],88)=0,"",SUMIFS(T_PlannedOrders[EffectiveQty],T_PlannedOrders[Part Name],$A869,T_PlannedOrders[WeekIndex],88)&amp;" ("&amp;TEXT(SUMPRODUCT(MAX((T_PlannedOrders[Part Name]=$A869)*(T_PlannedOrders[WeekIndex]=88)*(T_PlannedOrders[EffectiveQty]&gt;0)*T_PlannedOrders[Order_Month])),"m月")&amp;"発注)")</f>
        <v/>
      </c>
      <c r="CN889">
        <f>IF(SUMIFS(T_PlannedOrders[EffectiveQty],T_PlannedOrders[Part Name],$A869,T_PlannedOrders[WeekIndex],89)=0,"",SUMIFS(T_PlannedOrders[EffectiveQty],T_PlannedOrders[Part Name],$A869,T_PlannedOrders[WeekIndex],89)&amp;" ("&amp;TEXT(SUMPRODUCT(MAX((T_PlannedOrders[Part Name]=$A869)*(T_PlannedOrders[WeekIndex]=89)*(T_PlannedOrders[EffectiveQty]&gt;0)*T_PlannedOrders[Order_Month])),"m月")&amp;"発注)")</f>
        <v/>
      </c>
      <c r="CO889">
        <f>IF(SUMIFS(T_PlannedOrders[EffectiveQty],T_PlannedOrders[Part Name],$A869,T_PlannedOrders[WeekIndex],90)=0,"",SUMIFS(T_PlannedOrders[EffectiveQty],T_PlannedOrders[Part Name],$A869,T_PlannedOrders[WeekIndex],90)&amp;" ("&amp;TEXT(SUMPRODUCT(MAX((T_PlannedOrders[Part Name]=$A869)*(T_PlannedOrders[WeekIndex]=90)*(T_PlannedOrders[EffectiveQty]&gt;0)*T_PlannedOrders[Order_Month])),"m月")&amp;"発注)")</f>
        <v/>
      </c>
      <c r="CP889">
        <f>IF(SUMIFS(T_PlannedOrders[EffectiveQty],T_PlannedOrders[Part Name],$A869,T_PlannedOrders[WeekIndex],91)=0,"",SUMIFS(T_PlannedOrders[EffectiveQty],T_PlannedOrders[Part Name],$A869,T_PlannedOrders[WeekIndex],91)&amp;" ("&amp;TEXT(SUMPRODUCT(MAX((T_PlannedOrders[Part Name]=$A869)*(T_PlannedOrders[WeekIndex]=91)*(T_PlannedOrders[EffectiveQty]&gt;0)*T_PlannedOrders[Order_Month])),"m月")&amp;"発注)")</f>
        <v/>
      </c>
      <c r="CQ889">
        <f>IF(SUMIFS(T_PlannedOrders[EffectiveQty],T_PlannedOrders[Part Name],$A869,T_PlannedOrders[WeekIndex],92)=0,"",SUMIFS(T_PlannedOrders[EffectiveQty],T_PlannedOrders[Part Name],$A869,T_PlannedOrders[WeekIndex],92)&amp;" ("&amp;TEXT(SUMPRODUCT(MAX((T_PlannedOrders[Part Name]=$A869)*(T_PlannedOrders[WeekIndex]=92)*(T_PlannedOrders[EffectiveQty]&gt;0)*T_PlannedOrders[Order_Month])),"m月")&amp;"発注)")</f>
        <v/>
      </c>
      <c r="CR889">
        <f>IF(SUMIFS(T_PlannedOrders[EffectiveQty],T_PlannedOrders[Part Name],$A869,T_PlannedOrders[WeekIndex],93)=0,"",SUMIFS(T_PlannedOrders[EffectiveQty],T_PlannedOrders[Part Name],$A869,T_PlannedOrders[WeekIndex],93)&amp;" ("&amp;TEXT(SUMPRODUCT(MAX((T_PlannedOrders[Part Name]=$A869)*(T_PlannedOrders[WeekIndex]=93)*(T_PlannedOrders[EffectiveQty]&gt;0)*T_PlannedOrders[Order_Month])),"m月")&amp;"発注)")</f>
        <v/>
      </c>
      <c r="CS889">
        <f>IF(SUMIFS(T_PlannedOrders[EffectiveQty],T_PlannedOrders[Part Name],$A869,T_PlannedOrders[WeekIndex],94)=0,"",SUMIFS(T_PlannedOrders[EffectiveQty],T_PlannedOrders[Part Name],$A869,T_PlannedOrders[WeekIndex],94)&amp;" ("&amp;TEXT(SUMPRODUCT(MAX((T_PlannedOrders[Part Name]=$A869)*(T_PlannedOrders[WeekIndex]=94)*(T_PlannedOrders[EffectiveQty]&gt;0)*T_PlannedOrders[Order_Month])),"m月")&amp;"発注)")</f>
        <v/>
      </c>
      <c r="CT889">
        <f>IF(SUMIFS(T_PlannedOrders[EffectiveQty],T_PlannedOrders[Part Name],$A869,T_PlannedOrders[WeekIndex],95)=0,"",SUMIFS(T_PlannedOrders[EffectiveQty],T_PlannedOrders[Part Name],$A869,T_PlannedOrders[WeekIndex],95)&amp;" ("&amp;TEXT(SUMPRODUCT(MAX((T_PlannedOrders[Part Name]=$A869)*(T_PlannedOrders[WeekIndex]=95)*(T_PlannedOrders[EffectiveQty]&gt;0)*T_PlannedOrders[Order_Month])),"m月")&amp;"発注)")</f>
        <v/>
      </c>
      <c r="CU889">
        <f>IF(SUMIFS(T_PlannedOrders[EffectiveQty],T_PlannedOrders[Part Name],$A869,T_PlannedOrders[WeekIndex],96)=0,"",SUMIFS(T_PlannedOrders[EffectiveQty],T_PlannedOrders[Part Name],$A869,T_PlannedOrders[WeekIndex],96)&amp;" ("&amp;TEXT(SUMPRODUCT(MAX((T_PlannedOrders[Part Name]=$A869)*(T_PlannedOrders[WeekIndex]=96)*(T_PlannedOrders[EffectiveQty]&gt;0)*T_PlannedOrders[Order_Month])),"m月")&amp;"発注)")</f>
        <v/>
      </c>
      <c r="CV889">
        <f>IF(SUMIFS(T_PlannedOrders[EffectiveQty],T_PlannedOrders[Part Name],$A869,T_PlannedOrders[WeekIndex],97)=0,"",SUMIFS(T_PlannedOrders[EffectiveQty],T_PlannedOrders[Part Name],$A869,T_PlannedOrders[WeekIndex],97)&amp;" ("&amp;TEXT(SUMPRODUCT(MAX((T_PlannedOrders[Part Name]=$A869)*(T_PlannedOrders[WeekIndex]=97)*(T_PlannedOrders[EffectiveQty]&gt;0)*T_PlannedOrders[Order_Month])),"m月")&amp;"発注)")</f>
        <v/>
      </c>
      <c r="CW889">
        <f>IF(SUMIFS(T_PlannedOrders[EffectiveQty],T_PlannedOrders[Part Name],$A869,T_PlannedOrders[WeekIndex],98)=0,"",SUMIFS(T_PlannedOrders[EffectiveQty],T_PlannedOrders[Part Name],$A869,T_PlannedOrders[WeekIndex],98)&amp;" ("&amp;TEXT(SUMPRODUCT(MAX((T_PlannedOrders[Part Name]=$A869)*(T_PlannedOrders[WeekIndex]=98)*(T_PlannedOrders[EffectiveQty]&gt;0)*T_PlannedOrders[Order_Month])),"m月")&amp;"発注)")</f>
        <v/>
      </c>
      <c r="CX889">
        <f>IF(SUMIFS(T_PlannedOrders[EffectiveQty],T_PlannedOrders[Part Name],$A869,T_PlannedOrders[WeekIndex],99)=0,"",SUMIFS(T_PlannedOrders[EffectiveQty],T_PlannedOrders[Part Name],$A869,T_PlannedOrders[WeekIndex],99)&amp;" ("&amp;TEXT(SUMPRODUCT(MAX((T_PlannedOrders[Part Name]=$A869)*(T_PlannedOrders[WeekIndex]=99)*(T_PlannedOrders[EffectiveQty]&gt;0)*T_PlannedOrders[Order_Month])),"m月")&amp;"発注)")</f>
        <v/>
      </c>
      <c r="CY889">
        <f>IF(SUMIFS(T_PlannedOrders[EffectiveQty],T_PlannedOrders[Part Name],$A869,T_PlannedOrders[WeekIndex],100)=0,"",SUMIFS(T_PlannedOrders[EffectiveQty],T_PlannedOrders[Part Name],$A869,T_PlannedOrders[WeekIndex],100)&amp;" ("&amp;TEXT(SUMPRODUCT(MAX((T_PlannedOrders[Part Name]=$A869)*(T_PlannedOrders[WeekIndex]=100)*(T_PlannedOrders[EffectiveQty]&gt;0)*T_PlannedOrders[Order_Month])),"m月")&amp;"発注)")</f>
        <v/>
      </c>
      <c r="CZ889">
        <f>IF(SUMIFS(T_PlannedOrders[EffectiveQty],T_PlannedOrders[Part Name],$A869,T_PlannedOrders[WeekIndex],101)=0,"",SUMIFS(T_PlannedOrders[EffectiveQty],T_PlannedOrders[Part Name],$A869,T_PlannedOrders[WeekIndex],101)&amp;" ("&amp;TEXT(SUMPRODUCT(MAX((T_PlannedOrders[Part Name]=$A869)*(T_PlannedOrders[WeekIndex]=101)*(T_PlannedOrders[EffectiveQty]&gt;0)*T_PlannedOrders[Order_Month])),"m月")&amp;"発注)")</f>
        <v/>
      </c>
      <c r="DA889">
        <f>IF(SUMIFS(T_PlannedOrders[EffectiveQty],T_PlannedOrders[Part Name],$A869,T_PlannedOrders[WeekIndex],102)=0,"",SUMIFS(T_PlannedOrders[EffectiveQty],T_PlannedOrders[Part Name],$A869,T_PlannedOrders[WeekIndex],102)&amp;" ("&amp;TEXT(SUMPRODUCT(MAX((T_PlannedOrders[Part Name]=$A869)*(T_PlannedOrders[WeekIndex]=102)*(T_PlannedOrders[EffectiveQty]&gt;0)*T_PlannedOrders[Order_Month])),"m月")&amp;"発注)")</f>
        <v/>
      </c>
      <c r="DB889">
        <f>IF(SUMIFS(T_PlannedOrders[EffectiveQty],T_PlannedOrders[Part Name],$A869,T_PlannedOrders[WeekIndex],103)=0,"",SUMIFS(T_PlannedOrders[EffectiveQty],T_PlannedOrders[Part Name],$A869,T_PlannedOrders[WeekIndex],103)&amp;" ("&amp;TEXT(SUMPRODUCT(MAX((T_PlannedOrders[Part Name]=$A869)*(T_PlannedOrders[WeekIndex]=103)*(T_PlannedOrders[EffectiveQty]&gt;0)*T_PlannedOrders[Order_Month])),"m月")&amp;"発注)")</f>
        <v/>
      </c>
      <c r="DC889">
        <f>IF(SUMIFS(T_PlannedOrders[EffectiveQty],T_PlannedOrders[Part Name],$A869,T_PlannedOrders[WeekIndex],104)=0,"",SUMIFS(T_PlannedOrders[EffectiveQty],T_PlannedOrders[Part Name],$A869,T_PlannedOrders[WeekIndex],104)&amp;" ("&amp;TEXT(SUMPRODUCT(MAX((T_PlannedOrders[Part Name]=$A869)*(T_PlannedOrders[WeekIndex]=104)*(T_PlannedOrders[EffectiveQty]&gt;0)*T_PlannedOrders[Order_Month])),"m月")&amp;"発注)")</f>
        <v/>
      </c>
    </row>
    <row r="890">
      <c r="B890" s="5" t="inlineStr">
        <is>
          <t>合計在庫(週末時点,kg)</t>
        </is>
      </c>
      <c r="D890">
        <f>'Grid_Stock'!B4</f>
        <v/>
      </c>
      <c r="E890">
        <f>'Grid_Stock'!C4</f>
        <v/>
      </c>
      <c r="F890">
        <f>'Grid_Stock'!D4</f>
        <v/>
      </c>
      <c r="G890">
        <f>'Grid_Stock'!E4</f>
        <v/>
      </c>
      <c r="H890">
        <f>'Grid_Stock'!F4</f>
        <v/>
      </c>
      <c r="I890">
        <f>'Grid_Stock'!G4</f>
        <v/>
      </c>
      <c r="J890">
        <f>'Grid_Stock'!H4</f>
        <v/>
      </c>
      <c r="K890">
        <f>'Grid_Stock'!I4</f>
        <v/>
      </c>
      <c r="L890">
        <f>'Grid_Stock'!J4</f>
        <v/>
      </c>
      <c r="M890">
        <f>'Grid_Stock'!K4</f>
        <v/>
      </c>
      <c r="N890">
        <f>'Grid_Stock'!L4</f>
        <v/>
      </c>
      <c r="O890">
        <f>'Grid_Stock'!M4</f>
        <v/>
      </c>
      <c r="P890">
        <f>'Grid_Stock'!N4</f>
        <v/>
      </c>
      <c r="Q890">
        <f>'Grid_Stock'!O4</f>
        <v/>
      </c>
      <c r="R890">
        <f>'Grid_Stock'!P4</f>
        <v/>
      </c>
      <c r="S890">
        <f>'Grid_Stock'!Q4</f>
        <v/>
      </c>
      <c r="T890">
        <f>'Grid_Stock'!R4</f>
        <v/>
      </c>
      <c r="U890">
        <f>'Grid_Stock'!S4</f>
        <v/>
      </c>
      <c r="V890">
        <f>'Grid_Stock'!T4</f>
        <v/>
      </c>
      <c r="W890">
        <f>'Grid_Stock'!U4</f>
        <v/>
      </c>
      <c r="X890">
        <f>'Grid_Stock'!V4</f>
        <v/>
      </c>
      <c r="Y890">
        <f>'Grid_Stock'!W4</f>
        <v/>
      </c>
      <c r="Z890">
        <f>'Grid_Stock'!X4</f>
        <v/>
      </c>
      <c r="AA890">
        <f>'Grid_Stock'!Y4</f>
        <v/>
      </c>
      <c r="AB890">
        <f>'Grid_Stock'!Z4</f>
        <v/>
      </c>
      <c r="AC890">
        <f>'Grid_Stock'!AA4</f>
        <v/>
      </c>
      <c r="AD890">
        <f>'Grid_Stock'!AB4</f>
        <v/>
      </c>
      <c r="AE890">
        <f>'Grid_Stock'!AC4</f>
        <v/>
      </c>
      <c r="AF890">
        <f>'Grid_Stock'!AD4</f>
        <v/>
      </c>
      <c r="AG890">
        <f>'Grid_Stock'!AE4</f>
        <v/>
      </c>
      <c r="AH890">
        <f>'Grid_Stock'!AF4</f>
        <v/>
      </c>
      <c r="AI890">
        <f>'Grid_Stock'!AG4</f>
        <v/>
      </c>
      <c r="AJ890">
        <f>'Grid_Stock'!AH4</f>
        <v/>
      </c>
      <c r="AK890">
        <f>'Grid_Stock'!AI4</f>
        <v/>
      </c>
      <c r="AL890">
        <f>'Grid_Stock'!AJ4</f>
        <v/>
      </c>
      <c r="AM890">
        <f>'Grid_Stock'!AK4</f>
        <v/>
      </c>
      <c r="AN890">
        <f>'Grid_Stock'!AL4</f>
        <v/>
      </c>
      <c r="AO890">
        <f>'Grid_Stock'!AM4</f>
        <v/>
      </c>
      <c r="AP890">
        <f>'Grid_Stock'!AN4</f>
        <v/>
      </c>
      <c r="AQ890">
        <f>'Grid_Stock'!AO4</f>
        <v/>
      </c>
      <c r="AR890">
        <f>'Grid_Stock'!AP4</f>
        <v/>
      </c>
      <c r="AS890">
        <f>'Grid_Stock'!AQ4</f>
        <v/>
      </c>
      <c r="AT890">
        <f>'Grid_Stock'!AR4</f>
        <v/>
      </c>
      <c r="AU890">
        <f>'Grid_Stock'!AS4</f>
        <v/>
      </c>
      <c r="AV890">
        <f>'Grid_Stock'!AT4</f>
        <v/>
      </c>
      <c r="AW890">
        <f>'Grid_Stock'!AU4</f>
        <v/>
      </c>
      <c r="AX890">
        <f>'Grid_Stock'!AV4</f>
        <v/>
      </c>
      <c r="AY890">
        <f>'Grid_Stock'!AW4</f>
        <v/>
      </c>
      <c r="AZ890">
        <f>'Grid_Stock'!AX4</f>
        <v/>
      </c>
      <c r="BA890">
        <f>'Grid_Stock'!AY4</f>
        <v/>
      </c>
      <c r="BB890">
        <f>'Grid_Stock'!AZ4</f>
        <v/>
      </c>
      <c r="BC890">
        <f>'Grid_Stock'!BA4</f>
        <v/>
      </c>
      <c r="BD890">
        <f>'Grid_Stock'!BB4</f>
        <v/>
      </c>
      <c r="BE890">
        <f>'Grid_Stock'!BC4</f>
        <v/>
      </c>
      <c r="BF890">
        <f>'Grid_Stock'!BD4</f>
        <v/>
      </c>
      <c r="BG890">
        <f>'Grid_Stock'!BE4</f>
        <v/>
      </c>
      <c r="BH890">
        <f>'Grid_Stock'!BF4</f>
        <v/>
      </c>
      <c r="BI890">
        <f>'Grid_Stock'!BG4</f>
        <v/>
      </c>
      <c r="BJ890">
        <f>'Grid_Stock'!BH4</f>
        <v/>
      </c>
      <c r="BK890">
        <f>'Grid_Stock'!BI4</f>
        <v/>
      </c>
      <c r="BL890">
        <f>'Grid_Stock'!BJ4</f>
        <v/>
      </c>
      <c r="BM890">
        <f>'Grid_Stock'!BK4</f>
        <v/>
      </c>
      <c r="BN890">
        <f>'Grid_Stock'!BL4</f>
        <v/>
      </c>
      <c r="BO890">
        <f>'Grid_Stock'!BM4</f>
        <v/>
      </c>
      <c r="BP890">
        <f>'Grid_Stock'!BN4</f>
        <v/>
      </c>
      <c r="BQ890">
        <f>'Grid_Stock'!BO4</f>
        <v/>
      </c>
      <c r="BR890">
        <f>'Grid_Stock'!BP4</f>
        <v/>
      </c>
      <c r="BS890">
        <f>'Grid_Stock'!BQ4</f>
        <v/>
      </c>
      <c r="BT890">
        <f>'Grid_Stock'!BR4</f>
        <v/>
      </c>
      <c r="BU890">
        <f>'Grid_Stock'!BS4</f>
        <v/>
      </c>
      <c r="BV890">
        <f>'Grid_Stock'!BT4</f>
        <v/>
      </c>
      <c r="BW890">
        <f>'Grid_Stock'!BU4</f>
        <v/>
      </c>
      <c r="BX890">
        <f>'Grid_Stock'!BV4</f>
        <v/>
      </c>
      <c r="BY890">
        <f>'Grid_Stock'!BW4</f>
        <v/>
      </c>
      <c r="BZ890">
        <f>'Grid_Stock'!BX4</f>
        <v/>
      </c>
      <c r="CA890">
        <f>'Grid_Stock'!BY4</f>
        <v/>
      </c>
      <c r="CB890">
        <f>'Grid_Stock'!BZ4</f>
        <v/>
      </c>
      <c r="CC890">
        <f>'Grid_Stock'!CA4</f>
        <v/>
      </c>
      <c r="CD890">
        <f>'Grid_Stock'!CB4</f>
        <v/>
      </c>
      <c r="CE890">
        <f>'Grid_Stock'!CC4</f>
        <v/>
      </c>
      <c r="CF890">
        <f>'Grid_Stock'!CD4</f>
        <v/>
      </c>
      <c r="CG890">
        <f>'Grid_Stock'!CE4</f>
        <v/>
      </c>
      <c r="CH890">
        <f>'Grid_Stock'!CF4</f>
        <v/>
      </c>
      <c r="CI890">
        <f>'Grid_Stock'!CG4</f>
        <v/>
      </c>
      <c r="CJ890">
        <f>'Grid_Stock'!CH4</f>
        <v/>
      </c>
      <c r="CK890">
        <f>'Grid_Stock'!CI4</f>
        <v/>
      </c>
      <c r="CL890">
        <f>'Grid_Stock'!CJ4</f>
        <v/>
      </c>
      <c r="CM890">
        <f>'Grid_Stock'!CK4</f>
        <v/>
      </c>
      <c r="CN890">
        <f>'Grid_Stock'!CL4</f>
        <v/>
      </c>
      <c r="CO890">
        <f>'Grid_Stock'!CM4</f>
        <v/>
      </c>
      <c r="CP890">
        <f>'Grid_Stock'!CN4</f>
        <v/>
      </c>
      <c r="CQ890">
        <f>'Grid_Stock'!CO4</f>
        <v/>
      </c>
      <c r="CR890">
        <f>'Grid_Stock'!CP4</f>
        <v/>
      </c>
      <c r="CS890">
        <f>'Grid_Stock'!CQ4</f>
        <v/>
      </c>
      <c r="CT890">
        <f>'Grid_Stock'!CR4</f>
        <v/>
      </c>
      <c r="CU890">
        <f>'Grid_Stock'!CS4</f>
        <v/>
      </c>
      <c r="CV890">
        <f>'Grid_Stock'!CT4</f>
        <v/>
      </c>
      <c r="CW890">
        <f>'Grid_Stock'!CU4</f>
        <v/>
      </c>
      <c r="CX890">
        <f>'Grid_Stock'!CV4</f>
        <v/>
      </c>
      <c r="CY890">
        <f>'Grid_Stock'!CW4</f>
        <v/>
      </c>
      <c r="CZ890">
        <f>'Grid_Stock'!CX4</f>
        <v/>
      </c>
      <c r="DA890">
        <f>'Grid_Stock'!CY4</f>
        <v/>
      </c>
      <c r="DB890">
        <f>'Grid_Stock'!CZ4</f>
        <v/>
      </c>
      <c r="DC890">
        <f>'Grid_Stock'!DA4</f>
        <v/>
      </c>
    </row>
    <row r="891">
      <c r="B891" s="23" t="inlineStr">
        <is>
          <t>（発注の目安はDashboardの基準在庫[下限/上限]と色分けを参照）</t>
        </is>
      </c>
    </row>
    <row r="893">
      <c r="A893" s="21" t="inlineStr">
        <is>
          <t>CHEM-1780</t>
        </is>
      </c>
      <c r="B893" s="21" t="inlineStr">
        <is>
          <t>Diammonium Citrate</t>
        </is>
      </c>
      <c r="C893" s="22" t="n"/>
      <c r="D893" s="21" t="n"/>
      <c r="E893" s="21" t="n"/>
      <c r="F893" s="21" t="n"/>
      <c r="G893" s="21" t="n"/>
      <c r="H893" s="2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  <c r="AA893" s="21" t="n"/>
      <c r="AB893" s="21" t="n"/>
      <c r="AC893" s="21" t="n"/>
      <c r="AD893" s="21" t="n"/>
      <c r="AE893" s="21" t="n"/>
      <c r="AF893" s="21" t="n"/>
      <c r="AG893" s="21" t="n"/>
      <c r="AH893" s="21" t="n"/>
      <c r="AI893" s="21" t="n"/>
      <c r="AJ893" s="21" t="n"/>
      <c r="AK893" s="21" t="n"/>
      <c r="AL893" s="21" t="n"/>
      <c r="AM893" s="21" t="n"/>
      <c r="AN893" s="21" t="n"/>
      <c r="AO893" s="21" t="n"/>
      <c r="AP893" s="21" t="n"/>
      <c r="AQ893" s="21" t="n"/>
      <c r="AR893" s="21" t="n"/>
      <c r="AS893" s="21" t="n"/>
      <c r="AT893" s="21" t="n"/>
      <c r="AU893" s="21" t="n"/>
      <c r="AV893" s="21" t="n"/>
      <c r="AW893" s="21" t="n"/>
      <c r="AX893" s="21" t="n"/>
      <c r="AY893" s="21" t="n"/>
      <c r="AZ893" s="21" t="n"/>
      <c r="BA893" s="21" t="n"/>
      <c r="BB893" s="21" t="n"/>
      <c r="BC893" s="21" t="n"/>
      <c r="BD893" s="21" t="n"/>
      <c r="BE893" s="21" t="n"/>
      <c r="BF893" s="21" t="n"/>
      <c r="BG893" s="21" t="n"/>
      <c r="BH893" s="21" t="n"/>
      <c r="BI893" s="21" t="n"/>
      <c r="BJ893" s="21" t="n"/>
      <c r="BK893" s="21" t="n"/>
      <c r="BL893" s="21" t="n"/>
      <c r="BM893" s="21" t="n"/>
      <c r="BN893" s="21" t="n"/>
      <c r="BO893" s="21" t="n"/>
      <c r="BP893" s="21" t="n"/>
      <c r="BQ893" s="21" t="n"/>
      <c r="BR893" s="21" t="n"/>
      <c r="BS893" s="21" t="n"/>
      <c r="BT893" s="21" t="n"/>
      <c r="BU893" s="21" t="n"/>
      <c r="BV893" s="21" t="n"/>
      <c r="BW893" s="21" t="n"/>
      <c r="BX893" s="21" t="n"/>
      <c r="BY893" s="21" t="n"/>
      <c r="BZ893" s="21" t="n"/>
      <c r="CA893" s="21" t="n"/>
      <c r="CB893" s="21" t="n"/>
      <c r="CC893" s="21" t="n"/>
      <c r="CD893" s="21" t="n"/>
      <c r="CE893" s="21" t="n"/>
      <c r="CF893" s="21" t="n"/>
      <c r="CG893" s="21" t="n"/>
      <c r="CH893" s="21" t="n"/>
      <c r="CI893" s="21" t="n"/>
      <c r="CJ893" s="21" t="n"/>
      <c r="CK893" s="21" t="n"/>
      <c r="CL893" s="21" t="n"/>
      <c r="CM893" s="21" t="n"/>
      <c r="CN893" s="21" t="n"/>
      <c r="CO893" s="21" t="n"/>
      <c r="CP893" s="21" t="n"/>
      <c r="CQ893" s="21" t="n"/>
      <c r="CR893" s="21" t="n"/>
      <c r="CS893" s="21" t="n"/>
      <c r="CT893" s="21" t="n"/>
      <c r="CU893" s="21" t="n"/>
      <c r="CV893" s="21" t="n"/>
      <c r="CW893" s="21" t="n"/>
      <c r="CX893" s="21" t="n"/>
      <c r="CY893" s="21" t="n"/>
      <c r="CZ893" s="21" t="n"/>
      <c r="DA893" s="21" t="n"/>
      <c r="DB893" s="21" t="n"/>
      <c r="DC893" s="21" t="n"/>
    </row>
    <row r="894">
      <c r="B894" t="inlineStr">
        <is>
          <t>TSP-1499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Name],$A893)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TSP-1555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Name],$A893)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TSP-903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Name],$A893)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s="5" t="inlineStr">
        <is>
          <t>合計使用量(kg)/週</t>
        </is>
      </c>
      <c r="D900">
        <f>'Grid_Requirement'!B12</f>
        <v/>
      </c>
      <c r="E900">
        <f>'Grid_Requirement'!C12</f>
        <v/>
      </c>
      <c r="F900">
        <f>'Grid_Requirement'!D12</f>
        <v/>
      </c>
      <c r="G900">
        <f>'Grid_Requirement'!E12</f>
        <v/>
      </c>
      <c r="H900">
        <f>'Grid_Requirement'!F12</f>
        <v/>
      </c>
      <c r="I900">
        <f>'Grid_Requirement'!G12</f>
        <v/>
      </c>
      <c r="J900">
        <f>'Grid_Requirement'!H12</f>
        <v/>
      </c>
      <c r="K900">
        <f>'Grid_Requirement'!I12</f>
        <v/>
      </c>
      <c r="L900">
        <f>'Grid_Requirement'!J12</f>
        <v/>
      </c>
      <c r="M900">
        <f>'Grid_Requirement'!K12</f>
        <v/>
      </c>
      <c r="N900">
        <f>'Grid_Requirement'!L12</f>
        <v/>
      </c>
      <c r="O900">
        <f>'Grid_Requirement'!M12</f>
        <v/>
      </c>
      <c r="P900">
        <f>'Grid_Requirement'!N12</f>
        <v/>
      </c>
      <c r="Q900">
        <f>'Grid_Requirement'!O12</f>
        <v/>
      </c>
      <c r="R900">
        <f>'Grid_Requirement'!P12</f>
        <v/>
      </c>
      <c r="S900">
        <f>'Grid_Requirement'!Q12</f>
        <v/>
      </c>
      <c r="T900">
        <f>'Grid_Requirement'!R12</f>
        <v/>
      </c>
      <c r="U900">
        <f>'Grid_Requirement'!S12</f>
        <v/>
      </c>
      <c r="V900">
        <f>'Grid_Requirement'!T12</f>
        <v/>
      </c>
      <c r="W900">
        <f>'Grid_Requirement'!U12</f>
        <v/>
      </c>
      <c r="X900">
        <f>'Grid_Requirement'!V12</f>
        <v/>
      </c>
      <c r="Y900">
        <f>'Grid_Requirement'!W12</f>
        <v/>
      </c>
      <c r="Z900">
        <f>'Grid_Requirement'!X12</f>
        <v/>
      </c>
      <c r="AA900">
        <f>'Grid_Requirement'!Y12</f>
        <v/>
      </c>
      <c r="AB900">
        <f>'Grid_Requirement'!Z12</f>
        <v/>
      </c>
      <c r="AC900">
        <f>'Grid_Requirement'!AA12</f>
        <v/>
      </c>
      <c r="AD900">
        <f>'Grid_Requirement'!AB12</f>
        <v/>
      </c>
      <c r="AE900">
        <f>'Grid_Requirement'!AC12</f>
        <v/>
      </c>
      <c r="AF900">
        <f>'Grid_Requirement'!AD12</f>
        <v/>
      </c>
      <c r="AG900">
        <f>'Grid_Requirement'!AE12</f>
        <v/>
      </c>
      <c r="AH900">
        <f>'Grid_Requirement'!AF12</f>
        <v/>
      </c>
      <c r="AI900">
        <f>'Grid_Requirement'!AG12</f>
        <v/>
      </c>
      <c r="AJ900">
        <f>'Grid_Requirement'!AH12</f>
        <v/>
      </c>
      <c r="AK900">
        <f>'Grid_Requirement'!AI12</f>
        <v/>
      </c>
      <c r="AL900">
        <f>'Grid_Requirement'!AJ12</f>
        <v/>
      </c>
      <c r="AM900">
        <f>'Grid_Requirement'!AK12</f>
        <v/>
      </c>
      <c r="AN900">
        <f>'Grid_Requirement'!AL12</f>
        <v/>
      </c>
      <c r="AO900">
        <f>'Grid_Requirement'!AM12</f>
        <v/>
      </c>
      <c r="AP900">
        <f>'Grid_Requirement'!AN12</f>
        <v/>
      </c>
      <c r="AQ900">
        <f>'Grid_Requirement'!AO12</f>
        <v/>
      </c>
      <c r="AR900">
        <f>'Grid_Requirement'!AP12</f>
        <v/>
      </c>
      <c r="AS900">
        <f>'Grid_Requirement'!AQ12</f>
        <v/>
      </c>
      <c r="AT900">
        <f>'Grid_Requirement'!AR12</f>
        <v/>
      </c>
      <c r="AU900">
        <f>'Grid_Requirement'!AS12</f>
        <v/>
      </c>
      <c r="AV900">
        <f>'Grid_Requirement'!AT12</f>
        <v/>
      </c>
      <c r="AW900">
        <f>'Grid_Requirement'!AU12</f>
        <v/>
      </c>
      <c r="AX900">
        <f>'Grid_Requirement'!AV12</f>
        <v/>
      </c>
      <c r="AY900">
        <f>'Grid_Requirement'!AW12</f>
        <v/>
      </c>
      <c r="AZ900">
        <f>'Grid_Requirement'!AX12</f>
        <v/>
      </c>
      <c r="BA900">
        <f>'Grid_Requirement'!AY12</f>
        <v/>
      </c>
      <c r="BB900">
        <f>'Grid_Requirement'!AZ12</f>
        <v/>
      </c>
      <c r="BC900">
        <f>'Grid_Requirement'!BA12</f>
        <v/>
      </c>
      <c r="BD900">
        <f>'Grid_Requirement'!BB12</f>
        <v/>
      </c>
      <c r="BE900">
        <f>'Grid_Requirement'!BC12</f>
        <v/>
      </c>
      <c r="BF900">
        <f>'Grid_Requirement'!BD12</f>
        <v/>
      </c>
      <c r="BG900">
        <f>'Grid_Requirement'!BE12</f>
        <v/>
      </c>
      <c r="BH900">
        <f>'Grid_Requirement'!BF12</f>
        <v/>
      </c>
      <c r="BI900">
        <f>'Grid_Requirement'!BG12</f>
        <v/>
      </c>
      <c r="BJ900">
        <f>'Grid_Requirement'!BH12</f>
        <v/>
      </c>
      <c r="BK900">
        <f>'Grid_Requirement'!BI12</f>
        <v/>
      </c>
      <c r="BL900">
        <f>'Grid_Requirement'!BJ12</f>
        <v/>
      </c>
      <c r="BM900">
        <f>'Grid_Requirement'!BK12</f>
        <v/>
      </c>
      <c r="BN900">
        <f>'Grid_Requirement'!BL12</f>
        <v/>
      </c>
      <c r="BO900">
        <f>'Grid_Requirement'!BM12</f>
        <v/>
      </c>
      <c r="BP900">
        <f>'Grid_Requirement'!BN12</f>
        <v/>
      </c>
      <c r="BQ900">
        <f>'Grid_Requirement'!BO12</f>
        <v/>
      </c>
      <c r="BR900">
        <f>'Grid_Requirement'!BP12</f>
        <v/>
      </c>
      <c r="BS900">
        <f>'Grid_Requirement'!BQ12</f>
        <v/>
      </c>
      <c r="BT900">
        <f>'Grid_Requirement'!BR12</f>
        <v/>
      </c>
      <c r="BU900">
        <f>'Grid_Requirement'!BS12</f>
        <v/>
      </c>
      <c r="BV900">
        <f>'Grid_Requirement'!BT12</f>
        <v/>
      </c>
      <c r="BW900">
        <f>'Grid_Requirement'!BU12</f>
        <v/>
      </c>
      <c r="BX900">
        <f>'Grid_Requirement'!BV12</f>
        <v/>
      </c>
      <c r="BY900">
        <f>'Grid_Requirement'!BW12</f>
        <v/>
      </c>
      <c r="BZ900">
        <f>'Grid_Requirement'!BX12</f>
        <v/>
      </c>
      <c r="CA900">
        <f>'Grid_Requirement'!BY12</f>
        <v/>
      </c>
      <c r="CB900">
        <f>'Grid_Requirement'!BZ12</f>
        <v/>
      </c>
      <c r="CC900">
        <f>'Grid_Requirement'!CA12</f>
        <v/>
      </c>
      <c r="CD900">
        <f>'Grid_Requirement'!CB12</f>
        <v/>
      </c>
      <c r="CE900">
        <f>'Grid_Requirement'!CC12</f>
        <v/>
      </c>
      <c r="CF900">
        <f>'Grid_Requirement'!CD12</f>
        <v/>
      </c>
      <c r="CG900">
        <f>'Grid_Requirement'!CE12</f>
        <v/>
      </c>
      <c r="CH900">
        <f>'Grid_Requirement'!CF12</f>
        <v/>
      </c>
      <c r="CI900">
        <f>'Grid_Requirement'!CG12</f>
        <v/>
      </c>
      <c r="CJ900">
        <f>'Grid_Requirement'!CH12</f>
        <v/>
      </c>
      <c r="CK900">
        <f>'Grid_Requirement'!CI12</f>
        <v/>
      </c>
      <c r="CL900">
        <f>'Grid_Requirement'!CJ12</f>
        <v/>
      </c>
      <c r="CM900">
        <f>'Grid_Requirement'!CK12</f>
        <v/>
      </c>
      <c r="CN900">
        <f>'Grid_Requirement'!CL12</f>
        <v/>
      </c>
      <c r="CO900">
        <f>'Grid_Requirement'!CM12</f>
        <v/>
      </c>
      <c r="CP900">
        <f>'Grid_Requirement'!CN12</f>
        <v/>
      </c>
      <c r="CQ900">
        <f>'Grid_Requirement'!CO12</f>
        <v/>
      </c>
      <c r="CR900">
        <f>'Grid_Requirement'!CP12</f>
        <v/>
      </c>
      <c r="CS900">
        <f>'Grid_Requirement'!CQ12</f>
        <v/>
      </c>
      <c r="CT900">
        <f>'Grid_Requirement'!CR12</f>
        <v/>
      </c>
      <c r="CU900">
        <f>'Grid_Requirement'!CS12</f>
        <v/>
      </c>
      <c r="CV900">
        <f>'Grid_Requirement'!CT12</f>
        <v/>
      </c>
      <c r="CW900">
        <f>'Grid_Requirement'!CU12</f>
        <v/>
      </c>
      <c r="CX900">
        <f>'Grid_Requirement'!CV12</f>
        <v/>
      </c>
      <c r="CY900">
        <f>'Grid_Requirement'!CW12</f>
        <v/>
      </c>
      <c r="CZ900">
        <f>'Grid_Requirement'!CX12</f>
        <v/>
      </c>
      <c r="DA900">
        <f>'Grid_Requirement'!CY12</f>
        <v/>
      </c>
      <c r="DB900">
        <f>'Grid_Requirement'!CZ12</f>
        <v/>
      </c>
      <c r="DC900">
        <f>'Grid_Requirement'!DA12</f>
        <v/>
      </c>
    </row>
    <row r="901">
      <c r="B901" t="inlineStr">
        <is>
          <t>TTAF在庫(実績,kg)</t>
        </is>
      </c>
      <c r="D901">
        <f>'T_TTAFStock'!B16</f>
        <v/>
      </c>
      <c r="E901">
        <f>'T_TTAFStock'!C16</f>
        <v/>
      </c>
      <c r="F901">
        <f>'T_TTAFStock'!D16</f>
        <v/>
      </c>
      <c r="G901">
        <f>'T_TTAFStock'!E16</f>
        <v/>
      </c>
      <c r="H901">
        <f>'T_TTAFStock'!F16</f>
        <v/>
      </c>
      <c r="I901">
        <f>'T_TTAFStock'!G16</f>
        <v/>
      </c>
      <c r="J901">
        <f>'T_TTAFStock'!H16</f>
        <v/>
      </c>
      <c r="K901">
        <f>'T_TTAFStock'!I16</f>
        <v/>
      </c>
      <c r="L901">
        <f>'T_TTAFStock'!J16</f>
        <v/>
      </c>
      <c r="M901">
        <f>'T_TTAFStock'!K16</f>
        <v/>
      </c>
      <c r="N901">
        <f>'T_TTAFStock'!L16</f>
        <v/>
      </c>
      <c r="O901">
        <f>'T_TTAFStock'!M16</f>
        <v/>
      </c>
      <c r="P901">
        <f>'T_TTAFStock'!N16</f>
        <v/>
      </c>
      <c r="Q901">
        <f>'T_TTAFStock'!O16</f>
        <v/>
      </c>
      <c r="R901">
        <f>'T_TTAFStock'!P16</f>
        <v/>
      </c>
      <c r="S901">
        <f>'T_TTAFStock'!Q16</f>
        <v/>
      </c>
      <c r="T901">
        <f>'T_TTAFStock'!R16</f>
        <v/>
      </c>
      <c r="U901">
        <f>'T_TTAFStock'!S16</f>
        <v/>
      </c>
      <c r="V901">
        <f>'T_TTAFStock'!T16</f>
        <v/>
      </c>
      <c r="W901">
        <f>'T_TTAFStock'!U16</f>
        <v/>
      </c>
      <c r="X901">
        <f>'T_TTAFStock'!V16</f>
        <v/>
      </c>
      <c r="Y901">
        <f>'T_TTAFStock'!W16</f>
        <v/>
      </c>
      <c r="Z901">
        <f>'T_TTAFStock'!X16</f>
        <v/>
      </c>
      <c r="AA901">
        <f>'T_TTAFStock'!Y16</f>
        <v/>
      </c>
      <c r="AB901">
        <f>'T_TTAFStock'!Z16</f>
        <v/>
      </c>
      <c r="AC901">
        <f>'T_TTAFStock'!AA16</f>
        <v/>
      </c>
      <c r="AD901">
        <f>'T_TTAFStock'!AB16</f>
        <v/>
      </c>
      <c r="AE901">
        <f>'T_TTAFStock'!AC16</f>
        <v/>
      </c>
      <c r="AF901">
        <f>'T_TTAFStock'!AD16</f>
        <v/>
      </c>
      <c r="AG901">
        <f>'T_TTAFStock'!AE16</f>
        <v/>
      </c>
      <c r="AH901">
        <f>'T_TTAFStock'!AF16</f>
        <v/>
      </c>
      <c r="AI901">
        <f>'T_TTAFStock'!AG16</f>
        <v/>
      </c>
      <c r="AJ901">
        <f>'T_TTAFStock'!AH16</f>
        <v/>
      </c>
      <c r="AK901">
        <f>'T_TTAFStock'!AI16</f>
        <v/>
      </c>
      <c r="AL901">
        <f>'T_TTAFStock'!AJ16</f>
        <v/>
      </c>
      <c r="AM901">
        <f>'T_TTAFStock'!AK16</f>
        <v/>
      </c>
      <c r="AN901">
        <f>'T_TTAFStock'!AL16</f>
        <v/>
      </c>
      <c r="AO901">
        <f>'T_TTAFStock'!AM16</f>
        <v/>
      </c>
      <c r="AP901">
        <f>'T_TTAFStock'!AN16</f>
        <v/>
      </c>
      <c r="AQ901">
        <f>'T_TTAFStock'!AO16</f>
        <v/>
      </c>
      <c r="AR901">
        <f>'T_TTAFStock'!AP16</f>
        <v/>
      </c>
      <c r="AS901">
        <f>'T_TTAFStock'!AQ16</f>
        <v/>
      </c>
      <c r="AT901">
        <f>'T_TTAFStock'!AR16</f>
        <v/>
      </c>
      <c r="AU901">
        <f>'T_TTAFStock'!AS16</f>
        <v/>
      </c>
      <c r="AV901">
        <f>'T_TTAFStock'!AT16</f>
        <v/>
      </c>
      <c r="AW901">
        <f>'T_TTAFStock'!AU16</f>
        <v/>
      </c>
      <c r="AX901">
        <f>'T_TTAFStock'!AV16</f>
        <v/>
      </c>
      <c r="AY901">
        <f>'T_TTAFStock'!AW16</f>
        <v/>
      </c>
      <c r="AZ901">
        <f>'T_TTAFStock'!AX16</f>
        <v/>
      </c>
      <c r="BA901">
        <f>'T_TTAFStock'!AY16</f>
        <v/>
      </c>
      <c r="BB901">
        <f>'T_TTAFStock'!AZ16</f>
        <v/>
      </c>
      <c r="BC901">
        <f>'T_TTAFStock'!BA16</f>
        <v/>
      </c>
      <c r="BD901">
        <f>'T_TTAFStock'!BB16</f>
        <v/>
      </c>
      <c r="BE901">
        <f>'T_TTAFStock'!BC16</f>
        <v/>
      </c>
      <c r="BF901">
        <f>'T_TTAFStock'!BD16</f>
        <v/>
      </c>
      <c r="BG901">
        <f>'T_TTAFStock'!BE16</f>
        <v/>
      </c>
      <c r="BH901">
        <f>'T_TTAFStock'!BF16</f>
        <v/>
      </c>
      <c r="BI901">
        <f>'T_TTAFStock'!BG16</f>
        <v/>
      </c>
      <c r="BJ901">
        <f>'T_TTAFStock'!BH16</f>
        <v/>
      </c>
      <c r="BK901">
        <f>'T_TTAFStock'!BI16</f>
        <v/>
      </c>
      <c r="BL901">
        <f>'T_TTAFStock'!BJ16</f>
        <v/>
      </c>
      <c r="BM901">
        <f>'T_TTAFStock'!BK16</f>
        <v/>
      </c>
      <c r="BN901">
        <f>'T_TTAFStock'!BL16</f>
        <v/>
      </c>
      <c r="BO901">
        <f>'T_TTAFStock'!BM16</f>
        <v/>
      </c>
      <c r="BP901">
        <f>'T_TTAFStock'!BN16</f>
        <v/>
      </c>
      <c r="BQ901">
        <f>'T_TTAFStock'!BO16</f>
        <v/>
      </c>
      <c r="BR901">
        <f>'T_TTAFStock'!BP16</f>
        <v/>
      </c>
      <c r="BS901">
        <f>'T_TTAFStock'!BQ16</f>
        <v/>
      </c>
      <c r="BT901">
        <f>'T_TTAFStock'!BR16</f>
        <v/>
      </c>
      <c r="BU901">
        <f>'T_TTAFStock'!BS16</f>
        <v/>
      </c>
      <c r="BV901">
        <f>'T_TTAFStock'!BT16</f>
        <v/>
      </c>
      <c r="BW901">
        <f>'T_TTAFStock'!BU16</f>
        <v/>
      </c>
      <c r="BX901">
        <f>'T_TTAFStock'!BV16</f>
        <v/>
      </c>
      <c r="BY901">
        <f>'T_TTAFStock'!BW16</f>
        <v/>
      </c>
      <c r="BZ901">
        <f>'T_TTAFStock'!BX16</f>
        <v/>
      </c>
      <c r="CA901">
        <f>'T_TTAFStock'!BY16</f>
        <v/>
      </c>
      <c r="CB901">
        <f>'T_TTAFStock'!BZ16</f>
        <v/>
      </c>
      <c r="CC901">
        <f>'T_TTAFStock'!CA16</f>
        <v/>
      </c>
      <c r="CD901">
        <f>'T_TTAFStock'!CB16</f>
        <v/>
      </c>
      <c r="CE901">
        <f>'T_TTAFStock'!CC16</f>
        <v/>
      </c>
      <c r="CF901">
        <f>'T_TTAFStock'!CD16</f>
        <v/>
      </c>
      <c r="CG901">
        <f>'T_TTAFStock'!CE16</f>
        <v/>
      </c>
      <c r="CH901">
        <f>'T_TTAFStock'!CF16</f>
        <v/>
      </c>
      <c r="CI901">
        <f>'T_TTAFStock'!CG16</f>
        <v/>
      </c>
      <c r="CJ901">
        <f>'T_TTAFStock'!CH16</f>
        <v/>
      </c>
      <c r="CK901">
        <f>'T_TTAFStock'!CI16</f>
        <v/>
      </c>
      <c r="CL901">
        <f>'T_TTAFStock'!CJ16</f>
        <v/>
      </c>
      <c r="CM901">
        <f>'T_TTAFStock'!CK16</f>
        <v/>
      </c>
      <c r="CN901">
        <f>'T_TTAFStock'!CL16</f>
        <v/>
      </c>
      <c r="CO901">
        <f>'T_TTAFStock'!CM16</f>
        <v/>
      </c>
      <c r="CP901">
        <f>'T_TTAFStock'!CN16</f>
        <v/>
      </c>
      <c r="CQ901">
        <f>'T_TTAFStock'!CO16</f>
        <v/>
      </c>
      <c r="CR901">
        <f>'T_TTAFStock'!CP16</f>
        <v/>
      </c>
      <c r="CS901">
        <f>'T_TTAFStock'!CQ16</f>
        <v/>
      </c>
      <c r="CT901">
        <f>'T_TTAFStock'!CR16</f>
        <v/>
      </c>
      <c r="CU901">
        <f>'T_TTAFStock'!CS16</f>
        <v/>
      </c>
      <c r="CV901">
        <f>'T_TTAFStock'!CT16</f>
        <v/>
      </c>
      <c r="CW901">
        <f>'T_TTAFStock'!CU16</f>
        <v/>
      </c>
      <c r="CX901">
        <f>'T_TTAFStock'!CV16</f>
        <v/>
      </c>
      <c r="CY901">
        <f>'T_TTAFStock'!CW16</f>
        <v/>
      </c>
      <c r="CZ901">
        <f>'T_TTAFStock'!CX16</f>
        <v/>
      </c>
      <c r="DA901">
        <f>'T_TTAFStock'!CY16</f>
        <v/>
      </c>
      <c r="DB901">
        <f>'T_TTAFStock'!CZ16</f>
        <v/>
      </c>
      <c r="DC901">
        <f>'T_TTAFStock'!DA16</f>
        <v/>
      </c>
    </row>
    <row r="902">
      <c r="B902" t="inlineStr">
        <is>
          <t>自社在庫(実績,kg)</t>
        </is>
      </c>
      <c r="D902">
        <f>'T_SelfStock'!B16</f>
        <v/>
      </c>
      <c r="E902">
        <f>'T_SelfStock'!C16</f>
        <v/>
      </c>
      <c r="F902">
        <f>'T_SelfStock'!D16</f>
        <v/>
      </c>
      <c r="G902">
        <f>'T_SelfStock'!E16</f>
        <v/>
      </c>
      <c r="H902">
        <f>'T_SelfStock'!F16</f>
        <v/>
      </c>
      <c r="I902">
        <f>'T_SelfStock'!G16</f>
        <v/>
      </c>
      <c r="J902">
        <f>'T_SelfStock'!H16</f>
        <v/>
      </c>
      <c r="K902">
        <f>'T_SelfStock'!I16</f>
        <v/>
      </c>
      <c r="L902">
        <f>'T_SelfStock'!J16</f>
        <v/>
      </c>
      <c r="M902">
        <f>'T_SelfStock'!K16</f>
        <v/>
      </c>
      <c r="N902">
        <f>'T_SelfStock'!L16</f>
        <v/>
      </c>
      <c r="O902">
        <f>'T_SelfStock'!M16</f>
        <v/>
      </c>
      <c r="P902">
        <f>'T_SelfStock'!N16</f>
        <v/>
      </c>
      <c r="Q902">
        <f>'T_SelfStock'!O16</f>
        <v/>
      </c>
      <c r="R902">
        <f>'T_SelfStock'!P16</f>
        <v/>
      </c>
      <c r="S902">
        <f>'T_SelfStock'!Q16</f>
        <v/>
      </c>
      <c r="T902">
        <f>'T_SelfStock'!R16</f>
        <v/>
      </c>
      <c r="U902">
        <f>'T_SelfStock'!S16</f>
        <v/>
      </c>
      <c r="V902">
        <f>'T_SelfStock'!T16</f>
        <v/>
      </c>
      <c r="W902">
        <f>'T_SelfStock'!U16</f>
        <v/>
      </c>
      <c r="X902">
        <f>'T_SelfStock'!V16</f>
        <v/>
      </c>
      <c r="Y902">
        <f>'T_SelfStock'!W16</f>
        <v/>
      </c>
      <c r="Z902">
        <f>'T_SelfStock'!X16</f>
        <v/>
      </c>
      <c r="AA902">
        <f>'T_SelfStock'!Y16</f>
        <v/>
      </c>
      <c r="AB902">
        <f>'T_SelfStock'!Z16</f>
        <v/>
      </c>
      <c r="AC902">
        <f>'T_SelfStock'!AA16</f>
        <v/>
      </c>
      <c r="AD902">
        <f>'T_SelfStock'!AB16</f>
        <v/>
      </c>
      <c r="AE902">
        <f>'T_SelfStock'!AC16</f>
        <v/>
      </c>
      <c r="AF902">
        <f>'T_SelfStock'!AD16</f>
        <v/>
      </c>
      <c r="AG902">
        <f>'T_SelfStock'!AE16</f>
        <v/>
      </c>
      <c r="AH902">
        <f>'T_SelfStock'!AF16</f>
        <v/>
      </c>
      <c r="AI902">
        <f>'T_SelfStock'!AG16</f>
        <v/>
      </c>
      <c r="AJ902">
        <f>'T_SelfStock'!AH16</f>
        <v/>
      </c>
      <c r="AK902">
        <f>'T_SelfStock'!AI16</f>
        <v/>
      </c>
      <c r="AL902">
        <f>'T_SelfStock'!AJ16</f>
        <v/>
      </c>
      <c r="AM902">
        <f>'T_SelfStock'!AK16</f>
        <v/>
      </c>
      <c r="AN902">
        <f>'T_SelfStock'!AL16</f>
        <v/>
      </c>
      <c r="AO902">
        <f>'T_SelfStock'!AM16</f>
        <v/>
      </c>
      <c r="AP902">
        <f>'T_SelfStock'!AN16</f>
        <v/>
      </c>
      <c r="AQ902">
        <f>'T_SelfStock'!AO16</f>
        <v/>
      </c>
      <c r="AR902">
        <f>'T_SelfStock'!AP16</f>
        <v/>
      </c>
      <c r="AS902">
        <f>'T_SelfStock'!AQ16</f>
        <v/>
      </c>
      <c r="AT902">
        <f>'T_SelfStock'!AR16</f>
        <v/>
      </c>
      <c r="AU902">
        <f>'T_SelfStock'!AS16</f>
        <v/>
      </c>
      <c r="AV902">
        <f>'T_SelfStock'!AT16</f>
        <v/>
      </c>
      <c r="AW902">
        <f>'T_SelfStock'!AU16</f>
        <v/>
      </c>
      <c r="AX902">
        <f>'T_SelfStock'!AV16</f>
        <v/>
      </c>
      <c r="AY902">
        <f>'T_SelfStock'!AW16</f>
        <v/>
      </c>
      <c r="AZ902">
        <f>'T_SelfStock'!AX16</f>
        <v/>
      </c>
      <c r="BA902">
        <f>'T_SelfStock'!AY16</f>
        <v/>
      </c>
      <c r="BB902">
        <f>'T_SelfStock'!AZ16</f>
        <v/>
      </c>
      <c r="BC902">
        <f>'T_SelfStock'!BA16</f>
        <v/>
      </c>
      <c r="BD902">
        <f>'T_SelfStock'!BB16</f>
        <v/>
      </c>
      <c r="BE902">
        <f>'T_SelfStock'!BC16</f>
        <v/>
      </c>
      <c r="BF902">
        <f>'T_SelfStock'!BD16</f>
        <v/>
      </c>
      <c r="BG902">
        <f>'T_SelfStock'!BE16</f>
        <v/>
      </c>
      <c r="BH902">
        <f>'T_SelfStock'!BF16</f>
        <v/>
      </c>
      <c r="BI902">
        <f>'T_SelfStock'!BG16</f>
        <v/>
      </c>
      <c r="BJ902">
        <f>'T_SelfStock'!BH16</f>
        <v/>
      </c>
      <c r="BK902">
        <f>'T_SelfStock'!BI16</f>
        <v/>
      </c>
      <c r="BL902">
        <f>'T_SelfStock'!BJ16</f>
        <v/>
      </c>
      <c r="BM902">
        <f>'T_SelfStock'!BK16</f>
        <v/>
      </c>
      <c r="BN902">
        <f>'T_SelfStock'!BL16</f>
        <v/>
      </c>
      <c r="BO902">
        <f>'T_SelfStock'!BM16</f>
        <v/>
      </c>
      <c r="BP902">
        <f>'T_SelfStock'!BN16</f>
        <v/>
      </c>
      <c r="BQ902">
        <f>'T_SelfStock'!BO16</f>
        <v/>
      </c>
      <c r="BR902">
        <f>'T_SelfStock'!BP16</f>
        <v/>
      </c>
      <c r="BS902">
        <f>'T_SelfStock'!BQ16</f>
        <v/>
      </c>
      <c r="BT902">
        <f>'T_SelfStock'!BR16</f>
        <v/>
      </c>
      <c r="BU902">
        <f>'T_SelfStock'!BS16</f>
        <v/>
      </c>
      <c r="BV902">
        <f>'T_SelfStock'!BT16</f>
        <v/>
      </c>
      <c r="BW902">
        <f>'T_SelfStock'!BU16</f>
        <v/>
      </c>
      <c r="BX902">
        <f>'T_SelfStock'!BV16</f>
        <v/>
      </c>
      <c r="BY902">
        <f>'T_SelfStock'!BW16</f>
        <v/>
      </c>
      <c r="BZ902">
        <f>'T_SelfStock'!BX16</f>
        <v/>
      </c>
      <c r="CA902">
        <f>'T_SelfStock'!BY16</f>
        <v/>
      </c>
      <c r="CB902">
        <f>'T_SelfStock'!BZ16</f>
        <v/>
      </c>
      <c r="CC902">
        <f>'T_SelfStock'!CA16</f>
        <v/>
      </c>
      <c r="CD902">
        <f>'T_SelfStock'!CB16</f>
        <v/>
      </c>
      <c r="CE902">
        <f>'T_SelfStock'!CC16</f>
        <v/>
      </c>
      <c r="CF902">
        <f>'T_SelfStock'!CD16</f>
        <v/>
      </c>
      <c r="CG902">
        <f>'T_SelfStock'!CE16</f>
        <v/>
      </c>
      <c r="CH902">
        <f>'T_SelfStock'!CF16</f>
        <v/>
      </c>
      <c r="CI902">
        <f>'T_SelfStock'!CG16</f>
        <v/>
      </c>
      <c r="CJ902">
        <f>'T_SelfStock'!CH16</f>
        <v/>
      </c>
      <c r="CK902">
        <f>'T_SelfStock'!CI16</f>
        <v/>
      </c>
      <c r="CL902">
        <f>'T_SelfStock'!CJ16</f>
        <v/>
      </c>
      <c r="CM902">
        <f>'T_SelfStock'!CK16</f>
        <v/>
      </c>
      <c r="CN902">
        <f>'T_SelfStock'!CL16</f>
        <v/>
      </c>
      <c r="CO902">
        <f>'T_SelfStock'!CM16</f>
        <v/>
      </c>
      <c r="CP902">
        <f>'T_SelfStock'!CN16</f>
        <v/>
      </c>
      <c r="CQ902">
        <f>'T_SelfStock'!CO16</f>
        <v/>
      </c>
      <c r="CR902">
        <f>'T_SelfStock'!CP16</f>
        <v/>
      </c>
      <c r="CS902">
        <f>'T_SelfStock'!CQ16</f>
        <v/>
      </c>
      <c r="CT902">
        <f>'T_SelfStock'!CR16</f>
        <v/>
      </c>
      <c r="CU902">
        <f>'T_SelfStock'!CS16</f>
        <v/>
      </c>
      <c r="CV902">
        <f>'T_SelfStock'!CT16</f>
        <v/>
      </c>
      <c r="CW902">
        <f>'T_SelfStock'!CU16</f>
        <v/>
      </c>
      <c r="CX902">
        <f>'T_SelfStock'!CV16</f>
        <v/>
      </c>
      <c r="CY902">
        <f>'T_SelfStock'!CW16</f>
        <v/>
      </c>
      <c r="CZ902">
        <f>'T_SelfStock'!CX16</f>
        <v/>
      </c>
      <c r="DA902">
        <f>'T_SelfStock'!CY16</f>
        <v/>
      </c>
      <c r="DB902">
        <f>'T_SelfStock'!CZ16</f>
        <v/>
      </c>
      <c r="DC902">
        <f>'T_SelfStock'!DA16</f>
        <v/>
      </c>
    </row>
    <row r="903">
      <c r="B903" t="inlineStr">
        <is>
          <t>Order(発注予定,kg)</t>
        </is>
      </c>
      <c r="D903">
        <f>IF(SUMIFS(T_PlannedOrders[EffectiveQty],T_PlannedOrders[Part Name],$A893,T_PlannedOrders[WeekIndex],1)=0,"",SUMIFS(T_PlannedOrders[EffectiveQty],T_PlannedOrders[Part Name],$A893,T_PlannedOrders[WeekIndex],1)&amp;" ("&amp;TEXT(SUMPRODUCT(MAX((T_PlannedOrders[Part Name]=$A893)*(T_PlannedOrders[WeekIndex]=1)*(T_PlannedOrders[EffectiveQty]&gt;0)*T_PlannedOrders[Order_Month])),"m月")&amp;"発注)")</f>
        <v/>
      </c>
      <c r="E903">
        <f>IF(SUMIFS(T_PlannedOrders[EffectiveQty],T_PlannedOrders[Part Name],$A893,T_PlannedOrders[WeekIndex],2)=0,"",SUMIFS(T_PlannedOrders[EffectiveQty],T_PlannedOrders[Part Name],$A893,T_PlannedOrders[WeekIndex],2)&amp;" ("&amp;TEXT(SUMPRODUCT(MAX((T_PlannedOrders[Part Name]=$A893)*(T_PlannedOrders[WeekIndex]=2)*(T_PlannedOrders[EffectiveQty]&gt;0)*T_PlannedOrders[Order_Month])),"m月")&amp;"発注)")</f>
        <v/>
      </c>
      <c r="F903">
        <f>IF(SUMIFS(T_PlannedOrders[EffectiveQty],T_PlannedOrders[Part Name],$A893,T_PlannedOrders[WeekIndex],3)=0,"",SUMIFS(T_PlannedOrders[EffectiveQty],T_PlannedOrders[Part Name],$A893,T_PlannedOrders[WeekIndex],3)&amp;" ("&amp;TEXT(SUMPRODUCT(MAX((T_PlannedOrders[Part Name]=$A893)*(T_PlannedOrders[WeekIndex]=3)*(T_PlannedOrders[EffectiveQty]&gt;0)*T_PlannedOrders[Order_Month])),"m月")&amp;"発注)")</f>
        <v/>
      </c>
      <c r="G903">
        <f>IF(SUMIFS(T_PlannedOrders[EffectiveQty],T_PlannedOrders[Part Name],$A893,T_PlannedOrders[WeekIndex],4)=0,"",SUMIFS(T_PlannedOrders[EffectiveQty],T_PlannedOrders[Part Name],$A893,T_PlannedOrders[WeekIndex],4)&amp;" ("&amp;TEXT(SUMPRODUCT(MAX((T_PlannedOrders[Part Name]=$A893)*(T_PlannedOrders[WeekIndex]=4)*(T_PlannedOrders[EffectiveQty]&gt;0)*T_PlannedOrders[Order_Month])),"m月")&amp;"発注)")</f>
        <v/>
      </c>
      <c r="H903">
        <f>IF(SUMIFS(T_PlannedOrders[EffectiveQty],T_PlannedOrders[Part Name],$A893,T_PlannedOrders[WeekIndex],5)=0,"",SUMIFS(T_PlannedOrders[EffectiveQty],T_PlannedOrders[Part Name],$A893,T_PlannedOrders[WeekIndex],5)&amp;" ("&amp;TEXT(SUMPRODUCT(MAX((T_PlannedOrders[Part Name]=$A893)*(T_PlannedOrders[WeekIndex]=5)*(T_PlannedOrders[EffectiveQty]&gt;0)*T_PlannedOrders[Order_Month])),"m月")&amp;"発注)")</f>
        <v/>
      </c>
      <c r="I903">
        <f>IF(SUMIFS(T_PlannedOrders[EffectiveQty],T_PlannedOrders[Part Name],$A893,T_PlannedOrders[WeekIndex],6)=0,"",SUMIFS(T_PlannedOrders[EffectiveQty],T_PlannedOrders[Part Name],$A893,T_PlannedOrders[WeekIndex],6)&amp;" ("&amp;TEXT(SUMPRODUCT(MAX((T_PlannedOrders[Part Name]=$A893)*(T_PlannedOrders[WeekIndex]=6)*(T_PlannedOrders[EffectiveQty]&gt;0)*T_PlannedOrders[Order_Month])),"m月")&amp;"発注)")</f>
        <v/>
      </c>
      <c r="J903">
        <f>IF(SUMIFS(T_PlannedOrders[EffectiveQty],T_PlannedOrders[Part Name],$A893,T_PlannedOrders[WeekIndex],7)=0,"",SUMIFS(T_PlannedOrders[EffectiveQty],T_PlannedOrders[Part Name],$A893,T_PlannedOrders[WeekIndex],7)&amp;" ("&amp;TEXT(SUMPRODUCT(MAX((T_PlannedOrders[Part Name]=$A893)*(T_PlannedOrders[WeekIndex]=7)*(T_PlannedOrders[EffectiveQty]&gt;0)*T_PlannedOrders[Order_Month])),"m月")&amp;"発注)")</f>
        <v/>
      </c>
      <c r="K903">
        <f>IF(SUMIFS(T_PlannedOrders[EffectiveQty],T_PlannedOrders[Part Name],$A893,T_PlannedOrders[WeekIndex],8)=0,"",SUMIFS(T_PlannedOrders[EffectiveQty],T_PlannedOrders[Part Name],$A893,T_PlannedOrders[WeekIndex],8)&amp;" ("&amp;TEXT(SUMPRODUCT(MAX((T_PlannedOrders[Part Name]=$A893)*(T_PlannedOrders[WeekIndex]=8)*(T_PlannedOrders[EffectiveQty]&gt;0)*T_PlannedOrders[Order_Month])),"m月")&amp;"発注)")</f>
        <v/>
      </c>
      <c r="L903">
        <f>IF(SUMIFS(T_PlannedOrders[EffectiveQty],T_PlannedOrders[Part Name],$A893,T_PlannedOrders[WeekIndex],9)=0,"",SUMIFS(T_PlannedOrders[EffectiveQty],T_PlannedOrders[Part Name],$A893,T_PlannedOrders[WeekIndex],9)&amp;" ("&amp;TEXT(SUMPRODUCT(MAX((T_PlannedOrders[Part Name]=$A893)*(T_PlannedOrders[WeekIndex]=9)*(T_PlannedOrders[EffectiveQty]&gt;0)*T_PlannedOrders[Order_Month])),"m月")&amp;"発注)")</f>
        <v/>
      </c>
      <c r="M903">
        <f>IF(SUMIFS(T_PlannedOrders[EffectiveQty],T_PlannedOrders[Part Name],$A893,T_PlannedOrders[WeekIndex],10)=0,"",SUMIFS(T_PlannedOrders[EffectiveQty],T_PlannedOrders[Part Name],$A893,T_PlannedOrders[WeekIndex],10)&amp;" ("&amp;TEXT(SUMPRODUCT(MAX((T_PlannedOrders[Part Name]=$A893)*(T_PlannedOrders[WeekIndex]=10)*(T_PlannedOrders[EffectiveQty]&gt;0)*T_PlannedOrders[Order_Month])),"m月")&amp;"発注)")</f>
        <v/>
      </c>
      <c r="N903">
        <f>IF(SUMIFS(T_PlannedOrders[EffectiveQty],T_PlannedOrders[Part Name],$A893,T_PlannedOrders[WeekIndex],11)=0,"",SUMIFS(T_PlannedOrders[EffectiveQty],T_PlannedOrders[Part Name],$A893,T_PlannedOrders[WeekIndex],11)&amp;" ("&amp;TEXT(SUMPRODUCT(MAX((T_PlannedOrders[Part Name]=$A893)*(T_PlannedOrders[WeekIndex]=11)*(T_PlannedOrders[EffectiveQty]&gt;0)*T_PlannedOrders[Order_Month])),"m月")&amp;"発注)")</f>
        <v/>
      </c>
      <c r="O903">
        <f>IF(SUMIFS(T_PlannedOrders[EffectiveQty],T_PlannedOrders[Part Name],$A893,T_PlannedOrders[WeekIndex],12)=0,"",SUMIFS(T_PlannedOrders[EffectiveQty],T_PlannedOrders[Part Name],$A893,T_PlannedOrders[WeekIndex],12)&amp;" ("&amp;TEXT(SUMPRODUCT(MAX((T_PlannedOrders[Part Name]=$A893)*(T_PlannedOrders[WeekIndex]=12)*(T_PlannedOrders[EffectiveQty]&gt;0)*T_PlannedOrders[Order_Month])),"m月")&amp;"発注)")</f>
        <v/>
      </c>
      <c r="P903">
        <f>IF(SUMIFS(T_PlannedOrders[EffectiveQty],T_PlannedOrders[Part Name],$A893,T_PlannedOrders[WeekIndex],13)=0,"",SUMIFS(T_PlannedOrders[EffectiveQty],T_PlannedOrders[Part Name],$A893,T_PlannedOrders[WeekIndex],13)&amp;" ("&amp;TEXT(SUMPRODUCT(MAX((T_PlannedOrders[Part Name]=$A893)*(T_PlannedOrders[WeekIndex]=13)*(T_PlannedOrders[EffectiveQty]&gt;0)*T_PlannedOrders[Order_Month])),"m月")&amp;"発注)")</f>
        <v/>
      </c>
      <c r="Q903">
        <f>IF(SUMIFS(T_PlannedOrders[EffectiveQty],T_PlannedOrders[Part Name],$A893,T_PlannedOrders[WeekIndex],14)=0,"",SUMIFS(T_PlannedOrders[EffectiveQty],T_PlannedOrders[Part Name],$A893,T_PlannedOrders[WeekIndex],14)&amp;" ("&amp;TEXT(SUMPRODUCT(MAX((T_PlannedOrders[Part Name]=$A893)*(T_PlannedOrders[WeekIndex]=14)*(T_PlannedOrders[EffectiveQty]&gt;0)*T_PlannedOrders[Order_Month])),"m月")&amp;"発注)")</f>
        <v/>
      </c>
      <c r="R903">
        <f>IF(SUMIFS(T_PlannedOrders[EffectiveQty],T_PlannedOrders[Part Name],$A893,T_PlannedOrders[WeekIndex],15)=0,"",SUMIFS(T_PlannedOrders[EffectiveQty],T_PlannedOrders[Part Name],$A893,T_PlannedOrders[WeekIndex],15)&amp;" ("&amp;TEXT(SUMPRODUCT(MAX((T_PlannedOrders[Part Name]=$A893)*(T_PlannedOrders[WeekIndex]=15)*(T_PlannedOrders[EffectiveQty]&gt;0)*T_PlannedOrders[Order_Month])),"m月")&amp;"発注)")</f>
        <v/>
      </c>
      <c r="S903">
        <f>IF(SUMIFS(T_PlannedOrders[EffectiveQty],T_PlannedOrders[Part Name],$A893,T_PlannedOrders[WeekIndex],16)=0,"",SUMIFS(T_PlannedOrders[EffectiveQty],T_PlannedOrders[Part Name],$A893,T_PlannedOrders[WeekIndex],16)&amp;" ("&amp;TEXT(SUMPRODUCT(MAX((T_PlannedOrders[Part Name]=$A893)*(T_PlannedOrders[WeekIndex]=16)*(T_PlannedOrders[EffectiveQty]&gt;0)*T_PlannedOrders[Order_Month])),"m月")&amp;"発注)")</f>
        <v/>
      </c>
      <c r="T903">
        <f>IF(SUMIFS(T_PlannedOrders[EffectiveQty],T_PlannedOrders[Part Name],$A893,T_PlannedOrders[WeekIndex],17)=0,"",SUMIFS(T_PlannedOrders[EffectiveQty],T_PlannedOrders[Part Name],$A893,T_PlannedOrders[WeekIndex],17)&amp;" ("&amp;TEXT(SUMPRODUCT(MAX((T_PlannedOrders[Part Name]=$A893)*(T_PlannedOrders[WeekIndex]=17)*(T_PlannedOrders[EffectiveQty]&gt;0)*T_PlannedOrders[Order_Month])),"m月")&amp;"発注)")</f>
        <v/>
      </c>
      <c r="U903">
        <f>IF(SUMIFS(T_PlannedOrders[EffectiveQty],T_PlannedOrders[Part Name],$A893,T_PlannedOrders[WeekIndex],18)=0,"",SUMIFS(T_PlannedOrders[EffectiveQty],T_PlannedOrders[Part Name],$A893,T_PlannedOrders[WeekIndex],18)&amp;" ("&amp;TEXT(SUMPRODUCT(MAX((T_PlannedOrders[Part Name]=$A893)*(T_PlannedOrders[WeekIndex]=18)*(T_PlannedOrders[EffectiveQty]&gt;0)*T_PlannedOrders[Order_Month])),"m月")&amp;"発注)")</f>
        <v/>
      </c>
      <c r="V903">
        <f>IF(SUMIFS(T_PlannedOrders[EffectiveQty],T_PlannedOrders[Part Name],$A893,T_PlannedOrders[WeekIndex],19)=0,"",SUMIFS(T_PlannedOrders[EffectiveQty],T_PlannedOrders[Part Name],$A893,T_PlannedOrders[WeekIndex],19)&amp;" ("&amp;TEXT(SUMPRODUCT(MAX((T_PlannedOrders[Part Name]=$A893)*(T_PlannedOrders[WeekIndex]=19)*(T_PlannedOrders[EffectiveQty]&gt;0)*T_PlannedOrders[Order_Month])),"m月")&amp;"発注)")</f>
        <v/>
      </c>
      <c r="W903">
        <f>IF(SUMIFS(T_PlannedOrders[EffectiveQty],T_PlannedOrders[Part Name],$A893,T_PlannedOrders[WeekIndex],20)=0,"",SUMIFS(T_PlannedOrders[EffectiveQty],T_PlannedOrders[Part Name],$A893,T_PlannedOrders[WeekIndex],20)&amp;" ("&amp;TEXT(SUMPRODUCT(MAX((T_PlannedOrders[Part Name]=$A893)*(T_PlannedOrders[WeekIndex]=20)*(T_PlannedOrders[EffectiveQty]&gt;0)*T_PlannedOrders[Order_Month])),"m月")&amp;"発注)")</f>
        <v/>
      </c>
      <c r="X903">
        <f>IF(SUMIFS(T_PlannedOrders[EffectiveQty],T_PlannedOrders[Part Name],$A893,T_PlannedOrders[WeekIndex],21)=0,"",SUMIFS(T_PlannedOrders[EffectiveQty],T_PlannedOrders[Part Name],$A893,T_PlannedOrders[WeekIndex],21)&amp;" ("&amp;TEXT(SUMPRODUCT(MAX((T_PlannedOrders[Part Name]=$A893)*(T_PlannedOrders[WeekIndex]=21)*(T_PlannedOrders[EffectiveQty]&gt;0)*T_PlannedOrders[Order_Month])),"m月")&amp;"発注)")</f>
        <v/>
      </c>
      <c r="Y903">
        <f>IF(SUMIFS(T_PlannedOrders[EffectiveQty],T_PlannedOrders[Part Name],$A893,T_PlannedOrders[WeekIndex],22)=0,"",SUMIFS(T_PlannedOrders[EffectiveQty],T_PlannedOrders[Part Name],$A893,T_PlannedOrders[WeekIndex],22)&amp;" ("&amp;TEXT(SUMPRODUCT(MAX((T_PlannedOrders[Part Name]=$A893)*(T_PlannedOrders[WeekIndex]=22)*(T_PlannedOrders[EffectiveQty]&gt;0)*T_PlannedOrders[Order_Month])),"m月")&amp;"発注)")</f>
        <v/>
      </c>
      <c r="Z903">
        <f>IF(SUMIFS(T_PlannedOrders[EffectiveQty],T_PlannedOrders[Part Name],$A893,T_PlannedOrders[WeekIndex],23)=0,"",SUMIFS(T_PlannedOrders[EffectiveQty],T_PlannedOrders[Part Name],$A893,T_PlannedOrders[WeekIndex],23)&amp;" ("&amp;TEXT(SUMPRODUCT(MAX((T_PlannedOrders[Part Name]=$A893)*(T_PlannedOrders[WeekIndex]=23)*(T_PlannedOrders[EffectiveQty]&gt;0)*T_PlannedOrders[Order_Month])),"m月")&amp;"発注)")</f>
        <v/>
      </c>
      <c r="AA903">
        <f>IF(SUMIFS(T_PlannedOrders[EffectiveQty],T_PlannedOrders[Part Name],$A893,T_PlannedOrders[WeekIndex],24)=0,"",SUMIFS(T_PlannedOrders[EffectiveQty],T_PlannedOrders[Part Name],$A893,T_PlannedOrders[WeekIndex],24)&amp;" ("&amp;TEXT(SUMPRODUCT(MAX((T_PlannedOrders[Part Name]=$A893)*(T_PlannedOrders[WeekIndex]=24)*(T_PlannedOrders[EffectiveQty]&gt;0)*T_PlannedOrders[Order_Month])),"m月")&amp;"発注)")</f>
        <v/>
      </c>
      <c r="AB903">
        <f>IF(SUMIFS(T_PlannedOrders[EffectiveQty],T_PlannedOrders[Part Name],$A893,T_PlannedOrders[WeekIndex],25)=0,"",SUMIFS(T_PlannedOrders[EffectiveQty],T_PlannedOrders[Part Name],$A893,T_PlannedOrders[WeekIndex],25)&amp;" ("&amp;TEXT(SUMPRODUCT(MAX((T_PlannedOrders[Part Name]=$A893)*(T_PlannedOrders[WeekIndex]=25)*(T_PlannedOrders[EffectiveQty]&gt;0)*T_PlannedOrders[Order_Month])),"m月")&amp;"発注)")</f>
        <v/>
      </c>
      <c r="AC903">
        <f>IF(SUMIFS(T_PlannedOrders[EffectiveQty],T_PlannedOrders[Part Name],$A893,T_PlannedOrders[WeekIndex],26)=0,"",SUMIFS(T_PlannedOrders[EffectiveQty],T_PlannedOrders[Part Name],$A893,T_PlannedOrders[WeekIndex],26)&amp;" ("&amp;TEXT(SUMPRODUCT(MAX((T_PlannedOrders[Part Name]=$A893)*(T_PlannedOrders[WeekIndex]=26)*(T_PlannedOrders[EffectiveQty]&gt;0)*T_PlannedOrders[Order_Month])),"m月")&amp;"発注)")</f>
        <v/>
      </c>
      <c r="AD903">
        <f>IF(SUMIFS(T_PlannedOrders[EffectiveQty],T_PlannedOrders[Part Name],$A893,T_PlannedOrders[WeekIndex],27)=0,"",SUMIFS(T_PlannedOrders[EffectiveQty],T_PlannedOrders[Part Name],$A893,T_PlannedOrders[WeekIndex],27)&amp;" ("&amp;TEXT(SUMPRODUCT(MAX((T_PlannedOrders[Part Name]=$A893)*(T_PlannedOrders[WeekIndex]=27)*(T_PlannedOrders[EffectiveQty]&gt;0)*T_PlannedOrders[Order_Month])),"m月")&amp;"発注)")</f>
        <v/>
      </c>
      <c r="AE903">
        <f>IF(SUMIFS(T_PlannedOrders[EffectiveQty],T_PlannedOrders[Part Name],$A893,T_PlannedOrders[WeekIndex],28)=0,"",SUMIFS(T_PlannedOrders[EffectiveQty],T_PlannedOrders[Part Name],$A893,T_PlannedOrders[WeekIndex],28)&amp;" ("&amp;TEXT(SUMPRODUCT(MAX((T_PlannedOrders[Part Name]=$A893)*(T_PlannedOrders[WeekIndex]=28)*(T_PlannedOrders[EffectiveQty]&gt;0)*T_PlannedOrders[Order_Month])),"m月")&amp;"発注)")</f>
        <v/>
      </c>
      <c r="AF903">
        <f>IF(SUMIFS(T_PlannedOrders[EffectiveQty],T_PlannedOrders[Part Name],$A893,T_PlannedOrders[WeekIndex],29)=0,"",SUMIFS(T_PlannedOrders[EffectiveQty],T_PlannedOrders[Part Name],$A893,T_PlannedOrders[WeekIndex],29)&amp;" ("&amp;TEXT(SUMPRODUCT(MAX((T_PlannedOrders[Part Name]=$A893)*(T_PlannedOrders[WeekIndex]=29)*(T_PlannedOrders[EffectiveQty]&gt;0)*T_PlannedOrders[Order_Month])),"m月")&amp;"発注)")</f>
        <v/>
      </c>
      <c r="AG903">
        <f>IF(SUMIFS(T_PlannedOrders[EffectiveQty],T_PlannedOrders[Part Name],$A893,T_PlannedOrders[WeekIndex],30)=0,"",SUMIFS(T_PlannedOrders[EffectiveQty],T_PlannedOrders[Part Name],$A893,T_PlannedOrders[WeekIndex],30)&amp;" ("&amp;TEXT(SUMPRODUCT(MAX((T_PlannedOrders[Part Name]=$A893)*(T_PlannedOrders[WeekIndex]=30)*(T_PlannedOrders[EffectiveQty]&gt;0)*T_PlannedOrders[Order_Month])),"m月")&amp;"発注)")</f>
        <v/>
      </c>
      <c r="AH903">
        <f>IF(SUMIFS(T_PlannedOrders[EffectiveQty],T_PlannedOrders[Part Name],$A893,T_PlannedOrders[WeekIndex],31)=0,"",SUMIFS(T_PlannedOrders[EffectiveQty],T_PlannedOrders[Part Name],$A893,T_PlannedOrders[WeekIndex],31)&amp;" ("&amp;TEXT(SUMPRODUCT(MAX((T_PlannedOrders[Part Name]=$A893)*(T_PlannedOrders[WeekIndex]=31)*(T_PlannedOrders[EffectiveQty]&gt;0)*T_PlannedOrders[Order_Month])),"m月")&amp;"発注)")</f>
        <v/>
      </c>
      <c r="AI903">
        <f>IF(SUMIFS(T_PlannedOrders[EffectiveQty],T_PlannedOrders[Part Name],$A893,T_PlannedOrders[WeekIndex],32)=0,"",SUMIFS(T_PlannedOrders[EffectiveQty],T_PlannedOrders[Part Name],$A893,T_PlannedOrders[WeekIndex],32)&amp;" ("&amp;TEXT(SUMPRODUCT(MAX((T_PlannedOrders[Part Name]=$A893)*(T_PlannedOrders[WeekIndex]=32)*(T_PlannedOrders[EffectiveQty]&gt;0)*T_PlannedOrders[Order_Month])),"m月")&amp;"発注)")</f>
        <v/>
      </c>
      <c r="AJ903">
        <f>IF(SUMIFS(T_PlannedOrders[EffectiveQty],T_PlannedOrders[Part Name],$A893,T_PlannedOrders[WeekIndex],33)=0,"",SUMIFS(T_PlannedOrders[EffectiveQty],T_PlannedOrders[Part Name],$A893,T_PlannedOrders[WeekIndex],33)&amp;" ("&amp;TEXT(SUMPRODUCT(MAX((T_PlannedOrders[Part Name]=$A893)*(T_PlannedOrders[WeekIndex]=33)*(T_PlannedOrders[EffectiveQty]&gt;0)*T_PlannedOrders[Order_Month])),"m月")&amp;"発注)")</f>
        <v/>
      </c>
      <c r="AK903">
        <f>IF(SUMIFS(T_PlannedOrders[EffectiveQty],T_PlannedOrders[Part Name],$A893,T_PlannedOrders[WeekIndex],34)=0,"",SUMIFS(T_PlannedOrders[EffectiveQty],T_PlannedOrders[Part Name],$A893,T_PlannedOrders[WeekIndex],34)&amp;" ("&amp;TEXT(SUMPRODUCT(MAX((T_PlannedOrders[Part Name]=$A893)*(T_PlannedOrders[WeekIndex]=34)*(T_PlannedOrders[EffectiveQty]&gt;0)*T_PlannedOrders[Order_Month])),"m月")&amp;"発注)")</f>
        <v/>
      </c>
      <c r="AL903">
        <f>IF(SUMIFS(T_PlannedOrders[EffectiveQty],T_PlannedOrders[Part Name],$A893,T_PlannedOrders[WeekIndex],35)=0,"",SUMIFS(T_PlannedOrders[EffectiveQty],T_PlannedOrders[Part Name],$A893,T_PlannedOrders[WeekIndex],35)&amp;" ("&amp;TEXT(SUMPRODUCT(MAX((T_PlannedOrders[Part Name]=$A893)*(T_PlannedOrders[WeekIndex]=35)*(T_PlannedOrders[EffectiveQty]&gt;0)*T_PlannedOrders[Order_Month])),"m月")&amp;"発注)")</f>
        <v/>
      </c>
      <c r="AM903">
        <f>IF(SUMIFS(T_PlannedOrders[EffectiveQty],T_PlannedOrders[Part Name],$A893,T_PlannedOrders[WeekIndex],36)=0,"",SUMIFS(T_PlannedOrders[EffectiveQty],T_PlannedOrders[Part Name],$A893,T_PlannedOrders[WeekIndex],36)&amp;" ("&amp;TEXT(SUMPRODUCT(MAX((T_PlannedOrders[Part Name]=$A893)*(T_PlannedOrders[WeekIndex]=36)*(T_PlannedOrders[EffectiveQty]&gt;0)*T_PlannedOrders[Order_Month])),"m月")&amp;"発注)")</f>
        <v/>
      </c>
      <c r="AN903">
        <f>IF(SUMIFS(T_PlannedOrders[EffectiveQty],T_PlannedOrders[Part Name],$A893,T_PlannedOrders[WeekIndex],37)=0,"",SUMIFS(T_PlannedOrders[EffectiveQty],T_PlannedOrders[Part Name],$A893,T_PlannedOrders[WeekIndex],37)&amp;" ("&amp;TEXT(SUMPRODUCT(MAX((T_PlannedOrders[Part Name]=$A893)*(T_PlannedOrders[WeekIndex]=37)*(T_PlannedOrders[EffectiveQty]&gt;0)*T_PlannedOrders[Order_Month])),"m月")&amp;"発注)")</f>
        <v/>
      </c>
      <c r="AO903">
        <f>IF(SUMIFS(T_PlannedOrders[EffectiveQty],T_PlannedOrders[Part Name],$A893,T_PlannedOrders[WeekIndex],38)=0,"",SUMIFS(T_PlannedOrders[EffectiveQty],T_PlannedOrders[Part Name],$A893,T_PlannedOrders[WeekIndex],38)&amp;" ("&amp;TEXT(SUMPRODUCT(MAX((T_PlannedOrders[Part Name]=$A893)*(T_PlannedOrders[WeekIndex]=38)*(T_PlannedOrders[EffectiveQty]&gt;0)*T_PlannedOrders[Order_Month])),"m月")&amp;"発注)")</f>
        <v/>
      </c>
      <c r="AP903">
        <f>IF(SUMIFS(T_PlannedOrders[EffectiveQty],T_PlannedOrders[Part Name],$A893,T_PlannedOrders[WeekIndex],39)=0,"",SUMIFS(T_PlannedOrders[EffectiveQty],T_PlannedOrders[Part Name],$A893,T_PlannedOrders[WeekIndex],39)&amp;" ("&amp;TEXT(SUMPRODUCT(MAX((T_PlannedOrders[Part Name]=$A893)*(T_PlannedOrders[WeekIndex]=39)*(T_PlannedOrders[EffectiveQty]&gt;0)*T_PlannedOrders[Order_Month])),"m月")&amp;"発注)")</f>
        <v/>
      </c>
      <c r="AQ903">
        <f>IF(SUMIFS(T_PlannedOrders[EffectiveQty],T_PlannedOrders[Part Name],$A893,T_PlannedOrders[WeekIndex],40)=0,"",SUMIFS(T_PlannedOrders[EffectiveQty],T_PlannedOrders[Part Name],$A893,T_PlannedOrders[WeekIndex],40)&amp;" ("&amp;TEXT(SUMPRODUCT(MAX((T_PlannedOrders[Part Name]=$A893)*(T_PlannedOrders[WeekIndex]=40)*(T_PlannedOrders[EffectiveQty]&gt;0)*T_PlannedOrders[Order_Month])),"m月")&amp;"発注)")</f>
        <v/>
      </c>
      <c r="AR903">
        <f>IF(SUMIFS(T_PlannedOrders[EffectiveQty],T_PlannedOrders[Part Name],$A893,T_PlannedOrders[WeekIndex],41)=0,"",SUMIFS(T_PlannedOrders[EffectiveQty],T_PlannedOrders[Part Name],$A893,T_PlannedOrders[WeekIndex],41)&amp;" ("&amp;TEXT(SUMPRODUCT(MAX((T_PlannedOrders[Part Name]=$A893)*(T_PlannedOrders[WeekIndex]=41)*(T_PlannedOrders[EffectiveQty]&gt;0)*T_PlannedOrders[Order_Month])),"m月")&amp;"発注)")</f>
        <v/>
      </c>
      <c r="AS903">
        <f>IF(SUMIFS(T_PlannedOrders[EffectiveQty],T_PlannedOrders[Part Name],$A893,T_PlannedOrders[WeekIndex],42)=0,"",SUMIFS(T_PlannedOrders[EffectiveQty],T_PlannedOrders[Part Name],$A893,T_PlannedOrders[WeekIndex],42)&amp;" ("&amp;TEXT(SUMPRODUCT(MAX((T_PlannedOrders[Part Name]=$A893)*(T_PlannedOrders[WeekIndex]=42)*(T_PlannedOrders[EffectiveQty]&gt;0)*T_PlannedOrders[Order_Month])),"m月")&amp;"発注)")</f>
        <v/>
      </c>
      <c r="AT903">
        <f>IF(SUMIFS(T_PlannedOrders[EffectiveQty],T_PlannedOrders[Part Name],$A893,T_PlannedOrders[WeekIndex],43)=0,"",SUMIFS(T_PlannedOrders[EffectiveQty],T_PlannedOrders[Part Name],$A893,T_PlannedOrders[WeekIndex],43)&amp;" ("&amp;TEXT(SUMPRODUCT(MAX((T_PlannedOrders[Part Name]=$A893)*(T_PlannedOrders[WeekIndex]=43)*(T_PlannedOrders[EffectiveQty]&gt;0)*T_PlannedOrders[Order_Month])),"m月")&amp;"発注)")</f>
        <v/>
      </c>
      <c r="AU903">
        <f>IF(SUMIFS(T_PlannedOrders[EffectiveQty],T_PlannedOrders[Part Name],$A893,T_PlannedOrders[WeekIndex],44)=0,"",SUMIFS(T_PlannedOrders[EffectiveQty],T_PlannedOrders[Part Name],$A893,T_PlannedOrders[WeekIndex],44)&amp;" ("&amp;TEXT(SUMPRODUCT(MAX((T_PlannedOrders[Part Name]=$A893)*(T_PlannedOrders[WeekIndex]=44)*(T_PlannedOrders[EffectiveQty]&gt;0)*T_PlannedOrders[Order_Month])),"m月")&amp;"発注)")</f>
        <v/>
      </c>
      <c r="AV903">
        <f>IF(SUMIFS(T_PlannedOrders[EffectiveQty],T_PlannedOrders[Part Name],$A893,T_PlannedOrders[WeekIndex],45)=0,"",SUMIFS(T_PlannedOrders[EffectiveQty],T_PlannedOrders[Part Name],$A893,T_PlannedOrders[WeekIndex],45)&amp;" ("&amp;TEXT(SUMPRODUCT(MAX((T_PlannedOrders[Part Name]=$A893)*(T_PlannedOrders[WeekIndex]=45)*(T_PlannedOrders[EffectiveQty]&gt;0)*T_PlannedOrders[Order_Month])),"m月")&amp;"発注)")</f>
        <v/>
      </c>
      <c r="AW903">
        <f>IF(SUMIFS(T_PlannedOrders[EffectiveQty],T_PlannedOrders[Part Name],$A893,T_PlannedOrders[WeekIndex],46)=0,"",SUMIFS(T_PlannedOrders[EffectiveQty],T_PlannedOrders[Part Name],$A893,T_PlannedOrders[WeekIndex],46)&amp;" ("&amp;TEXT(SUMPRODUCT(MAX((T_PlannedOrders[Part Name]=$A893)*(T_PlannedOrders[WeekIndex]=46)*(T_PlannedOrders[EffectiveQty]&gt;0)*T_PlannedOrders[Order_Month])),"m月")&amp;"発注)")</f>
        <v/>
      </c>
      <c r="AX903">
        <f>IF(SUMIFS(T_PlannedOrders[EffectiveQty],T_PlannedOrders[Part Name],$A893,T_PlannedOrders[WeekIndex],47)=0,"",SUMIFS(T_PlannedOrders[EffectiveQty],T_PlannedOrders[Part Name],$A893,T_PlannedOrders[WeekIndex],47)&amp;" ("&amp;TEXT(SUMPRODUCT(MAX((T_PlannedOrders[Part Name]=$A893)*(T_PlannedOrders[WeekIndex]=47)*(T_PlannedOrders[EffectiveQty]&gt;0)*T_PlannedOrders[Order_Month])),"m月")&amp;"発注)")</f>
        <v/>
      </c>
      <c r="AY903">
        <f>IF(SUMIFS(T_PlannedOrders[EffectiveQty],T_PlannedOrders[Part Name],$A893,T_PlannedOrders[WeekIndex],48)=0,"",SUMIFS(T_PlannedOrders[EffectiveQty],T_PlannedOrders[Part Name],$A893,T_PlannedOrders[WeekIndex],48)&amp;" ("&amp;TEXT(SUMPRODUCT(MAX((T_PlannedOrders[Part Name]=$A893)*(T_PlannedOrders[WeekIndex]=48)*(T_PlannedOrders[EffectiveQty]&gt;0)*T_PlannedOrders[Order_Month])),"m月")&amp;"発注)")</f>
        <v/>
      </c>
      <c r="AZ903">
        <f>IF(SUMIFS(T_PlannedOrders[EffectiveQty],T_PlannedOrders[Part Name],$A893,T_PlannedOrders[WeekIndex],49)=0,"",SUMIFS(T_PlannedOrders[EffectiveQty],T_PlannedOrders[Part Name],$A893,T_PlannedOrders[WeekIndex],49)&amp;" ("&amp;TEXT(SUMPRODUCT(MAX((T_PlannedOrders[Part Name]=$A893)*(T_PlannedOrders[WeekIndex]=49)*(T_PlannedOrders[EffectiveQty]&gt;0)*T_PlannedOrders[Order_Month])),"m月")&amp;"発注)")</f>
        <v/>
      </c>
      <c r="BA903">
        <f>IF(SUMIFS(T_PlannedOrders[EffectiveQty],T_PlannedOrders[Part Name],$A893,T_PlannedOrders[WeekIndex],50)=0,"",SUMIFS(T_PlannedOrders[EffectiveQty],T_PlannedOrders[Part Name],$A893,T_PlannedOrders[WeekIndex],50)&amp;" ("&amp;TEXT(SUMPRODUCT(MAX((T_PlannedOrders[Part Name]=$A893)*(T_PlannedOrders[WeekIndex]=50)*(T_PlannedOrders[EffectiveQty]&gt;0)*T_PlannedOrders[Order_Month])),"m月")&amp;"発注)")</f>
        <v/>
      </c>
      <c r="BB903">
        <f>IF(SUMIFS(T_PlannedOrders[EffectiveQty],T_PlannedOrders[Part Name],$A893,T_PlannedOrders[WeekIndex],51)=0,"",SUMIFS(T_PlannedOrders[EffectiveQty],T_PlannedOrders[Part Name],$A893,T_PlannedOrders[WeekIndex],51)&amp;" ("&amp;TEXT(SUMPRODUCT(MAX((T_PlannedOrders[Part Name]=$A893)*(T_PlannedOrders[WeekIndex]=51)*(T_PlannedOrders[EffectiveQty]&gt;0)*T_PlannedOrders[Order_Month])),"m月")&amp;"発注)")</f>
        <v/>
      </c>
      <c r="BC903">
        <f>IF(SUMIFS(T_PlannedOrders[EffectiveQty],T_PlannedOrders[Part Name],$A893,T_PlannedOrders[WeekIndex],52)=0,"",SUMIFS(T_PlannedOrders[EffectiveQty],T_PlannedOrders[Part Name],$A893,T_PlannedOrders[WeekIndex],52)&amp;" ("&amp;TEXT(SUMPRODUCT(MAX((T_PlannedOrders[Part Name]=$A893)*(T_PlannedOrders[WeekIndex]=52)*(T_PlannedOrders[EffectiveQty]&gt;0)*T_PlannedOrders[Order_Month])),"m月")&amp;"発注)")</f>
        <v/>
      </c>
      <c r="BD903">
        <f>IF(SUMIFS(T_PlannedOrders[EffectiveQty],T_PlannedOrders[Part Name],$A893,T_PlannedOrders[WeekIndex],53)=0,"",SUMIFS(T_PlannedOrders[EffectiveQty],T_PlannedOrders[Part Name],$A893,T_PlannedOrders[WeekIndex],53)&amp;" ("&amp;TEXT(SUMPRODUCT(MAX((T_PlannedOrders[Part Name]=$A893)*(T_PlannedOrders[WeekIndex]=53)*(T_PlannedOrders[EffectiveQty]&gt;0)*T_PlannedOrders[Order_Month])),"m月")&amp;"発注)")</f>
        <v/>
      </c>
      <c r="BE903">
        <f>IF(SUMIFS(T_PlannedOrders[EffectiveQty],T_PlannedOrders[Part Name],$A893,T_PlannedOrders[WeekIndex],54)=0,"",SUMIFS(T_PlannedOrders[EffectiveQty],T_PlannedOrders[Part Name],$A893,T_PlannedOrders[WeekIndex],54)&amp;" ("&amp;TEXT(SUMPRODUCT(MAX((T_PlannedOrders[Part Name]=$A893)*(T_PlannedOrders[WeekIndex]=54)*(T_PlannedOrders[EffectiveQty]&gt;0)*T_PlannedOrders[Order_Month])),"m月")&amp;"発注)")</f>
        <v/>
      </c>
      <c r="BF903">
        <f>IF(SUMIFS(T_PlannedOrders[EffectiveQty],T_PlannedOrders[Part Name],$A893,T_PlannedOrders[WeekIndex],55)=0,"",SUMIFS(T_PlannedOrders[EffectiveQty],T_PlannedOrders[Part Name],$A893,T_PlannedOrders[WeekIndex],55)&amp;" ("&amp;TEXT(SUMPRODUCT(MAX((T_PlannedOrders[Part Name]=$A893)*(T_PlannedOrders[WeekIndex]=55)*(T_PlannedOrders[EffectiveQty]&gt;0)*T_PlannedOrders[Order_Month])),"m月")&amp;"発注)")</f>
        <v/>
      </c>
      <c r="BG903">
        <f>IF(SUMIFS(T_PlannedOrders[EffectiveQty],T_PlannedOrders[Part Name],$A893,T_PlannedOrders[WeekIndex],56)=0,"",SUMIFS(T_PlannedOrders[EffectiveQty],T_PlannedOrders[Part Name],$A893,T_PlannedOrders[WeekIndex],56)&amp;" ("&amp;TEXT(SUMPRODUCT(MAX((T_PlannedOrders[Part Name]=$A893)*(T_PlannedOrders[WeekIndex]=56)*(T_PlannedOrders[EffectiveQty]&gt;0)*T_PlannedOrders[Order_Month])),"m月")&amp;"発注)")</f>
        <v/>
      </c>
      <c r="BH903">
        <f>IF(SUMIFS(T_PlannedOrders[EffectiveQty],T_PlannedOrders[Part Name],$A893,T_PlannedOrders[WeekIndex],57)=0,"",SUMIFS(T_PlannedOrders[EffectiveQty],T_PlannedOrders[Part Name],$A893,T_PlannedOrders[WeekIndex],57)&amp;" ("&amp;TEXT(SUMPRODUCT(MAX((T_PlannedOrders[Part Name]=$A893)*(T_PlannedOrders[WeekIndex]=57)*(T_PlannedOrders[EffectiveQty]&gt;0)*T_PlannedOrders[Order_Month])),"m月")&amp;"発注)")</f>
        <v/>
      </c>
      <c r="BI903">
        <f>IF(SUMIFS(T_PlannedOrders[EffectiveQty],T_PlannedOrders[Part Name],$A893,T_PlannedOrders[WeekIndex],58)=0,"",SUMIFS(T_PlannedOrders[EffectiveQty],T_PlannedOrders[Part Name],$A893,T_PlannedOrders[WeekIndex],58)&amp;" ("&amp;TEXT(SUMPRODUCT(MAX((T_PlannedOrders[Part Name]=$A893)*(T_PlannedOrders[WeekIndex]=58)*(T_PlannedOrders[EffectiveQty]&gt;0)*T_PlannedOrders[Order_Month])),"m月")&amp;"発注)")</f>
        <v/>
      </c>
      <c r="BJ903">
        <f>IF(SUMIFS(T_PlannedOrders[EffectiveQty],T_PlannedOrders[Part Name],$A893,T_PlannedOrders[WeekIndex],59)=0,"",SUMIFS(T_PlannedOrders[EffectiveQty],T_PlannedOrders[Part Name],$A893,T_PlannedOrders[WeekIndex],59)&amp;" ("&amp;TEXT(SUMPRODUCT(MAX((T_PlannedOrders[Part Name]=$A893)*(T_PlannedOrders[WeekIndex]=59)*(T_PlannedOrders[EffectiveQty]&gt;0)*T_PlannedOrders[Order_Month])),"m月")&amp;"発注)")</f>
        <v/>
      </c>
      <c r="BK903">
        <f>IF(SUMIFS(T_PlannedOrders[EffectiveQty],T_PlannedOrders[Part Name],$A893,T_PlannedOrders[WeekIndex],60)=0,"",SUMIFS(T_PlannedOrders[EffectiveQty],T_PlannedOrders[Part Name],$A893,T_PlannedOrders[WeekIndex],60)&amp;" ("&amp;TEXT(SUMPRODUCT(MAX((T_PlannedOrders[Part Name]=$A893)*(T_PlannedOrders[WeekIndex]=60)*(T_PlannedOrders[EffectiveQty]&gt;0)*T_PlannedOrders[Order_Month])),"m月")&amp;"発注)")</f>
        <v/>
      </c>
      <c r="BL903">
        <f>IF(SUMIFS(T_PlannedOrders[EffectiveQty],T_PlannedOrders[Part Name],$A893,T_PlannedOrders[WeekIndex],61)=0,"",SUMIFS(T_PlannedOrders[EffectiveQty],T_PlannedOrders[Part Name],$A893,T_PlannedOrders[WeekIndex],61)&amp;" ("&amp;TEXT(SUMPRODUCT(MAX((T_PlannedOrders[Part Name]=$A893)*(T_PlannedOrders[WeekIndex]=61)*(T_PlannedOrders[EffectiveQty]&gt;0)*T_PlannedOrders[Order_Month])),"m月")&amp;"発注)")</f>
        <v/>
      </c>
      <c r="BM903">
        <f>IF(SUMIFS(T_PlannedOrders[EffectiveQty],T_PlannedOrders[Part Name],$A893,T_PlannedOrders[WeekIndex],62)=0,"",SUMIFS(T_PlannedOrders[EffectiveQty],T_PlannedOrders[Part Name],$A893,T_PlannedOrders[WeekIndex],62)&amp;" ("&amp;TEXT(SUMPRODUCT(MAX((T_PlannedOrders[Part Name]=$A893)*(T_PlannedOrders[WeekIndex]=62)*(T_PlannedOrders[EffectiveQty]&gt;0)*T_PlannedOrders[Order_Month])),"m月")&amp;"発注)")</f>
        <v/>
      </c>
      <c r="BN903">
        <f>IF(SUMIFS(T_PlannedOrders[EffectiveQty],T_PlannedOrders[Part Name],$A893,T_PlannedOrders[WeekIndex],63)=0,"",SUMIFS(T_PlannedOrders[EffectiveQty],T_PlannedOrders[Part Name],$A893,T_PlannedOrders[WeekIndex],63)&amp;" ("&amp;TEXT(SUMPRODUCT(MAX((T_PlannedOrders[Part Name]=$A893)*(T_PlannedOrders[WeekIndex]=63)*(T_PlannedOrders[EffectiveQty]&gt;0)*T_PlannedOrders[Order_Month])),"m月")&amp;"発注)")</f>
        <v/>
      </c>
      <c r="BO903">
        <f>IF(SUMIFS(T_PlannedOrders[EffectiveQty],T_PlannedOrders[Part Name],$A893,T_PlannedOrders[WeekIndex],64)=0,"",SUMIFS(T_PlannedOrders[EffectiveQty],T_PlannedOrders[Part Name],$A893,T_PlannedOrders[WeekIndex],64)&amp;" ("&amp;TEXT(SUMPRODUCT(MAX((T_PlannedOrders[Part Name]=$A893)*(T_PlannedOrders[WeekIndex]=64)*(T_PlannedOrders[EffectiveQty]&gt;0)*T_PlannedOrders[Order_Month])),"m月")&amp;"発注)")</f>
        <v/>
      </c>
      <c r="BP903">
        <f>IF(SUMIFS(T_PlannedOrders[EffectiveQty],T_PlannedOrders[Part Name],$A893,T_PlannedOrders[WeekIndex],65)=0,"",SUMIFS(T_PlannedOrders[EffectiveQty],T_PlannedOrders[Part Name],$A893,T_PlannedOrders[WeekIndex],65)&amp;" ("&amp;TEXT(SUMPRODUCT(MAX((T_PlannedOrders[Part Name]=$A893)*(T_PlannedOrders[WeekIndex]=65)*(T_PlannedOrders[EffectiveQty]&gt;0)*T_PlannedOrders[Order_Month])),"m月")&amp;"発注)")</f>
        <v/>
      </c>
      <c r="BQ903">
        <f>IF(SUMIFS(T_PlannedOrders[EffectiveQty],T_PlannedOrders[Part Name],$A893,T_PlannedOrders[WeekIndex],66)=0,"",SUMIFS(T_PlannedOrders[EffectiveQty],T_PlannedOrders[Part Name],$A893,T_PlannedOrders[WeekIndex],66)&amp;" ("&amp;TEXT(SUMPRODUCT(MAX((T_PlannedOrders[Part Name]=$A893)*(T_PlannedOrders[WeekIndex]=66)*(T_PlannedOrders[EffectiveQty]&gt;0)*T_PlannedOrders[Order_Month])),"m月")&amp;"発注)")</f>
        <v/>
      </c>
      <c r="BR903">
        <f>IF(SUMIFS(T_PlannedOrders[EffectiveQty],T_PlannedOrders[Part Name],$A893,T_PlannedOrders[WeekIndex],67)=0,"",SUMIFS(T_PlannedOrders[EffectiveQty],T_PlannedOrders[Part Name],$A893,T_PlannedOrders[WeekIndex],67)&amp;" ("&amp;TEXT(SUMPRODUCT(MAX((T_PlannedOrders[Part Name]=$A893)*(T_PlannedOrders[WeekIndex]=67)*(T_PlannedOrders[EffectiveQty]&gt;0)*T_PlannedOrders[Order_Month])),"m月")&amp;"発注)")</f>
        <v/>
      </c>
      <c r="BS903">
        <f>IF(SUMIFS(T_PlannedOrders[EffectiveQty],T_PlannedOrders[Part Name],$A893,T_PlannedOrders[WeekIndex],68)=0,"",SUMIFS(T_PlannedOrders[EffectiveQty],T_PlannedOrders[Part Name],$A893,T_PlannedOrders[WeekIndex],68)&amp;" ("&amp;TEXT(SUMPRODUCT(MAX((T_PlannedOrders[Part Name]=$A893)*(T_PlannedOrders[WeekIndex]=68)*(T_PlannedOrders[EffectiveQty]&gt;0)*T_PlannedOrders[Order_Month])),"m月")&amp;"発注)")</f>
        <v/>
      </c>
      <c r="BT903">
        <f>IF(SUMIFS(T_PlannedOrders[EffectiveQty],T_PlannedOrders[Part Name],$A893,T_PlannedOrders[WeekIndex],69)=0,"",SUMIFS(T_PlannedOrders[EffectiveQty],T_PlannedOrders[Part Name],$A893,T_PlannedOrders[WeekIndex],69)&amp;" ("&amp;TEXT(SUMPRODUCT(MAX((T_PlannedOrders[Part Name]=$A893)*(T_PlannedOrders[WeekIndex]=69)*(T_PlannedOrders[EffectiveQty]&gt;0)*T_PlannedOrders[Order_Month])),"m月")&amp;"発注)")</f>
        <v/>
      </c>
      <c r="BU903">
        <f>IF(SUMIFS(T_PlannedOrders[EffectiveQty],T_PlannedOrders[Part Name],$A893,T_PlannedOrders[WeekIndex],70)=0,"",SUMIFS(T_PlannedOrders[EffectiveQty],T_PlannedOrders[Part Name],$A893,T_PlannedOrders[WeekIndex],70)&amp;" ("&amp;TEXT(SUMPRODUCT(MAX((T_PlannedOrders[Part Name]=$A893)*(T_PlannedOrders[WeekIndex]=70)*(T_PlannedOrders[EffectiveQty]&gt;0)*T_PlannedOrders[Order_Month])),"m月")&amp;"発注)")</f>
        <v/>
      </c>
      <c r="BV903">
        <f>IF(SUMIFS(T_PlannedOrders[EffectiveQty],T_PlannedOrders[Part Name],$A893,T_PlannedOrders[WeekIndex],71)=0,"",SUMIFS(T_PlannedOrders[EffectiveQty],T_PlannedOrders[Part Name],$A893,T_PlannedOrders[WeekIndex],71)&amp;" ("&amp;TEXT(SUMPRODUCT(MAX((T_PlannedOrders[Part Name]=$A893)*(T_PlannedOrders[WeekIndex]=71)*(T_PlannedOrders[EffectiveQty]&gt;0)*T_PlannedOrders[Order_Month])),"m月")&amp;"発注)")</f>
        <v/>
      </c>
      <c r="BW903">
        <f>IF(SUMIFS(T_PlannedOrders[EffectiveQty],T_PlannedOrders[Part Name],$A893,T_PlannedOrders[WeekIndex],72)=0,"",SUMIFS(T_PlannedOrders[EffectiveQty],T_PlannedOrders[Part Name],$A893,T_PlannedOrders[WeekIndex],72)&amp;" ("&amp;TEXT(SUMPRODUCT(MAX((T_PlannedOrders[Part Name]=$A893)*(T_PlannedOrders[WeekIndex]=72)*(T_PlannedOrders[EffectiveQty]&gt;0)*T_PlannedOrders[Order_Month])),"m月")&amp;"発注)")</f>
        <v/>
      </c>
      <c r="BX903">
        <f>IF(SUMIFS(T_PlannedOrders[EffectiveQty],T_PlannedOrders[Part Name],$A893,T_PlannedOrders[WeekIndex],73)=0,"",SUMIFS(T_PlannedOrders[EffectiveQty],T_PlannedOrders[Part Name],$A893,T_PlannedOrders[WeekIndex],73)&amp;" ("&amp;TEXT(SUMPRODUCT(MAX((T_PlannedOrders[Part Name]=$A893)*(T_PlannedOrders[WeekIndex]=73)*(T_PlannedOrders[EffectiveQty]&gt;0)*T_PlannedOrders[Order_Month])),"m月")&amp;"発注)")</f>
        <v/>
      </c>
      <c r="BY903">
        <f>IF(SUMIFS(T_PlannedOrders[EffectiveQty],T_PlannedOrders[Part Name],$A893,T_PlannedOrders[WeekIndex],74)=0,"",SUMIFS(T_PlannedOrders[EffectiveQty],T_PlannedOrders[Part Name],$A893,T_PlannedOrders[WeekIndex],74)&amp;" ("&amp;TEXT(SUMPRODUCT(MAX((T_PlannedOrders[Part Name]=$A893)*(T_PlannedOrders[WeekIndex]=74)*(T_PlannedOrders[EffectiveQty]&gt;0)*T_PlannedOrders[Order_Month])),"m月")&amp;"発注)")</f>
        <v/>
      </c>
      <c r="BZ903">
        <f>IF(SUMIFS(T_PlannedOrders[EffectiveQty],T_PlannedOrders[Part Name],$A893,T_PlannedOrders[WeekIndex],75)=0,"",SUMIFS(T_PlannedOrders[EffectiveQty],T_PlannedOrders[Part Name],$A893,T_PlannedOrders[WeekIndex],75)&amp;" ("&amp;TEXT(SUMPRODUCT(MAX((T_PlannedOrders[Part Name]=$A893)*(T_PlannedOrders[WeekIndex]=75)*(T_PlannedOrders[EffectiveQty]&gt;0)*T_PlannedOrders[Order_Month])),"m月")&amp;"発注)")</f>
        <v/>
      </c>
      <c r="CA903">
        <f>IF(SUMIFS(T_PlannedOrders[EffectiveQty],T_PlannedOrders[Part Name],$A893,T_PlannedOrders[WeekIndex],76)=0,"",SUMIFS(T_PlannedOrders[EffectiveQty],T_PlannedOrders[Part Name],$A893,T_PlannedOrders[WeekIndex],76)&amp;" ("&amp;TEXT(SUMPRODUCT(MAX((T_PlannedOrders[Part Name]=$A893)*(T_PlannedOrders[WeekIndex]=76)*(T_PlannedOrders[EffectiveQty]&gt;0)*T_PlannedOrders[Order_Month])),"m月")&amp;"発注)")</f>
        <v/>
      </c>
      <c r="CB903">
        <f>IF(SUMIFS(T_PlannedOrders[EffectiveQty],T_PlannedOrders[Part Name],$A893,T_PlannedOrders[WeekIndex],77)=0,"",SUMIFS(T_PlannedOrders[EffectiveQty],T_PlannedOrders[Part Name],$A893,T_PlannedOrders[WeekIndex],77)&amp;" ("&amp;TEXT(SUMPRODUCT(MAX((T_PlannedOrders[Part Name]=$A893)*(T_PlannedOrders[WeekIndex]=77)*(T_PlannedOrders[EffectiveQty]&gt;0)*T_PlannedOrders[Order_Month])),"m月")&amp;"発注)")</f>
        <v/>
      </c>
      <c r="CC903">
        <f>IF(SUMIFS(T_PlannedOrders[EffectiveQty],T_PlannedOrders[Part Name],$A893,T_PlannedOrders[WeekIndex],78)=0,"",SUMIFS(T_PlannedOrders[EffectiveQty],T_PlannedOrders[Part Name],$A893,T_PlannedOrders[WeekIndex],78)&amp;" ("&amp;TEXT(SUMPRODUCT(MAX((T_PlannedOrders[Part Name]=$A893)*(T_PlannedOrders[WeekIndex]=78)*(T_PlannedOrders[EffectiveQty]&gt;0)*T_PlannedOrders[Order_Month])),"m月")&amp;"発注)")</f>
        <v/>
      </c>
      <c r="CD903">
        <f>IF(SUMIFS(T_PlannedOrders[EffectiveQty],T_PlannedOrders[Part Name],$A893,T_PlannedOrders[WeekIndex],79)=0,"",SUMIFS(T_PlannedOrders[EffectiveQty],T_PlannedOrders[Part Name],$A893,T_PlannedOrders[WeekIndex],79)&amp;" ("&amp;TEXT(SUMPRODUCT(MAX((T_PlannedOrders[Part Name]=$A893)*(T_PlannedOrders[WeekIndex]=79)*(T_PlannedOrders[EffectiveQty]&gt;0)*T_PlannedOrders[Order_Month])),"m月")&amp;"発注)")</f>
        <v/>
      </c>
      <c r="CE903">
        <f>IF(SUMIFS(T_PlannedOrders[EffectiveQty],T_PlannedOrders[Part Name],$A893,T_PlannedOrders[WeekIndex],80)=0,"",SUMIFS(T_PlannedOrders[EffectiveQty],T_PlannedOrders[Part Name],$A893,T_PlannedOrders[WeekIndex],80)&amp;" ("&amp;TEXT(SUMPRODUCT(MAX((T_PlannedOrders[Part Name]=$A893)*(T_PlannedOrders[WeekIndex]=80)*(T_PlannedOrders[EffectiveQty]&gt;0)*T_PlannedOrders[Order_Month])),"m月")&amp;"発注)")</f>
        <v/>
      </c>
      <c r="CF903">
        <f>IF(SUMIFS(T_PlannedOrders[EffectiveQty],T_PlannedOrders[Part Name],$A893,T_PlannedOrders[WeekIndex],81)=0,"",SUMIFS(T_PlannedOrders[EffectiveQty],T_PlannedOrders[Part Name],$A893,T_PlannedOrders[WeekIndex],81)&amp;" ("&amp;TEXT(SUMPRODUCT(MAX((T_PlannedOrders[Part Name]=$A893)*(T_PlannedOrders[WeekIndex]=81)*(T_PlannedOrders[EffectiveQty]&gt;0)*T_PlannedOrders[Order_Month])),"m月")&amp;"発注)")</f>
        <v/>
      </c>
      <c r="CG903">
        <f>IF(SUMIFS(T_PlannedOrders[EffectiveQty],T_PlannedOrders[Part Name],$A893,T_PlannedOrders[WeekIndex],82)=0,"",SUMIFS(T_PlannedOrders[EffectiveQty],T_PlannedOrders[Part Name],$A893,T_PlannedOrders[WeekIndex],82)&amp;" ("&amp;TEXT(SUMPRODUCT(MAX((T_PlannedOrders[Part Name]=$A893)*(T_PlannedOrders[WeekIndex]=82)*(T_PlannedOrders[EffectiveQty]&gt;0)*T_PlannedOrders[Order_Month])),"m月")&amp;"発注)")</f>
        <v/>
      </c>
      <c r="CH903">
        <f>IF(SUMIFS(T_PlannedOrders[EffectiveQty],T_PlannedOrders[Part Name],$A893,T_PlannedOrders[WeekIndex],83)=0,"",SUMIFS(T_PlannedOrders[EffectiveQty],T_PlannedOrders[Part Name],$A893,T_PlannedOrders[WeekIndex],83)&amp;" ("&amp;TEXT(SUMPRODUCT(MAX((T_PlannedOrders[Part Name]=$A893)*(T_PlannedOrders[WeekIndex]=83)*(T_PlannedOrders[EffectiveQty]&gt;0)*T_PlannedOrders[Order_Month])),"m月")&amp;"発注)")</f>
        <v/>
      </c>
      <c r="CI903">
        <f>IF(SUMIFS(T_PlannedOrders[EffectiveQty],T_PlannedOrders[Part Name],$A893,T_PlannedOrders[WeekIndex],84)=0,"",SUMIFS(T_PlannedOrders[EffectiveQty],T_PlannedOrders[Part Name],$A893,T_PlannedOrders[WeekIndex],84)&amp;" ("&amp;TEXT(SUMPRODUCT(MAX((T_PlannedOrders[Part Name]=$A893)*(T_PlannedOrders[WeekIndex]=84)*(T_PlannedOrders[EffectiveQty]&gt;0)*T_PlannedOrders[Order_Month])),"m月")&amp;"発注)")</f>
        <v/>
      </c>
      <c r="CJ903">
        <f>IF(SUMIFS(T_PlannedOrders[EffectiveQty],T_PlannedOrders[Part Name],$A893,T_PlannedOrders[WeekIndex],85)=0,"",SUMIFS(T_PlannedOrders[EffectiveQty],T_PlannedOrders[Part Name],$A893,T_PlannedOrders[WeekIndex],85)&amp;" ("&amp;TEXT(SUMPRODUCT(MAX((T_PlannedOrders[Part Name]=$A893)*(T_PlannedOrders[WeekIndex]=85)*(T_PlannedOrders[EffectiveQty]&gt;0)*T_PlannedOrders[Order_Month])),"m月")&amp;"発注)")</f>
        <v/>
      </c>
      <c r="CK903">
        <f>IF(SUMIFS(T_PlannedOrders[EffectiveQty],T_PlannedOrders[Part Name],$A893,T_PlannedOrders[WeekIndex],86)=0,"",SUMIFS(T_PlannedOrders[EffectiveQty],T_PlannedOrders[Part Name],$A893,T_PlannedOrders[WeekIndex],86)&amp;" ("&amp;TEXT(SUMPRODUCT(MAX((T_PlannedOrders[Part Name]=$A893)*(T_PlannedOrders[WeekIndex]=86)*(T_PlannedOrders[EffectiveQty]&gt;0)*T_PlannedOrders[Order_Month])),"m月")&amp;"発注)")</f>
        <v/>
      </c>
      <c r="CL903">
        <f>IF(SUMIFS(T_PlannedOrders[EffectiveQty],T_PlannedOrders[Part Name],$A893,T_PlannedOrders[WeekIndex],87)=0,"",SUMIFS(T_PlannedOrders[EffectiveQty],T_PlannedOrders[Part Name],$A893,T_PlannedOrders[WeekIndex],87)&amp;" ("&amp;TEXT(SUMPRODUCT(MAX((T_PlannedOrders[Part Name]=$A893)*(T_PlannedOrders[WeekIndex]=87)*(T_PlannedOrders[EffectiveQty]&gt;0)*T_PlannedOrders[Order_Month])),"m月")&amp;"発注)")</f>
        <v/>
      </c>
      <c r="CM903">
        <f>IF(SUMIFS(T_PlannedOrders[EffectiveQty],T_PlannedOrders[Part Name],$A893,T_PlannedOrders[WeekIndex],88)=0,"",SUMIFS(T_PlannedOrders[EffectiveQty],T_PlannedOrders[Part Name],$A893,T_PlannedOrders[WeekIndex],88)&amp;" ("&amp;TEXT(SUMPRODUCT(MAX((T_PlannedOrders[Part Name]=$A893)*(T_PlannedOrders[WeekIndex]=88)*(T_PlannedOrders[EffectiveQty]&gt;0)*T_PlannedOrders[Order_Month])),"m月")&amp;"発注)")</f>
        <v/>
      </c>
      <c r="CN903">
        <f>IF(SUMIFS(T_PlannedOrders[EffectiveQty],T_PlannedOrders[Part Name],$A893,T_PlannedOrders[WeekIndex],89)=0,"",SUMIFS(T_PlannedOrders[EffectiveQty],T_PlannedOrders[Part Name],$A893,T_PlannedOrders[WeekIndex],89)&amp;" ("&amp;TEXT(SUMPRODUCT(MAX((T_PlannedOrders[Part Name]=$A893)*(T_PlannedOrders[WeekIndex]=89)*(T_PlannedOrders[EffectiveQty]&gt;0)*T_PlannedOrders[Order_Month])),"m月")&amp;"発注)")</f>
        <v/>
      </c>
      <c r="CO903">
        <f>IF(SUMIFS(T_PlannedOrders[EffectiveQty],T_PlannedOrders[Part Name],$A893,T_PlannedOrders[WeekIndex],90)=0,"",SUMIFS(T_PlannedOrders[EffectiveQty],T_PlannedOrders[Part Name],$A893,T_PlannedOrders[WeekIndex],90)&amp;" ("&amp;TEXT(SUMPRODUCT(MAX((T_PlannedOrders[Part Name]=$A893)*(T_PlannedOrders[WeekIndex]=90)*(T_PlannedOrders[EffectiveQty]&gt;0)*T_PlannedOrders[Order_Month])),"m月")&amp;"発注)")</f>
        <v/>
      </c>
      <c r="CP903">
        <f>IF(SUMIFS(T_PlannedOrders[EffectiveQty],T_PlannedOrders[Part Name],$A893,T_PlannedOrders[WeekIndex],91)=0,"",SUMIFS(T_PlannedOrders[EffectiveQty],T_PlannedOrders[Part Name],$A893,T_PlannedOrders[WeekIndex],91)&amp;" ("&amp;TEXT(SUMPRODUCT(MAX((T_PlannedOrders[Part Name]=$A893)*(T_PlannedOrders[WeekIndex]=91)*(T_PlannedOrders[EffectiveQty]&gt;0)*T_PlannedOrders[Order_Month])),"m月")&amp;"発注)")</f>
        <v/>
      </c>
      <c r="CQ903">
        <f>IF(SUMIFS(T_PlannedOrders[EffectiveQty],T_PlannedOrders[Part Name],$A893,T_PlannedOrders[WeekIndex],92)=0,"",SUMIFS(T_PlannedOrders[EffectiveQty],T_PlannedOrders[Part Name],$A893,T_PlannedOrders[WeekIndex],92)&amp;" ("&amp;TEXT(SUMPRODUCT(MAX((T_PlannedOrders[Part Name]=$A893)*(T_PlannedOrders[WeekIndex]=92)*(T_PlannedOrders[EffectiveQty]&gt;0)*T_PlannedOrders[Order_Month])),"m月")&amp;"発注)")</f>
        <v/>
      </c>
      <c r="CR903">
        <f>IF(SUMIFS(T_PlannedOrders[EffectiveQty],T_PlannedOrders[Part Name],$A893,T_PlannedOrders[WeekIndex],93)=0,"",SUMIFS(T_PlannedOrders[EffectiveQty],T_PlannedOrders[Part Name],$A893,T_PlannedOrders[WeekIndex],93)&amp;" ("&amp;TEXT(SUMPRODUCT(MAX((T_PlannedOrders[Part Name]=$A893)*(T_PlannedOrders[WeekIndex]=93)*(T_PlannedOrders[EffectiveQty]&gt;0)*T_PlannedOrders[Order_Month])),"m月")&amp;"発注)")</f>
        <v/>
      </c>
      <c r="CS903">
        <f>IF(SUMIFS(T_PlannedOrders[EffectiveQty],T_PlannedOrders[Part Name],$A893,T_PlannedOrders[WeekIndex],94)=0,"",SUMIFS(T_PlannedOrders[EffectiveQty],T_PlannedOrders[Part Name],$A893,T_PlannedOrders[WeekIndex],94)&amp;" ("&amp;TEXT(SUMPRODUCT(MAX((T_PlannedOrders[Part Name]=$A893)*(T_PlannedOrders[WeekIndex]=94)*(T_PlannedOrders[EffectiveQty]&gt;0)*T_PlannedOrders[Order_Month])),"m月")&amp;"発注)")</f>
        <v/>
      </c>
      <c r="CT903">
        <f>IF(SUMIFS(T_PlannedOrders[EffectiveQty],T_PlannedOrders[Part Name],$A893,T_PlannedOrders[WeekIndex],95)=0,"",SUMIFS(T_PlannedOrders[EffectiveQty],T_PlannedOrders[Part Name],$A893,T_PlannedOrders[WeekIndex],95)&amp;" ("&amp;TEXT(SUMPRODUCT(MAX((T_PlannedOrders[Part Name]=$A893)*(T_PlannedOrders[WeekIndex]=95)*(T_PlannedOrders[EffectiveQty]&gt;0)*T_PlannedOrders[Order_Month])),"m月")&amp;"発注)")</f>
        <v/>
      </c>
      <c r="CU903">
        <f>IF(SUMIFS(T_PlannedOrders[EffectiveQty],T_PlannedOrders[Part Name],$A893,T_PlannedOrders[WeekIndex],96)=0,"",SUMIFS(T_PlannedOrders[EffectiveQty],T_PlannedOrders[Part Name],$A893,T_PlannedOrders[WeekIndex],96)&amp;" ("&amp;TEXT(SUMPRODUCT(MAX((T_PlannedOrders[Part Name]=$A893)*(T_PlannedOrders[WeekIndex]=96)*(T_PlannedOrders[EffectiveQty]&gt;0)*T_PlannedOrders[Order_Month])),"m月")&amp;"発注)")</f>
        <v/>
      </c>
      <c r="CV903">
        <f>IF(SUMIFS(T_PlannedOrders[EffectiveQty],T_PlannedOrders[Part Name],$A893,T_PlannedOrders[WeekIndex],97)=0,"",SUMIFS(T_PlannedOrders[EffectiveQty],T_PlannedOrders[Part Name],$A893,T_PlannedOrders[WeekIndex],97)&amp;" ("&amp;TEXT(SUMPRODUCT(MAX((T_PlannedOrders[Part Name]=$A893)*(T_PlannedOrders[WeekIndex]=97)*(T_PlannedOrders[EffectiveQty]&gt;0)*T_PlannedOrders[Order_Month])),"m月")&amp;"発注)")</f>
        <v/>
      </c>
      <c r="CW903">
        <f>IF(SUMIFS(T_PlannedOrders[EffectiveQty],T_PlannedOrders[Part Name],$A893,T_PlannedOrders[WeekIndex],98)=0,"",SUMIFS(T_PlannedOrders[EffectiveQty],T_PlannedOrders[Part Name],$A893,T_PlannedOrders[WeekIndex],98)&amp;" ("&amp;TEXT(SUMPRODUCT(MAX((T_PlannedOrders[Part Name]=$A893)*(T_PlannedOrders[WeekIndex]=98)*(T_PlannedOrders[EffectiveQty]&gt;0)*T_PlannedOrders[Order_Month])),"m月")&amp;"発注)")</f>
        <v/>
      </c>
      <c r="CX903">
        <f>IF(SUMIFS(T_PlannedOrders[EffectiveQty],T_PlannedOrders[Part Name],$A893,T_PlannedOrders[WeekIndex],99)=0,"",SUMIFS(T_PlannedOrders[EffectiveQty],T_PlannedOrders[Part Name],$A893,T_PlannedOrders[WeekIndex],99)&amp;" ("&amp;TEXT(SUMPRODUCT(MAX((T_PlannedOrders[Part Name]=$A893)*(T_PlannedOrders[WeekIndex]=99)*(T_PlannedOrders[EffectiveQty]&gt;0)*T_PlannedOrders[Order_Month])),"m月")&amp;"発注)")</f>
        <v/>
      </c>
      <c r="CY903">
        <f>IF(SUMIFS(T_PlannedOrders[EffectiveQty],T_PlannedOrders[Part Name],$A893,T_PlannedOrders[WeekIndex],100)=0,"",SUMIFS(T_PlannedOrders[EffectiveQty],T_PlannedOrders[Part Name],$A893,T_PlannedOrders[WeekIndex],100)&amp;" ("&amp;TEXT(SUMPRODUCT(MAX((T_PlannedOrders[Part Name]=$A893)*(T_PlannedOrders[WeekIndex]=100)*(T_PlannedOrders[EffectiveQty]&gt;0)*T_PlannedOrders[Order_Month])),"m月")&amp;"発注)")</f>
        <v/>
      </c>
      <c r="CZ903">
        <f>IF(SUMIFS(T_PlannedOrders[EffectiveQty],T_PlannedOrders[Part Name],$A893,T_PlannedOrders[WeekIndex],101)=0,"",SUMIFS(T_PlannedOrders[EffectiveQty],T_PlannedOrders[Part Name],$A893,T_PlannedOrders[WeekIndex],101)&amp;" ("&amp;TEXT(SUMPRODUCT(MAX((T_PlannedOrders[Part Name]=$A893)*(T_PlannedOrders[WeekIndex]=101)*(T_PlannedOrders[EffectiveQty]&gt;0)*T_PlannedOrders[Order_Month])),"m月")&amp;"発注)")</f>
        <v/>
      </c>
      <c r="DA903">
        <f>IF(SUMIFS(T_PlannedOrders[EffectiveQty],T_PlannedOrders[Part Name],$A893,T_PlannedOrders[WeekIndex],102)=0,"",SUMIFS(T_PlannedOrders[EffectiveQty],T_PlannedOrders[Part Name],$A893,T_PlannedOrders[WeekIndex],102)&amp;" ("&amp;TEXT(SUMPRODUCT(MAX((T_PlannedOrders[Part Name]=$A893)*(T_PlannedOrders[WeekIndex]=102)*(T_PlannedOrders[EffectiveQty]&gt;0)*T_PlannedOrders[Order_Month])),"m月")&amp;"発注)")</f>
        <v/>
      </c>
      <c r="DB903">
        <f>IF(SUMIFS(T_PlannedOrders[EffectiveQty],T_PlannedOrders[Part Name],$A893,T_PlannedOrders[WeekIndex],103)=0,"",SUMIFS(T_PlannedOrders[EffectiveQty],T_PlannedOrders[Part Name],$A893,T_PlannedOrders[WeekIndex],103)&amp;" ("&amp;TEXT(SUMPRODUCT(MAX((T_PlannedOrders[Part Name]=$A893)*(T_PlannedOrders[WeekIndex]=103)*(T_PlannedOrders[EffectiveQty]&gt;0)*T_PlannedOrders[Order_Month])),"m月")&amp;"発注)")</f>
        <v/>
      </c>
      <c r="DC903">
        <f>IF(SUMIFS(T_PlannedOrders[EffectiveQty],T_PlannedOrders[Part Name],$A893,T_PlannedOrders[WeekIndex],104)=0,"",SUMIFS(T_PlannedOrders[EffectiveQty],T_PlannedOrders[Part Name],$A893,T_PlannedOrders[WeekIndex],104)&amp;" ("&amp;TEXT(SUMPRODUCT(MAX((T_PlannedOrders[Part Name]=$A893)*(T_PlannedOrders[WeekIndex]=104)*(T_PlannedOrders[EffectiveQty]&gt;0)*T_PlannedOrders[Order_Month])),"m月")&amp;"発注)")</f>
        <v/>
      </c>
    </row>
    <row r="904">
      <c r="B904" s="5" t="inlineStr">
        <is>
          <t>合計在庫(週末時点,kg)</t>
        </is>
      </c>
      <c r="D904">
        <f>'Grid_Stock'!B12</f>
        <v/>
      </c>
      <c r="E904">
        <f>'Grid_Stock'!C12</f>
        <v/>
      </c>
      <c r="F904">
        <f>'Grid_Stock'!D12</f>
        <v/>
      </c>
      <c r="G904">
        <f>'Grid_Stock'!E12</f>
        <v/>
      </c>
      <c r="H904">
        <f>'Grid_Stock'!F12</f>
        <v/>
      </c>
      <c r="I904">
        <f>'Grid_Stock'!G12</f>
        <v/>
      </c>
      <c r="J904">
        <f>'Grid_Stock'!H12</f>
        <v/>
      </c>
      <c r="K904">
        <f>'Grid_Stock'!I12</f>
        <v/>
      </c>
      <c r="L904">
        <f>'Grid_Stock'!J12</f>
        <v/>
      </c>
      <c r="M904">
        <f>'Grid_Stock'!K12</f>
        <v/>
      </c>
      <c r="N904">
        <f>'Grid_Stock'!L12</f>
        <v/>
      </c>
      <c r="O904">
        <f>'Grid_Stock'!M12</f>
        <v/>
      </c>
      <c r="P904">
        <f>'Grid_Stock'!N12</f>
        <v/>
      </c>
      <c r="Q904">
        <f>'Grid_Stock'!O12</f>
        <v/>
      </c>
      <c r="R904">
        <f>'Grid_Stock'!P12</f>
        <v/>
      </c>
      <c r="S904">
        <f>'Grid_Stock'!Q12</f>
        <v/>
      </c>
      <c r="T904">
        <f>'Grid_Stock'!R12</f>
        <v/>
      </c>
      <c r="U904">
        <f>'Grid_Stock'!S12</f>
        <v/>
      </c>
      <c r="V904">
        <f>'Grid_Stock'!T12</f>
        <v/>
      </c>
      <c r="W904">
        <f>'Grid_Stock'!U12</f>
        <v/>
      </c>
      <c r="X904">
        <f>'Grid_Stock'!V12</f>
        <v/>
      </c>
      <c r="Y904">
        <f>'Grid_Stock'!W12</f>
        <v/>
      </c>
      <c r="Z904">
        <f>'Grid_Stock'!X12</f>
        <v/>
      </c>
      <c r="AA904">
        <f>'Grid_Stock'!Y12</f>
        <v/>
      </c>
      <c r="AB904">
        <f>'Grid_Stock'!Z12</f>
        <v/>
      </c>
      <c r="AC904">
        <f>'Grid_Stock'!AA12</f>
        <v/>
      </c>
      <c r="AD904">
        <f>'Grid_Stock'!AB12</f>
        <v/>
      </c>
      <c r="AE904">
        <f>'Grid_Stock'!AC12</f>
        <v/>
      </c>
      <c r="AF904">
        <f>'Grid_Stock'!AD12</f>
        <v/>
      </c>
      <c r="AG904">
        <f>'Grid_Stock'!AE12</f>
        <v/>
      </c>
      <c r="AH904">
        <f>'Grid_Stock'!AF12</f>
        <v/>
      </c>
      <c r="AI904">
        <f>'Grid_Stock'!AG12</f>
        <v/>
      </c>
      <c r="AJ904">
        <f>'Grid_Stock'!AH12</f>
        <v/>
      </c>
      <c r="AK904">
        <f>'Grid_Stock'!AI12</f>
        <v/>
      </c>
      <c r="AL904">
        <f>'Grid_Stock'!AJ12</f>
        <v/>
      </c>
      <c r="AM904">
        <f>'Grid_Stock'!AK12</f>
        <v/>
      </c>
      <c r="AN904">
        <f>'Grid_Stock'!AL12</f>
        <v/>
      </c>
      <c r="AO904">
        <f>'Grid_Stock'!AM12</f>
        <v/>
      </c>
      <c r="AP904">
        <f>'Grid_Stock'!AN12</f>
        <v/>
      </c>
      <c r="AQ904">
        <f>'Grid_Stock'!AO12</f>
        <v/>
      </c>
      <c r="AR904">
        <f>'Grid_Stock'!AP12</f>
        <v/>
      </c>
      <c r="AS904">
        <f>'Grid_Stock'!AQ12</f>
        <v/>
      </c>
      <c r="AT904">
        <f>'Grid_Stock'!AR12</f>
        <v/>
      </c>
      <c r="AU904">
        <f>'Grid_Stock'!AS12</f>
        <v/>
      </c>
      <c r="AV904">
        <f>'Grid_Stock'!AT12</f>
        <v/>
      </c>
      <c r="AW904">
        <f>'Grid_Stock'!AU12</f>
        <v/>
      </c>
      <c r="AX904">
        <f>'Grid_Stock'!AV12</f>
        <v/>
      </c>
      <c r="AY904">
        <f>'Grid_Stock'!AW12</f>
        <v/>
      </c>
      <c r="AZ904">
        <f>'Grid_Stock'!AX12</f>
        <v/>
      </c>
      <c r="BA904">
        <f>'Grid_Stock'!AY12</f>
        <v/>
      </c>
      <c r="BB904">
        <f>'Grid_Stock'!AZ12</f>
        <v/>
      </c>
      <c r="BC904">
        <f>'Grid_Stock'!BA12</f>
        <v/>
      </c>
      <c r="BD904">
        <f>'Grid_Stock'!BB12</f>
        <v/>
      </c>
      <c r="BE904">
        <f>'Grid_Stock'!BC12</f>
        <v/>
      </c>
      <c r="BF904">
        <f>'Grid_Stock'!BD12</f>
        <v/>
      </c>
      <c r="BG904">
        <f>'Grid_Stock'!BE12</f>
        <v/>
      </c>
      <c r="BH904">
        <f>'Grid_Stock'!BF12</f>
        <v/>
      </c>
      <c r="BI904">
        <f>'Grid_Stock'!BG12</f>
        <v/>
      </c>
      <c r="BJ904">
        <f>'Grid_Stock'!BH12</f>
        <v/>
      </c>
      <c r="BK904">
        <f>'Grid_Stock'!BI12</f>
        <v/>
      </c>
      <c r="BL904">
        <f>'Grid_Stock'!BJ12</f>
        <v/>
      </c>
      <c r="BM904">
        <f>'Grid_Stock'!BK12</f>
        <v/>
      </c>
      <c r="BN904">
        <f>'Grid_Stock'!BL12</f>
        <v/>
      </c>
      <c r="BO904">
        <f>'Grid_Stock'!BM12</f>
        <v/>
      </c>
      <c r="BP904">
        <f>'Grid_Stock'!BN12</f>
        <v/>
      </c>
      <c r="BQ904">
        <f>'Grid_Stock'!BO12</f>
        <v/>
      </c>
      <c r="BR904">
        <f>'Grid_Stock'!BP12</f>
        <v/>
      </c>
      <c r="BS904">
        <f>'Grid_Stock'!BQ12</f>
        <v/>
      </c>
      <c r="BT904">
        <f>'Grid_Stock'!BR12</f>
        <v/>
      </c>
      <c r="BU904">
        <f>'Grid_Stock'!BS12</f>
        <v/>
      </c>
      <c r="BV904">
        <f>'Grid_Stock'!BT12</f>
        <v/>
      </c>
      <c r="BW904">
        <f>'Grid_Stock'!BU12</f>
        <v/>
      </c>
      <c r="BX904">
        <f>'Grid_Stock'!BV12</f>
        <v/>
      </c>
      <c r="BY904">
        <f>'Grid_Stock'!BW12</f>
        <v/>
      </c>
      <c r="BZ904">
        <f>'Grid_Stock'!BX12</f>
        <v/>
      </c>
      <c r="CA904">
        <f>'Grid_Stock'!BY12</f>
        <v/>
      </c>
      <c r="CB904">
        <f>'Grid_Stock'!BZ12</f>
        <v/>
      </c>
      <c r="CC904">
        <f>'Grid_Stock'!CA12</f>
        <v/>
      </c>
      <c r="CD904">
        <f>'Grid_Stock'!CB12</f>
        <v/>
      </c>
      <c r="CE904">
        <f>'Grid_Stock'!CC12</f>
        <v/>
      </c>
      <c r="CF904">
        <f>'Grid_Stock'!CD12</f>
        <v/>
      </c>
      <c r="CG904">
        <f>'Grid_Stock'!CE12</f>
        <v/>
      </c>
      <c r="CH904">
        <f>'Grid_Stock'!CF12</f>
        <v/>
      </c>
      <c r="CI904">
        <f>'Grid_Stock'!CG12</f>
        <v/>
      </c>
      <c r="CJ904">
        <f>'Grid_Stock'!CH12</f>
        <v/>
      </c>
      <c r="CK904">
        <f>'Grid_Stock'!CI12</f>
        <v/>
      </c>
      <c r="CL904">
        <f>'Grid_Stock'!CJ12</f>
        <v/>
      </c>
      <c r="CM904">
        <f>'Grid_Stock'!CK12</f>
        <v/>
      </c>
      <c r="CN904">
        <f>'Grid_Stock'!CL12</f>
        <v/>
      </c>
      <c r="CO904">
        <f>'Grid_Stock'!CM12</f>
        <v/>
      </c>
      <c r="CP904">
        <f>'Grid_Stock'!CN12</f>
        <v/>
      </c>
      <c r="CQ904">
        <f>'Grid_Stock'!CO12</f>
        <v/>
      </c>
      <c r="CR904">
        <f>'Grid_Stock'!CP12</f>
        <v/>
      </c>
      <c r="CS904">
        <f>'Grid_Stock'!CQ12</f>
        <v/>
      </c>
      <c r="CT904">
        <f>'Grid_Stock'!CR12</f>
        <v/>
      </c>
      <c r="CU904">
        <f>'Grid_Stock'!CS12</f>
        <v/>
      </c>
      <c r="CV904">
        <f>'Grid_Stock'!CT12</f>
        <v/>
      </c>
      <c r="CW904">
        <f>'Grid_Stock'!CU12</f>
        <v/>
      </c>
      <c r="CX904">
        <f>'Grid_Stock'!CV12</f>
        <v/>
      </c>
      <c r="CY904">
        <f>'Grid_Stock'!CW12</f>
        <v/>
      </c>
      <c r="CZ904">
        <f>'Grid_Stock'!CX12</f>
        <v/>
      </c>
      <c r="DA904">
        <f>'Grid_Stock'!CY12</f>
        <v/>
      </c>
      <c r="DB904">
        <f>'Grid_Stock'!CZ12</f>
        <v/>
      </c>
      <c r="DC904">
        <f>'Grid_Stock'!DA12</f>
        <v/>
      </c>
    </row>
    <row r="905">
      <c r="B905" s="23" t="inlineStr">
        <is>
          <t>（発注の目安はDashboardの基準在庫[下限/上限]と色分けを参照）</t>
        </is>
      </c>
    </row>
    <row r="907">
      <c r="A907" s="21" t="inlineStr">
        <is>
          <t>CHEM-1850</t>
        </is>
      </c>
      <c r="B907" s="21" t="inlineStr">
        <is>
          <t>TPP-1469</t>
        </is>
      </c>
      <c r="C907" s="22" t="n"/>
      <c r="D907" s="21" t="n"/>
      <c r="E907" s="21" t="n"/>
      <c r="F907" s="21" t="n"/>
      <c r="G907" s="21" t="n"/>
      <c r="H907" s="2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  <c r="AA907" s="21" t="n"/>
      <c r="AB907" s="21" t="n"/>
      <c r="AC907" s="21" t="n"/>
      <c r="AD907" s="21" t="n"/>
      <c r="AE907" s="21" t="n"/>
      <c r="AF907" s="21" t="n"/>
      <c r="AG907" s="21" t="n"/>
      <c r="AH907" s="21" t="n"/>
      <c r="AI907" s="21" t="n"/>
      <c r="AJ907" s="21" t="n"/>
      <c r="AK907" s="21" t="n"/>
      <c r="AL907" s="21" t="n"/>
      <c r="AM907" s="21" t="n"/>
      <c r="AN907" s="21" t="n"/>
      <c r="AO907" s="21" t="n"/>
      <c r="AP907" s="21" t="n"/>
      <c r="AQ907" s="21" t="n"/>
      <c r="AR907" s="21" t="n"/>
      <c r="AS907" s="21" t="n"/>
      <c r="AT907" s="21" t="n"/>
      <c r="AU907" s="21" t="n"/>
      <c r="AV907" s="21" t="n"/>
      <c r="AW907" s="21" t="n"/>
      <c r="AX907" s="21" t="n"/>
      <c r="AY907" s="21" t="n"/>
      <c r="AZ907" s="21" t="n"/>
      <c r="BA907" s="21" t="n"/>
      <c r="BB907" s="21" t="n"/>
      <c r="BC907" s="21" t="n"/>
      <c r="BD907" s="21" t="n"/>
      <c r="BE907" s="21" t="n"/>
      <c r="BF907" s="21" t="n"/>
      <c r="BG907" s="21" t="n"/>
      <c r="BH907" s="21" t="n"/>
      <c r="BI907" s="21" t="n"/>
      <c r="BJ907" s="21" t="n"/>
      <c r="BK907" s="21" t="n"/>
      <c r="BL907" s="21" t="n"/>
      <c r="BM907" s="21" t="n"/>
      <c r="BN907" s="21" t="n"/>
      <c r="BO907" s="21" t="n"/>
      <c r="BP907" s="21" t="n"/>
      <c r="BQ907" s="21" t="n"/>
      <c r="BR907" s="21" t="n"/>
      <c r="BS907" s="21" t="n"/>
      <c r="BT907" s="21" t="n"/>
      <c r="BU907" s="21" t="n"/>
      <c r="BV907" s="21" t="n"/>
      <c r="BW907" s="21" t="n"/>
      <c r="BX907" s="21" t="n"/>
      <c r="BY907" s="21" t="n"/>
      <c r="BZ907" s="21" t="n"/>
      <c r="CA907" s="21" t="n"/>
      <c r="CB907" s="21" t="n"/>
      <c r="CC907" s="21" t="n"/>
      <c r="CD907" s="21" t="n"/>
      <c r="CE907" s="21" t="n"/>
      <c r="CF907" s="21" t="n"/>
      <c r="CG907" s="21" t="n"/>
      <c r="CH907" s="21" t="n"/>
      <c r="CI907" s="21" t="n"/>
      <c r="CJ907" s="21" t="n"/>
      <c r="CK907" s="21" t="n"/>
      <c r="CL907" s="21" t="n"/>
      <c r="CM907" s="21" t="n"/>
      <c r="CN907" s="21" t="n"/>
      <c r="CO907" s="21" t="n"/>
      <c r="CP907" s="21" t="n"/>
      <c r="CQ907" s="21" t="n"/>
      <c r="CR907" s="21" t="n"/>
      <c r="CS907" s="21" t="n"/>
      <c r="CT907" s="21" t="n"/>
      <c r="CU907" s="21" t="n"/>
      <c r="CV907" s="21" t="n"/>
      <c r="CW907" s="21" t="n"/>
      <c r="CX907" s="21" t="n"/>
      <c r="CY907" s="21" t="n"/>
      <c r="CZ907" s="21" t="n"/>
      <c r="DA907" s="21" t="n"/>
      <c r="DB907" s="21" t="n"/>
      <c r="DC907" s="21" t="n"/>
    </row>
    <row r="908">
      <c r="B908" t="inlineStr">
        <is>
          <t>TSP-1558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Name],$A907)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s="5" t="inlineStr">
        <is>
          <t>合計使用量(kg)/週</t>
        </is>
      </c>
      <c r="D910">
        <f>'Grid_Requirement'!B31</f>
        <v/>
      </c>
      <c r="E910">
        <f>'Grid_Requirement'!C31</f>
        <v/>
      </c>
      <c r="F910">
        <f>'Grid_Requirement'!D31</f>
        <v/>
      </c>
      <c r="G910">
        <f>'Grid_Requirement'!E31</f>
        <v/>
      </c>
      <c r="H910">
        <f>'Grid_Requirement'!F31</f>
        <v/>
      </c>
      <c r="I910">
        <f>'Grid_Requirement'!G31</f>
        <v/>
      </c>
      <c r="J910">
        <f>'Grid_Requirement'!H31</f>
        <v/>
      </c>
      <c r="K910">
        <f>'Grid_Requirement'!I31</f>
        <v/>
      </c>
      <c r="L910">
        <f>'Grid_Requirement'!J31</f>
        <v/>
      </c>
      <c r="M910">
        <f>'Grid_Requirement'!K31</f>
        <v/>
      </c>
      <c r="N910">
        <f>'Grid_Requirement'!L31</f>
        <v/>
      </c>
      <c r="O910">
        <f>'Grid_Requirement'!M31</f>
        <v/>
      </c>
      <c r="P910">
        <f>'Grid_Requirement'!N31</f>
        <v/>
      </c>
      <c r="Q910">
        <f>'Grid_Requirement'!O31</f>
        <v/>
      </c>
      <c r="R910">
        <f>'Grid_Requirement'!P31</f>
        <v/>
      </c>
      <c r="S910">
        <f>'Grid_Requirement'!Q31</f>
        <v/>
      </c>
      <c r="T910">
        <f>'Grid_Requirement'!R31</f>
        <v/>
      </c>
      <c r="U910">
        <f>'Grid_Requirement'!S31</f>
        <v/>
      </c>
      <c r="V910">
        <f>'Grid_Requirement'!T31</f>
        <v/>
      </c>
      <c r="W910">
        <f>'Grid_Requirement'!U31</f>
        <v/>
      </c>
      <c r="X910">
        <f>'Grid_Requirement'!V31</f>
        <v/>
      </c>
      <c r="Y910">
        <f>'Grid_Requirement'!W31</f>
        <v/>
      </c>
      <c r="Z910">
        <f>'Grid_Requirement'!X31</f>
        <v/>
      </c>
      <c r="AA910">
        <f>'Grid_Requirement'!Y31</f>
        <v/>
      </c>
      <c r="AB910">
        <f>'Grid_Requirement'!Z31</f>
        <v/>
      </c>
      <c r="AC910">
        <f>'Grid_Requirement'!AA31</f>
        <v/>
      </c>
      <c r="AD910">
        <f>'Grid_Requirement'!AB31</f>
        <v/>
      </c>
      <c r="AE910">
        <f>'Grid_Requirement'!AC31</f>
        <v/>
      </c>
      <c r="AF910">
        <f>'Grid_Requirement'!AD31</f>
        <v/>
      </c>
      <c r="AG910">
        <f>'Grid_Requirement'!AE31</f>
        <v/>
      </c>
      <c r="AH910">
        <f>'Grid_Requirement'!AF31</f>
        <v/>
      </c>
      <c r="AI910">
        <f>'Grid_Requirement'!AG31</f>
        <v/>
      </c>
      <c r="AJ910">
        <f>'Grid_Requirement'!AH31</f>
        <v/>
      </c>
      <c r="AK910">
        <f>'Grid_Requirement'!AI31</f>
        <v/>
      </c>
      <c r="AL910">
        <f>'Grid_Requirement'!AJ31</f>
        <v/>
      </c>
      <c r="AM910">
        <f>'Grid_Requirement'!AK31</f>
        <v/>
      </c>
      <c r="AN910">
        <f>'Grid_Requirement'!AL31</f>
        <v/>
      </c>
      <c r="AO910">
        <f>'Grid_Requirement'!AM31</f>
        <v/>
      </c>
      <c r="AP910">
        <f>'Grid_Requirement'!AN31</f>
        <v/>
      </c>
      <c r="AQ910">
        <f>'Grid_Requirement'!AO31</f>
        <v/>
      </c>
      <c r="AR910">
        <f>'Grid_Requirement'!AP31</f>
        <v/>
      </c>
      <c r="AS910">
        <f>'Grid_Requirement'!AQ31</f>
        <v/>
      </c>
      <c r="AT910">
        <f>'Grid_Requirement'!AR31</f>
        <v/>
      </c>
      <c r="AU910">
        <f>'Grid_Requirement'!AS31</f>
        <v/>
      </c>
      <c r="AV910">
        <f>'Grid_Requirement'!AT31</f>
        <v/>
      </c>
      <c r="AW910">
        <f>'Grid_Requirement'!AU31</f>
        <v/>
      </c>
      <c r="AX910">
        <f>'Grid_Requirement'!AV31</f>
        <v/>
      </c>
      <c r="AY910">
        <f>'Grid_Requirement'!AW31</f>
        <v/>
      </c>
      <c r="AZ910">
        <f>'Grid_Requirement'!AX31</f>
        <v/>
      </c>
      <c r="BA910">
        <f>'Grid_Requirement'!AY31</f>
        <v/>
      </c>
      <c r="BB910">
        <f>'Grid_Requirement'!AZ31</f>
        <v/>
      </c>
      <c r="BC910">
        <f>'Grid_Requirement'!BA31</f>
        <v/>
      </c>
      <c r="BD910">
        <f>'Grid_Requirement'!BB31</f>
        <v/>
      </c>
      <c r="BE910">
        <f>'Grid_Requirement'!BC31</f>
        <v/>
      </c>
      <c r="BF910">
        <f>'Grid_Requirement'!BD31</f>
        <v/>
      </c>
      <c r="BG910">
        <f>'Grid_Requirement'!BE31</f>
        <v/>
      </c>
      <c r="BH910">
        <f>'Grid_Requirement'!BF31</f>
        <v/>
      </c>
      <c r="BI910">
        <f>'Grid_Requirement'!BG31</f>
        <v/>
      </c>
      <c r="BJ910">
        <f>'Grid_Requirement'!BH31</f>
        <v/>
      </c>
      <c r="BK910">
        <f>'Grid_Requirement'!BI31</f>
        <v/>
      </c>
      <c r="BL910">
        <f>'Grid_Requirement'!BJ31</f>
        <v/>
      </c>
      <c r="BM910">
        <f>'Grid_Requirement'!BK31</f>
        <v/>
      </c>
      <c r="BN910">
        <f>'Grid_Requirement'!BL31</f>
        <v/>
      </c>
      <c r="BO910">
        <f>'Grid_Requirement'!BM31</f>
        <v/>
      </c>
      <c r="BP910">
        <f>'Grid_Requirement'!BN31</f>
        <v/>
      </c>
      <c r="BQ910">
        <f>'Grid_Requirement'!BO31</f>
        <v/>
      </c>
      <c r="BR910">
        <f>'Grid_Requirement'!BP31</f>
        <v/>
      </c>
      <c r="BS910">
        <f>'Grid_Requirement'!BQ31</f>
        <v/>
      </c>
      <c r="BT910">
        <f>'Grid_Requirement'!BR31</f>
        <v/>
      </c>
      <c r="BU910">
        <f>'Grid_Requirement'!BS31</f>
        <v/>
      </c>
      <c r="BV910">
        <f>'Grid_Requirement'!BT31</f>
        <v/>
      </c>
      <c r="BW910">
        <f>'Grid_Requirement'!BU31</f>
        <v/>
      </c>
      <c r="BX910">
        <f>'Grid_Requirement'!BV31</f>
        <v/>
      </c>
      <c r="BY910">
        <f>'Grid_Requirement'!BW31</f>
        <v/>
      </c>
      <c r="BZ910">
        <f>'Grid_Requirement'!BX31</f>
        <v/>
      </c>
      <c r="CA910">
        <f>'Grid_Requirement'!BY31</f>
        <v/>
      </c>
      <c r="CB910">
        <f>'Grid_Requirement'!BZ31</f>
        <v/>
      </c>
      <c r="CC910">
        <f>'Grid_Requirement'!CA31</f>
        <v/>
      </c>
      <c r="CD910">
        <f>'Grid_Requirement'!CB31</f>
        <v/>
      </c>
      <c r="CE910">
        <f>'Grid_Requirement'!CC31</f>
        <v/>
      </c>
      <c r="CF910">
        <f>'Grid_Requirement'!CD31</f>
        <v/>
      </c>
      <c r="CG910">
        <f>'Grid_Requirement'!CE31</f>
        <v/>
      </c>
      <c r="CH910">
        <f>'Grid_Requirement'!CF31</f>
        <v/>
      </c>
      <c r="CI910">
        <f>'Grid_Requirement'!CG31</f>
        <v/>
      </c>
      <c r="CJ910">
        <f>'Grid_Requirement'!CH31</f>
        <v/>
      </c>
      <c r="CK910">
        <f>'Grid_Requirement'!CI31</f>
        <v/>
      </c>
      <c r="CL910">
        <f>'Grid_Requirement'!CJ31</f>
        <v/>
      </c>
      <c r="CM910">
        <f>'Grid_Requirement'!CK31</f>
        <v/>
      </c>
      <c r="CN910">
        <f>'Grid_Requirement'!CL31</f>
        <v/>
      </c>
      <c r="CO910">
        <f>'Grid_Requirement'!CM31</f>
        <v/>
      </c>
      <c r="CP910">
        <f>'Grid_Requirement'!CN31</f>
        <v/>
      </c>
      <c r="CQ910">
        <f>'Grid_Requirement'!CO31</f>
        <v/>
      </c>
      <c r="CR910">
        <f>'Grid_Requirement'!CP31</f>
        <v/>
      </c>
      <c r="CS910">
        <f>'Grid_Requirement'!CQ31</f>
        <v/>
      </c>
      <c r="CT910">
        <f>'Grid_Requirement'!CR31</f>
        <v/>
      </c>
      <c r="CU910">
        <f>'Grid_Requirement'!CS31</f>
        <v/>
      </c>
      <c r="CV910">
        <f>'Grid_Requirement'!CT31</f>
        <v/>
      </c>
      <c r="CW910">
        <f>'Grid_Requirement'!CU31</f>
        <v/>
      </c>
      <c r="CX910">
        <f>'Grid_Requirement'!CV31</f>
        <v/>
      </c>
      <c r="CY910">
        <f>'Grid_Requirement'!CW31</f>
        <v/>
      </c>
      <c r="CZ910">
        <f>'Grid_Requirement'!CX31</f>
        <v/>
      </c>
      <c r="DA910">
        <f>'Grid_Requirement'!CY31</f>
        <v/>
      </c>
      <c r="DB910">
        <f>'Grid_Requirement'!CZ31</f>
        <v/>
      </c>
      <c r="DC910">
        <f>'Grid_Requirement'!DA31</f>
        <v/>
      </c>
    </row>
    <row r="911">
      <c r="B911" t="inlineStr">
        <is>
          <t>TTAF在庫(実績,kg)</t>
        </is>
      </c>
      <c r="D911">
        <f>'T_TTAFStock'!B35</f>
        <v/>
      </c>
      <c r="E911">
        <f>'T_TTAFStock'!C35</f>
        <v/>
      </c>
      <c r="F911">
        <f>'T_TTAFStock'!D35</f>
        <v/>
      </c>
      <c r="G911">
        <f>'T_TTAFStock'!E35</f>
        <v/>
      </c>
      <c r="H911">
        <f>'T_TTAFStock'!F35</f>
        <v/>
      </c>
      <c r="I911">
        <f>'T_TTAFStock'!G35</f>
        <v/>
      </c>
      <c r="J911">
        <f>'T_TTAFStock'!H35</f>
        <v/>
      </c>
      <c r="K911">
        <f>'T_TTAFStock'!I35</f>
        <v/>
      </c>
      <c r="L911">
        <f>'T_TTAFStock'!J35</f>
        <v/>
      </c>
      <c r="M911">
        <f>'T_TTAFStock'!K35</f>
        <v/>
      </c>
      <c r="N911">
        <f>'T_TTAFStock'!L35</f>
        <v/>
      </c>
      <c r="O911">
        <f>'T_TTAFStock'!M35</f>
        <v/>
      </c>
      <c r="P911">
        <f>'T_TTAFStock'!N35</f>
        <v/>
      </c>
      <c r="Q911">
        <f>'T_TTAFStock'!O35</f>
        <v/>
      </c>
      <c r="R911">
        <f>'T_TTAFStock'!P35</f>
        <v/>
      </c>
      <c r="S911">
        <f>'T_TTAFStock'!Q35</f>
        <v/>
      </c>
      <c r="T911">
        <f>'T_TTAFStock'!R35</f>
        <v/>
      </c>
      <c r="U911">
        <f>'T_TTAFStock'!S35</f>
        <v/>
      </c>
      <c r="V911">
        <f>'T_TTAFStock'!T35</f>
        <v/>
      </c>
      <c r="W911">
        <f>'T_TTAFStock'!U35</f>
        <v/>
      </c>
      <c r="X911">
        <f>'T_TTAFStock'!V35</f>
        <v/>
      </c>
      <c r="Y911">
        <f>'T_TTAFStock'!W35</f>
        <v/>
      </c>
      <c r="Z911">
        <f>'T_TTAFStock'!X35</f>
        <v/>
      </c>
      <c r="AA911">
        <f>'T_TTAFStock'!Y35</f>
        <v/>
      </c>
      <c r="AB911">
        <f>'T_TTAFStock'!Z35</f>
        <v/>
      </c>
      <c r="AC911">
        <f>'T_TTAFStock'!AA35</f>
        <v/>
      </c>
      <c r="AD911">
        <f>'T_TTAFStock'!AB35</f>
        <v/>
      </c>
      <c r="AE911">
        <f>'T_TTAFStock'!AC35</f>
        <v/>
      </c>
      <c r="AF911">
        <f>'T_TTAFStock'!AD35</f>
        <v/>
      </c>
      <c r="AG911">
        <f>'T_TTAFStock'!AE35</f>
        <v/>
      </c>
      <c r="AH911">
        <f>'T_TTAFStock'!AF35</f>
        <v/>
      </c>
      <c r="AI911">
        <f>'T_TTAFStock'!AG35</f>
        <v/>
      </c>
      <c r="AJ911">
        <f>'T_TTAFStock'!AH35</f>
        <v/>
      </c>
      <c r="AK911">
        <f>'T_TTAFStock'!AI35</f>
        <v/>
      </c>
      <c r="AL911">
        <f>'T_TTAFStock'!AJ35</f>
        <v/>
      </c>
      <c r="AM911">
        <f>'T_TTAFStock'!AK35</f>
        <v/>
      </c>
      <c r="AN911">
        <f>'T_TTAFStock'!AL35</f>
        <v/>
      </c>
      <c r="AO911">
        <f>'T_TTAFStock'!AM35</f>
        <v/>
      </c>
      <c r="AP911">
        <f>'T_TTAFStock'!AN35</f>
        <v/>
      </c>
      <c r="AQ911">
        <f>'T_TTAFStock'!AO35</f>
        <v/>
      </c>
      <c r="AR911">
        <f>'T_TTAFStock'!AP35</f>
        <v/>
      </c>
      <c r="AS911">
        <f>'T_TTAFStock'!AQ35</f>
        <v/>
      </c>
      <c r="AT911">
        <f>'T_TTAFStock'!AR35</f>
        <v/>
      </c>
      <c r="AU911">
        <f>'T_TTAFStock'!AS35</f>
        <v/>
      </c>
      <c r="AV911">
        <f>'T_TTAFStock'!AT35</f>
        <v/>
      </c>
      <c r="AW911">
        <f>'T_TTAFStock'!AU35</f>
        <v/>
      </c>
      <c r="AX911">
        <f>'T_TTAFStock'!AV35</f>
        <v/>
      </c>
      <c r="AY911">
        <f>'T_TTAFStock'!AW35</f>
        <v/>
      </c>
      <c r="AZ911">
        <f>'T_TTAFStock'!AX35</f>
        <v/>
      </c>
      <c r="BA911">
        <f>'T_TTAFStock'!AY35</f>
        <v/>
      </c>
      <c r="BB911">
        <f>'T_TTAFStock'!AZ35</f>
        <v/>
      </c>
      <c r="BC911">
        <f>'T_TTAFStock'!BA35</f>
        <v/>
      </c>
      <c r="BD911">
        <f>'T_TTAFStock'!BB35</f>
        <v/>
      </c>
      <c r="BE911">
        <f>'T_TTAFStock'!BC35</f>
        <v/>
      </c>
      <c r="BF911">
        <f>'T_TTAFStock'!BD35</f>
        <v/>
      </c>
      <c r="BG911">
        <f>'T_TTAFStock'!BE35</f>
        <v/>
      </c>
      <c r="BH911">
        <f>'T_TTAFStock'!BF35</f>
        <v/>
      </c>
      <c r="BI911">
        <f>'T_TTAFStock'!BG35</f>
        <v/>
      </c>
      <c r="BJ911">
        <f>'T_TTAFStock'!BH35</f>
        <v/>
      </c>
      <c r="BK911">
        <f>'T_TTAFStock'!BI35</f>
        <v/>
      </c>
      <c r="BL911">
        <f>'T_TTAFStock'!BJ35</f>
        <v/>
      </c>
      <c r="BM911">
        <f>'T_TTAFStock'!BK35</f>
        <v/>
      </c>
      <c r="BN911">
        <f>'T_TTAFStock'!BL35</f>
        <v/>
      </c>
      <c r="BO911">
        <f>'T_TTAFStock'!BM35</f>
        <v/>
      </c>
      <c r="BP911">
        <f>'T_TTAFStock'!BN35</f>
        <v/>
      </c>
      <c r="BQ911">
        <f>'T_TTAFStock'!BO35</f>
        <v/>
      </c>
      <c r="BR911">
        <f>'T_TTAFStock'!BP35</f>
        <v/>
      </c>
      <c r="BS911">
        <f>'T_TTAFStock'!BQ35</f>
        <v/>
      </c>
      <c r="BT911">
        <f>'T_TTAFStock'!BR35</f>
        <v/>
      </c>
      <c r="BU911">
        <f>'T_TTAFStock'!BS35</f>
        <v/>
      </c>
      <c r="BV911">
        <f>'T_TTAFStock'!BT35</f>
        <v/>
      </c>
      <c r="BW911">
        <f>'T_TTAFStock'!BU35</f>
        <v/>
      </c>
      <c r="BX911">
        <f>'T_TTAFStock'!BV35</f>
        <v/>
      </c>
      <c r="BY911">
        <f>'T_TTAFStock'!BW35</f>
        <v/>
      </c>
      <c r="BZ911">
        <f>'T_TTAFStock'!BX35</f>
        <v/>
      </c>
      <c r="CA911">
        <f>'T_TTAFStock'!BY35</f>
        <v/>
      </c>
      <c r="CB911">
        <f>'T_TTAFStock'!BZ35</f>
        <v/>
      </c>
      <c r="CC911">
        <f>'T_TTAFStock'!CA35</f>
        <v/>
      </c>
      <c r="CD911">
        <f>'T_TTAFStock'!CB35</f>
        <v/>
      </c>
      <c r="CE911">
        <f>'T_TTAFStock'!CC35</f>
        <v/>
      </c>
      <c r="CF911">
        <f>'T_TTAFStock'!CD35</f>
        <v/>
      </c>
      <c r="CG911">
        <f>'T_TTAFStock'!CE35</f>
        <v/>
      </c>
      <c r="CH911">
        <f>'T_TTAFStock'!CF35</f>
        <v/>
      </c>
      <c r="CI911">
        <f>'T_TTAFStock'!CG35</f>
        <v/>
      </c>
      <c r="CJ911">
        <f>'T_TTAFStock'!CH35</f>
        <v/>
      </c>
      <c r="CK911">
        <f>'T_TTAFStock'!CI35</f>
        <v/>
      </c>
      <c r="CL911">
        <f>'T_TTAFStock'!CJ35</f>
        <v/>
      </c>
      <c r="CM911">
        <f>'T_TTAFStock'!CK35</f>
        <v/>
      </c>
      <c r="CN911">
        <f>'T_TTAFStock'!CL35</f>
        <v/>
      </c>
      <c r="CO911">
        <f>'T_TTAFStock'!CM35</f>
        <v/>
      </c>
      <c r="CP911">
        <f>'T_TTAFStock'!CN35</f>
        <v/>
      </c>
      <c r="CQ911">
        <f>'T_TTAFStock'!CO35</f>
        <v/>
      </c>
      <c r="CR911">
        <f>'T_TTAFStock'!CP35</f>
        <v/>
      </c>
      <c r="CS911">
        <f>'T_TTAFStock'!CQ35</f>
        <v/>
      </c>
      <c r="CT911">
        <f>'T_TTAFStock'!CR35</f>
        <v/>
      </c>
      <c r="CU911">
        <f>'T_TTAFStock'!CS35</f>
        <v/>
      </c>
      <c r="CV911">
        <f>'T_TTAFStock'!CT35</f>
        <v/>
      </c>
      <c r="CW911">
        <f>'T_TTAFStock'!CU35</f>
        <v/>
      </c>
      <c r="CX911">
        <f>'T_TTAFStock'!CV35</f>
        <v/>
      </c>
      <c r="CY911">
        <f>'T_TTAFStock'!CW35</f>
        <v/>
      </c>
      <c r="CZ911">
        <f>'T_TTAFStock'!CX35</f>
        <v/>
      </c>
      <c r="DA911">
        <f>'T_TTAFStock'!CY35</f>
        <v/>
      </c>
      <c r="DB911">
        <f>'T_TTAFStock'!CZ35</f>
        <v/>
      </c>
      <c r="DC911">
        <f>'T_TTAFStock'!DA35</f>
        <v/>
      </c>
    </row>
    <row r="912">
      <c r="B912" t="inlineStr">
        <is>
          <t>自社在庫(実績,kg)</t>
        </is>
      </c>
      <c r="D912">
        <f>'T_SelfStock'!B35</f>
        <v/>
      </c>
      <c r="E912">
        <f>'T_SelfStock'!C35</f>
        <v/>
      </c>
      <c r="F912">
        <f>'T_SelfStock'!D35</f>
        <v/>
      </c>
      <c r="G912">
        <f>'T_SelfStock'!E35</f>
        <v/>
      </c>
      <c r="H912">
        <f>'T_SelfStock'!F35</f>
        <v/>
      </c>
      <c r="I912">
        <f>'T_SelfStock'!G35</f>
        <v/>
      </c>
      <c r="J912">
        <f>'T_SelfStock'!H35</f>
        <v/>
      </c>
      <c r="K912">
        <f>'T_SelfStock'!I35</f>
        <v/>
      </c>
      <c r="L912">
        <f>'T_SelfStock'!J35</f>
        <v/>
      </c>
      <c r="M912">
        <f>'T_SelfStock'!K35</f>
        <v/>
      </c>
      <c r="N912">
        <f>'T_SelfStock'!L35</f>
        <v/>
      </c>
      <c r="O912">
        <f>'T_SelfStock'!M35</f>
        <v/>
      </c>
      <c r="P912">
        <f>'T_SelfStock'!N35</f>
        <v/>
      </c>
      <c r="Q912">
        <f>'T_SelfStock'!O35</f>
        <v/>
      </c>
      <c r="R912">
        <f>'T_SelfStock'!P35</f>
        <v/>
      </c>
      <c r="S912">
        <f>'T_SelfStock'!Q35</f>
        <v/>
      </c>
      <c r="T912">
        <f>'T_SelfStock'!R35</f>
        <v/>
      </c>
      <c r="U912">
        <f>'T_SelfStock'!S35</f>
        <v/>
      </c>
      <c r="V912">
        <f>'T_SelfStock'!T35</f>
        <v/>
      </c>
      <c r="W912">
        <f>'T_SelfStock'!U35</f>
        <v/>
      </c>
      <c r="X912">
        <f>'T_SelfStock'!V35</f>
        <v/>
      </c>
      <c r="Y912">
        <f>'T_SelfStock'!W35</f>
        <v/>
      </c>
      <c r="Z912">
        <f>'T_SelfStock'!X35</f>
        <v/>
      </c>
      <c r="AA912">
        <f>'T_SelfStock'!Y35</f>
        <v/>
      </c>
      <c r="AB912">
        <f>'T_SelfStock'!Z35</f>
        <v/>
      </c>
      <c r="AC912">
        <f>'T_SelfStock'!AA35</f>
        <v/>
      </c>
      <c r="AD912">
        <f>'T_SelfStock'!AB35</f>
        <v/>
      </c>
      <c r="AE912">
        <f>'T_SelfStock'!AC35</f>
        <v/>
      </c>
      <c r="AF912">
        <f>'T_SelfStock'!AD35</f>
        <v/>
      </c>
      <c r="AG912">
        <f>'T_SelfStock'!AE35</f>
        <v/>
      </c>
      <c r="AH912">
        <f>'T_SelfStock'!AF35</f>
        <v/>
      </c>
      <c r="AI912">
        <f>'T_SelfStock'!AG35</f>
        <v/>
      </c>
      <c r="AJ912">
        <f>'T_SelfStock'!AH35</f>
        <v/>
      </c>
      <c r="AK912">
        <f>'T_SelfStock'!AI35</f>
        <v/>
      </c>
      <c r="AL912">
        <f>'T_SelfStock'!AJ35</f>
        <v/>
      </c>
      <c r="AM912">
        <f>'T_SelfStock'!AK35</f>
        <v/>
      </c>
      <c r="AN912">
        <f>'T_SelfStock'!AL35</f>
        <v/>
      </c>
      <c r="AO912">
        <f>'T_SelfStock'!AM35</f>
        <v/>
      </c>
      <c r="AP912">
        <f>'T_SelfStock'!AN35</f>
        <v/>
      </c>
      <c r="AQ912">
        <f>'T_SelfStock'!AO35</f>
        <v/>
      </c>
      <c r="AR912">
        <f>'T_SelfStock'!AP35</f>
        <v/>
      </c>
      <c r="AS912">
        <f>'T_SelfStock'!AQ35</f>
        <v/>
      </c>
      <c r="AT912">
        <f>'T_SelfStock'!AR35</f>
        <v/>
      </c>
      <c r="AU912">
        <f>'T_SelfStock'!AS35</f>
        <v/>
      </c>
      <c r="AV912">
        <f>'T_SelfStock'!AT35</f>
        <v/>
      </c>
      <c r="AW912">
        <f>'T_SelfStock'!AU35</f>
        <v/>
      </c>
      <c r="AX912">
        <f>'T_SelfStock'!AV35</f>
        <v/>
      </c>
      <c r="AY912">
        <f>'T_SelfStock'!AW35</f>
        <v/>
      </c>
      <c r="AZ912">
        <f>'T_SelfStock'!AX35</f>
        <v/>
      </c>
      <c r="BA912">
        <f>'T_SelfStock'!AY35</f>
        <v/>
      </c>
      <c r="BB912">
        <f>'T_SelfStock'!AZ35</f>
        <v/>
      </c>
      <c r="BC912">
        <f>'T_SelfStock'!BA35</f>
        <v/>
      </c>
      <c r="BD912">
        <f>'T_SelfStock'!BB35</f>
        <v/>
      </c>
      <c r="BE912">
        <f>'T_SelfStock'!BC35</f>
        <v/>
      </c>
      <c r="BF912">
        <f>'T_SelfStock'!BD35</f>
        <v/>
      </c>
      <c r="BG912">
        <f>'T_SelfStock'!BE35</f>
        <v/>
      </c>
      <c r="BH912">
        <f>'T_SelfStock'!BF35</f>
        <v/>
      </c>
      <c r="BI912">
        <f>'T_SelfStock'!BG35</f>
        <v/>
      </c>
      <c r="BJ912">
        <f>'T_SelfStock'!BH35</f>
        <v/>
      </c>
      <c r="BK912">
        <f>'T_SelfStock'!BI35</f>
        <v/>
      </c>
      <c r="BL912">
        <f>'T_SelfStock'!BJ35</f>
        <v/>
      </c>
      <c r="BM912">
        <f>'T_SelfStock'!BK35</f>
        <v/>
      </c>
      <c r="BN912">
        <f>'T_SelfStock'!BL35</f>
        <v/>
      </c>
      <c r="BO912">
        <f>'T_SelfStock'!BM35</f>
        <v/>
      </c>
      <c r="BP912">
        <f>'T_SelfStock'!BN35</f>
        <v/>
      </c>
      <c r="BQ912">
        <f>'T_SelfStock'!BO35</f>
        <v/>
      </c>
      <c r="BR912">
        <f>'T_SelfStock'!BP35</f>
        <v/>
      </c>
      <c r="BS912">
        <f>'T_SelfStock'!BQ35</f>
        <v/>
      </c>
      <c r="BT912">
        <f>'T_SelfStock'!BR35</f>
        <v/>
      </c>
      <c r="BU912">
        <f>'T_SelfStock'!BS35</f>
        <v/>
      </c>
      <c r="BV912">
        <f>'T_SelfStock'!BT35</f>
        <v/>
      </c>
      <c r="BW912">
        <f>'T_SelfStock'!BU35</f>
        <v/>
      </c>
      <c r="BX912">
        <f>'T_SelfStock'!BV35</f>
        <v/>
      </c>
      <c r="BY912">
        <f>'T_SelfStock'!BW35</f>
        <v/>
      </c>
      <c r="BZ912">
        <f>'T_SelfStock'!BX35</f>
        <v/>
      </c>
      <c r="CA912">
        <f>'T_SelfStock'!BY35</f>
        <v/>
      </c>
      <c r="CB912">
        <f>'T_SelfStock'!BZ35</f>
        <v/>
      </c>
      <c r="CC912">
        <f>'T_SelfStock'!CA35</f>
        <v/>
      </c>
      <c r="CD912">
        <f>'T_SelfStock'!CB35</f>
        <v/>
      </c>
      <c r="CE912">
        <f>'T_SelfStock'!CC35</f>
        <v/>
      </c>
      <c r="CF912">
        <f>'T_SelfStock'!CD35</f>
        <v/>
      </c>
      <c r="CG912">
        <f>'T_SelfStock'!CE35</f>
        <v/>
      </c>
      <c r="CH912">
        <f>'T_SelfStock'!CF35</f>
        <v/>
      </c>
      <c r="CI912">
        <f>'T_SelfStock'!CG35</f>
        <v/>
      </c>
      <c r="CJ912">
        <f>'T_SelfStock'!CH35</f>
        <v/>
      </c>
      <c r="CK912">
        <f>'T_SelfStock'!CI35</f>
        <v/>
      </c>
      <c r="CL912">
        <f>'T_SelfStock'!CJ35</f>
        <v/>
      </c>
      <c r="CM912">
        <f>'T_SelfStock'!CK35</f>
        <v/>
      </c>
      <c r="CN912">
        <f>'T_SelfStock'!CL35</f>
        <v/>
      </c>
      <c r="CO912">
        <f>'T_SelfStock'!CM35</f>
        <v/>
      </c>
      <c r="CP912">
        <f>'T_SelfStock'!CN35</f>
        <v/>
      </c>
      <c r="CQ912">
        <f>'T_SelfStock'!CO35</f>
        <v/>
      </c>
      <c r="CR912">
        <f>'T_SelfStock'!CP35</f>
        <v/>
      </c>
      <c r="CS912">
        <f>'T_SelfStock'!CQ35</f>
        <v/>
      </c>
      <c r="CT912">
        <f>'T_SelfStock'!CR35</f>
        <v/>
      </c>
      <c r="CU912">
        <f>'T_SelfStock'!CS35</f>
        <v/>
      </c>
      <c r="CV912">
        <f>'T_SelfStock'!CT35</f>
        <v/>
      </c>
      <c r="CW912">
        <f>'T_SelfStock'!CU35</f>
        <v/>
      </c>
      <c r="CX912">
        <f>'T_SelfStock'!CV35</f>
        <v/>
      </c>
      <c r="CY912">
        <f>'T_SelfStock'!CW35</f>
        <v/>
      </c>
      <c r="CZ912">
        <f>'T_SelfStock'!CX35</f>
        <v/>
      </c>
      <c r="DA912">
        <f>'T_SelfStock'!CY35</f>
        <v/>
      </c>
      <c r="DB912">
        <f>'T_SelfStock'!CZ35</f>
        <v/>
      </c>
      <c r="DC912">
        <f>'T_SelfStock'!DA35</f>
        <v/>
      </c>
    </row>
    <row r="913">
      <c r="B913" t="inlineStr">
        <is>
          <t>Order(発注予定,kg)</t>
        </is>
      </c>
      <c r="D913">
        <f>IF(SUMIFS(T_PlannedOrders[EffectiveQty],T_PlannedOrders[Part Name],$A907,T_PlannedOrders[WeekIndex],1)=0,"",SUMIFS(T_PlannedOrders[EffectiveQty],T_PlannedOrders[Part Name],$A907,T_PlannedOrders[WeekIndex],1)&amp;" ("&amp;TEXT(SUMPRODUCT(MAX((T_PlannedOrders[Part Name]=$A907)*(T_PlannedOrders[WeekIndex]=1)*(T_PlannedOrders[EffectiveQty]&gt;0)*T_PlannedOrders[Order_Month])),"m月")&amp;"発注)")</f>
        <v/>
      </c>
      <c r="E913">
        <f>IF(SUMIFS(T_PlannedOrders[EffectiveQty],T_PlannedOrders[Part Name],$A907,T_PlannedOrders[WeekIndex],2)=0,"",SUMIFS(T_PlannedOrders[EffectiveQty],T_PlannedOrders[Part Name],$A907,T_PlannedOrders[WeekIndex],2)&amp;" ("&amp;TEXT(SUMPRODUCT(MAX((T_PlannedOrders[Part Name]=$A907)*(T_PlannedOrders[WeekIndex]=2)*(T_PlannedOrders[EffectiveQty]&gt;0)*T_PlannedOrders[Order_Month])),"m月")&amp;"発注)")</f>
        <v/>
      </c>
      <c r="F913">
        <f>IF(SUMIFS(T_PlannedOrders[EffectiveQty],T_PlannedOrders[Part Name],$A907,T_PlannedOrders[WeekIndex],3)=0,"",SUMIFS(T_PlannedOrders[EffectiveQty],T_PlannedOrders[Part Name],$A907,T_PlannedOrders[WeekIndex],3)&amp;" ("&amp;TEXT(SUMPRODUCT(MAX((T_PlannedOrders[Part Name]=$A907)*(T_PlannedOrders[WeekIndex]=3)*(T_PlannedOrders[EffectiveQty]&gt;0)*T_PlannedOrders[Order_Month])),"m月")&amp;"発注)")</f>
        <v/>
      </c>
      <c r="G913">
        <f>IF(SUMIFS(T_PlannedOrders[EffectiveQty],T_PlannedOrders[Part Name],$A907,T_PlannedOrders[WeekIndex],4)=0,"",SUMIFS(T_PlannedOrders[EffectiveQty],T_PlannedOrders[Part Name],$A907,T_PlannedOrders[WeekIndex],4)&amp;" ("&amp;TEXT(SUMPRODUCT(MAX((T_PlannedOrders[Part Name]=$A907)*(T_PlannedOrders[WeekIndex]=4)*(T_PlannedOrders[EffectiveQty]&gt;0)*T_PlannedOrders[Order_Month])),"m月")&amp;"発注)")</f>
        <v/>
      </c>
      <c r="H913">
        <f>IF(SUMIFS(T_PlannedOrders[EffectiveQty],T_PlannedOrders[Part Name],$A907,T_PlannedOrders[WeekIndex],5)=0,"",SUMIFS(T_PlannedOrders[EffectiveQty],T_PlannedOrders[Part Name],$A907,T_PlannedOrders[WeekIndex],5)&amp;" ("&amp;TEXT(SUMPRODUCT(MAX((T_PlannedOrders[Part Name]=$A907)*(T_PlannedOrders[WeekIndex]=5)*(T_PlannedOrders[EffectiveQty]&gt;0)*T_PlannedOrders[Order_Month])),"m月")&amp;"発注)")</f>
        <v/>
      </c>
      <c r="I913">
        <f>IF(SUMIFS(T_PlannedOrders[EffectiveQty],T_PlannedOrders[Part Name],$A907,T_PlannedOrders[WeekIndex],6)=0,"",SUMIFS(T_PlannedOrders[EffectiveQty],T_PlannedOrders[Part Name],$A907,T_PlannedOrders[WeekIndex],6)&amp;" ("&amp;TEXT(SUMPRODUCT(MAX((T_PlannedOrders[Part Name]=$A907)*(T_PlannedOrders[WeekIndex]=6)*(T_PlannedOrders[EffectiveQty]&gt;0)*T_PlannedOrders[Order_Month])),"m月")&amp;"発注)")</f>
        <v/>
      </c>
      <c r="J913">
        <f>IF(SUMIFS(T_PlannedOrders[EffectiveQty],T_PlannedOrders[Part Name],$A907,T_PlannedOrders[WeekIndex],7)=0,"",SUMIFS(T_PlannedOrders[EffectiveQty],T_PlannedOrders[Part Name],$A907,T_PlannedOrders[WeekIndex],7)&amp;" ("&amp;TEXT(SUMPRODUCT(MAX((T_PlannedOrders[Part Name]=$A907)*(T_PlannedOrders[WeekIndex]=7)*(T_PlannedOrders[EffectiveQty]&gt;0)*T_PlannedOrders[Order_Month])),"m月")&amp;"発注)")</f>
        <v/>
      </c>
      <c r="K913">
        <f>IF(SUMIFS(T_PlannedOrders[EffectiveQty],T_PlannedOrders[Part Name],$A907,T_PlannedOrders[WeekIndex],8)=0,"",SUMIFS(T_PlannedOrders[EffectiveQty],T_PlannedOrders[Part Name],$A907,T_PlannedOrders[WeekIndex],8)&amp;" ("&amp;TEXT(SUMPRODUCT(MAX((T_PlannedOrders[Part Name]=$A907)*(T_PlannedOrders[WeekIndex]=8)*(T_PlannedOrders[EffectiveQty]&gt;0)*T_PlannedOrders[Order_Month])),"m月")&amp;"発注)")</f>
        <v/>
      </c>
      <c r="L913">
        <f>IF(SUMIFS(T_PlannedOrders[EffectiveQty],T_PlannedOrders[Part Name],$A907,T_PlannedOrders[WeekIndex],9)=0,"",SUMIFS(T_PlannedOrders[EffectiveQty],T_PlannedOrders[Part Name],$A907,T_PlannedOrders[WeekIndex],9)&amp;" ("&amp;TEXT(SUMPRODUCT(MAX((T_PlannedOrders[Part Name]=$A907)*(T_PlannedOrders[WeekIndex]=9)*(T_PlannedOrders[EffectiveQty]&gt;0)*T_PlannedOrders[Order_Month])),"m月")&amp;"発注)")</f>
        <v/>
      </c>
      <c r="M913">
        <f>IF(SUMIFS(T_PlannedOrders[EffectiveQty],T_PlannedOrders[Part Name],$A907,T_PlannedOrders[WeekIndex],10)=0,"",SUMIFS(T_PlannedOrders[EffectiveQty],T_PlannedOrders[Part Name],$A907,T_PlannedOrders[WeekIndex],10)&amp;" ("&amp;TEXT(SUMPRODUCT(MAX((T_PlannedOrders[Part Name]=$A907)*(T_PlannedOrders[WeekIndex]=10)*(T_PlannedOrders[EffectiveQty]&gt;0)*T_PlannedOrders[Order_Month])),"m月")&amp;"発注)")</f>
        <v/>
      </c>
      <c r="N913">
        <f>IF(SUMIFS(T_PlannedOrders[EffectiveQty],T_PlannedOrders[Part Name],$A907,T_PlannedOrders[WeekIndex],11)=0,"",SUMIFS(T_PlannedOrders[EffectiveQty],T_PlannedOrders[Part Name],$A907,T_PlannedOrders[WeekIndex],11)&amp;" ("&amp;TEXT(SUMPRODUCT(MAX((T_PlannedOrders[Part Name]=$A907)*(T_PlannedOrders[WeekIndex]=11)*(T_PlannedOrders[EffectiveQty]&gt;0)*T_PlannedOrders[Order_Month])),"m月")&amp;"発注)")</f>
        <v/>
      </c>
      <c r="O913">
        <f>IF(SUMIFS(T_PlannedOrders[EffectiveQty],T_PlannedOrders[Part Name],$A907,T_PlannedOrders[WeekIndex],12)=0,"",SUMIFS(T_PlannedOrders[EffectiveQty],T_PlannedOrders[Part Name],$A907,T_PlannedOrders[WeekIndex],12)&amp;" ("&amp;TEXT(SUMPRODUCT(MAX((T_PlannedOrders[Part Name]=$A907)*(T_PlannedOrders[WeekIndex]=12)*(T_PlannedOrders[EffectiveQty]&gt;0)*T_PlannedOrders[Order_Month])),"m月")&amp;"発注)")</f>
        <v/>
      </c>
      <c r="P913">
        <f>IF(SUMIFS(T_PlannedOrders[EffectiveQty],T_PlannedOrders[Part Name],$A907,T_PlannedOrders[WeekIndex],13)=0,"",SUMIFS(T_PlannedOrders[EffectiveQty],T_PlannedOrders[Part Name],$A907,T_PlannedOrders[WeekIndex],13)&amp;" ("&amp;TEXT(SUMPRODUCT(MAX((T_PlannedOrders[Part Name]=$A907)*(T_PlannedOrders[WeekIndex]=13)*(T_PlannedOrders[EffectiveQty]&gt;0)*T_PlannedOrders[Order_Month])),"m月")&amp;"発注)")</f>
        <v/>
      </c>
      <c r="Q913">
        <f>IF(SUMIFS(T_PlannedOrders[EffectiveQty],T_PlannedOrders[Part Name],$A907,T_PlannedOrders[WeekIndex],14)=0,"",SUMIFS(T_PlannedOrders[EffectiveQty],T_PlannedOrders[Part Name],$A907,T_PlannedOrders[WeekIndex],14)&amp;" ("&amp;TEXT(SUMPRODUCT(MAX((T_PlannedOrders[Part Name]=$A907)*(T_PlannedOrders[WeekIndex]=14)*(T_PlannedOrders[EffectiveQty]&gt;0)*T_PlannedOrders[Order_Month])),"m月")&amp;"発注)")</f>
        <v/>
      </c>
      <c r="R913">
        <f>IF(SUMIFS(T_PlannedOrders[EffectiveQty],T_PlannedOrders[Part Name],$A907,T_PlannedOrders[WeekIndex],15)=0,"",SUMIFS(T_PlannedOrders[EffectiveQty],T_PlannedOrders[Part Name],$A907,T_PlannedOrders[WeekIndex],15)&amp;" ("&amp;TEXT(SUMPRODUCT(MAX((T_PlannedOrders[Part Name]=$A907)*(T_PlannedOrders[WeekIndex]=15)*(T_PlannedOrders[EffectiveQty]&gt;0)*T_PlannedOrders[Order_Month])),"m月")&amp;"発注)")</f>
        <v/>
      </c>
      <c r="S913">
        <f>IF(SUMIFS(T_PlannedOrders[EffectiveQty],T_PlannedOrders[Part Name],$A907,T_PlannedOrders[WeekIndex],16)=0,"",SUMIFS(T_PlannedOrders[EffectiveQty],T_PlannedOrders[Part Name],$A907,T_PlannedOrders[WeekIndex],16)&amp;" ("&amp;TEXT(SUMPRODUCT(MAX((T_PlannedOrders[Part Name]=$A907)*(T_PlannedOrders[WeekIndex]=16)*(T_PlannedOrders[EffectiveQty]&gt;0)*T_PlannedOrders[Order_Month])),"m月")&amp;"発注)")</f>
        <v/>
      </c>
      <c r="T913">
        <f>IF(SUMIFS(T_PlannedOrders[EffectiveQty],T_PlannedOrders[Part Name],$A907,T_PlannedOrders[WeekIndex],17)=0,"",SUMIFS(T_PlannedOrders[EffectiveQty],T_PlannedOrders[Part Name],$A907,T_PlannedOrders[WeekIndex],17)&amp;" ("&amp;TEXT(SUMPRODUCT(MAX((T_PlannedOrders[Part Name]=$A907)*(T_PlannedOrders[WeekIndex]=17)*(T_PlannedOrders[EffectiveQty]&gt;0)*T_PlannedOrders[Order_Month])),"m月")&amp;"発注)")</f>
        <v/>
      </c>
      <c r="U913">
        <f>IF(SUMIFS(T_PlannedOrders[EffectiveQty],T_PlannedOrders[Part Name],$A907,T_PlannedOrders[WeekIndex],18)=0,"",SUMIFS(T_PlannedOrders[EffectiveQty],T_PlannedOrders[Part Name],$A907,T_PlannedOrders[WeekIndex],18)&amp;" ("&amp;TEXT(SUMPRODUCT(MAX((T_PlannedOrders[Part Name]=$A907)*(T_PlannedOrders[WeekIndex]=18)*(T_PlannedOrders[EffectiveQty]&gt;0)*T_PlannedOrders[Order_Month])),"m月")&amp;"発注)")</f>
        <v/>
      </c>
      <c r="V913">
        <f>IF(SUMIFS(T_PlannedOrders[EffectiveQty],T_PlannedOrders[Part Name],$A907,T_PlannedOrders[WeekIndex],19)=0,"",SUMIFS(T_PlannedOrders[EffectiveQty],T_PlannedOrders[Part Name],$A907,T_PlannedOrders[WeekIndex],19)&amp;" ("&amp;TEXT(SUMPRODUCT(MAX((T_PlannedOrders[Part Name]=$A907)*(T_PlannedOrders[WeekIndex]=19)*(T_PlannedOrders[EffectiveQty]&gt;0)*T_PlannedOrders[Order_Month])),"m月")&amp;"発注)")</f>
        <v/>
      </c>
      <c r="W913">
        <f>IF(SUMIFS(T_PlannedOrders[EffectiveQty],T_PlannedOrders[Part Name],$A907,T_PlannedOrders[WeekIndex],20)=0,"",SUMIFS(T_PlannedOrders[EffectiveQty],T_PlannedOrders[Part Name],$A907,T_PlannedOrders[WeekIndex],20)&amp;" ("&amp;TEXT(SUMPRODUCT(MAX((T_PlannedOrders[Part Name]=$A907)*(T_PlannedOrders[WeekIndex]=20)*(T_PlannedOrders[EffectiveQty]&gt;0)*T_PlannedOrders[Order_Month])),"m月")&amp;"発注)")</f>
        <v/>
      </c>
      <c r="X913">
        <f>IF(SUMIFS(T_PlannedOrders[EffectiveQty],T_PlannedOrders[Part Name],$A907,T_PlannedOrders[WeekIndex],21)=0,"",SUMIFS(T_PlannedOrders[EffectiveQty],T_PlannedOrders[Part Name],$A907,T_PlannedOrders[WeekIndex],21)&amp;" ("&amp;TEXT(SUMPRODUCT(MAX((T_PlannedOrders[Part Name]=$A907)*(T_PlannedOrders[WeekIndex]=21)*(T_PlannedOrders[EffectiveQty]&gt;0)*T_PlannedOrders[Order_Month])),"m月")&amp;"発注)")</f>
        <v/>
      </c>
      <c r="Y913">
        <f>IF(SUMIFS(T_PlannedOrders[EffectiveQty],T_PlannedOrders[Part Name],$A907,T_PlannedOrders[WeekIndex],22)=0,"",SUMIFS(T_PlannedOrders[EffectiveQty],T_PlannedOrders[Part Name],$A907,T_PlannedOrders[WeekIndex],22)&amp;" ("&amp;TEXT(SUMPRODUCT(MAX((T_PlannedOrders[Part Name]=$A907)*(T_PlannedOrders[WeekIndex]=22)*(T_PlannedOrders[EffectiveQty]&gt;0)*T_PlannedOrders[Order_Month])),"m月")&amp;"発注)")</f>
        <v/>
      </c>
      <c r="Z913">
        <f>IF(SUMIFS(T_PlannedOrders[EffectiveQty],T_PlannedOrders[Part Name],$A907,T_PlannedOrders[WeekIndex],23)=0,"",SUMIFS(T_PlannedOrders[EffectiveQty],T_PlannedOrders[Part Name],$A907,T_PlannedOrders[WeekIndex],23)&amp;" ("&amp;TEXT(SUMPRODUCT(MAX((T_PlannedOrders[Part Name]=$A907)*(T_PlannedOrders[WeekIndex]=23)*(T_PlannedOrders[EffectiveQty]&gt;0)*T_PlannedOrders[Order_Month])),"m月")&amp;"発注)")</f>
        <v/>
      </c>
      <c r="AA913">
        <f>IF(SUMIFS(T_PlannedOrders[EffectiveQty],T_PlannedOrders[Part Name],$A907,T_PlannedOrders[WeekIndex],24)=0,"",SUMIFS(T_PlannedOrders[EffectiveQty],T_PlannedOrders[Part Name],$A907,T_PlannedOrders[WeekIndex],24)&amp;" ("&amp;TEXT(SUMPRODUCT(MAX((T_PlannedOrders[Part Name]=$A907)*(T_PlannedOrders[WeekIndex]=24)*(T_PlannedOrders[EffectiveQty]&gt;0)*T_PlannedOrders[Order_Month])),"m月")&amp;"発注)")</f>
        <v/>
      </c>
      <c r="AB913">
        <f>IF(SUMIFS(T_PlannedOrders[EffectiveQty],T_PlannedOrders[Part Name],$A907,T_PlannedOrders[WeekIndex],25)=0,"",SUMIFS(T_PlannedOrders[EffectiveQty],T_PlannedOrders[Part Name],$A907,T_PlannedOrders[WeekIndex],25)&amp;" ("&amp;TEXT(SUMPRODUCT(MAX((T_PlannedOrders[Part Name]=$A907)*(T_PlannedOrders[WeekIndex]=25)*(T_PlannedOrders[EffectiveQty]&gt;0)*T_PlannedOrders[Order_Month])),"m月")&amp;"発注)")</f>
        <v/>
      </c>
      <c r="AC913">
        <f>IF(SUMIFS(T_PlannedOrders[EffectiveQty],T_PlannedOrders[Part Name],$A907,T_PlannedOrders[WeekIndex],26)=0,"",SUMIFS(T_PlannedOrders[EffectiveQty],T_PlannedOrders[Part Name],$A907,T_PlannedOrders[WeekIndex],26)&amp;" ("&amp;TEXT(SUMPRODUCT(MAX((T_PlannedOrders[Part Name]=$A907)*(T_PlannedOrders[WeekIndex]=26)*(T_PlannedOrders[EffectiveQty]&gt;0)*T_PlannedOrders[Order_Month])),"m月")&amp;"発注)")</f>
        <v/>
      </c>
      <c r="AD913">
        <f>IF(SUMIFS(T_PlannedOrders[EffectiveQty],T_PlannedOrders[Part Name],$A907,T_PlannedOrders[WeekIndex],27)=0,"",SUMIFS(T_PlannedOrders[EffectiveQty],T_PlannedOrders[Part Name],$A907,T_PlannedOrders[WeekIndex],27)&amp;" ("&amp;TEXT(SUMPRODUCT(MAX((T_PlannedOrders[Part Name]=$A907)*(T_PlannedOrders[WeekIndex]=27)*(T_PlannedOrders[EffectiveQty]&gt;0)*T_PlannedOrders[Order_Month])),"m月")&amp;"発注)")</f>
        <v/>
      </c>
      <c r="AE913">
        <f>IF(SUMIFS(T_PlannedOrders[EffectiveQty],T_PlannedOrders[Part Name],$A907,T_PlannedOrders[WeekIndex],28)=0,"",SUMIFS(T_PlannedOrders[EffectiveQty],T_PlannedOrders[Part Name],$A907,T_PlannedOrders[WeekIndex],28)&amp;" ("&amp;TEXT(SUMPRODUCT(MAX((T_PlannedOrders[Part Name]=$A907)*(T_PlannedOrders[WeekIndex]=28)*(T_PlannedOrders[EffectiveQty]&gt;0)*T_PlannedOrders[Order_Month])),"m月")&amp;"発注)")</f>
        <v/>
      </c>
      <c r="AF913">
        <f>IF(SUMIFS(T_PlannedOrders[EffectiveQty],T_PlannedOrders[Part Name],$A907,T_PlannedOrders[WeekIndex],29)=0,"",SUMIFS(T_PlannedOrders[EffectiveQty],T_PlannedOrders[Part Name],$A907,T_PlannedOrders[WeekIndex],29)&amp;" ("&amp;TEXT(SUMPRODUCT(MAX((T_PlannedOrders[Part Name]=$A907)*(T_PlannedOrders[WeekIndex]=29)*(T_PlannedOrders[EffectiveQty]&gt;0)*T_PlannedOrders[Order_Month])),"m月")&amp;"発注)")</f>
        <v/>
      </c>
      <c r="AG913">
        <f>IF(SUMIFS(T_PlannedOrders[EffectiveQty],T_PlannedOrders[Part Name],$A907,T_PlannedOrders[WeekIndex],30)=0,"",SUMIFS(T_PlannedOrders[EffectiveQty],T_PlannedOrders[Part Name],$A907,T_PlannedOrders[WeekIndex],30)&amp;" ("&amp;TEXT(SUMPRODUCT(MAX((T_PlannedOrders[Part Name]=$A907)*(T_PlannedOrders[WeekIndex]=30)*(T_PlannedOrders[EffectiveQty]&gt;0)*T_PlannedOrders[Order_Month])),"m月")&amp;"発注)")</f>
        <v/>
      </c>
      <c r="AH913">
        <f>IF(SUMIFS(T_PlannedOrders[EffectiveQty],T_PlannedOrders[Part Name],$A907,T_PlannedOrders[WeekIndex],31)=0,"",SUMIFS(T_PlannedOrders[EffectiveQty],T_PlannedOrders[Part Name],$A907,T_PlannedOrders[WeekIndex],31)&amp;" ("&amp;TEXT(SUMPRODUCT(MAX((T_PlannedOrders[Part Name]=$A907)*(T_PlannedOrders[WeekIndex]=31)*(T_PlannedOrders[EffectiveQty]&gt;0)*T_PlannedOrders[Order_Month])),"m月")&amp;"発注)")</f>
        <v/>
      </c>
      <c r="AI913">
        <f>IF(SUMIFS(T_PlannedOrders[EffectiveQty],T_PlannedOrders[Part Name],$A907,T_PlannedOrders[WeekIndex],32)=0,"",SUMIFS(T_PlannedOrders[EffectiveQty],T_PlannedOrders[Part Name],$A907,T_PlannedOrders[WeekIndex],32)&amp;" ("&amp;TEXT(SUMPRODUCT(MAX((T_PlannedOrders[Part Name]=$A907)*(T_PlannedOrders[WeekIndex]=32)*(T_PlannedOrders[EffectiveQty]&gt;0)*T_PlannedOrders[Order_Month])),"m月")&amp;"発注)")</f>
        <v/>
      </c>
      <c r="AJ913">
        <f>IF(SUMIFS(T_PlannedOrders[EffectiveQty],T_PlannedOrders[Part Name],$A907,T_PlannedOrders[WeekIndex],33)=0,"",SUMIFS(T_PlannedOrders[EffectiveQty],T_PlannedOrders[Part Name],$A907,T_PlannedOrders[WeekIndex],33)&amp;" ("&amp;TEXT(SUMPRODUCT(MAX((T_PlannedOrders[Part Name]=$A907)*(T_PlannedOrders[WeekIndex]=33)*(T_PlannedOrders[EffectiveQty]&gt;0)*T_PlannedOrders[Order_Month])),"m月")&amp;"発注)")</f>
        <v/>
      </c>
      <c r="AK913">
        <f>IF(SUMIFS(T_PlannedOrders[EffectiveQty],T_PlannedOrders[Part Name],$A907,T_PlannedOrders[WeekIndex],34)=0,"",SUMIFS(T_PlannedOrders[EffectiveQty],T_PlannedOrders[Part Name],$A907,T_PlannedOrders[WeekIndex],34)&amp;" ("&amp;TEXT(SUMPRODUCT(MAX((T_PlannedOrders[Part Name]=$A907)*(T_PlannedOrders[WeekIndex]=34)*(T_PlannedOrders[EffectiveQty]&gt;0)*T_PlannedOrders[Order_Month])),"m月")&amp;"発注)")</f>
        <v/>
      </c>
      <c r="AL913">
        <f>IF(SUMIFS(T_PlannedOrders[EffectiveQty],T_PlannedOrders[Part Name],$A907,T_PlannedOrders[WeekIndex],35)=0,"",SUMIFS(T_PlannedOrders[EffectiveQty],T_PlannedOrders[Part Name],$A907,T_PlannedOrders[WeekIndex],35)&amp;" ("&amp;TEXT(SUMPRODUCT(MAX((T_PlannedOrders[Part Name]=$A907)*(T_PlannedOrders[WeekIndex]=35)*(T_PlannedOrders[EffectiveQty]&gt;0)*T_PlannedOrders[Order_Month])),"m月")&amp;"発注)")</f>
        <v/>
      </c>
      <c r="AM913">
        <f>IF(SUMIFS(T_PlannedOrders[EffectiveQty],T_PlannedOrders[Part Name],$A907,T_PlannedOrders[WeekIndex],36)=0,"",SUMIFS(T_PlannedOrders[EffectiveQty],T_PlannedOrders[Part Name],$A907,T_PlannedOrders[WeekIndex],36)&amp;" ("&amp;TEXT(SUMPRODUCT(MAX((T_PlannedOrders[Part Name]=$A907)*(T_PlannedOrders[WeekIndex]=36)*(T_PlannedOrders[EffectiveQty]&gt;0)*T_PlannedOrders[Order_Month])),"m月")&amp;"発注)")</f>
        <v/>
      </c>
      <c r="AN913">
        <f>IF(SUMIFS(T_PlannedOrders[EffectiveQty],T_PlannedOrders[Part Name],$A907,T_PlannedOrders[WeekIndex],37)=0,"",SUMIFS(T_PlannedOrders[EffectiveQty],T_PlannedOrders[Part Name],$A907,T_PlannedOrders[WeekIndex],37)&amp;" ("&amp;TEXT(SUMPRODUCT(MAX((T_PlannedOrders[Part Name]=$A907)*(T_PlannedOrders[WeekIndex]=37)*(T_PlannedOrders[EffectiveQty]&gt;0)*T_PlannedOrders[Order_Month])),"m月")&amp;"発注)")</f>
        <v/>
      </c>
      <c r="AO913">
        <f>IF(SUMIFS(T_PlannedOrders[EffectiveQty],T_PlannedOrders[Part Name],$A907,T_PlannedOrders[WeekIndex],38)=0,"",SUMIFS(T_PlannedOrders[EffectiveQty],T_PlannedOrders[Part Name],$A907,T_PlannedOrders[WeekIndex],38)&amp;" ("&amp;TEXT(SUMPRODUCT(MAX((T_PlannedOrders[Part Name]=$A907)*(T_PlannedOrders[WeekIndex]=38)*(T_PlannedOrders[EffectiveQty]&gt;0)*T_PlannedOrders[Order_Month])),"m月")&amp;"発注)")</f>
        <v/>
      </c>
      <c r="AP913">
        <f>IF(SUMIFS(T_PlannedOrders[EffectiveQty],T_PlannedOrders[Part Name],$A907,T_PlannedOrders[WeekIndex],39)=0,"",SUMIFS(T_PlannedOrders[EffectiveQty],T_PlannedOrders[Part Name],$A907,T_PlannedOrders[WeekIndex],39)&amp;" ("&amp;TEXT(SUMPRODUCT(MAX((T_PlannedOrders[Part Name]=$A907)*(T_PlannedOrders[WeekIndex]=39)*(T_PlannedOrders[EffectiveQty]&gt;0)*T_PlannedOrders[Order_Month])),"m月")&amp;"発注)")</f>
        <v/>
      </c>
      <c r="AQ913">
        <f>IF(SUMIFS(T_PlannedOrders[EffectiveQty],T_PlannedOrders[Part Name],$A907,T_PlannedOrders[WeekIndex],40)=0,"",SUMIFS(T_PlannedOrders[EffectiveQty],T_PlannedOrders[Part Name],$A907,T_PlannedOrders[WeekIndex],40)&amp;" ("&amp;TEXT(SUMPRODUCT(MAX((T_PlannedOrders[Part Name]=$A907)*(T_PlannedOrders[WeekIndex]=40)*(T_PlannedOrders[EffectiveQty]&gt;0)*T_PlannedOrders[Order_Month])),"m月")&amp;"発注)")</f>
        <v/>
      </c>
      <c r="AR913">
        <f>IF(SUMIFS(T_PlannedOrders[EffectiveQty],T_PlannedOrders[Part Name],$A907,T_PlannedOrders[WeekIndex],41)=0,"",SUMIFS(T_PlannedOrders[EffectiveQty],T_PlannedOrders[Part Name],$A907,T_PlannedOrders[WeekIndex],41)&amp;" ("&amp;TEXT(SUMPRODUCT(MAX((T_PlannedOrders[Part Name]=$A907)*(T_PlannedOrders[WeekIndex]=41)*(T_PlannedOrders[EffectiveQty]&gt;0)*T_PlannedOrders[Order_Month])),"m月")&amp;"発注)")</f>
        <v/>
      </c>
      <c r="AS913">
        <f>IF(SUMIFS(T_PlannedOrders[EffectiveQty],T_PlannedOrders[Part Name],$A907,T_PlannedOrders[WeekIndex],42)=0,"",SUMIFS(T_PlannedOrders[EffectiveQty],T_PlannedOrders[Part Name],$A907,T_PlannedOrders[WeekIndex],42)&amp;" ("&amp;TEXT(SUMPRODUCT(MAX((T_PlannedOrders[Part Name]=$A907)*(T_PlannedOrders[WeekIndex]=42)*(T_PlannedOrders[EffectiveQty]&gt;0)*T_PlannedOrders[Order_Month])),"m月")&amp;"発注)")</f>
        <v/>
      </c>
      <c r="AT913">
        <f>IF(SUMIFS(T_PlannedOrders[EffectiveQty],T_PlannedOrders[Part Name],$A907,T_PlannedOrders[WeekIndex],43)=0,"",SUMIFS(T_PlannedOrders[EffectiveQty],T_PlannedOrders[Part Name],$A907,T_PlannedOrders[WeekIndex],43)&amp;" ("&amp;TEXT(SUMPRODUCT(MAX((T_PlannedOrders[Part Name]=$A907)*(T_PlannedOrders[WeekIndex]=43)*(T_PlannedOrders[EffectiveQty]&gt;0)*T_PlannedOrders[Order_Month])),"m月")&amp;"発注)")</f>
        <v/>
      </c>
      <c r="AU913">
        <f>IF(SUMIFS(T_PlannedOrders[EffectiveQty],T_PlannedOrders[Part Name],$A907,T_PlannedOrders[WeekIndex],44)=0,"",SUMIFS(T_PlannedOrders[EffectiveQty],T_PlannedOrders[Part Name],$A907,T_PlannedOrders[WeekIndex],44)&amp;" ("&amp;TEXT(SUMPRODUCT(MAX((T_PlannedOrders[Part Name]=$A907)*(T_PlannedOrders[WeekIndex]=44)*(T_PlannedOrders[EffectiveQty]&gt;0)*T_PlannedOrders[Order_Month])),"m月")&amp;"発注)")</f>
        <v/>
      </c>
      <c r="AV913">
        <f>IF(SUMIFS(T_PlannedOrders[EffectiveQty],T_PlannedOrders[Part Name],$A907,T_PlannedOrders[WeekIndex],45)=0,"",SUMIFS(T_PlannedOrders[EffectiveQty],T_PlannedOrders[Part Name],$A907,T_PlannedOrders[WeekIndex],45)&amp;" ("&amp;TEXT(SUMPRODUCT(MAX((T_PlannedOrders[Part Name]=$A907)*(T_PlannedOrders[WeekIndex]=45)*(T_PlannedOrders[EffectiveQty]&gt;0)*T_PlannedOrders[Order_Month])),"m月")&amp;"発注)")</f>
        <v/>
      </c>
      <c r="AW913">
        <f>IF(SUMIFS(T_PlannedOrders[EffectiveQty],T_PlannedOrders[Part Name],$A907,T_PlannedOrders[WeekIndex],46)=0,"",SUMIFS(T_PlannedOrders[EffectiveQty],T_PlannedOrders[Part Name],$A907,T_PlannedOrders[WeekIndex],46)&amp;" ("&amp;TEXT(SUMPRODUCT(MAX((T_PlannedOrders[Part Name]=$A907)*(T_PlannedOrders[WeekIndex]=46)*(T_PlannedOrders[EffectiveQty]&gt;0)*T_PlannedOrders[Order_Month])),"m月")&amp;"発注)")</f>
        <v/>
      </c>
      <c r="AX913">
        <f>IF(SUMIFS(T_PlannedOrders[EffectiveQty],T_PlannedOrders[Part Name],$A907,T_PlannedOrders[WeekIndex],47)=0,"",SUMIFS(T_PlannedOrders[EffectiveQty],T_PlannedOrders[Part Name],$A907,T_PlannedOrders[WeekIndex],47)&amp;" ("&amp;TEXT(SUMPRODUCT(MAX((T_PlannedOrders[Part Name]=$A907)*(T_PlannedOrders[WeekIndex]=47)*(T_PlannedOrders[EffectiveQty]&gt;0)*T_PlannedOrders[Order_Month])),"m月")&amp;"発注)")</f>
        <v/>
      </c>
      <c r="AY913">
        <f>IF(SUMIFS(T_PlannedOrders[EffectiveQty],T_PlannedOrders[Part Name],$A907,T_PlannedOrders[WeekIndex],48)=0,"",SUMIFS(T_PlannedOrders[EffectiveQty],T_PlannedOrders[Part Name],$A907,T_PlannedOrders[WeekIndex],48)&amp;" ("&amp;TEXT(SUMPRODUCT(MAX((T_PlannedOrders[Part Name]=$A907)*(T_PlannedOrders[WeekIndex]=48)*(T_PlannedOrders[EffectiveQty]&gt;0)*T_PlannedOrders[Order_Month])),"m月")&amp;"発注)")</f>
        <v/>
      </c>
      <c r="AZ913">
        <f>IF(SUMIFS(T_PlannedOrders[EffectiveQty],T_PlannedOrders[Part Name],$A907,T_PlannedOrders[WeekIndex],49)=0,"",SUMIFS(T_PlannedOrders[EffectiveQty],T_PlannedOrders[Part Name],$A907,T_PlannedOrders[WeekIndex],49)&amp;" ("&amp;TEXT(SUMPRODUCT(MAX((T_PlannedOrders[Part Name]=$A907)*(T_PlannedOrders[WeekIndex]=49)*(T_PlannedOrders[EffectiveQty]&gt;0)*T_PlannedOrders[Order_Month])),"m月")&amp;"発注)")</f>
        <v/>
      </c>
      <c r="BA913">
        <f>IF(SUMIFS(T_PlannedOrders[EffectiveQty],T_PlannedOrders[Part Name],$A907,T_PlannedOrders[WeekIndex],50)=0,"",SUMIFS(T_PlannedOrders[EffectiveQty],T_PlannedOrders[Part Name],$A907,T_PlannedOrders[WeekIndex],50)&amp;" ("&amp;TEXT(SUMPRODUCT(MAX((T_PlannedOrders[Part Name]=$A907)*(T_PlannedOrders[WeekIndex]=50)*(T_PlannedOrders[EffectiveQty]&gt;0)*T_PlannedOrders[Order_Month])),"m月")&amp;"発注)")</f>
        <v/>
      </c>
      <c r="BB913">
        <f>IF(SUMIFS(T_PlannedOrders[EffectiveQty],T_PlannedOrders[Part Name],$A907,T_PlannedOrders[WeekIndex],51)=0,"",SUMIFS(T_PlannedOrders[EffectiveQty],T_PlannedOrders[Part Name],$A907,T_PlannedOrders[WeekIndex],51)&amp;" ("&amp;TEXT(SUMPRODUCT(MAX((T_PlannedOrders[Part Name]=$A907)*(T_PlannedOrders[WeekIndex]=51)*(T_PlannedOrders[EffectiveQty]&gt;0)*T_PlannedOrders[Order_Month])),"m月")&amp;"発注)")</f>
        <v/>
      </c>
      <c r="BC913">
        <f>IF(SUMIFS(T_PlannedOrders[EffectiveQty],T_PlannedOrders[Part Name],$A907,T_PlannedOrders[WeekIndex],52)=0,"",SUMIFS(T_PlannedOrders[EffectiveQty],T_PlannedOrders[Part Name],$A907,T_PlannedOrders[WeekIndex],52)&amp;" ("&amp;TEXT(SUMPRODUCT(MAX((T_PlannedOrders[Part Name]=$A907)*(T_PlannedOrders[WeekIndex]=52)*(T_PlannedOrders[EffectiveQty]&gt;0)*T_PlannedOrders[Order_Month])),"m月")&amp;"発注)")</f>
        <v/>
      </c>
      <c r="BD913">
        <f>IF(SUMIFS(T_PlannedOrders[EffectiveQty],T_PlannedOrders[Part Name],$A907,T_PlannedOrders[WeekIndex],53)=0,"",SUMIFS(T_PlannedOrders[EffectiveQty],T_PlannedOrders[Part Name],$A907,T_PlannedOrders[WeekIndex],53)&amp;" ("&amp;TEXT(SUMPRODUCT(MAX((T_PlannedOrders[Part Name]=$A907)*(T_PlannedOrders[WeekIndex]=53)*(T_PlannedOrders[EffectiveQty]&gt;0)*T_PlannedOrders[Order_Month])),"m月")&amp;"発注)")</f>
        <v/>
      </c>
      <c r="BE913">
        <f>IF(SUMIFS(T_PlannedOrders[EffectiveQty],T_PlannedOrders[Part Name],$A907,T_PlannedOrders[WeekIndex],54)=0,"",SUMIFS(T_PlannedOrders[EffectiveQty],T_PlannedOrders[Part Name],$A907,T_PlannedOrders[WeekIndex],54)&amp;" ("&amp;TEXT(SUMPRODUCT(MAX((T_PlannedOrders[Part Name]=$A907)*(T_PlannedOrders[WeekIndex]=54)*(T_PlannedOrders[EffectiveQty]&gt;0)*T_PlannedOrders[Order_Month])),"m月")&amp;"発注)")</f>
        <v/>
      </c>
      <c r="BF913">
        <f>IF(SUMIFS(T_PlannedOrders[EffectiveQty],T_PlannedOrders[Part Name],$A907,T_PlannedOrders[WeekIndex],55)=0,"",SUMIFS(T_PlannedOrders[EffectiveQty],T_PlannedOrders[Part Name],$A907,T_PlannedOrders[WeekIndex],55)&amp;" ("&amp;TEXT(SUMPRODUCT(MAX((T_PlannedOrders[Part Name]=$A907)*(T_PlannedOrders[WeekIndex]=55)*(T_PlannedOrders[EffectiveQty]&gt;0)*T_PlannedOrders[Order_Month])),"m月")&amp;"発注)")</f>
        <v/>
      </c>
      <c r="BG913">
        <f>IF(SUMIFS(T_PlannedOrders[EffectiveQty],T_PlannedOrders[Part Name],$A907,T_PlannedOrders[WeekIndex],56)=0,"",SUMIFS(T_PlannedOrders[EffectiveQty],T_PlannedOrders[Part Name],$A907,T_PlannedOrders[WeekIndex],56)&amp;" ("&amp;TEXT(SUMPRODUCT(MAX((T_PlannedOrders[Part Name]=$A907)*(T_PlannedOrders[WeekIndex]=56)*(T_PlannedOrders[EffectiveQty]&gt;0)*T_PlannedOrders[Order_Month])),"m月")&amp;"発注)")</f>
        <v/>
      </c>
      <c r="BH913">
        <f>IF(SUMIFS(T_PlannedOrders[EffectiveQty],T_PlannedOrders[Part Name],$A907,T_PlannedOrders[WeekIndex],57)=0,"",SUMIFS(T_PlannedOrders[EffectiveQty],T_PlannedOrders[Part Name],$A907,T_PlannedOrders[WeekIndex],57)&amp;" ("&amp;TEXT(SUMPRODUCT(MAX((T_PlannedOrders[Part Name]=$A907)*(T_PlannedOrders[WeekIndex]=57)*(T_PlannedOrders[EffectiveQty]&gt;0)*T_PlannedOrders[Order_Month])),"m月")&amp;"発注)")</f>
        <v/>
      </c>
      <c r="BI913">
        <f>IF(SUMIFS(T_PlannedOrders[EffectiveQty],T_PlannedOrders[Part Name],$A907,T_PlannedOrders[WeekIndex],58)=0,"",SUMIFS(T_PlannedOrders[EffectiveQty],T_PlannedOrders[Part Name],$A907,T_PlannedOrders[WeekIndex],58)&amp;" ("&amp;TEXT(SUMPRODUCT(MAX((T_PlannedOrders[Part Name]=$A907)*(T_PlannedOrders[WeekIndex]=58)*(T_PlannedOrders[EffectiveQty]&gt;0)*T_PlannedOrders[Order_Month])),"m月")&amp;"発注)")</f>
        <v/>
      </c>
      <c r="BJ913">
        <f>IF(SUMIFS(T_PlannedOrders[EffectiveQty],T_PlannedOrders[Part Name],$A907,T_PlannedOrders[WeekIndex],59)=0,"",SUMIFS(T_PlannedOrders[EffectiveQty],T_PlannedOrders[Part Name],$A907,T_PlannedOrders[WeekIndex],59)&amp;" ("&amp;TEXT(SUMPRODUCT(MAX((T_PlannedOrders[Part Name]=$A907)*(T_PlannedOrders[WeekIndex]=59)*(T_PlannedOrders[EffectiveQty]&gt;0)*T_PlannedOrders[Order_Month])),"m月")&amp;"発注)")</f>
        <v/>
      </c>
      <c r="BK913">
        <f>IF(SUMIFS(T_PlannedOrders[EffectiveQty],T_PlannedOrders[Part Name],$A907,T_PlannedOrders[WeekIndex],60)=0,"",SUMIFS(T_PlannedOrders[EffectiveQty],T_PlannedOrders[Part Name],$A907,T_PlannedOrders[WeekIndex],60)&amp;" ("&amp;TEXT(SUMPRODUCT(MAX((T_PlannedOrders[Part Name]=$A907)*(T_PlannedOrders[WeekIndex]=60)*(T_PlannedOrders[EffectiveQty]&gt;0)*T_PlannedOrders[Order_Month])),"m月")&amp;"発注)")</f>
        <v/>
      </c>
      <c r="BL913">
        <f>IF(SUMIFS(T_PlannedOrders[EffectiveQty],T_PlannedOrders[Part Name],$A907,T_PlannedOrders[WeekIndex],61)=0,"",SUMIFS(T_PlannedOrders[EffectiveQty],T_PlannedOrders[Part Name],$A907,T_PlannedOrders[WeekIndex],61)&amp;" ("&amp;TEXT(SUMPRODUCT(MAX((T_PlannedOrders[Part Name]=$A907)*(T_PlannedOrders[WeekIndex]=61)*(T_PlannedOrders[EffectiveQty]&gt;0)*T_PlannedOrders[Order_Month])),"m月")&amp;"発注)")</f>
        <v/>
      </c>
      <c r="BM913">
        <f>IF(SUMIFS(T_PlannedOrders[EffectiveQty],T_PlannedOrders[Part Name],$A907,T_PlannedOrders[WeekIndex],62)=0,"",SUMIFS(T_PlannedOrders[EffectiveQty],T_PlannedOrders[Part Name],$A907,T_PlannedOrders[WeekIndex],62)&amp;" ("&amp;TEXT(SUMPRODUCT(MAX((T_PlannedOrders[Part Name]=$A907)*(T_PlannedOrders[WeekIndex]=62)*(T_PlannedOrders[EffectiveQty]&gt;0)*T_PlannedOrders[Order_Month])),"m月")&amp;"発注)")</f>
        <v/>
      </c>
      <c r="BN913">
        <f>IF(SUMIFS(T_PlannedOrders[EffectiveQty],T_PlannedOrders[Part Name],$A907,T_PlannedOrders[WeekIndex],63)=0,"",SUMIFS(T_PlannedOrders[EffectiveQty],T_PlannedOrders[Part Name],$A907,T_PlannedOrders[WeekIndex],63)&amp;" ("&amp;TEXT(SUMPRODUCT(MAX((T_PlannedOrders[Part Name]=$A907)*(T_PlannedOrders[WeekIndex]=63)*(T_PlannedOrders[EffectiveQty]&gt;0)*T_PlannedOrders[Order_Month])),"m月")&amp;"発注)")</f>
        <v/>
      </c>
      <c r="BO913">
        <f>IF(SUMIFS(T_PlannedOrders[EffectiveQty],T_PlannedOrders[Part Name],$A907,T_PlannedOrders[WeekIndex],64)=0,"",SUMIFS(T_PlannedOrders[EffectiveQty],T_PlannedOrders[Part Name],$A907,T_PlannedOrders[WeekIndex],64)&amp;" ("&amp;TEXT(SUMPRODUCT(MAX((T_PlannedOrders[Part Name]=$A907)*(T_PlannedOrders[WeekIndex]=64)*(T_PlannedOrders[EffectiveQty]&gt;0)*T_PlannedOrders[Order_Month])),"m月")&amp;"発注)")</f>
        <v/>
      </c>
      <c r="BP913">
        <f>IF(SUMIFS(T_PlannedOrders[EffectiveQty],T_PlannedOrders[Part Name],$A907,T_PlannedOrders[WeekIndex],65)=0,"",SUMIFS(T_PlannedOrders[EffectiveQty],T_PlannedOrders[Part Name],$A907,T_PlannedOrders[WeekIndex],65)&amp;" ("&amp;TEXT(SUMPRODUCT(MAX((T_PlannedOrders[Part Name]=$A907)*(T_PlannedOrders[WeekIndex]=65)*(T_PlannedOrders[EffectiveQty]&gt;0)*T_PlannedOrders[Order_Month])),"m月")&amp;"発注)")</f>
        <v/>
      </c>
      <c r="BQ913">
        <f>IF(SUMIFS(T_PlannedOrders[EffectiveQty],T_PlannedOrders[Part Name],$A907,T_PlannedOrders[WeekIndex],66)=0,"",SUMIFS(T_PlannedOrders[EffectiveQty],T_PlannedOrders[Part Name],$A907,T_PlannedOrders[WeekIndex],66)&amp;" ("&amp;TEXT(SUMPRODUCT(MAX((T_PlannedOrders[Part Name]=$A907)*(T_PlannedOrders[WeekIndex]=66)*(T_PlannedOrders[EffectiveQty]&gt;0)*T_PlannedOrders[Order_Month])),"m月")&amp;"発注)")</f>
        <v/>
      </c>
      <c r="BR913">
        <f>IF(SUMIFS(T_PlannedOrders[EffectiveQty],T_PlannedOrders[Part Name],$A907,T_PlannedOrders[WeekIndex],67)=0,"",SUMIFS(T_PlannedOrders[EffectiveQty],T_PlannedOrders[Part Name],$A907,T_PlannedOrders[WeekIndex],67)&amp;" ("&amp;TEXT(SUMPRODUCT(MAX((T_PlannedOrders[Part Name]=$A907)*(T_PlannedOrders[WeekIndex]=67)*(T_PlannedOrders[EffectiveQty]&gt;0)*T_PlannedOrders[Order_Month])),"m月")&amp;"発注)")</f>
        <v/>
      </c>
      <c r="BS913">
        <f>IF(SUMIFS(T_PlannedOrders[EffectiveQty],T_PlannedOrders[Part Name],$A907,T_PlannedOrders[WeekIndex],68)=0,"",SUMIFS(T_PlannedOrders[EffectiveQty],T_PlannedOrders[Part Name],$A907,T_PlannedOrders[WeekIndex],68)&amp;" ("&amp;TEXT(SUMPRODUCT(MAX((T_PlannedOrders[Part Name]=$A907)*(T_PlannedOrders[WeekIndex]=68)*(T_PlannedOrders[EffectiveQty]&gt;0)*T_PlannedOrders[Order_Month])),"m月")&amp;"発注)")</f>
        <v/>
      </c>
      <c r="BT913">
        <f>IF(SUMIFS(T_PlannedOrders[EffectiveQty],T_PlannedOrders[Part Name],$A907,T_PlannedOrders[WeekIndex],69)=0,"",SUMIFS(T_PlannedOrders[EffectiveQty],T_PlannedOrders[Part Name],$A907,T_PlannedOrders[WeekIndex],69)&amp;" ("&amp;TEXT(SUMPRODUCT(MAX((T_PlannedOrders[Part Name]=$A907)*(T_PlannedOrders[WeekIndex]=69)*(T_PlannedOrders[EffectiveQty]&gt;0)*T_PlannedOrders[Order_Month])),"m月")&amp;"発注)")</f>
        <v/>
      </c>
      <c r="BU913">
        <f>IF(SUMIFS(T_PlannedOrders[EffectiveQty],T_PlannedOrders[Part Name],$A907,T_PlannedOrders[WeekIndex],70)=0,"",SUMIFS(T_PlannedOrders[EffectiveQty],T_PlannedOrders[Part Name],$A907,T_PlannedOrders[WeekIndex],70)&amp;" ("&amp;TEXT(SUMPRODUCT(MAX((T_PlannedOrders[Part Name]=$A907)*(T_PlannedOrders[WeekIndex]=70)*(T_PlannedOrders[EffectiveQty]&gt;0)*T_PlannedOrders[Order_Month])),"m月")&amp;"発注)")</f>
        <v/>
      </c>
      <c r="BV913">
        <f>IF(SUMIFS(T_PlannedOrders[EffectiveQty],T_PlannedOrders[Part Name],$A907,T_PlannedOrders[WeekIndex],71)=0,"",SUMIFS(T_PlannedOrders[EffectiveQty],T_PlannedOrders[Part Name],$A907,T_PlannedOrders[WeekIndex],71)&amp;" ("&amp;TEXT(SUMPRODUCT(MAX((T_PlannedOrders[Part Name]=$A907)*(T_PlannedOrders[WeekIndex]=71)*(T_PlannedOrders[EffectiveQty]&gt;0)*T_PlannedOrders[Order_Month])),"m月")&amp;"発注)")</f>
        <v/>
      </c>
      <c r="BW913">
        <f>IF(SUMIFS(T_PlannedOrders[EffectiveQty],T_PlannedOrders[Part Name],$A907,T_PlannedOrders[WeekIndex],72)=0,"",SUMIFS(T_PlannedOrders[EffectiveQty],T_PlannedOrders[Part Name],$A907,T_PlannedOrders[WeekIndex],72)&amp;" ("&amp;TEXT(SUMPRODUCT(MAX((T_PlannedOrders[Part Name]=$A907)*(T_PlannedOrders[WeekIndex]=72)*(T_PlannedOrders[EffectiveQty]&gt;0)*T_PlannedOrders[Order_Month])),"m月")&amp;"発注)")</f>
        <v/>
      </c>
      <c r="BX913">
        <f>IF(SUMIFS(T_PlannedOrders[EffectiveQty],T_PlannedOrders[Part Name],$A907,T_PlannedOrders[WeekIndex],73)=0,"",SUMIFS(T_PlannedOrders[EffectiveQty],T_PlannedOrders[Part Name],$A907,T_PlannedOrders[WeekIndex],73)&amp;" ("&amp;TEXT(SUMPRODUCT(MAX((T_PlannedOrders[Part Name]=$A907)*(T_PlannedOrders[WeekIndex]=73)*(T_PlannedOrders[EffectiveQty]&gt;0)*T_PlannedOrders[Order_Month])),"m月")&amp;"発注)")</f>
        <v/>
      </c>
      <c r="BY913">
        <f>IF(SUMIFS(T_PlannedOrders[EffectiveQty],T_PlannedOrders[Part Name],$A907,T_PlannedOrders[WeekIndex],74)=0,"",SUMIFS(T_PlannedOrders[EffectiveQty],T_PlannedOrders[Part Name],$A907,T_PlannedOrders[WeekIndex],74)&amp;" ("&amp;TEXT(SUMPRODUCT(MAX((T_PlannedOrders[Part Name]=$A907)*(T_PlannedOrders[WeekIndex]=74)*(T_PlannedOrders[EffectiveQty]&gt;0)*T_PlannedOrders[Order_Month])),"m月")&amp;"発注)")</f>
        <v/>
      </c>
      <c r="BZ913">
        <f>IF(SUMIFS(T_PlannedOrders[EffectiveQty],T_PlannedOrders[Part Name],$A907,T_PlannedOrders[WeekIndex],75)=0,"",SUMIFS(T_PlannedOrders[EffectiveQty],T_PlannedOrders[Part Name],$A907,T_PlannedOrders[WeekIndex],75)&amp;" ("&amp;TEXT(SUMPRODUCT(MAX((T_PlannedOrders[Part Name]=$A907)*(T_PlannedOrders[WeekIndex]=75)*(T_PlannedOrders[EffectiveQty]&gt;0)*T_PlannedOrders[Order_Month])),"m月")&amp;"発注)")</f>
        <v/>
      </c>
      <c r="CA913">
        <f>IF(SUMIFS(T_PlannedOrders[EffectiveQty],T_PlannedOrders[Part Name],$A907,T_PlannedOrders[WeekIndex],76)=0,"",SUMIFS(T_PlannedOrders[EffectiveQty],T_PlannedOrders[Part Name],$A907,T_PlannedOrders[WeekIndex],76)&amp;" ("&amp;TEXT(SUMPRODUCT(MAX((T_PlannedOrders[Part Name]=$A907)*(T_PlannedOrders[WeekIndex]=76)*(T_PlannedOrders[EffectiveQty]&gt;0)*T_PlannedOrders[Order_Month])),"m月")&amp;"発注)")</f>
        <v/>
      </c>
      <c r="CB913">
        <f>IF(SUMIFS(T_PlannedOrders[EffectiveQty],T_PlannedOrders[Part Name],$A907,T_PlannedOrders[WeekIndex],77)=0,"",SUMIFS(T_PlannedOrders[EffectiveQty],T_PlannedOrders[Part Name],$A907,T_PlannedOrders[WeekIndex],77)&amp;" ("&amp;TEXT(SUMPRODUCT(MAX((T_PlannedOrders[Part Name]=$A907)*(T_PlannedOrders[WeekIndex]=77)*(T_PlannedOrders[EffectiveQty]&gt;0)*T_PlannedOrders[Order_Month])),"m月")&amp;"発注)")</f>
        <v/>
      </c>
      <c r="CC913">
        <f>IF(SUMIFS(T_PlannedOrders[EffectiveQty],T_PlannedOrders[Part Name],$A907,T_PlannedOrders[WeekIndex],78)=0,"",SUMIFS(T_PlannedOrders[EffectiveQty],T_PlannedOrders[Part Name],$A907,T_PlannedOrders[WeekIndex],78)&amp;" ("&amp;TEXT(SUMPRODUCT(MAX((T_PlannedOrders[Part Name]=$A907)*(T_PlannedOrders[WeekIndex]=78)*(T_PlannedOrders[EffectiveQty]&gt;0)*T_PlannedOrders[Order_Month])),"m月")&amp;"発注)")</f>
        <v/>
      </c>
      <c r="CD913">
        <f>IF(SUMIFS(T_PlannedOrders[EffectiveQty],T_PlannedOrders[Part Name],$A907,T_PlannedOrders[WeekIndex],79)=0,"",SUMIFS(T_PlannedOrders[EffectiveQty],T_PlannedOrders[Part Name],$A907,T_PlannedOrders[WeekIndex],79)&amp;" ("&amp;TEXT(SUMPRODUCT(MAX((T_PlannedOrders[Part Name]=$A907)*(T_PlannedOrders[WeekIndex]=79)*(T_PlannedOrders[EffectiveQty]&gt;0)*T_PlannedOrders[Order_Month])),"m月")&amp;"発注)")</f>
        <v/>
      </c>
      <c r="CE913">
        <f>IF(SUMIFS(T_PlannedOrders[EffectiveQty],T_PlannedOrders[Part Name],$A907,T_PlannedOrders[WeekIndex],80)=0,"",SUMIFS(T_PlannedOrders[EffectiveQty],T_PlannedOrders[Part Name],$A907,T_PlannedOrders[WeekIndex],80)&amp;" ("&amp;TEXT(SUMPRODUCT(MAX((T_PlannedOrders[Part Name]=$A907)*(T_PlannedOrders[WeekIndex]=80)*(T_PlannedOrders[EffectiveQty]&gt;0)*T_PlannedOrders[Order_Month])),"m月")&amp;"発注)")</f>
        <v/>
      </c>
      <c r="CF913">
        <f>IF(SUMIFS(T_PlannedOrders[EffectiveQty],T_PlannedOrders[Part Name],$A907,T_PlannedOrders[WeekIndex],81)=0,"",SUMIFS(T_PlannedOrders[EffectiveQty],T_PlannedOrders[Part Name],$A907,T_PlannedOrders[WeekIndex],81)&amp;" ("&amp;TEXT(SUMPRODUCT(MAX((T_PlannedOrders[Part Name]=$A907)*(T_PlannedOrders[WeekIndex]=81)*(T_PlannedOrders[EffectiveQty]&gt;0)*T_PlannedOrders[Order_Month])),"m月")&amp;"発注)")</f>
        <v/>
      </c>
      <c r="CG913">
        <f>IF(SUMIFS(T_PlannedOrders[EffectiveQty],T_PlannedOrders[Part Name],$A907,T_PlannedOrders[WeekIndex],82)=0,"",SUMIFS(T_PlannedOrders[EffectiveQty],T_PlannedOrders[Part Name],$A907,T_PlannedOrders[WeekIndex],82)&amp;" ("&amp;TEXT(SUMPRODUCT(MAX((T_PlannedOrders[Part Name]=$A907)*(T_PlannedOrders[WeekIndex]=82)*(T_PlannedOrders[EffectiveQty]&gt;0)*T_PlannedOrders[Order_Month])),"m月")&amp;"発注)")</f>
        <v/>
      </c>
      <c r="CH913">
        <f>IF(SUMIFS(T_PlannedOrders[EffectiveQty],T_PlannedOrders[Part Name],$A907,T_PlannedOrders[WeekIndex],83)=0,"",SUMIFS(T_PlannedOrders[EffectiveQty],T_PlannedOrders[Part Name],$A907,T_PlannedOrders[WeekIndex],83)&amp;" ("&amp;TEXT(SUMPRODUCT(MAX((T_PlannedOrders[Part Name]=$A907)*(T_PlannedOrders[WeekIndex]=83)*(T_PlannedOrders[EffectiveQty]&gt;0)*T_PlannedOrders[Order_Month])),"m月")&amp;"発注)")</f>
        <v/>
      </c>
      <c r="CI913">
        <f>IF(SUMIFS(T_PlannedOrders[EffectiveQty],T_PlannedOrders[Part Name],$A907,T_PlannedOrders[WeekIndex],84)=0,"",SUMIFS(T_PlannedOrders[EffectiveQty],T_PlannedOrders[Part Name],$A907,T_PlannedOrders[WeekIndex],84)&amp;" ("&amp;TEXT(SUMPRODUCT(MAX((T_PlannedOrders[Part Name]=$A907)*(T_PlannedOrders[WeekIndex]=84)*(T_PlannedOrders[EffectiveQty]&gt;0)*T_PlannedOrders[Order_Month])),"m月")&amp;"発注)")</f>
        <v/>
      </c>
      <c r="CJ913">
        <f>IF(SUMIFS(T_PlannedOrders[EffectiveQty],T_PlannedOrders[Part Name],$A907,T_PlannedOrders[WeekIndex],85)=0,"",SUMIFS(T_PlannedOrders[EffectiveQty],T_PlannedOrders[Part Name],$A907,T_PlannedOrders[WeekIndex],85)&amp;" ("&amp;TEXT(SUMPRODUCT(MAX((T_PlannedOrders[Part Name]=$A907)*(T_PlannedOrders[WeekIndex]=85)*(T_PlannedOrders[EffectiveQty]&gt;0)*T_PlannedOrders[Order_Month])),"m月")&amp;"発注)")</f>
        <v/>
      </c>
      <c r="CK913">
        <f>IF(SUMIFS(T_PlannedOrders[EffectiveQty],T_PlannedOrders[Part Name],$A907,T_PlannedOrders[WeekIndex],86)=0,"",SUMIFS(T_PlannedOrders[EffectiveQty],T_PlannedOrders[Part Name],$A907,T_PlannedOrders[WeekIndex],86)&amp;" ("&amp;TEXT(SUMPRODUCT(MAX((T_PlannedOrders[Part Name]=$A907)*(T_PlannedOrders[WeekIndex]=86)*(T_PlannedOrders[EffectiveQty]&gt;0)*T_PlannedOrders[Order_Month])),"m月")&amp;"発注)")</f>
        <v/>
      </c>
      <c r="CL913">
        <f>IF(SUMIFS(T_PlannedOrders[EffectiveQty],T_PlannedOrders[Part Name],$A907,T_PlannedOrders[WeekIndex],87)=0,"",SUMIFS(T_PlannedOrders[EffectiveQty],T_PlannedOrders[Part Name],$A907,T_PlannedOrders[WeekIndex],87)&amp;" ("&amp;TEXT(SUMPRODUCT(MAX((T_PlannedOrders[Part Name]=$A907)*(T_PlannedOrders[WeekIndex]=87)*(T_PlannedOrders[EffectiveQty]&gt;0)*T_PlannedOrders[Order_Month])),"m月")&amp;"発注)")</f>
        <v/>
      </c>
      <c r="CM913">
        <f>IF(SUMIFS(T_PlannedOrders[EffectiveQty],T_PlannedOrders[Part Name],$A907,T_PlannedOrders[WeekIndex],88)=0,"",SUMIFS(T_PlannedOrders[EffectiveQty],T_PlannedOrders[Part Name],$A907,T_PlannedOrders[WeekIndex],88)&amp;" ("&amp;TEXT(SUMPRODUCT(MAX((T_PlannedOrders[Part Name]=$A907)*(T_PlannedOrders[WeekIndex]=88)*(T_PlannedOrders[EffectiveQty]&gt;0)*T_PlannedOrders[Order_Month])),"m月")&amp;"発注)")</f>
        <v/>
      </c>
      <c r="CN913">
        <f>IF(SUMIFS(T_PlannedOrders[EffectiveQty],T_PlannedOrders[Part Name],$A907,T_PlannedOrders[WeekIndex],89)=0,"",SUMIFS(T_PlannedOrders[EffectiveQty],T_PlannedOrders[Part Name],$A907,T_PlannedOrders[WeekIndex],89)&amp;" ("&amp;TEXT(SUMPRODUCT(MAX((T_PlannedOrders[Part Name]=$A907)*(T_PlannedOrders[WeekIndex]=89)*(T_PlannedOrders[EffectiveQty]&gt;0)*T_PlannedOrders[Order_Month])),"m月")&amp;"発注)")</f>
        <v/>
      </c>
      <c r="CO913">
        <f>IF(SUMIFS(T_PlannedOrders[EffectiveQty],T_PlannedOrders[Part Name],$A907,T_PlannedOrders[WeekIndex],90)=0,"",SUMIFS(T_PlannedOrders[EffectiveQty],T_PlannedOrders[Part Name],$A907,T_PlannedOrders[WeekIndex],90)&amp;" ("&amp;TEXT(SUMPRODUCT(MAX((T_PlannedOrders[Part Name]=$A907)*(T_PlannedOrders[WeekIndex]=90)*(T_PlannedOrders[EffectiveQty]&gt;0)*T_PlannedOrders[Order_Month])),"m月")&amp;"発注)")</f>
        <v/>
      </c>
      <c r="CP913">
        <f>IF(SUMIFS(T_PlannedOrders[EffectiveQty],T_PlannedOrders[Part Name],$A907,T_PlannedOrders[WeekIndex],91)=0,"",SUMIFS(T_PlannedOrders[EffectiveQty],T_PlannedOrders[Part Name],$A907,T_PlannedOrders[WeekIndex],91)&amp;" ("&amp;TEXT(SUMPRODUCT(MAX((T_PlannedOrders[Part Name]=$A907)*(T_PlannedOrders[WeekIndex]=91)*(T_PlannedOrders[EffectiveQty]&gt;0)*T_PlannedOrders[Order_Month])),"m月")&amp;"発注)")</f>
        <v/>
      </c>
      <c r="CQ913">
        <f>IF(SUMIFS(T_PlannedOrders[EffectiveQty],T_PlannedOrders[Part Name],$A907,T_PlannedOrders[WeekIndex],92)=0,"",SUMIFS(T_PlannedOrders[EffectiveQty],T_PlannedOrders[Part Name],$A907,T_PlannedOrders[WeekIndex],92)&amp;" ("&amp;TEXT(SUMPRODUCT(MAX((T_PlannedOrders[Part Name]=$A907)*(T_PlannedOrders[WeekIndex]=92)*(T_PlannedOrders[EffectiveQty]&gt;0)*T_PlannedOrders[Order_Month])),"m月")&amp;"発注)")</f>
        <v/>
      </c>
      <c r="CR913">
        <f>IF(SUMIFS(T_PlannedOrders[EffectiveQty],T_PlannedOrders[Part Name],$A907,T_PlannedOrders[WeekIndex],93)=0,"",SUMIFS(T_PlannedOrders[EffectiveQty],T_PlannedOrders[Part Name],$A907,T_PlannedOrders[WeekIndex],93)&amp;" ("&amp;TEXT(SUMPRODUCT(MAX((T_PlannedOrders[Part Name]=$A907)*(T_PlannedOrders[WeekIndex]=93)*(T_PlannedOrders[EffectiveQty]&gt;0)*T_PlannedOrders[Order_Month])),"m月")&amp;"発注)")</f>
        <v/>
      </c>
      <c r="CS913">
        <f>IF(SUMIFS(T_PlannedOrders[EffectiveQty],T_PlannedOrders[Part Name],$A907,T_PlannedOrders[WeekIndex],94)=0,"",SUMIFS(T_PlannedOrders[EffectiveQty],T_PlannedOrders[Part Name],$A907,T_PlannedOrders[WeekIndex],94)&amp;" ("&amp;TEXT(SUMPRODUCT(MAX((T_PlannedOrders[Part Name]=$A907)*(T_PlannedOrders[WeekIndex]=94)*(T_PlannedOrders[EffectiveQty]&gt;0)*T_PlannedOrders[Order_Month])),"m月")&amp;"発注)")</f>
        <v/>
      </c>
      <c r="CT913">
        <f>IF(SUMIFS(T_PlannedOrders[EffectiveQty],T_PlannedOrders[Part Name],$A907,T_PlannedOrders[WeekIndex],95)=0,"",SUMIFS(T_PlannedOrders[EffectiveQty],T_PlannedOrders[Part Name],$A907,T_PlannedOrders[WeekIndex],95)&amp;" ("&amp;TEXT(SUMPRODUCT(MAX((T_PlannedOrders[Part Name]=$A907)*(T_PlannedOrders[WeekIndex]=95)*(T_PlannedOrders[EffectiveQty]&gt;0)*T_PlannedOrders[Order_Month])),"m月")&amp;"発注)")</f>
        <v/>
      </c>
      <c r="CU913">
        <f>IF(SUMIFS(T_PlannedOrders[EffectiveQty],T_PlannedOrders[Part Name],$A907,T_PlannedOrders[WeekIndex],96)=0,"",SUMIFS(T_PlannedOrders[EffectiveQty],T_PlannedOrders[Part Name],$A907,T_PlannedOrders[WeekIndex],96)&amp;" ("&amp;TEXT(SUMPRODUCT(MAX((T_PlannedOrders[Part Name]=$A907)*(T_PlannedOrders[WeekIndex]=96)*(T_PlannedOrders[EffectiveQty]&gt;0)*T_PlannedOrders[Order_Month])),"m月")&amp;"発注)")</f>
        <v/>
      </c>
      <c r="CV913">
        <f>IF(SUMIFS(T_PlannedOrders[EffectiveQty],T_PlannedOrders[Part Name],$A907,T_PlannedOrders[WeekIndex],97)=0,"",SUMIFS(T_PlannedOrders[EffectiveQty],T_PlannedOrders[Part Name],$A907,T_PlannedOrders[WeekIndex],97)&amp;" ("&amp;TEXT(SUMPRODUCT(MAX((T_PlannedOrders[Part Name]=$A907)*(T_PlannedOrders[WeekIndex]=97)*(T_PlannedOrders[EffectiveQty]&gt;0)*T_PlannedOrders[Order_Month])),"m月")&amp;"発注)")</f>
        <v/>
      </c>
      <c r="CW913">
        <f>IF(SUMIFS(T_PlannedOrders[EffectiveQty],T_PlannedOrders[Part Name],$A907,T_PlannedOrders[WeekIndex],98)=0,"",SUMIFS(T_PlannedOrders[EffectiveQty],T_PlannedOrders[Part Name],$A907,T_PlannedOrders[WeekIndex],98)&amp;" ("&amp;TEXT(SUMPRODUCT(MAX((T_PlannedOrders[Part Name]=$A907)*(T_PlannedOrders[WeekIndex]=98)*(T_PlannedOrders[EffectiveQty]&gt;0)*T_PlannedOrders[Order_Month])),"m月")&amp;"発注)")</f>
        <v/>
      </c>
      <c r="CX913">
        <f>IF(SUMIFS(T_PlannedOrders[EffectiveQty],T_PlannedOrders[Part Name],$A907,T_PlannedOrders[WeekIndex],99)=0,"",SUMIFS(T_PlannedOrders[EffectiveQty],T_PlannedOrders[Part Name],$A907,T_PlannedOrders[WeekIndex],99)&amp;" ("&amp;TEXT(SUMPRODUCT(MAX((T_PlannedOrders[Part Name]=$A907)*(T_PlannedOrders[WeekIndex]=99)*(T_PlannedOrders[EffectiveQty]&gt;0)*T_PlannedOrders[Order_Month])),"m月")&amp;"発注)")</f>
        <v/>
      </c>
      <c r="CY913">
        <f>IF(SUMIFS(T_PlannedOrders[EffectiveQty],T_PlannedOrders[Part Name],$A907,T_PlannedOrders[WeekIndex],100)=0,"",SUMIFS(T_PlannedOrders[EffectiveQty],T_PlannedOrders[Part Name],$A907,T_PlannedOrders[WeekIndex],100)&amp;" ("&amp;TEXT(SUMPRODUCT(MAX((T_PlannedOrders[Part Name]=$A907)*(T_PlannedOrders[WeekIndex]=100)*(T_PlannedOrders[EffectiveQty]&gt;0)*T_PlannedOrders[Order_Month])),"m月")&amp;"発注)")</f>
        <v/>
      </c>
      <c r="CZ913">
        <f>IF(SUMIFS(T_PlannedOrders[EffectiveQty],T_PlannedOrders[Part Name],$A907,T_PlannedOrders[WeekIndex],101)=0,"",SUMIFS(T_PlannedOrders[EffectiveQty],T_PlannedOrders[Part Name],$A907,T_PlannedOrders[WeekIndex],101)&amp;" ("&amp;TEXT(SUMPRODUCT(MAX((T_PlannedOrders[Part Name]=$A907)*(T_PlannedOrders[WeekIndex]=101)*(T_PlannedOrders[EffectiveQty]&gt;0)*T_PlannedOrders[Order_Month])),"m月")&amp;"発注)")</f>
        <v/>
      </c>
      <c r="DA913">
        <f>IF(SUMIFS(T_PlannedOrders[EffectiveQty],T_PlannedOrders[Part Name],$A907,T_PlannedOrders[WeekIndex],102)=0,"",SUMIFS(T_PlannedOrders[EffectiveQty],T_PlannedOrders[Part Name],$A907,T_PlannedOrders[WeekIndex],102)&amp;" ("&amp;TEXT(SUMPRODUCT(MAX((T_PlannedOrders[Part Name]=$A907)*(T_PlannedOrders[WeekIndex]=102)*(T_PlannedOrders[EffectiveQty]&gt;0)*T_PlannedOrders[Order_Month])),"m月")&amp;"発注)")</f>
        <v/>
      </c>
      <c r="DB913">
        <f>IF(SUMIFS(T_PlannedOrders[EffectiveQty],T_PlannedOrders[Part Name],$A907,T_PlannedOrders[WeekIndex],103)=0,"",SUMIFS(T_PlannedOrders[EffectiveQty],T_PlannedOrders[Part Name],$A907,T_PlannedOrders[WeekIndex],103)&amp;" ("&amp;TEXT(SUMPRODUCT(MAX((T_PlannedOrders[Part Name]=$A907)*(T_PlannedOrders[WeekIndex]=103)*(T_PlannedOrders[EffectiveQty]&gt;0)*T_PlannedOrders[Order_Month])),"m月")&amp;"発注)")</f>
        <v/>
      </c>
      <c r="DC913">
        <f>IF(SUMIFS(T_PlannedOrders[EffectiveQty],T_PlannedOrders[Part Name],$A907,T_PlannedOrders[WeekIndex],104)=0,"",SUMIFS(T_PlannedOrders[EffectiveQty],T_PlannedOrders[Part Name],$A907,T_PlannedOrders[WeekIndex],104)&amp;" ("&amp;TEXT(SUMPRODUCT(MAX((T_PlannedOrders[Part Name]=$A907)*(T_PlannedOrders[WeekIndex]=104)*(T_PlannedOrders[EffectiveQty]&gt;0)*T_PlannedOrders[Order_Month])),"m月")&amp;"発注)")</f>
        <v/>
      </c>
    </row>
    <row r="914">
      <c r="B914" s="5" t="inlineStr">
        <is>
          <t>合計在庫(週末時点,kg)</t>
        </is>
      </c>
      <c r="D914">
        <f>'Grid_Stock'!B31</f>
        <v/>
      </c>
      <c r="E914">
        <f>'Grid_Stock'!C31</f>
        <v/>
      </c>
      <c r="F914">
        <f>'Grid_Stock'!D31</f>
        <v/>
      </c>
      <c r="G914">
        <f>'Grid_Stock'!E31</f>
        <v/>
      </c>
      <c r="H914">
        <f>'Grid_Stock'!F31</f>
        <v/>
      </c>
      <c r="I914">
        <f>'Grid_Stock'!G31</f>
        <v/>
      </c>
      <c r="J914">
        <f>'Grid_Stock'!H31</f>
        <v/>
      </c>
      <c r="K914">
        <f>'Grid_Stock'!I31</f>
        <v/>
      </c>
      <c r="L914">
        <f>'Grid_Stock'!J31</f>
        <v/>
      </c>
      <c r="M914">
        <f>'Grid_Stock'!K31</f>
        <v/>
      </c>
      <c r="N914">
        <f>'Grid_Stock'!L31</f>
        <v/>
      </c>
      <c r="O914">
        <f>'Grid_Stock'!M31</f>
        <v/>
      </c>
      <c r="P914">
        <f>'Grid_Stock'!N31</f>
        <v/>
      </c>
      <c r="Q914">
        <f>'Grid_Stock'!O31</f>
        <v/>
      </c>
      <c r="R914">
        <f>'Grid_Stock'!P31</f>
        <v/>
      </c>
      <c r="S914">
        <f>'Grid_Stock'!Q31</f>
        <v/>
      </c>
      <c r="T914">
        <f>'Grid_Stock'!R31</f>
        <v/>
      </c>
      <c r="U914">
        <f>'Grid_Stock'!S31</f>
        <v/>
      </c>
      <c r="V914">
        <f>'Grid_Stock'!T31</f>
        <v/>
      </c>
      <c r="W914">
        <f>'Grid_Stock'!U31</f>
        <v/>
      </c>
      <c r="X914">
        <f>'Grid_Stock'!V31</f>
        <v/>
      </c>
      <c r="Y914">
        <f>'Grid_Stock'!W31</f>
        <v/>
      </c>
      <c r="Z914">
        <f>'Grid_Stock'!X31</f>
        <v/>
      </c>
      <c r="AA914">
        <f>'Grid_Stock'!Y31</f>
        <v/>
      </c>
      <c r="AB914">
        <f>'Grid_Stock'!Z31</f>
        <v/>
      </c>
      <c r="AC914">
        <f>'Grid_Stock'!AA31</f>
        <v/>
      </c>
      <c r="AD914">
        <f>'Grid_Stock'!AB31</f>
        <v/>
      </c>
      <c r="AE914">
        <f>'Grid_Stock'!AC31</f>
        <v/>
      </c>
      <c r="AF914">
        <f>'Grid_Stock'!AD31</f>
        <v/>
      </c>
      <c r="AG914">
        <f>'Grid_Stock'!AE31</f>
        <v/>
      </c>
      <c r="AH914">
        <f>'Grid_Stock'!AF31</f>
        <v/>
      </c>
      <c r="AI914">
        <f>'Grid_Stock'!AG31</f>
        <v/>
      </c>
      <c r="AJ914">
        <f>'Grid_Stock'!AH31</f>
        <v/>
      </c>
      <c r="AK914">
        <f>'Grid_Stock'!AI31</f>
        <v/>
      </c>
      <c r="AL914">
        <f>'Grid_Stock'!AJ31</f>
        <v/>
      </c>
      <c r="AM914">
        <f>'Grid_Stock'!AK31</f>
        <v/>
      </c>
      <c r="AN914">
        <f>'Grid_Stock'!AL31</f>
        <v/>
      </c>
      <c r="AO914">
        <f>'Grid_Stock'!AM31</f>
        <v/>
      </c>
      <c r="AP914">
        <f>'Grid_Stock'!AN31</f>
        <v/>
      </c>
      <c r="AQ914">
        <f>'Grid_Stock'!AO31</f>
        <v/>
      </c>
      <c r="AR914">
        <f>'Grid_Stock'!AP31</f>
        <v/>
      </c>
      <c r="AS914">
        <f>'Grid_Stock'!AQ31</f>
        <v/>
      </c>
      <c r="AT914">
        <f>'Grid_Stock'!AR31</f>
        <v/>
      </c>
      <c r="AU914">
        <f>'Grid_Stock'!AS31</f>
        <v/>
      </c>
      <c r="AV914">
        <f>'Grid_Stock'!AT31</f>
        <v/>
      </c>
      <c r="AW914">
        <f>'Grid_Stock'!AU31</f>
        <v/>
      </c>
      <c r="AX914">
        <f>'Grid_Stock'!AV31</f>
        <v/>
      </c>
      <c r="AY914">
        <f>'Grid_Stock'!AW31</f>
        <v/>
      </c>
      <c r="AZ914">
        <f>'Grid_Stock'!AX31</f>
        <v/>
      </c>
      <c r="BA914">
        <f>'Grid_Stock'!AY31</f>
        <v/>
      </c>
      <c r="BB914">
        <f>'Grid_Stock'!AZ31</f>
        <v/>
      </c>
      <c r="BC914">
        <f>'Grid_Stock'!BA31</f>
        <v/>
      </c>
      <c r="BD914">
        <f>'Grid_Stock'!BB31</f>
        <v/>
      </c>
      <c r="BE914">
        <f>'Grid_Stock'!BC31</f>
        <v/>
      </c>
      <c r="BF914">
        <f>'Grid_Stock'!BD31</f>
        <v/>
      </c>
      <c r="BG914">
        <f>'Grid_Stock'!BE31</f>
        <v/>
      </c>
      <c r="BH914">
        <f>'Grid_Stock'!BF31</f>
        <v/>
      </c>
      <c r="BI914">
        <f>'Grid_Stock'!BG31</f>
        <v/>
      </c>
      <c r="BJ914">
        <f>'Grid_Stock'!BH31</f>
        <v/>
      </c>
      <c r="BK914">
        <f>'Grid_Stock'!BI31</f>
        <v/>
      </c>
      <c r="BL914">
        <f>'Grid_Stock'!BJ31</f>
        <v/>
      </c>
      <c r="BM914">
        <f>'Grid_Stock'!BK31</f>
        <v/>
      </c>
      <c r="BN914">
        <f>'Grid_Stock'!BL31</f>
        <v/>
      </c>
      <c r="BO914">
        <f>'Grid_Stock'!BM31</f>
        <v/>
      </c>
      <c r="BP914">
        <f>'Grid_Stock'!BN31</f>
        <v/>
      </c>
      <c r="BQ914">
        <f>'Grid_Stock'!BO31</f>
        <v/>
      </c>
      <c r="BR914">
        <f>'Grid_Stock'!BP31</f>
        <v/>
      </c>
      <c r="BS914">
        <f>'Grid_Stock'!BQ31</f>
        <v/>
      </c>
      <c r="BT914">
        <f>'Grid_Stock'!BR31</f>
        <v/>
      </c>
      <c r="BU914">
        <f>'Grid_Stock'!BS31</f>
        <v/>
      </c>
      <c r="BV914">
        <f>'Grid_Stock'!BT31</f>
        <v/>
      </c>
      <c r="BW914">
        <f>'Grid_Stock'!BU31</f>
        <v/>
      </c>
      <c r="BX914">
        <f>'Grid_Stock'!BV31</f>
        <v/>
      </c>
      <c r="BY914">
        <f>'Grid_Stock'!BW31</f>
        <v/>
      </c>
      <c r="BZ914">
        <f>'Grid_Stock'!BX31</f>
        <v/>
      </c>
      <c r="CA914">
        <f>'Grid_Stock'!BY31</f>
        <v/>
      </c>
      <c r="CB914">
        <f>'Grid_Stock'!BZ31</f>
        <v/>
      </c>
      <c r="CC914">
        <f>'Grid_Stock'!CA31</f>
        <v/>
      </c>
      <c r="CD914">
        <f>'Grid_Stock'!CB31</f>
        <v/>
      </c>
      <c r="CE914">
        <f>'Grid_Stock'!CC31</f>
        <v/>
      </c>
      <c r="CF914">
        <f>'Grid_Stock'!CD31</f>
        <v/>
      </c>
      <c r="CG914">
        <f>'Grid_Stock'!CE31</f>
        <v/>
      </c>
      <c r="CH914">
        <f>'Grid_Stock'!CF31</f>
        <v/>
      </c>
      <c r="CI914">
        <f>'Grid_Stock'!CG31</f>
        <v/>
      </c>
      <c r="CJ914">
        <f>'Grid_Stock'!CH31</f>
        <v/>
      </c>
      <c r="CK914">
        <f>'Grid_Stock'!CI31</f>
        <v/>
      </c>
      <c r="CL914">
        <f>'Grid_Stock'!CJ31</f>
        <v/>
      </c>
      <c r="CM914">
        <f>'Grid_Stock'!CK31</f>
        <v/>
      </c>
      <c r="CN914">
        <f>'Grid_Stock'!CL31</f>
        <v/>
      </c>
      <c r="CO914">
        <f>'Grid_Stock'!CM31</f>
        <v/>
      </c>
      <c r="CP914">
        <f>'Grid_Stock'!CN31</f>
        <v/>
      </c>
      <c r="CQ914">
        <f>'Grid_Stock'!CO31</f>
        <v/>
      </c>
      <c r="CR914">
        <f>'Grid_Stock'!CP31</f>
        <v/>
      </c>
      <c r="CS914">
        <f>'Grid_Stock'!CQ31</f>
        <v/>
      </c>
      <c r="CT914">
        <f>'Grid_Stock'!CR31</f>
        <v/>
      </c>
      <c r="CU914">
        <f>'Grid_Stock'!CS31</f>
        <v/>
      </c>
      <c r="CV914">
        <f>'Grid_Stock'!CT31</f>
        <v/>
      </c>
      <c r="CW914">
        <f>'Grid_Stock'!CU31</f>
        <v/>
      </c>
      <c r="CX914">
        <f>'Grid_Stock'!CV31</f>
        <v/>
      </c>
      <c r="CY914">
        <f>'Grid_Stock'!CW31</f>
        <v/>
      </c>
      <c r="CZ914">
        <f>'Grid_Stock'!CX31</f>
        <v/>
      </c>
      <c r="DA914">
        <f>'Grid_Stock'!CY31</f>
        <v/>
      </c>
      <c r="DB914">
        <f>'Grid_Stock'!CZ31</f>
        <v/>
      </c>
      <c r="DC914">
        <f>'Grid_Stock'!DA31</f>
        <v/>
      </c>
    </row>
    <row r="915">
      <c r="B915" s="23" t="inlineStr">
        <is>
          <t>（発注の目安はDashboardの基準在庫[下限/上限]と色分けを参照）</t>
        </is>
      </c>
    </row>
    <row r="917">
      <c r="A917" s="21" t="inlineStr">
        <is>
          <t>CHEM-1480</t>
        </is>
      </c>
      <c r="B917" s="21" t="inlineStr">
        <is>
          <t>NAT 30</t>
        </is>
      </c>
      <c r="C917" s="22" t="n"/>
      <c r="D917" s="21" t="n"/>
      <c r="E917" s="21" t="n"/>
      <c r="F917" s="21" t="n"/>
      <c r="G917" s="21" t="n"/>
      <c r="H917" s="2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  <c r="AA917" s="21" t="n"/>
      <c r="AB917" s="21" t="n"/>
      <c r="AC917" s="21" t="n"/>
      <c r="AD917" s="21" t="n"/>
      <c r="AE917" s="21" t="n"/>
      <c r="AF917" s="21" t="n"/>
      <c r="AG917" s="21" t="n"/>
      <c r="AH917" s="21" t="n"/>
      <c r="AI917" s="21" t="n"/>
      <c r="AJ917" s="21" t="n"/>
      <c r="AK917" s="21" t="n"/>
      <c r="AL917" s="21" t="n"/>
      <c r="AM917" s="21" t="n"/>
      <c r="AN917" s="21" t="n"/>
      <c r="AO917" s="21" t="n"/>
      <c r="AP917" s="21" t="n"/>
      <c r="AQ917" s="21" t="n"/>
      <c r="AR917" s="21" t="n"/>
      <c r="AS917" s="21" t="n"/>
      <c r="AT917" s="21" t="n"/>
      <c r="AU917" s="21" t="n"/>
      <c r="AV917" s="21" t="n"/>
      <c r="AW917" s="21" t="n"/>
      <c r="AX917" s="21" t="n"/>
      <c r="AY917" s="21" t="n"/>
      <c r="AZ917" s="21" t="n"/>
      <c r="BA917" s="21" t="n"/>
      <c r="BB917" s="21" t="n"/>
      <c r="BC917" s="21" t="n"/>
      <c r="BD917" s="21" t="n"/>
      <c r="BE917" s="21" t="n"/>
      <c r="BF917" s="21" t="n"/>
      <c r="BG917" s="21" t="n"/>
      <c r="BH917" s="21" t="n"/>
      <c r="BI917" s="21" t="n"/>
      <c r="BJ917" s="21" t="n"/>
      <c r="BK917" s="21" t="n"/>
      <c r="BL917" s="21" t="n"/>
      <c r="BM917" s="21" t="n"/>
      <c r="BN917" s="21" t="n"/>
      <c r="BO917" s="21" t="n"/>
      <c r="BP917" s="21" t="n"/>
      <c r="BQ917" s="21" t="n"/>
      <c r="BR917" s="21" t="n"/>
      <c r="BS917" s="21" t="n"/>
      <c r="BT917" s="21" t="n"/>
      <c r="BU917" s="21" t="n"/>
      <c r="BV917" s="21" t="n"/>
      <c r="BW917" s="21" t="n"/>
      <c r="BX917" s="21" t="n"/>
      <c r="BY917" s="21" t="n"/>
      <c r="BZ917" s="21" t="n"/>
      <c r="CA917" s="21" t="n"/>
      <c r="CB917" s="21" t="n"/>
      <c r="CC917" s="21" t="n"/>
      <c r="CD917" s="21" t="n"/>
      <c r="CE917" s="21" t="n"/>
      <c r="CF917" s="21" t="n"/>
      <c r="CG917" s="21" t="n"/>
      <c r="CH917" s="21" t="n"/>
      <c r="CI917" s="21" t="n"/>
      <c r="CJ917" s="21" t="n"/>
      <c r="CK917" s="21" t="n"/>
      <c r="CL917" s="21" t="n"/>
      <c r="CM917" s="21" t="n"/>
      <c r="CN917" s="21" t="n"/>
      <c r="CO917" s="21" t="n"/>
      <c r="CP917" s="21" t="n"/>
      <c r="CQ917" s="21" t="n"/>
      <c r="CR917" s="21" t="n"/>
      <c r="CS917" s="21" t="n"/>
      <c r="CT917" s="21" t="n"/>
      <c r="CU917" s="21" t="n"/>
      <c r="CV917" s="21" t="n"/>
      <c r="CW917" s="21" t="n"/>
      <c r="CX917" s="21" t="n"/>
      <c r="CY917" s="21" t="n"/>
      <c r="CZ917" s="21" t="n"/>
      <c r="DA917" s="21" t="n"/>
      <c r="DB917" s="21" t="n"/>
      <c r="DC917" s="21" t="n"/>
    </row>
    <row r="918">
      <c r="B918" t="inlineStr">
        <is>
          <t>TSP-206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12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Name],$A917)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s="5" t="inlineStr">
        <is>
          <t>合計使用量(kg)/週</t>
        </is>
      </c>
      <c r="D920">
        <f>'Grid_Requirement'!B18</f>
        <v/>
      </c>
      <c r="E920">
        <f>'Grid_Requirement'!C18</f>
        <v/>
      </c>
      <c r="F920">
        <f>'Grid_Requirement'!D18</f>
        <v/>
      </c>
      <c r="G920">
        <f>'Grid_Requirement'!E18</f>
        <v/>
      </c>
      <c r="H920">
        <f>'Grid_Requirement'!F18</f>
        <v/>
      </c>
      <c r="I920">
        <f>'Grid_Requirement'!G18</f>
        <v/>
      </c>
      <c r="J920">
        <f>'Grid_Requirement'!H18</f>
        <v/>
      </c>
      <c r="K920">
        <f>'Grid_Requirement'!I18</f>
        <v/>
      </c>
      <c r="L920">
        <f>'Grid_Requirement'!J18</f>
        <v/>
      </c>
      <c r="M920">
        <f>'Grid_Requirement'!K18</f>
        <v/>
      </c>
      <c r="N920">
        <f>'Grid_Requirement'!L18</f>
        <v/>
      </c>
      <c r="O920">
        <f>'Grid_Requirement'!M18</f>
        <v/>
      </c>
      <c r="P920">
        <f>'Grid_Requirement'!N18</f>
        <v/>
      </c>
      <c r="Q920">
        <f>'Grid_Requirement'!O18</f>
        <v/>
      </c>
      <c r="R920">
        <f>'Grid_Requirement'!P18</f>
        <v/>
      </c>
      <c r="S920">
        <f>'Grid_Requirement'!Q18</f>
        <v/>
      </c>
      <c r="T920">
        <f>'Grid_Requirement'!R18</f>
        <v/>
      </c>
      <c r="U920">
        <f>'Grid_Requirement'!S18</f>
        <v/>
      </c>
      <c r="V920">
        <f>'Grid_Requirement'!T18</f>
        <v/>
      </c>
      <c r="W920">
        <f>'Grid_Requirement'!U18</f>
        <v/>
      </c>
      <c r="X920">
        <f>'Grid_Requirement'!V18</f>
        <v/>
      </c>
      <c r="Y920">
        <f>'Grid_Requirement'!W18</f>
        <v/>
      </c>
      <c r="Z920">
        <f>'Grid_Requirement'!X18</f>
        <v/>
      </c>
      <c r="AA920">
        <f>'Grid_Requirement'!Y18</f>
        <v/>
      </c>
      <c r="AB920">
        <f>'Grid_Requirement'!Z18</f>
        <v/>
      </c>
      <c r="AC920">
        <f>'Grid_Requirement'!AA18</f>
        <v/>
      </c>
      <c r="AD920">
        <f>'Grid_Requirement'!AB18</f>
        <v/>
      </c>
      <c r="AE920">
        <f>'Grid_Requirement'!AC18</f>
        <v/>
      </c>
      <c r="AF920">
        <f>'Grid_Requirement'!AD18</f>
        <v/>
      </c>
      <c r="AG920">
        <f>'Grid_Requirement'!AE18</f>
        <v/>
      </c>
      <c r="AH920">
        <f>'Grid_Requirement'!AF18</f>
        <v/>
      </c>
      <c r="AI920">
        <f>'Grid_Requirement'!AG18</f>
        <v/>
      </c>
      <c r="AJ920">
        <f>'Grid_Requirement'!AH18</f>
        <v/>
      </c>
      <c r="AK920">
        <f>'Grid_Requirement'!AI18</f>
        <v/>
      </c>
      <c r="AL920">
        <f>'Grid_Requirement'!AJ18</f>
        <v/>
      </c>
      <c r="AM920">
        <f>'Grid_Requirement'!AK18</f>
        <v/>
      </c>
      <c r="AN920">
        <f>'Grid_Requirement'!AL18</f>
        <v/>
      </c>
      <c r="AO920">
        <f>'Grid_Requirement'!AM18</f>
        <v/>
      </c>
      <c r="AP920">
        <f>'Grid_Requirement'!AN18</f>
        <v/>
      </c>
      <c r="AQ920">
        <f>'Grid_Requirement'!AO18</f>
        <v/>
      </c>
      <c r="AR920">
        <f>'Grid_Requirement'!AP18</f>
        <v/>
      </c>
      <c r="AS920">
        <f>'Grid_Requirement'!AQ18</f>
        <v/>
      </c>
      <c r="AT920">
        <f>'Grid_Requirement'!AR18</f>
        <v/>
      </c>
      <c r="AU920">
        <f>'Grid_Requirement'!AS18</f>
        <v/>
      </c>
      <c r="AV920">
        <f>'Grid_Requirement'!AT18</f>
        <v/>
      </c>
      <c r="AW920">
        <f>'Grid_Requirement'!AU18</f>
        <v/>
      </c>
      <c r="AX920">
        <f>'Grid_Requirement'!AV18</f>
        <v/>
      </c>
      <c r="AY920">
        <f>'Grid_Requirement'!AW18</f>
        <v/>
      </c>
      <c r="AZ920">
        <f>'Grid_Requirement'!AX18</f>
        <v/>
      </c>
      <c r="BA920">
        <f>'Grid_Requirement'!AY18</f>
        <v/>
      </c>
      <c r="BB920">
        <f>'Grid_Requirement'!AZ18</f>
        <v/>
      </c>
      <c r="BC920">
        <f>'Grid_Requirement'!BA18</f>
        <v/>
      </c>
      <c r="BD920">
        <f>'Grid_Requirement'!BB18</f>
        <v/>
      </c>
      <c r="BE920">
        <f>'Grid_Requirement'!BC18</f>
        <v/>
      </c>
      <c r="BF920">
        <f>'Grid_Requirement'!BD18</f>
        <v/>
      </c>
      <c r="BG920">
        <f>'Grid_Requirement'!BE18</f>
        <v/>
      </c>
      <c r="BH920">
        <f>'Grid_Requirement'!BF18</f>
        <v/>
      </c>
      <c r="BI920">
        <f>'Grid_Requirement'!BG18</f>
        <v/>
      </c>
      <c r="BJ920">
        <f>'Grid_Requirement'!BH18</f>
        <v/>
      </c>
      <c r="BK920">
        <f>'Grid_Requirement'!BI18</f>
        <v/>
      </c>
      <c r="BL920">
        <f>'Grid_Requirement'!BJ18</f>
        <v/>
      </c>
      <c r="BM920">
        <f>'Grid_Requirement'!BK18</f>
        <v/>
      </c>
      <c r="BN920">
        <f>'Grid_Requirement'!BL18</f>
        <v/>
      </c>
      <c r="BO920">
        <f>'Grid_Requirement'!BM18</f>
        <v/>
      </c>
      <c r="BP920">
        <f>'Grid_Requirement'!BN18</f>
        <v/>
      </c>
      <c r="BQ920">
        <f>'Grid_Requirement'!BO18</f>
        <v/>
      </c>
      <c r="BR920">
        <f>'Grid_Requirement'!BP18</f>
        <v/>
      </c>
      <c r="BS920">
        <f>'Grid_Requirement'!BQ18</f>
        <v/>
      </c>
      <c r="BT920">
        <f>'Grid_Requirement'!BR18</f>
        <v/>
      </c>
      <c r="BU920">
        <f>'Grid_Requirement'!BS18</f>
        <v/>
      </c>
      <c r="BV920">
        <f>'Grid_Requirement'!BT18</f>
        <v/>
      </c>
      <c r="BW920">
        <f>'Grid_Requirement'!BU18</f>
        <v/>
      </c>
      <c r="BX920">
        <f>'Grid_Requirement'!BV18</f>
        <v/>
      </c>
      <c r="BY920">
        <f>'Grid_Requirement'!BW18</f>
        <v/>
      </c>
      <c r="BZ920">
        <f>'Grid_Requirement'!BX18</f>
        <v/>
      </c>
      <c r="CA920">
        <f>'Grid_Requirement'!BY18</f>
        <v/>
      </c>
      <c r="CB920">
        <f>'Grid_Requirement'!BZ18</f>
        <v/>
      </c>
      <c r="CC920">
        <f>'Grid_Requirement'!CA18</f>
        <v/>
      </c>
      <c r="CD920">
        <f>'Grid_Requirement'!CB18</f>
        <v/>
      </c>
      <c r="CE920">
        <f>'Grid_Requirement'!CC18</f>
        <v/>
      </c>
      <c r="CF920">
        <f>'Grid_Requirement'!CD18</f>
        <v/>
      </c>
      <c r="CG920">
        <f>'Grid_Requirement'!CE18</f>
        <v/>
      </c>
      <c r="CH920">
        <f>'Grid_Requirement'!CF18</f>
        <v/>
      </c>
      <c r="CI920">
        <f>'Grid_Requirement'!CG18</f>
        <v/>
      </c>
      <c r="CJ920">
        <f>'Grid_Requirement'!CH18</f>
        <v/>
      </c>
      <c r="CK920">
        <f>'Grid_Requirement'!CI18</f>
        <v/>
      </c>
      <c r="CL920">
        <f>'Grid_Requirement'!CJ18</f>
        <v/>
      </c>
      <c r="CM920">
        <f>'Grid_Requirement'!CK18</f>
        <v/>
      </c>
      <c r="CN920">
        <f>'Grid_Requirement'!CL18</f>
        <v/>
      </c>
      <c r="CO920">
        <f>'Grid_Requirement'!CM18</f>
        <v/>
      </c>
      <c r="CP920">
        <f>'Grid_Requirement'!CN18</f>
        <v/>
      </c>
      <c r="CQ920">
        <f>'Grid_Requirement'!CO18</f>
        <v/>
      </c>
      <c r="CR920">
        <f>'Grid_Requirement'!CP18</f>
        <v/>
      </c>
      <c r="CS920">
        <f>'Grid_Requirement'!CQ18</f>
        <v/>
      </c>
      <c r="CT920">
        <f>'Grid_Requirement'!CR18</f>
        <v/>
      </c>
      <c r="CU920">
        <f>'Grid_Requirement'!CS18</f>
        <v/>
      </c>
      <c r="CV920">
        <f>'Grid_Requirement'!CT18</f>
        <v/>
      </c>
      <c r="CW920">
        <f>'Grid_Requirement'!CU18</f>
        <v/>
      </c>
      <c r="CX920">
        <f>'Grid_Requirement'!CV18</f>
        <v/>
      </c>
      <c r="CY920">
        <f>'Grid_Requirement'!CW18</f>
        <v/>
      </c>
      <c r="CZ920">
        <f>'Grid_Requirement'!CX18</f>
        <v/>
      </c>
      <c r="DA920">
        <f>'Grid_Requirement'!CY18</f>
        <v/>
      </c>
      <c r="DB920">
        <f>'Grid_Requirement'!CZ18</f>
        <v/>
      </c>
      <c r="DC920">
        <f>'Grid_Requirement'!DA18</f>
        <v/>
      </c>
    </row>
    <row r="921">
      <c r="B921" t="inlineStr">
        <is>
          <t>TTAF在庫(実績,kg)</t>
        </is>
      </c>
      <c r="D921">
        <f>'T_TTAFStock'!B22</f>
        <v/>
      </c>
      <c r="E921">
        <f>'T_TTAFStock'!C22</f>
        <v/>
      </c>
      <c r="F921">
        <f>'T_TTAFStock'!D22</f>
        <v/>
      </c>
      <c r="G921">
        <f>'T_TTAFStock'!E22</f>
        <v/>
      </c>
      <c r="H921">
        <f>'T_TTAFStock'!F22</f>
        <v/>
      </c>
      <c r="I921">
        <f>'T_TTAFStock'!G22</f>
        <v/>
      </c>
      <c r="J921">
        <f>'T_TTAFStock'!H22</f>
        <v/>
      </c>
      <c r="K921">
        <f>'T_TTAFStock'!I22</f>
        <v/>
      </c>
      <c r="L921">
        <f>'T_TTAFStock'!J22</f>
        <v/>
      </c>
      <c r="M921">
        <f>'T_TTAFStock'!K22</f>
        <v/>
      </c>
      <c r="N921">
        <f>'T_TTAFStock'!L22</f>
        <v/>
      </c>
      <c r="O921">
        <f>'T_TTAFStock'!M22</f>
        <v/>
      </c>
      <c r="P921">
        <f>'T_TTAFStock'!N22</f>
        <v/>
      </c>
      <c r="Q921">
        <f>'T_TTAFStock'!O22</f>
        <v/>
      </c>
      <c r="R921">
        <f>'T_TTAFStock'!P22</f>
        <v/>
      </c>
      <c r="S921">
        <f>'T_TTAFStock'!Q22</f>
        <v/>
      </c>
      <c r="T921">
        <f>'T_TTAFStock'!R22</f>
        <v/>
      </c>
      <c r="U921">
        <f>'T_TTAFStock'!S22</f>
        <v/>
      </c>
      <c r="V921">
        <f>'T_TTAFStock'!T22</f>
        <v/>
      </c>
      <c r="W921">
        <f>'T_TTAFStock'!U22</f>
        <v/>
      </c>
      <c r="X921">
        <f>'T_TTAFStock'!V22</f>
        <v/>
      </c>
      <c r="Y921">
        <f>'T_TTAFStock'!W22</f>
        <v/>
      </c>
      <c r="Z921">
        <f>'T_TTAFStock'!X22</f>
        <v/>
      </c>
      <c r="AA921">
        <f>'T_TTAFStock'!Y22</f>
        <v/>
      </c>
      <c r="AB921">
        <f>'T_TTAFStock'!Z22</f>
        <v/>
      </c>
      <c r="AC921">
        <f>'T_TTAFStock'!AA22</f>
        <v/>
      </c>
      <c r="AD921">
        <f>'T_TTAFStock'!AB22</f>
        <v/>
      </c>
      <c r="AE921">
        <f>'T_TTAFStock'!AC22</f>
        <v/>
      </c>
      <c r="AF921">
        <f>'T_TTAFStock'!AD22</f>
        <v/>
      </c>
      <c r="AG921">
        <f>'T_TTAFStock'!AE22</f>
        <v/>
      </c>
      <c r="AH921">
        <f>'T_TTAFStock'!AF22</f>
        <v/>
      </c>
      <c r="AI921">
        <f>'T_TTAFStock'!AG22</f>
        <v/>
      </c>
      <c r="AJ921">
        <f>'T_TTAFStock'!AH22</f>
        <v/>
      </c>
      <c r="AK921">
        <f>'T_TTAFStock'!AI22</f>
        <v/>
      </c>
      <c r="AL921">
        <f>'T_TTAFStock'!AJ22</f>
        <v/>
      </c>
      <c r="AM921">
        <f>'T_TTAFStock'!AK22</f>
        <v/>
      </c>
      <c r="AN921">
        <f>'T_TTAFStock'!AL22</f>
        <v/>
      </c>
      <c r="AO921">
        <f>'T_TTAFStock'!AM22</f>
        <v/>
      </c>
      <c r="AP921">
        <f>'T_TTAFStock'!AN22</f>
        <v/>
      </c>
      <c r="AQ921">
        <f>'T_TTAFStock'!AO22</f>
        <v/>
      </c>
      <c r="AR921">
        <f>'T_TTAFStock'!AP22</f>
        <v/>
      </c>
      <c r="AS921">
        <f>'T_TTAFStock'!AQ22</f>
        <v/>
      </c>
      <c r="AT921">
        <f>'T_TTAFStock'!AR22</f>
        <v/>
      </c>
      <c r="AU921">
        <f>'T_TTAFStock'!AS22</f>
        <v/>
      </c>
      <c r="AV921">
        <f>'T_TTAFStock'!AT22</f>
        <v/>
      </c>
      <c r="AW921">
        <f>'T_TTAFStock'!AU22</f>
        <v/>
      </c>
      <c r="AX921">
        <f>'T_TTAFStock'!AV22</f>
        <v/>
      </c>
      <c r="AY921">
        <f>'T_TTAFStock'!AW22</f>
        <v/>
      </c>
      <c r="AZ921">
        <f>'T_TTAFStock'!AX22</f>
        <v/>
      </c>
      <c r="BA921">
        <f>'T_TTAFStock'!AY22</f>
        <v/>
      </c>
      <c r="BB921">
        <f>'T_TTAFStock'!AZ22</f>
        <v/>
      </c>
      <c r="BC921">
        <f>'T_TTAFStock'!BA22</f>
        <v/>
      </c>
      <c r="BD921">
        <f>'T_TTAFStock'!BB22</f>
        <v/>
      </c>
      <c r="BE921">
        <f>'T_TTAFStock'!BC22</f>
        <v/>
      </c>
      <c r="BF921">
        <f>'T_TTAFStock'!BD22</f>
        <v/>
      </c>
      <c r="BG921">
        <f>'T_TTAFStock'!BE22</f>
        <v/>
      </c>
      <c r="BH921">
        <f>'T_TTAFStock'!BF22</f>
        <v/>
      </c>
      <c r="BI921">
        <f>'T_TTAFStock'!BG22</f>
        <v/>
      </c>
      <c r="BJ921">
        <f>'T_TTAFStock'!BH22</f>
        <v/>
      </c>
      <c r="BK921">
        <f>'T_TTAFStock'!BI22</f>
        <v/>
      </c>
      <c r="BL921">
        <f>'T_TTAFStock'!BJ22</f>
        <v/>
      </c>
      <c r="BM921">
        <f>'T_TTAFStock'!BK22</f>
        <v/>
      </c>
      <c r="BN921">
        <f>'T_TTAFStock'!BL22</f>
        <v/>
      </c>
      <c r="BO921">
        <f>'T_TTAFStock'!BM22</f>
        <v/>
      </c>
      <c r="BP921">
        <f>'T_TTAFStock'!BN22</f>
        <v/>
      </c>
      <c r="BQ921">
        <f>'T_TTAFStock'!BO22</f>
        <v/>
      </c>
      <c r="BR921">
        <f>'T_TTAFStock'!BP22</f>
        <v/>
      </c>
      <c r="BS921">
        <f>'T_TTAFStock'!BQ22</f>
        <v/>
      </c>
      <c r="BT921">
        <f>'T_TTAFStock'!BR22</f>
        <v/>
      </c>
      <c r="BU921">
        <f>'T_TTAFStock'!BS22</f>
        <v/>
      </c>
      <c r="BV921">
        <f>'T_TTAFStock'!BT22</f>
        <v/>
      </c>
      <c r="BW921">
        <f>'T_TTAFStock'!BU22</f>
        <v/>
      </c>
      <c r="BX921">
        <f>'T_TTAFStock'!BV22</f>
        <v/>
      </c>
      <c r="BY921">
        <f>'T_TTAFStock'!BW22</f>
        <v/>
      </c>
      <c r="BZ921">
        <f>'T_TTAFStock'!BX22</f>
        <v/>
      </c>
      <c r="CA921">
        <f>'T_TTAFStock'!BY22</f>
        <v/>
      </c>
      <c r="CB921">
        <f>'T_TTAFStock'!BZ22</f>
        <v/>
      </c>
      <c r="CC921">
        <f>'T_TTAFStock'!CA22</f>
        <v/>
      </c>
      <c r="CD921">
        <f>'T_TTAFStock'!CB22</f>
        <v/>
      </c>
      <c r="CE921">
        <f>'T_TTAFStock'!CC22</f>
        <v/>
      </c>
      <c r="CF921">
        <f>'T_TTAFStock'!CD22</f>
        <v/>
      </c>
      <c r="CG921">
        <f>'T_TTAFStock'!CE22</f>
        <v/>
      </c>
      <c r="CH921">
        <f>'T_TTAFStock'!CF22</f>
        <v/>
      </c>
      <c r="CI921">
        <f>'T_TTAFStock'!CG22</f>
        <v/>
      </c>
      <c r="CJ921">
        <f>'T_TTAFStock'!CH22</f>
        <v/>
      </c>
      <c r="CK921">
        <f>'T_TTAFStock'!CI22</f>
        <v/>
      </c>
      <c r="CL921">
        <f>'T_TTAFStock'!CJ22</f>
        <v/>
      </c>
      <c r="CM921">
        <f>'T_TTAFStock'!CK22</f>
        <v/>
      </c>
      <c r="CN921">
        <f>'T_TTAFStock'!CL22</f>
        <v/>
      </c>
      <c r="CO921">
        <f>'T_TTAFStock'!CM22</f>
        <v/>
      </c>
      <c r="CP921">
        <f>'T_TTAFStock'!CN22</f>
        <v/>
      </c>
      <c r="CQ921">
        <f>'T_TTAFStock'!CO22</f>
        <v/>
      </c>
      <c r="CR921">
        <f>'T_TTAFStock'!CP22</f>
        <v/>
      </c>
      <c r="CS921">
        <f>'T_TTAFStock'!CQ22</f>
        <v/>
      </c>
      <c r="CT921">
        <f>'T_TTAFStock'!CR22</f>
        <v/>
      </c>
      <c r="CU921">
        <f>'T_TTAFStock'!CS22</f>
        <v/>
      </c>
      <c r="CV921">
        <f>'T_TTAFStock'!CT22</f>
        <v/>
      </c>
      <c r="CW921">
        <f>'T_TTAFStock'!CU22</f>
        <v/>
      </c>
      <c r="CX921">
        <f>'T_TTAFStock'!CV22</f>
        <v/>
      </c>
      <c r="CY921">
        <f>'T_TTAFStock'!CW22</f>
        <v/>
      </c>
      <c r="CZ921">
        <f>'T_TTAFStock'!CX22</f>
        <v/>
      </c>
      <c r="DA921">
        <f>'T_TTAFStock'!CY22</f>
        <v/>
      </c>
      <c r="DB921">
        <f>'T_TTAFStock'!CZ22</f>
        <v/>
      </c>
      <c r="DC921">
        <f>'T_TTAFStock'!DA22</f>
        <v/>
      </c>
    </row>
    <row r="922">
      <c r="B922" t="inlineStr">
        <is>
          <t>自社在庫(実績,kg)</t>
        </is>
      </c>
      <c r="D922">
        <f>'T_SelfStock'!B22</f>
        <v/>
      </c>
      <c r="E922">
        <f>'T_SelfStock'!C22</f>
        <v/>
      </c>
      <c r="F922">
        <f>'T_SelfStock'!D22</f>
        <v/>
      </c>
      <c r="G922">
        <f>'T_SelfStock'!E22</f>
        <v/>
      </c>
      <c r="H922">
        <f>'T_SelfStock'!F22</f>
        <v/>
      </c>
      <c r="I922">
        <f>'T_SelfStock'!G22</f>
        <v/>
      </c>
      <c r="J922">
        <f>'T_SelfStock'!H22</f>
        <v/>
      </c>
      <c r="K922">
        <f>'T_SelfStock'!I22</f>
        <v/>
      </c>
      <c r="L922">
        <f>'T_SelfStock'!J22</f>
        <v/>
      </c>
      <c r="M922">
        <f>'T_SelfStock'!K22</f>
        <v/>
      </c>
      <c r="N922">
        <f>'T_SelfStock'!L22</f>
        <v/>
      </c>
      <c r="O922">
        <f>'T_SelfStock'!M22</f>
        <v/>
      </c>
      <c r="P922">
        <f>'T_SelfStock'!N22</f>
        <v/>
      </c>
      <c r="Q922">
        <f>'T_SelfStock'!O22</f>
        <v/>
      </c>
      <c r="R922">
        <f>'T_SelfStock'!P22</f>
        <v/>
      </c>
      <c r="S922">
        <f>'T_SelfStock'!Q22</f>
        <v/>
      </c>
      <c r="T922">
        <f>'T_SelfStock'!R22</f>
        <v/>
      </c>
      <c r="U922">
        <f>'T_SelfStock'!S22</f>
        <v/>
      </c>
      <c r="V922">
        <f>'T_SelfStock'!T22</f>
        <v/>
      </c>
      <c r="W922">
        <f>'T_SelfStock'!U22</f>
        <v/>
      </c>
      <c r="X922">
        <f>'T_SelfStock'!V22</f>
        <v/>
      </c>
      <c r="Y922">
        <f>'T_SelfStock'!W22</f>
        <v/>
      </c>
      <c r="Z922">
        <f>'T_SelfStock'!X22</f>
        <v/>
      </c>
      <c r="AA922">
        <f>'T_SelfStock'!Y22</f>
        <v/>
      </c>
      <c r="AB922">
        <f>'T_SelfStock'!Z22</f>
        <v/>
      </c>
      <c r="AC922">
        <f>'T_SelfStock'!AA22</f>
        <v/>
      </c>
      <c r="AD922">
        <f>'T_SelfStock'!AB22</f>
        <v/>
      </c>
      <c r="AE922">
        <f>'T_SelfStock'!AC22</f>
        <v/>
      </c>
      <c r="AF922">
        <f>'T_SelfStock'!AD22</f>
        <v/>
      </c>
      <c r="AG922">
        <f>'T_SelfStock'!AE22</f>
        <v/>
      </c>
      <c r="AH922">
        <f>'T_SelfStock'!AF22</f>
        <v/>
      </c>
      <c r="AI922">
        <f>'T_SelfStock'!AG22</f>
        <v/>
      </c>
      <c r="AJ922">
        <f>'T_SelfStock'!AH22</f>
        <v/>
      </c>
      <c r="AK922">
        <f>'T_SelfStock'!AI22</f>
        <v/>
      </c>
      <c r="AL922">
        <f>'T_SelfStock'!AJ22</f>
        <v/>
      </c>
      <c r="AM922">
        <f>'T_SelfStock'!AK22</f>
        <v/>
      </c>
      <c r="AN922">
        <f>'T_SelfStock'!AL22</f>
        <v/>
      </c>
      <c r="AO922">
        <f>'T_SelfStock'!AM22</f>
        <v/>
      </c>
      <c r="AP922">
        <f>'T_SelfStock'!AN22</f>
        <v/>
      </c>
      <c r="AQ922">
        <f>'T_SelfStock'!AO22</f>
        <v/>
      </c>
      <c r="AR922">
        <f>'T_SelfStock'!AP22</f>
        <v/>
      </c>
      <c r="AS922">
        <f>'T_SelfStock'!AQ22</f>
        <v/>
      </c>
      <c r="AT922">
        <f>'T_SelfStock'!AR22</f>
        <v/>
      </c>
      <c r="AU922">
        <f>'T_SelfStock'!AS22</f>
        <v/>
      </c>
      <c r="AV922">
        <f>'T_SelfStock'!AT22</f>
        <v/>
      </c>
      <c r="AW922">
        <f>'T_SelfStock'!AU22</f>
        <v/>
      </c>
      <c r="AX922">
        <f>'T_SelfStock'!AV22</f>
        <v/>
      </c>
      <c r="AY922">
        <f>'T_SelfStock'!AW22</f>
        <v/>
      </c>
      <c r="AZ922">
        <f>'T_SelfStock'!AX22</f>
        <v/>
      </c>
      <c r="BA922">
        <f>'T_SelfStock'!AY22</f>
        <v/>
      </c>
      <c r="BB922">
        <f>'T_SelfStock'!AZ22</f>
        <v/>
      </c>
      <c r="BC922">
        <f>'T_SelfStock'!BA22</f>
        <v/>
      </c>
      <c r="BD922">
        <f>'T_SelfStock'!BB22</f>
        <v/>
      </c>
      <c r="BE922">
        <f>'T_SelfStock'!BC22</f>
        <v/>
      </c>
      <c r="BF922">
        <f>'T_SelfStock'!BD22</f>
        <v/>
      </c>
      <c r="BG922">
        <f>'T_SelfStock'!BE22</f>
        <v/>
      </c>
      <c r="BH922">
        <f>'T_SelfStock'!BF22</f>
        <v/>
      </c>
      <c r="BI922">
        <f>'T_SelfStock'!BG22</f>
        <v/>
      </c>
      <c r="BJ922">
        <f>'T_SelfStock'!BH22</f>
        <v/>
      </c>
      <c r="BK922">
        <f>'T_SelfStock'!BI22</f>
        <v/>
      </c>
      <c r="BL922">
        <f>'T_SelfStock'!BJ22</f>
        <v/>
      </c>
      <c r="BM922">
        <f>'T_SelfStock'!BK22</f>
        <v/>
      </c>
      <c r="BN922">
        <f>'T_SelfStock'!BL22</f>
        <v/>
      </c>
      <c r="BO922">
        <f>'T_SelfStock'!BM22</f>
        <v/>
      </c>
      <c r="BP922">
        <f>'T_SelfStock'!BN22</f>
        <v/>
      </c>
      <c r="BQ922">
        <f>'T_SelfStock'!BO22</f>
        <v/>
      </c>
      <c r="BR922">
        <f>'T_SelfStock'!BP22</f>
        <v/>
      </c>
      <c r="BS922">
        <f>'T_SelfStock'!BQ22</f>
        <v/>
      </c>
      <c r="BT922">
        <f>'T_SelfStock'!BR22</f>
        <v/>
      </c>
      <c r="BU922">
        <f>'T_SelfStock'!BS22</f>
        <v/>
      </c>
      <c r="BV922">
        <f>'T_SelfStock'!BT22</f>
        <v/>
      </c>
      <c r="BW922">
        <f>'T_SelfStock'!BU22</f>
        <v/>
      </c>
      <c r="BX922">
        <f>'T_SelfStock'!BV22</f>
        <v/>
      </c>
      <c r="BY922">
        <f>'T_SelfStock'!BW22</f>
        <v/>
      </c>
      <c r="BZ922">
        <f>'T_SelfStock'!BX22</f>
        <v/>
      </c>
      <c r="CA922">
        <f>'T_SelfStock'!BY22</f>
        <v/>
      </c>
      <c r="CB922">
        <f>'T_SelfStock'!BZ22</f>
        <v/>
      </c>
      <c r="CC922">
        <f>'T_SelfStock'!CA22</f>
        <v/>
      </c>
      <c r="CD922">
        <f>'T_SelfStock'!CB22</f>
        <v/>
      </c>
      <c r="CE922">
        <f>'T_SelfStock'!CC22</f>
        <v/>
      </c>
      <c r="CF922">
        <f>'T_SelfStock'!CD22</f>
        <v/>
      </c>
      <c r="CG922">
        <f>'T_SelfStock'!CE22</f>
        <v/>
      </c>
      <c r="CH922">
        <f>'T_SelfStock'!CF22</f>
        <v/>
      </c>
      <c r="CI922">
        <f>'T_SelfStock'!CG22</f>
        <v/>
      </c>
      <c r="CJ922">
        <f>'T_SelfStock'!CH22</f>
        <v/>
      </c>
      <c r="CK922">
        <f>'T_SelfStock'!CI22</f>
        <v/>
      </c>
      <c r="CL922">
        <f>'T_SelfStock'!CJ22</f>
        <v/>
      </c>
      <c r="CM922">
        <f>'T_SelfStock'!CK22</f>
        <v/>
      </c>
      <c r="CN922">
        <f>'T_SelfStock'!CL22</f>
        <v/>
      </c>
      <c r="CO922">
        <f>'T_SelfStock'!CM22</f>
        <v/>
      </c>
      <c r="CP922">
        <f>'T_SelfStock'!CN22</f>
        <v/>
      </c>
      <c r="CQ922">
        <f>'T_SelfStock'!CO22</f>
        <v/>
      </c>
      <c r="CR922">
        <f>'T_SelfStock'!CP22</f>
        <v/>
      </c>
      <c r="CS922">
        <f>'T_SelfStock'!CQ22</f>
        <v/>
      </c>
      <c r="CT922">
        <f>'T_SelfStock'!CR22</f>
        <v/>
      </c>
      <c r="CU922">
        <f>'T_SelfStock'!CS22</f>
        <v/>
      </c>
      <c r="CV922">
        <f>'T_SelfStock'!CT22</f>
        <v/>
      </c>
      <c r="CW922">
        <f>'T_SelfStock'!CU22</f>
        <v/>
      </c>
      <c r="CX922">
        <f>'T_SelfStock'!CV22</f>
        <v/>
      </c>
      <c r="CY922">
        <f>'T_SelfStock'!CW22</f>
        <v/>
      </c>
      <c r="CZ922">
        <f>'T_SelfStock'!CX22</f>
        <v/>
      </c>
      <c r="DA922">
        <f>'T_SelfStock'!CY22</f>
        <v/>
      </c>
      <c r="DB922">
        <f>'T_SelfStock'!CZ22</f>
        <v/>
      </c>
      <c r="DC922">
        <f>'T_SelfStock'!DA22</f>
        <v/>
      </c>
    </row>
    <row r="923">
      <c r="B923" t="inlineStr">
        <is>
          <t>Order(発注予定,kg)</t>
        </is>
      </c>
      <c r="D923">
        <f>IF(SUMIFS(T_PlannedOrders[EffectiveQty],T_PlannedOrders[Part Name],$A917,T_PlannedOrders[WeekIndex],1)=0,"",SUMIFS(T_PlannedOrders[EffectiveQty],T_PlannedOrders[Part Name],$A917,T_PlannedOrders[WeekIndex],1)&amp;" ("&amp;TEXT(SUMPRODUCT(MAX((T_PlannedOrders[Part Name]=$A917)*(T_PlannedOrders[WeekIndex]=1)*(T_PlannedOrders[EffectiveQty]&gt;0)*T_PlannedOrders[Order_Month])),"m月")&amp;"発注)")</f>
        <v/>
      </c>
      <c r="E923">
        <f>IF(SUMIFS(T_PlannedOrders[EffectiveQty],T_PlannedOrders[Part Name],$A917,T_PlannedOrders[WeekIndex],2)=0,"",SUMIFS(T_PlannedOrders[EffectiveQty],T_PlannedOrders[Part Name],$A917,T_PlannedOrders[WeekIndex],2)&amp;" ("&amp;TEXT(SUMPRODUCT(MAX((T_PlannedOrders[Part Name]=$A917)*(T_PlannedOrders[WeekIndex]=2)*(T_PlannedOrders[EffectiveQty]&gt;0)*T_PlannedOrders[Order_Month])),"m月")&amp;"発注)")</f>
        <v/>
      </c>
      <c r="F923">
        <f>IF(SUMIFS(T_PlannedOrders[EffectiveQty],T_PlannedOrders[Part Name],$A917,T_PlannedOrders[WeekIndex],3)=0,"",SUMIFS(T_PlannedOrders[EffectiveQty],T_PlannedOrders[Part Name],$A917,T_PlannedOrders[WeekIndex],3)&amp;" ("&amp;TEXT(SUMPRODUCT(MAX((T_PlannedOrders[Part Name]=$A917)*(T_PlannedOrders[WeekIndex]=3)*(T_PlannedOrders[EffectiveQty]&gt;0)*T_PlannedOrders[Order_Month])),"m月")&amp;"発注)")</f>
        <v/>
      </c>
      <c r="G923">
        <f>IF(SUMIFS(T_PlannedOrders[EffectiveQty],T_PlannedOrders[Part Name],$A917,T_PlannedOrders[WeekIndex],4)=0,"",SUMIFS(T_PlannedOrders[EffectiveQty],T_PlannedOrders[Part Name],$A917,T_PlannedOrders[WeekIndex],4)&amp;" ("&amp;TEXT(SUMPRODUCT(MAX((T_PlannedOrders[Part Name]=$A917)*(T_PlannedOrders[WeekIndex]=4)*(T_PlannedOrders[EffectiveQty]&gt;0)*T_PlannedOrders[Order_Month])),"m月")&amp;"発注)")</f>
        <v/>
      </c>
      <c r="H923">
        <f>IF(SUMIFS(T_PlannedOrders[EffectiveQty],T_PlannedOrders[Part Name],$A917,T_PlannedOrders[WeekIndex],5)=0,"",SUMIFS(T_PlannedOrders[EffectiveQty],T_PlannedOrders[Part Name],$A917,T_PlannedOrders[WeekIndex],5)&amp;" ("&amp;TEXT(SUMPRODUCT(MAX((T_PlannedOrders[Part Name]=$A917)*(T_PlannedOrders[WeekIndex]=5)*(T_PlannedOrders[EffectiveQty]&gt;0)*T_PlannedOrders[Order_Month])),"m月")&amp;"発注)")</f>
        <v/>
      </c>
      <c r="I923">
        <f>IF(SUMIFS(T_PlannedOrders[EffectiveQty],T_PlannedOrders[Part Name],$A917,T_PlannedOrders[WeekIndex],6)=0,"",SUMIFS(T_PlannedOrders[EffectiveQty],T_PlannedOrders[Part Name],$A917,T_PlannedOrders[WeekIndex],6)&amp;" ("&amp;TEXT(SUMPRODUCT(MAX((T_PlannedOrders[Part Name]=$A917)*(T_PlannedOrders[WeekIndex]=6)*(T_PlannedOrders[EffectiveQty]&gt;0)*T_PlannedOrders[Order_Month])),"m月")&amp;"発注)")</f>
        <v/>
      </c>
      <c r="J923">
        <f>IF(SUMIFS(T_PlannedOrders[EffectiveQty],T_PlannedOrders[Part Name],$A917,T_PlannedOrders[WeekIndex],7)=0,"",SUMIFS(T_PlannedOrders[EffectiveQty],T_PlannedOrders[Part Name],$A917,T_PlannedOrders[WeekIndex],7)&amp;" ("&amp;TEXT(SUMPRODUCT(MAX((T_PlannedOrders[Part Name]=$A917)*(T_PlannedOrders[WeekIndex]=7)*(T_PlannedOrders[EffectiveQty]&gt;0)*T_PlannedOrders[Order_Month])),"m月")&amp;"発注)")</f>
        <v/>
      </c>
      <c r="K923">
        <f>IF(SUMIFS(T_PlannedOrders[EffectiveQty],T_PlannedOrders[Part Name],$A917,T_PlannedOrders[WeekIndex],8)=0,"",SUMIFS(T_PlannedOrders[EffectiveQty],T_PlannedOrders[Part Name],$A917,T_PlannedOrders[WeekIndex],8)&amp;" ("&amp;TEXT(SUMPRODUCT(MAX((T_PlannedOrders[Part Name]=$A917)*(T_PlannedOrders[WeekIndex]=8)*(T_PlannedOrders[EffectiveQty]&gt;0)*T_PlannedOrders[Order_Month])),"m月")&amp;"発注)")</f>
        <v/>
      </c>
      <c r="L923">
        <f>IF(SUMIFS(T_PlannedOrders[EffectiveQty],T_PlannedOrders[Part Name],$A917,T_PlannedOrders[WeekIndex],9)=0,"",SUMIFS(T_PlannedOrders[EffectiveQty],T_PlannedOrders[Part Name],$A917,T_PlannedOrders[WeekIndex],9)&amp;" ("&amp;TEXT(SUMPRODUCT(MAX((T_PlannedOrders[Part Name]=$A917)*(T_PlannedOrders[WeekIndex]=9)*(T_PlannedOrders[EffectiveQty]&gt;0)*T_PlannedOrders[Order_Month])),"m月")&amp;"発注)")</f>
        <v/>
      </c>
      <c r="M923">
        <f>IF(SUMIFS(T_PlannedOrders[EffectiveQty],T_PlannedOrders[Part Name],$A917,T_PlannedOrders[WeekIndex],10)=0,"",SUMIFS(T_PlannedOrders[EffectiveQty],T_PlannedOrders[Part Name],$A917,T_PlannedOrders[WeekIndex],10)&amp;" ("&amp;TEXT(SUMPRODUCT(MAX((T_PlannedOrders[Part Name]=$A917)*(T_PlannedOrders[WeekIndex]=10)*(T_PlannedOrders[EffectiveQty]&gt;0)*T_PlannedOrders[Order_Month])),"m月")&amp;"発注)")</f>
        <v/>
      </c>
      <c r="N923">
        <f>IF(SUMIFS(T_PlannedOrders[EffectiveQty],T_PlannedOrders[Part Name],$A917,T_PlannedOrders[WeekIndex],11)=0,"",SUMIFS(T_PlannedOrders[EffectiveQty],T_PlannedOrders[Part Name],$A917,T_PlannedOrders[WeekIndex],11)&amp;" ("&amp;TEXT(SUMPRODUCT(MAX((T_PlannedOrders[Part Name]=$A917)*(T_PlannedOrders[WeekIndex]=11)*(T_PlannedOrders[EffectiveQty]&gt;0)*T_PlannedOrders[Order_Month])),"m月")&amp;"発注)")</f>
        <v/>
      </c>
      <c r="O923">
        <f>IF(SUMIFS(T_PlannedOrders[EffectiveQty],T_PlannedOrders[Part Name],$A917,T_PlannedOrders[WeekIndex],12)=0,"",SUMIFS(T_PlannedOrders[EffectiveQty],T_PlannedOrders[Part Name],$A917,T_PlannedOrders[WeekIndex],12)&amp;" ("&amp;TEXT(SUMPRODUCT(MAX((T_PlannedOrders[Part Name]=$A917)*(T_PlannedOrders[WeekIndex]=12)*(T_PlannedOrders[EffectiveQty]&gt;0)*T_PlannedOrders[Order_Month])),"m月")&amp;"発注)")</f>
        <v/>
      </c>
      <c r="P923">
        <f>IF(SUMIFS(T_PlannedOrders[EffectiveQty],T_PlannedOrders[Part Name],$A917,T_PlannedOrders[WeekIndex],13)=0,"",SUMIFS(T_PlannedOrders[EffectiveQty],T_PlannedOrders[Part Name],$A917,T_PlannedOrders[WeekIndex],13)&amp;" ("&amp;TEXT(SUMPRODUCT(MAX((T_PlannedOrders[Part Name]=$A917)*(T_PlannedOrders[WeekIndex]=13)*(T_PlannedOrders[EffectiveQty]&gt;0)*T_PlannedOrders[Order_Month])),"m月")&amp;"発注)")</f>
        <v/>
      </c>
      <c r="Q923">
        <f>IF(SUMIFS(T_PlannedOrders[EffectiveQty],T_PlannedOrders[Part Name],$A917,T_PlannedOrders[WeekIndex],14)=0,"",SUMIFS(T_PlannedOrders[EffectiveQty],T_PlannedOrders[Part Name],$A917,T_PlannedOrders[WeekIndex],14)&amp;" ("&amp;TEXT(SUMPRODUCT(MAX((T_PlannedOrders[Part Name]=$A917)*(T_PlannedOrders[WeekIndex]=14)*(T_PlannedOrders[EffectiveQty]&gt;0)*T_PlannedOrders[Order_Month])),"m月")&amp;"発注)")</f>
        <v/>
      </c>
      <c r="R923">
        <f>IF(SUMIFS(T_PlannedOrders[EffectiveQty],T_PlannedOrders[Part Name],$A917,T_PlannedOrders[WeekIndex],15)=0,"",SUMIFS(T_PlannedOrders[EffectiveQty],T_PlannedOrders[Part Name],$A917,T_PlannedOrders[WeekIndex],15)&amp;" ("&amp;TEXT(SUMPRODUCT(MAX((T_PlannedOrders[Part Name]=$A917)*(T_PlannedOrders[WeekIndex]=15)*(T_PlannedOrders[EffectiveQty]&gt;0)*T_PlannedOrders[Order_Month])),"m月")&amp;"発注)")</f>
        <v/>
      </c>
      <c r="S923">
        <f>IF(SUMIFS(T_PlannedOrders[EffectiveQty],T_PlannedOrders[Part Name],$A917,T_PlannedOrders[WeekIndex],16)=0,"",SUMIFS(T_PlannedOrders[EffectiveQty],T_PlannedOrders[Part Name],$A917,T_PlannedOrders[WeekIndex],16)&amp;" ("&amp;TEXT(SUMPRODUCT(MAX((T_PlannedOrders[Part Name]=$A917)*(T_PlannedOrders[WeekIndex]=16)*(T_PlannedOrders[EffectiveQty]&gt;0)*T_PlannedOrders[Order_Month])),"m月")&amp;"発注)")</f>
        <v/>
      </c>
      <c r="T923">
        <f>IF(SUMIFS(T_PlannedOrders[EffectiveQty],T_PlannedOrders[Part Name],$A917,T_PlannedOrders[WeekIndex],17)=0,"",SUMIFS(T_PlannedOrders[EffectiveQty],T_PlannedOrders[Part Name],$A917,T_PlannedOrders[WeekIndex],17)&amp;" ("&amp;TEXT(SUMPRODUCT(MAX((T_PlannedOrders[Part Name]=$A917)*(T_PlannedOrders[WeekIndex]=17)*(T_PlannedOrders[EffectiveQty]&gt;0)*T_PlannedOrders[Order_Month])),"m月")&amp;"発注)")</f>
        <v/>
      </c>
      <c r="U923">
        <f>IF(SUMIFS(T_PlannedOrders[EffectiveQty],T_PlannedOrders[Part Name],$A917,T_PlannedOrders[WeekIndex],18)=0,"",SUMIFS(T_PlannedOrders[EffectiveQty],T_PlannedOrders[Part Name],$A917,T_PlannedOrders[WeekIndex],18)&amp;" ("&amp;TEXT(SUMPRODUCT(MAX((T_PlannedOrders[Part Name]=$A917)*(T_PlannedOrders[WeekIndex]=18)*(T_PlannedOrders[EffectiveQty]&gt;0)*T_PlannedOrders[Order_Month])),"m月")&amp;"発注)")</f>
        <v/>
      </c>
      <c r="V923">
        <f>IF(SUMIFS(T_PlannedOrders[EffectiveQty],T_PlannedOrders[Part Name],$A917,T_PlannedOrders[WeekIndex],19)=0,"",SUMIFS(T_PlannedOrders[EffectiveQty],T_PlannedOrders[Part Name],$A917,T_PlannedOrders[WeekIndex],19)&amp;" ("&amp;TEXT(SUMPRODUCT(MAX((T_PlannedOrders[Part Name]=$A917)*(T_PlannedOrders[WeekIndex]=19)*(T_PlannedOrders[EffectiveQty]&gt;0)*T_PlannedOrders[Order_Month])),"m月")&amp;"発注)")</f>
        <v/>
      </c>
      <c r="W923">
        <f>IF(SUMIFS(T_PlannedOrders[EffectiveQty],T_PlannedOrders[Part Name],$A917,T_PlannedOrders[WeekIndex],20)=0,"",SUMIFS(T_PlannedOrders[EffectiveQty],T_PlannedOrders[Part Name],$A917,T_PlannedOrders[WeekIndex],20)&amp;" ("&amp;TEXT(SUMPRODUCT(MAX((T_PlannedOrders[Part Name]=$A917)*(T_PlannedOrders[WeekIndex]=20)*(T_PlannedOrders[EffectiveQty]&gt;0)*T_PlannedOrders[Order_Month])),"m月")&amp;"発注)")</f>
        <v/>
      </c>
      <c r="X923">
        <f>IF(SUMIFS(T_PlannedOrders[EffectiveQty],T_PlannedOrders[Part Name],$A917,T_PlannedOrders[WeekIndex],21)=0,"",SUMIFS(T_PlannedOrders[EffectiveQty],T_PlannedOrders[Part Name],$A917,T_PlannedOrders[WeekIndex],21)&amp;" ("&amp;TEXT(SUMPRODUCT(MAX((T_PlannedOrders[Part Name]=$A917)*(T_PlannedOrders[WeekIndex]=21)*(T_PlannedOrders[EffectiveQty]&gt;0)*T_PlannedOrders[Order_Month])),"m月")&amp;"発注)")</f>
        <v/>
      </c>
      <c r="Y923">
        <f>IF(SUMIFS(T_PlannedOrders[EffectiveQty],T_PlannedOrders[Part Name],$A917,T_PlannedOrders[WeekIndex],22)=0,"",SUMIFS(T_PlannedOrders[EffectiveQty],T_PlannedOrders[Part Name],$A917,T_PlannedOrders[WeekIndex],22)&amp;" ("&amp;TEXT(SUMPRODUCT(MAX((T_PlannedOrders[Part Name]=$A917)*(T_PlannedOrders[WeekIndex]=22)*(T_PlannedOrders[EffectiveQty]&gt;0)*T_PlannedOrders[Order_Month])),"m月")&amp;"発注)")</f>
        <v/>
      </c>
      <c r="Z923">
        <f>IF(SUMIFS(T_PlannedOrders[EffectiveQty],T_PlannedOrders[Part Name],$A917,T_PlannedOrders[WeekIndex],23)=0,"",SUMIFS(T_PlannedOrders[EffectiveQty],T_PlannedOrders[Part Name],$A917,T_PlannedOrders[WeekIndex],23)&amp;" ("&amp;TEXT(SUMPRODUCT(MAX((T_PlannedOrders[Part Name]=$A917)*(T_PlannedOrders[WeekIndex]=23)*(T_PlannedOrders[EffectiveQty]&gt;0)*T_PlannedOrders[Order_Month])),"m月")&amp;"発注)")</f>
        <v/>
      </c>
      <c r="AA923">
        <f>IF(SUMIFS(T_PlannedOrders[EffectiveQty],T_PlannedOrders[Part Name],$A917,T_PlannedOrders[WeekIndex],24)=0,"",SUMIFS(T_PlannedOrders[EffectiveQty],T_PlannedOrders[Part Name],$A917,T_PlannedOrders[WeekIndex],24)&amp;" ("&amp;TEXT(SUMPRODUCT(MAX((T_PlannedOrders[Part Name]=$A917)*(T_PlannedOrders[WeekIndex]=24)*(T_PlannedOrders[EffectiveQty]&gt;0)*T_PlannedOrders[Order_Month])),"m月")&amp;"発注)")</f>
        <v/>
      </c>
      <c r="AB923">
        <f>IF(SUMIFS(T_PlannedOrders[EffectiveQty],T_PlannedOrders[Part Name],$A917,T_PlannedOrders[WeekIndex],25)=0,"",SUMIFS(T_PlannedOrders[EffectiveQty],T_PlannedOrders[Part Name],$A917,T_PlannedOrders[WeekIndex],25)&amp;" ("&amp;TEXT(SUMPRODUCT(MAX((T_PlannedOrders[Part Name]=$A917)*(T_PlannedOrders[WeekIndex]=25)*(T_PlannedOrders[EffectiveQty]&gt;0)*T_PlannedOrders[Order_Month])),"m月")&amp;"発注)")</f>
        <v/>
      </c>
      <c r="AC923">
        <f>IF(SUMIFS(T_PlannedOrders[EffectiveQty],T_PlannedOrders[Part Name],$A917,T_PlannedOrders[WeekIndex],26)=0,"",SUMIFS(T_PlannedOrders[EffectiveQty],T_PlannedOrders[Part Name],$A917,T_PlannedOrders[WeekIndex],26)&amp;" ("&amp;TEXT(SUMPRODUCT(MAX((T_PlannedOrders[Part Name]=$A917)*(T_PlannedOrders[WeekIndex]=26)*(T_PlannedOrders[EffectiveQty]&gt;0)*T_PlannedOrders[Order_Month])),"m月")&amp;"発注)")</f>
        <v/>
      </c>
      <c r="AD923">
        <f>IF(SUMIFS(T_PlannedOrders[EffectiveQty],T_PlannedOrders[Part Name],$A917,T_PlannedOrders[WeekIndex],27)=0,"",SUMIFS(T_PlannedOrders[EffectiveQty],T_PlannedOrders[Part Name],$A917,T_PlannedOrders[WeekIndex],27)&amp;" ("&amp;TEXT(SUMPRODUCT(MAX((T_PlannedOrders[Part Name]=$A917)*(T_PlannedOrders[WeekIndex]=27)*(T_PlannedOrders[EffectiveQty]&gt;0)*T_PlannedOrders[Order_Month])),"m月")&amp;"発注)")</f>
        <v/>
      </c>
      <c r="AE923">
        <f>IF(SUMIFS(T_PlannedOrders[EffectiveQty],T_PlannedOrders[Part Name],$A917,T_PlannedOrders[WeekIndex],28)=0,"",SUMIFS(T_PlannedOrders[EffectiveQty],T_PlannedOrders[Part Name],$A917,T_PlannedOrders[WeekIndex],28)&amp;" ("&amp;TEXT(SUMPRODUCT(MAX((T_PlannedOrders[Part Name]=$A917)*(T_PlannedOrders[WeekIndex]=28)*(T_PlannedOrders[EffectiveQty]&gt;0)*T_PlannedOrders[Order_Month])),"m月")&amp;"発注)")</f>
        <v/>
      </c>
      <c r="AF923">
        <f>IF(SUMIFS(T_PlannedOrders[EffectiveQty],T_PlannedOrders[Part Name],$A917,T_PlannedOrders[WeekIndex],29)=0,"",SUMIFS(T_PlannedOrders[EffectiveQty],T_PlannedOrders[Part Name],$A917,T_PlannedOrders[WeekIndex],29)&amp;" ("&amp;TEXT(SUMPRODUCT(MAX((T_PlannedOrders[Part Name]=$A917)*(T_PlannedOrders[WeekIndex]=29)*(T_PlannedOrders[EffectiveQty]&gt;0)*T_PlannedOrders[Order_Month])),"m月")&amp;"発注)")</f>
        <v/>
      </c>
      <c r="AG923">
        <f>IF(SUMIFS(T_PlannedOrders[EffectiveQty],T_PlannedOrders[Part Name],$A917,T_PlannedOrders[WeekIndex],30)=0,"",SUMIFS(T_PlannedOrders[EffectiveQty],T_PlannedOrders[Part Name],$A917,T_PlannedOrders[WeekIndex],30)&amp;" ("&amp;TEXT(SUMPRODUCT(MAX((T_PlannedOrders[Part Name]=$A917)*(T_PlannedOrders[WeekIndex]=30)*(T_PlannedOrders[EffectiveQty]&gt;0)*T_PlannedOrders[Order_Month])),"m月")&amp;"発注)")</f>
        <v/>
      </c>
      <c r="AH923">
        <f>IF(SUMIFS(T_PlannedOrders[EffectiveQty],T_PlannedOrders[Part Name],$A917,T_PlannedOrders[WeekIndex],31)=0,"",SUMIFS(T_PlannedOrders[EffectiveQty],T_PlannedOrders[Part Name],$A917,T_PlannedOrders[WeekIndex],31)&amp;" ("&amp;TEXT(SUMPRODUCT(MAX((T_PlannedOrders[Part Name]=$A917)*(T_PlannedOrders[WeekIndex]=31)*(T_PlannedOrders[EffectiveQty]&gt;0)*T_PlannedOrders[Order_Month])),"m月")&amp;"発注)")</f>
        <v/>
      </c>
      <c r="AI923">
        <f>IF(SUMIFS(T_PlannedOrders[EffectiveQty],T_PlannedOrders[Part Name],$A917,T_PlannedOrders[WeekIndex],32)=0,"",SUMIFS(T_PlannedOrders[EffectiveQty],T_PlannedOrders[Part Name],$A917,T_PlannedOrders[WeekIndex],32)&amp;" ("&amp;TEXT(SUMPRODUCT(MAX((T_PlannedOrders[Part Name]=$A917)*(T_PlannedOrders[WeekIndex]=32)*(T_PlannedOrders[EffectiveQty]&gt;0)*T_PlannedOrders[Order_Month])),"m月")&amp;"発注)")</f>
        <v/>
      </c>
      <c r="AJ923">
        <f>IF(SUMIFS(T_PlannedOrders[EffectiveQty],T_PlannedOrders[Part Name],$A917,T_PlannedOrders[WeekIndex],33)=0,"",SUMIFS(T_PlannedOrders[EffectiveQty],T_PlannedOrders[Part Name],$A917,T_PlannedOrders[WeekIndex],33)&amp;" ("&amp;TEXT(SUMPRODUCT(MAX((T_PlannedOrders[Part Name]=$A917)*(T_PlannedOrders[WeekIndex]=33)*(T_PlannedOrders[EffectiveQty]&gt;0)*T_PlannedOrders[Order_Month])),"m月")&amp;"発注)")</f>
        <v/>
      </c>
      <c r="AK923">
        <f>IF(SUMIFS(T_PlannedOrders[EffectiveQty],T_PlannedOrders[Part Name],$A917,T_PlannedOrders[WeekIndex],34)=0,"",SUMIFS(T_PlannedOrders[EffectiveQty],T_PlannedOrders[Part Name],$A917,T_PlannedOrders[WeekIndex],34)&amp;" ("&amp;TEXT(SUMPRODUCT(MAX((T_PlannedOrders[Part Name]=$A917)*(T_PlannedOrders[WeekIndex]=34)*(T_PlannedOrders[EffectiveQty]&gt;0)*T_PlannedOrders[Order_Month])),"m月")&amp;"発注)")</f>
        <v/>
      </c>
      <c r="AL923">
        <f>IF(SUMIFS(T_PlannedOrders[EffectiveQty],T_PlannedOrders[Part Name],$A917,T_PlannedOrders[WeekIndex],35)=0,"",SUMIFS(T_PlannedOrders[EffectiveQty],T_PlannedOrders[Part Name],$A917,T_PlannedOrders[WeekIndex],35)&amp;" ("&amp;TEXT(SUMPRODUCT(MAX((T_PlannedOrders[Part Name]=$A917)*(T_PlannedOrders[WeekIndex]=35)*(T_PlannedOrders[EffectiveQty]&gt;0)*T_PlannedOrders[Order_Month])),"m月")&amp;"発注)")</f>
        <v/>
      </c>
      <c r="AM923">
        <f>IF(SUMIFS(T_PlannedOrders[EffectiveQty],T_PlannedOrders[Part Name],$A917,T_PlannedOrders[WeekIndex],36)=0,"",SUMIFS(T_PlannedOrders[EffectiveQty],T_PlannedOrders[Part Name],$A917,T_PlannedOrders[WeekIndex],36)&amp;" ("&amp;TEXT(SUMPRODUCT(MAX((T_PlannedOrders[Part Name]=$A917)*(T_PlannedOrders[WeekIndex]=36)*(T_PlannedOrders[EffectiveQty]&gt;0)*T_PlannedOrders[Order_Month])),"m月")&amp;"発注)")</f>
        <v/>
      </c>
      <c r="AN923">
        <f>IF(SUMIFS(T_PlannedOrders[EffectiveQty],T_PlannedOrders[Part Name],$A917,T_PlannedOrders[WeekIndex],37)=0,"",SUMIFS(T_PlannedOrders[EffectiveQty],T_PlannedOrders[Part Name],$A917,T_PlannedOrders[WeekIndex],37)&amp;" ("&amp;TEXT(SUMPRODUCT(MAX((T_PlannedOrders[Part Name]=$A917)*(T_PlannedOrders[WeekIndex]=37)*(T_PlannedOrders[EffectiveQty]&gt;0)*T_PlannedOrders[Order_Month])),"m月")&amp;"発注)")</f>
        <v/>
      </c>
      <c r="AO923">
        <f>IF(SUMIFS(T_PlannedOrders[EffectiveQty],T_PlannedOrders[Part Name],$A917,T_PlannedOrders[WeekIndex],38)=0,"",SUMIFS(T_PlannedOrders[EffectiveQty],T_PlannedOrders[Part Name],$A917,T_PlannedOrders[WeekIndex],38)&amp;" ("&amp;TEXT(SUMPRODUCT(MAX((T_PlannedOrders[Part Name]=$A917)*(T_PlannedOrders[WeekIndex]=38)*(T_PlannedOrders[EffectiveQty]&gt;0)*T_PlannedOrders[Order_Month])),"m月")&amp;"発注)")</f>
        <v/>
      </c>
      <c r="AP923">
        <f>IF(SUMIFS(T_PlannedOrders[EffectiveQty],T_PlannedOrders[Part Name],$A917,T_PlannedOrders[WeekIndex],39)=0,"",SUMIFS(T_PlannedOrders[EffectiveQty],T_PlannedOrders[Part Name],$A917,T_PlannedOrders[WeekIndex],39)&amp;" ("&amp;TEXT(SUMPRODUCT(MAX((T_PlannedOrders[Part Name]=$A917)*(T_PlannedOrders[WeekIndex]=39)*(T_PlannedOrders[EffectiveQty]&gt;0)*T_PlannedOrders[Order_Month])),"m月")&amp;"発注)")</f>
        <v/>
      </c>
      <c r="AQ923">
        <f>IF(SUMIFS(T_PlannedOrders[EffectiveQty],T_PlannedOrders[Part Name],$A917,T_PlannedOrders[WeekIndex],40)=0,"",SUMIFS(T_PlannedOrders[EffectiveQty],T_PlannedOrders[Part Name],$A917,T_PlannedOrders[WeekIndex],40)&amp;" ("&amp;TEXT(SUMPRODUCT(MAX((T_PlannedOrders[Part Name]=$A917)*(T_PlannedOrders[WeekIndex]=40)*(T_PlannedOrders[EffectiveQty]&gt;0)*T_PlannedOrders[Order_Month])),"m月")&amp;"発注)")</f>
        <v/>
      </c>
      <c r="AR923">
        <f>IF(SUMIFS(T_PlannedOrders[EffectiveQty],T_PlannedOrders[Part Name],$A917,T_PlannedOrders[WeekIndex],41)=0,"",SUMIFS(T_PlannedOrders[EffectiveQty],T_PlannedOrders[Part Name],$A917,T_PlannedOrders[WeekIndex],41)&amp;" ("&amp;TEXT(SUMPRODUCT(MAX((T_PlannedOrders[Part Name]=$A917)*(T_PlannedOrders[WeekIndex]=41)*(T_PlannedOrders[EffectiveQty]&gt;0)*T_PlannedOrders[Order_Month])),"m月")&amp;"発注)")</f>
        <v/>
      </c>
      <c r="AS923">
        <f>IF(SUMIFS(T_PlannedOrders[EffectiveQty],T_PlannedOrders[Part Name],$A917,T_PlannedOrders[WeekIndex],42)=0,"",SUMIFS(T_PlannedOrders[EffectiveQty],T_PlannedOrders[Part Name],$A917,T_PlannedOrders[WeekIndex],42)&amp;" ("&amp;TEXT(SUMPRODUCT(MAX((T_PlannedOrders[Part Name]=$A917)*(T_PlannedOrders[WeekIndex]=42)*(T_PlannedOrders[EffectiveQty]&gt;0)*T_PlannedOrders[Order_Month])),"m月")&amp;"発注)")</f>
        <v/>
      </c>
      <c r="AT923">
        <f>IF(SUMIFS(T_PlannedOrders[EffectiveQty],T_PlannedOrders[Part Name],$A917,T_PlannedOrders[WeekIndex],43)=0,"",SUMIFS(T_PlannedOrders[EffectiveQty],T_PlannedOrders[Part Name],$A917,T_PlannedOrders[WeekIndex],43)&amp;" ("&amp;TEXT(SUMPRODUCT(MAX((T_PlannedOrders[Part Name]=$A917)*(T_PlannedOrders[WeekIndex]=43)*(T_PlannedOrders[EffectiveQty]&gt;0)*T_PlannedOrders[Order_Month])),"m月")&amp;"発注)")</f>
        <v/>
      </c>
      <c r="AU923">
        <f>IF(SUMIFS(T_PlannedOrders[EffectiveQty],T_PlannedOrders[Part Name],$A917,T_PlannedOrders[WeekIndex],44)=0,"",SUMIFS(T_PlannedOrders[EffectiveQty],T_PlannedOrders[Part Name],$A917,T_PlannedOrders[WeekIndex],44)&amp;" ("&amp;TEXT(SUMPRODUCT(MAX((T_PlannedOrders[Part Name]=$A917)*(T_PlannedOrders[WeekIndex]=44)*(T_PlannedOrders[EffectiveQty]&gt;0)*T_PlannedOrders[Order_Month])),"m月")&amp;"発注)")</f>
        <v/>
      </c>
      <c r="AV923">
        <f>IF(SUMIFS(T_PlannedOrders[EffectiveQty],T_PlannedOrders[Part Name],$A917,T_PlannedOrders[WeekIndex],45)=0,"",SUMIFS(T_PlannedOrders[EffectiveQty],T_PlannedOrders[Part Name],$A917,T_PlannedOrders[WeekIndex],45)&amp;" ("&amp;TEXT(SUMPRODUCT(MAX((T_PlannedOrders[Part Name]=$A917)*(T_PlannedOrders[WeekIndex]=45)*(T_PlannedOrders[EffectiveQty]&gt;0)*T_PlannedOrders[Order_Month])),"m月")&amp;"発注)")</f>
        <v/>
      </c>
      <c r="AW923">
        <f>IF(SUMIFS(T_PlannedOrders[EffectiveQty],T_PlannedOrders[Part Name],$A917,T_PlannedOrders[WeekIndex],46)=0,"",SUMIFS(T_PlannedOrders[EffectiveQty],T_PlannedOrders[Part Name],$A917,T_PlannedOrders[WeekIndex],46)&amp;" ("&amp;TEXT(SUMPRODUCT(MAX((T_PlannedOrders[Part Name]=$A917)*(T_PlannedOrders[WeekIndex]=46)*(T_PlannedOrders[EffectiveQty]&gt;0)*T_PlannedOrders[Order_Month])),"m月")&amp;"発注)")</f>
        <v/>
      </c>
      <c r="AX923">
        <f>IF(SUMIFS(T_PlannedOrders[EffectiveQty],T_PlannedOrders[Part Name],$A917,T_PlannedOrders[WeekIndex],47)=0,"",SUMIFS(T_PlannedOrders[EffectiveQty],T_PlannedOrders[Part Name],$A917,T_PlannedOrders[WeekIndex],47)&amp;" ("&amp;TEXT(SUMPRODUCT(MAX((T_PlannedOrders[Part Name]=$A917)*(T_PlannedOrders[WeekIndex]=47)*(T_PlannedOrders[EffectiveQty]&gt;0)*T_PlannedOrders[Order_Month])),"m月")&amp;"発注)")</f>
        <v/>
      </c>
      <c r="AY923">
        <f>IF(SUMIFS(T_PlannedOrders[EffectiveQty],T_PlannedOrders[Part Name],$A917,T_PlannedOrders[WeekIndex],48)=0,"",SUMIFS(T_PlannedOrders[EffectiveQty],T_PlannedOrders[Part Name],$A917,T_PlannedOrders[WeekIndex],48)&amp;" ("&amp;TEXT(SUMPRODUCT(MAX((T_PlannedOrders[Part Name]=$A917)*(T_PlannedOrders[WeekIndex]=48)*(T_PlannedOrders[EffectiveQty]&gt;0)*T_PlannedOrders[Order_Month])),"m月")&amp;"発注)")</f>
        <v/>
      </c>
      <c r="AZ923">
        <f>IF(SUMIFS(T_PlannedOrders[EffectiveQty],T_PlannedOrders[Part Name],$A917,T_PlannedOrders[WeekIndex],49)=0,"",SUMIFS(T_PlannedOrders[EffectiveQty],T_PlannedOrders[Part Name],$A917,T_PlannedOrders[WeekIndex],49)&amp;" ("&amp;TEXT(SUMPRODUCT(MAX((T_PlannedOrders[Part Name]=$A917)*(T_PlannedOrders[WeekIndex]=49)*(T_PlannedOrders[EffectiveQty]&gt;0)*T_PlannedOrders[Order_Month])),"m月")&amp;"発注)")</f>
        <v/>
      </c>
      <c r="BA923">
        <f>IF(SUMIFS(T_PlannedOrders[EffectiveQty],T_PlannedOrders[Part Name],$A917,T_PlannedOrders[WeekIndex],50)=0,"",SUMIFS(T_PlannedOrders[EffectiveQty],T_PlannedOrders[Part Name],$A917,T_PlannedOrders[WeekIndex],50)&amp;" ("&amp;TEXT(SUMPRODUCT(MAX((T_PlannedOrders[Part Name]=$A917)*(T_PlannedOrders[WeekIndex]=50)*(T_PlannedOrders[EffectiveQty]&gt;0)*T_PlannedOrders[Order_Month])),"m月")&amp;"発注)")</f>
        <v/>
      </c>
      <c r="BB923">
        <f>IF(SUMIFS(T_PlannedOrders[EffectiveQty],T_PlannedOrders[Part Name],$A917,T_PlannedOrders[WeekIndex],51)=0,"",SUMIFS(T_PlannedOrders[EffectiveQty],T_PlannedOrders[Part Name],$A917,T_PlannedOrders[WeekIndex],51)&amp;" ("&amp;TEXT(SUMPRODUCT(MAX((T_PlannedOrders[Part Name]=$A917)*(T_PlannedOrders[WeekIndex]=51)*(T_PlannedOrders[EffectiveQty]&gt;0)*T_PlannedOrders[Order_Month])),"m月")&amp;"発注)")</f>
        <v/>
      </c>
      <c r="BC923">
        <f>IF(SUMIFS(T_PlannedOrders[EffectiveQty],T_PlannedOrders[Part Name],$A917,T_PlannedOrders[WeekIndex],52)=0,"",SUMIFS(T_PlannedOrders[EffectiveQty],T_PlannedOrders[Part Name],$A917,T_PlannedOrders[WeekIndex],52)&amp;" ("&amp;TEXT(SUMPRODUCT(MAX((T_PlannedOrders[Part Name]=$A917)*(T_PlannedOrders[WeekIndex]=52)*(T_PlannedOrders[EffectiveQty]&gt;0)*T_PlannedOrders[Order_Month])),"m月")&amp;"発注)")</f>
        <v/>
      </c>
      <c r="BD923">
        <f>IF(SUMIFS(T_PlannedOrders[EffectiveQty],T_PlannedOrders[Part Name],$A917,T_PlannedOrders[WeekIndex],53)=0,"",SUMIFS(T_PlannedOrders[EffectiveQty],T_PlannedOrders[Part Name],$A917,T_PlannedOrders[WeekIndex],53)&amp;" ("&amp;TEXT(SUMPRODUCT(MAX((T_PlannedOrders[Part Name]=$A917)*(T_PlannedOrders[WeekIndex]=53)*(T_PlannedOrders[EffectiveQty]&gt;0)*T_PlannedOrders[Order_Month])),"m月")&amp;"発注)")</f>
        <v/>
      </c>
      <c r="BE923">
        <f>IF(SUMIFS(T_PlannedOrders[EffectiveQty],T_PlannedOrders[Part Name],$A917,T_PlannedOrders[WeekIndex],54)=0,"",SUMIFS(T_PlannedOrders[EffectiveQty],T_PlannedOrders[Part Name],$A917,T_PlannedOrders[WeekIndex],54)&amp;" ("&amp;TEXT(SUMPRODUCT(MAX((T_PlannedOrders[Part Name]=$A917)*(T_PlannedOrders[WeekIndex]=54)*(T_PlannedOrders[EffectiveQty]&gt;0)*T_PlannedOrders[Order_Month])),"m月")&amp;"発注)")</f>
        <v/>
      </c>
      <c r="BF923">
        <f>IF(SUMIFS(T_PlannedOrders[EffectiveQty],T_PlannedOrders[Part Name],$A917,T_PlannedOrders[WeekIndex],55)=0,"",SUMIFS(T_PlannedOrders[EffectiveQty],T_PlannedOrders[Part Name],$A917,T_PlannedOrders[WeekIndex],55)&amp;" ("&amp;TEXT(SUMPRODUCT(MAX((T_PlannedOrders[Part Name]=$A917)*(T_PlannedOrders[WeekIndex]=55)*(T_PlannedOrders[EffectiveQty]&gt;0)*T_PlannedOrders[Order_Month])),"m月")&amp;"発注)")</f>
        <v/>
      </c>
      <c r="BG923">
        <f>IF(SUMIFS(T_PlannedOrders[EffectiveQty],T_PlannedOrders[Part Name],$A917,T_PlannedOrders[WeekIndex],56)=0,"",SUMIFS(T_PlannedOrders[EffectiveQty],T_PlannedOrders[Part Name],$A917,T_PlannedOrders[WeekIndex],56)&amp;" ("&amp;TEXT(SUMPRODUCT(MAX((T_PlannedOrders[Part Name]=$A917)*(T_PlannedOrders[WeekIndex]=56)*(T_PlannedOrders[EffectiveQty]&gt;0)*T_PlannedOrders[Order_Month])),"m月")&amp;"発注)")</f>
        <v/>
      </c>
      <c r="BH923">
        <f>IF(SUMIFS(T_PlannedOrders[EffectiveQty],T_PlannedOrders[Part Name],$A917,T_PlannedOrders[WeekIndex],57)=0,"",SUMIFS(T_PlannedOrders[EffectiveQty],T_PlannedOrders[Part Name],$A917,T_PlannedOrders[WeekIndex],57)&amp;" ("&amp;TEXT(SUMPRODUCT(MAX((T_PlannedOrders[Part Name]=$A917)*(T_PlannedOrders[WeekIndex]=57)*(T_PlannedOrders[EffectiveQty]&gt;0)*T_PlannedOrders[Order_Month])),"m月")&amp;"発注)")</f>
        <v/>
      </c>
      <c r="BI923">
        <f>IF(SUMIFS(T_PlannedOrders[EffectiveQty],T_PlannedOrders[Part Name],$A917,T_PlannedOrders[WeekIndex],58)=0,"",SUMIFS(T_PlannedOrders[EffectiveQty],T_PlannedOrders[Part Name],$A917,T_PlannedOrders[WeekIndex],58)&amp;" ("&amp;TEXT(SUMPRODUCT(MAX((T_PlannedOrders[Part Name]=$A917)*(T_PlannedOrders[WeekIndex]=58)*(T_PlannedOrders[EffectiveQty]&gt;0)*T_PlannedOrders[Order_Month])),"m月")&amp;"発注)")</f>
        <v/>
      </c>
      <c r="BJ923">
        <f>IF(SUMIFS(T_PlannedOrders[EffectiveQty],T_PlannedOrders[Part Name],$A917,T_PlannedOrders[WeekIndex],59)=0,"",SUMIFS(T_PlannedOrders[EffectiveQty],T_PlannedOrders[Part Name],$A917,T_PlannedOrders[WeekIndex],59)&amp;" ("&amp;TEXT(SUMPRODUCT(MAX((T_PlannedOrders[Part Name]=$A917)*(T_PlannedOrders[WeekIndex]=59)*(T_PlannedOrders[EffectiveQty]&gt;0)*T_PlannedOrders[Order_Month])),"m月")&amp;"発注)")</f>
        <v/>
      </c>
      <c r="BK923">
        <f>IF(SUMIFS(T_PlannedOrders[EffectiveQty],T_PlannedOrders[Part Name],$A917,T_PlannedOrders[WeekIndex],60)=0,"",SUMIFS(T_PlannedOrders[EffectiveQty],T_PlannedOrders[Part Name],$A917,T_PlannedOrders[WeekIndex],60)&amp;" ("&amp;TEXT(SUMPRODUCT(MAX((T_PlannedOrders[Part Name]=$A917)*(T_PlannedOrders[WeekIndex]=60)*(T_PlannedOrders[EffectiveQty]&gt;0)*T_PlannedOrders[Order_Month])),"m月")&amp;"発注)")</f>
        <v/>
      </c>
      <c r="BL923">
        <f>IF(SUMIFS(T_PlannedOrders[EffectiveQty],T_PlannedOrders[Part Name],$A917,T_PlannedOrders[WeekIndex],61)=0,"",SUMIFS(T_PlannedOrders[EffectiveQty],T_PlannedOrders[Part Name],$A917,T_PlannedOrders[WeekIndex],61)&amp;" ("&amp;TEXT(SUMPRODUCT(MAX((T_PlannedOrders[Part Name]=$A917)*(T_PlannedOrders[WeekIndex]=61)*(T_PlannedOrders[EffectiveQty]&gt;0)*T_PlannedOrders[Order_Month])),"m月")&amp;"発注)")</f>
        <v/>
      </c>
      <c r="BM923">
        <f>IF(SUMIFS(T_PlannedOrders[EffectiveQty],T_PlannedOrders[Part Name],$A917,T_PlannedOrders[WeekIndex],62)=0,"",SUMIFS(T_PlannedOrders[EffectiveQty],T_PlannedOrders[Part Name],$A917,T_PlannedOrders[WeekIndex],62)&amp;" ("&amp;TEXT(SUMPRODUCT(MAX((T_PlannedOrders[Part Name]=$A917)*(T_PlannedOrders[WeekIndex]=62)*(T_PlannedOrders[EffectiveQty]&gt;0)*T_PlannedOrders[Order_Month])),"m月")&amp;"発注)")</f>
        <v/>
      </c>
      <c r="BN923">
        <f>IF(SUMIFS(T_PlannedOrders[EffectiveQty],T_PlannedOrders[Part Name],$A917,T_PlannedOrders[WeekIndex],63)=0,"",SUMIFS(T_PlannedOrders[EffectiveQty],T_PlannedOrders[Part Name],$A917,T_PlannedOrders[WeekIndex],63)&amp;" ("&amp;TEXT(SUMPRODUCT(MAX((T_PlannedOrders[Part Name]=$A917)*(T_PlannedOrders[WeekIndex]=63)*(T_PlannedOrders[EffectiveQty]&gt;0)*T_PlannedOrders[Order_Month])),"m月")&amp;"発注)")</f>
        <v/>
      </c>
      <c r="BO923">
        <f>IF(SUMIFS(T_PlannedOrders[EffectiveQty],T_PlannedOrders[Part Name],$A917,T_PlannedOrders[WeekIndex],64)=0,"",SUMIFS(T_PlannedOrders[EffectiveQty],T_PlannedOrders[Part Name],$A917,T_PlannedOrders[WeekIndex],64)&amp;" ("&amp;TEXT(SUMPRODUCT(MAX((T_PlannedOrders[Part Name]=$A917)*(T_PlannedOrders[WeekIndex]=64)*(T_PlannedOrders[EffectiveQty]&gt;0)*T_PlannedOrders[Order_Month])),"m月")&amp;"発注)")</f>
        <v/>
      </c>
      <c r="BP923">
        <f>IF(SUMIFS(T_PlannedOrders[EffectiveQty],T_PlannedOrders[Part Name],$A917,T_PlannedOrders[WeekIndex],65)=0,"",SUMIFS(T_PlannedOrders[EffectiveQty],T_PlannedOrders[Part Name],$A917,T_PlannedOrders[WeekIndex],65)&amp;" ("&amp;TEXT(SUMPRODUCT(MAX((T_PlannedOrders[Part Name]=$A917)*(T_PlannedOrders[WeekIndex]=65)*(T_PlannedOrders[EffectiveQty]&gt;0)*T_PlannedOrders[Order_Month])),"m月")&amp;"発注)")</f>
        <v/>
      </c>
      <c r="BQ923">
        <f>IF(SUMIFS(T_PlannedOrders[EffectiveQty],T_PlannedOrders[Part Name],$A917,T_PlannedOrders[WeekIndex],66)=0,"",SUMIFS(T_PlannedOrders[EffectiveQty],T_PlannedOrders[Part Name],$A917,T_PlannedOrders[WeekIndex],66)&amp;" ("&amp;TEXT(SUMPRODUCT(MAX((T_PlannedOrders[Part Name]=$A917)*(T_PlannedOrders[WeekIndex]=66)*(T_PlannedOrders[EffectiveQty]&gt;0)*T_PlannedOrders[Order_Month])),"m月")&amp;"発注)")</f>
        <v/>
      </c>
      <c r="BR923">
        <f>IF(SUMIFS(T_PlannedOrders[EffectiveQty],T_PlannedOrders[Part Name],$A917,T_PlannedOrders[WeekIndex],67)=0,"",SUMIFS(T_PlannedOrders[EffectiveQty],T_PlannedOrders[Part Name],$A917,T_PlannedOrders[WeekIndex],67)&amp;" ("&amp;TEXT(SUMPRODUCT(MAX((T_PlannedOrders[Part Name]=$A917)*(T_PlannedOrders[WeekIndex]=67)*(T_PlannedOrders[EffectiveQty]&gt;0)*T_PlannedOrders[Order_Month])),"m月")&amp;"発注)")</f>
        <v/>
      </c>
      <c r="BS923">
        <f>IF(SUMIFS(T_PlannedOrders[EffectiveQty],T_PlannedOrders[Part Name],$A917,T_PlannedOrders[WeekIndex],68)=0,"",SUMIFS(T_PlannedOrders[EffectiveQty],T_PlannedOrders[Part Name],$A917,T_PlannedOrders[WeekIndex],68)&amp;" ("&amp;TEXT(SUMPRODUCT(MAX((T_PlannedOrders[Part Name]=$A917)*(T_PlannedOrders[WeekIndex]=68)*(T_PlannedOrders[EffectiveQty]&gt;0)*T_PlannedOrders[Order_Month])),"m月")&amp;"発注)")</f>
        <v/>
      </c>
      <c r="BT923">
        <f>IF(SUMIFS(T_PlannedOrders[EffectiveQty],T_PlannedOrders[Part Name],$A917,T_PlannedOrders[WeekIndex],69)=0,"",SUMIFS(T_PlannedOrders[EffectiveQty],T_PlannedOrders[Part Name],$A917,T_PlannedOrders[WeekIndex],69)&amp;" ("&amp;TEXT(SUMPRODUCT(MAX((T_PlannedOrders[Part Name]=$A917)*(T_PlannedOrders[WeekIndex]=69)*(T_PlannedOrders[EffectiveQty]&gt;0)*T_PlannedOrders[Order_Month])),"m月")&amp;"発注)")</f>
        <v/>
      </c>
      <c r="BU923">
        <f>IF(SUMIFS(T_PlannedOrders[EffectiveQty],T_PlannedOrders[Part Name],$A917,T_PlannedOrders[WeekIndex],70)=0,"",SUMIFS(T_PlannedOrders[EffectiveQty],T_PlannedOrders[Part Name],$A917,T_PlannedOrders[WeekIndex],70)&amp;" ("&amp;TEXT(SUMPRODUCT(MAX((T_PlannedOrders[Part Name]=$A917)*(T_PlannedOrders[WeekIndex]=70)*(T_PlannedOrders[EffectiveQty]&gt;0)*T_PlannedOrders[Order_Month])),"m月")&amp;"発注)")</f>
        <v/>
      </c>
      <c r="BV923">
        <f>IF(SUMIFS(T_PlannedOrders[EffectiveQty],T_PlannedOrders[Part Name],$A917,T_PlannedOrders[WeekIndex],71)=0,"",SUMIFS(T_PlannedOrders[EffectiveQty],T_PlannedOrders[Part Name],$A917,T_PlannedOrders[WeekIndex],71)&amp;" ("&amp;TEXT(SUMPRODUCT(MAX((T_PlannedOrders[Part Name]=$A917)*(T_PlannedOrders[WeekIndex]=71)*(T_PlannedOrders[EffectiveQty]&gt;0)*T_PlannedOrders[Order_Month])),"m月")&amp;"発注)")</f>
        <v/>
      </c>
      <c r="BW923">
        <f>IF(SUMIFS(T_PlannedOrders[EffectiveQty],T_PlannedOrders[Part Name],$A917,T_PlannedOrders[WeekIndex],72)=0,"",SUMIFS(T_PlannedOrders[EffectiveQty],T_PlannedOrders[Part Name],$A917,T_PlannedOrders[WeekIndex],72)&amp;" ("&amp;TEXT(SUMPRODUCT(MAX((T_PlannedOrders[Part Name]=$A917)*(T_PlannedOrders[WeekIndex]=72)*(T_PlannedOrders[EffectiveQty]&gt;0)*T_PlannedOrders[Order_Month])),"m月")&amp;"発注)")</f>
        <v/>
      </c>
      <c r="BX923">
        <f>IF(SUMIFS(T_PlannedOrders[EffectiveQty],T_PlannedOrders[Part Name],$A917,T_PlannedOrders[WeekIndex],73)=0,"",SUMIFS(T_PlannedOrders[EffectiveQty],T_PlannedOrders[Part Name],$A917,T_PlannedOrders[WeekIndex],73)&amp;" ("&amp;TEXT(SUMPRODUCT(MAX((T_PlannedOrders[Part Name]=$A917)*(T_PlannedOrders[WeekIndex]=73)*(T_PlannedOrders[EffectiveQty]&gt;0)*T_PlannedOrders[Order_Month])),"m月")&amp;"発注)")</f>
        <v/>
      </c>
      <c r="BY923">
        <f>IF(SUMIFS(T_PlannedOrders[EffectiveQty],T_PlannedOrders[Part Name],$A917,T_PlannedOrders[WeekIndex],74)=0,"",SUMIFS(T_PlannedOrders[EffectiveQty],T_PlannedOrders[Part Name],$A917,T_PlannedOrders[WeekIndex],74)&amp;" ("&amp;TEXT(SUMPRODUCT(MAX((T_PlannedOrders[Part Name]=$A917)*(T_PlannedOrders[WeekIndex]=74)*(T_PlannedOrders[EffectiveQty]&gt;0)*T_PlannedOrders[Order_Month])),"m月")&amp;"発注)")</f>
        <v/>
      </c>
      <c r="BZ923">
        <f>IF(SUMIFS(T_PlannedOrders[EffectiveQty],T_PlannedOrders[Part Name],$A917,T_PlannedOrders[WeekIndex],75)=0,"",SUMIFS(T_PlannedOrders[EffectiveQty],T_PlannedOrders[Part Name],$A917,T_PlannedOrders[WeekIndex],75)&amp;" ("&amp;TEXT(SUMPRODUCT(MAX((T_PlannedOrders[Part Name]=$A917)*(T_PlannedOrders[WeekIndex]=75)*(T_PlannedOrders[EffectiveQty]&gt;0)*T_PlannedOrders[Order_Month])),"m月")&amp;"発注)")</f>
        <v/>
      </c>
      <c r="CA923">
        <f>IF(SUMIFS(T_PlannedOrders[EffectiveQty],T_PlannedOrders[Part Name],$A917,T_PlannedOrders[WeekIndex],76)=0,"",SUMIFS(T_PlannedOrders[EffectiveQty],T_PlannedOrders[Part Name],$A917,T_PlannedOrders[WeekIndex],76)&amp;" ("&amp;TEXT(SUMPRODUCT(MAX((T_PlannedOrders[Part Name]=$A917)*(T_PlannedOrders[WeekIndex]=76)*(T_PlannedOrders[EffectiveQty]&gt;0)*T_PlannedOrders[Order_Month])),"m月")&amp;"発注)")</f>
        <v/>
      </c>
      <c r="CB923">
        <f>IF(SUMIFS(T_PlannedOrders[EffectiveQty],T_PlannedOrders[Part Name],$A917,T_PlannedOrders[WeekIndex],77)=0,"",SUMIFS(T_PlannedOrders[EffectiveQty],T_PlannedOrders[Part Name],$A917,T_PlannedOrders[WeekIndex],77)&amp;" ("&amp;TEXT(SUMPRODUCT(MAX((T_PlannedOrders[Part Name]=$A917)*(T_PlannedOrders[WeekIndex]=77)*(T_PlannedOrders[EffectiveQty]&gt;0)*T_PlannedOrders[Order_Month])),"m月")&amp;"発注)")</f>
        <v/>
      </c>
      <c r="CC923">
        <f>IF(SUMIFS(T_PlannedOrders[EffectiveQty],T_PlannedOrders[Part Name],$A917,T_PlannedOrders[WeekIndex],78)=0,"",SUMIFS(T_PlannedOrders[EffectiveQty],T_PlannedOrders[Part Name],$A917,T_PlannedOrders[WeekIndex],78)&amp;" ("&amp;TEXT(SUMPRODUCT(MAX((T_PlannedOrders[Part Name]=$A917)*(T_PlannedOrders[WeekIndex]=78)*(T_PlannedOrders[EffectiveQty]&gt;0)*T_PlannedOrders[Order_Month])),"m月")&amp;"発注)")</f>
        <v/>
      </c>
      <c r="CD923">
        <f>IF(SUMIFS(T_PlannedOrders[EffectiveQty],T_PlannedOrders[Part Name],$A917,T_PlannedOrders[WeekIndex],79)=0,"",SUMIFS(T_PlannedOrders[EffectiveQty],T_PlannedOrders[Part Name],$A917,T_PlannedOrders[WeekIndex],79)&amp;" ("&amp;TEXT(SUMPRODUCT(MAX((T_PlannedOrders[Part Name]=$A917)*(T_PlannedOrders[WeekIndex]=79)*(T_PlannedOrders[EffectiveQty]&gt;0)*T_PlannedOrders[Order_Month])),"m月")&amp;"発注)")</f>
        <v/>
      </c>
      <c r="CE923">
        <f>IF(SUMIFS(T_PlannedOrders[EffectiveQty],T_PlannedOrders[Part Name],$A917,T_PlannedOrders[WeekIndex],80)=0,"",SUMIFS(T_PlannedOrders[EffectiveQty],T_PlannedOrders[Part Name],$A917,T_PlannedOrders[WeekIndex],80)&amp;" ("&amp;TEXT(SUMPRODUCT(MAX((T_PlannedOrders[Part Name]=$A917)*(T_PlannedOrders[WeekIndex]=80)*(T_PlannedOrders[EffectiveQty]&gt;0)*T_PlannedOrders[Order_Month])),"m月")&amp;"発注)")</f>
        <v/>
      </c>
      <c r="CF923">
        <f>IF(SUMIFS(T_PlannedOrders[EffectiveQty],T_PlannedOrders[Part Name],$A917,T_PlannedOrders[WeekIndex],81)=0,"",SUMIFS(T_PlannedOrders[EffectiveQty],T_PlannedOrders[Part Name],$A917,T_PlannedOrders[WeekIndex],81)&amp;" ("&amp;TEXT(SUMPRODUCT(MAX((T_PlannedOrders[Part Name]=$A917)*(T_PlannedOrders[WeekIndex]=81)*(T_PlannedOrders[EffectiveQty]&gt;0)*T_PlannedOrders[Order_Month])),"m月")&amp;"発注)")</f>
        <v/>
      </c>
      <c r="CG923">
        <f>IF(SUMIFS(T_PlannedOrders[EffectiveQty],T_PlannedOrders[Part Name],$A917,T_PlannedOrders[WeekIndex],82)=0,"",SUMIFS(T_PlannedOrders[EffectiveQty],T_PlannedOrders[Part Name],$A917,T_PlannedOrders[WeekIndex],82)&amp;" ("&amp;TEXT(SUMPRODUCT(MAX((T_PlannedOrders[Part Name]=$A917)*(T_PlannedOrders[WeekIndex]=82)*(T_PlannedOrders[EffectiveQty]&gt;0)*T_PlannedOrders[Order_Month])),"m月")&amp;"発注)")</f>
        <v/>
      </c>
      <c r="CH923">
        <f>IF(SUMIFS(T_PlannedOrders[EffectiveQty],T_PlannedOrders[Part Name],$A917,T_PlannedOrders[WeekIndex],83)=0,"",SUMIFS(T_PlannedOrders[EffectiveQty],T_PlannedOrders[Part Name],$A917,T_PlannedOrders[WeekIndex],83)&amp;" ("&amp;TEXT(SUMPRODUCT(MAX((T_PlannedOrders[Part Name]=$A917)*(T_PlannedOrders[WeekIndex]=83)*(T_PlannedOrders[EffectiveQty]&gt;0)*T_PlannedOrders[Order_Month])),"m月")&amp;"発注)")</f>
        <v/>
      </c>
      <c r="CI923">
        <f>IF(SUMIFS(T_PlannedOrders[EffectiveQty],T_PlannedOrders[Part Name],$A917,T_PlannedOrders[WeekIndex],84)=0,"",SUMIFS(T_PlannedOrders[EffectiveQty],T_PlannedOrders[Part Name],$A917,T_PlannedOrders[WeekIndex],84)&amp;" ("&amp;TEXT(SUMPRODUCT(MAX((T_PlannedOrders[Part Name]=$A917)*(T_PlannedOrders[WeekIndex]=84)*(T_PlannedOrders[EffectiveQty]&gt;0)*T_PlannedOrders[Order_Month])),"m月")&amp;"発注)")</f>
        <v/>
      </c>
      <c r="CJ923">
        <f>IF(SUMIFS(T_PlannedOrders[EffectiveQty],T_PlannedOrders[Part Name],$A917,T_PlannedOrders[WeekIndex],85)=0,"",SUMIFS(T_PlannedOrders[EffectiveQty],T_PlannedOrders[Part Name],$A917,T_PlannedOrders[WeekIndex],85)&amp;" ("&amp;TEXT(SUMPRODUCT(MAX((T_PlannedOrders[Part Name]=$A917)*(T_PlannedOrders[WeekIndex]=85)*(T_PlannedOrders[EffectiveQty]&gt;0)*T_PlannedOrders[Order_Month])),"m月")&amp;"発注)")</f>
        <v/>
      </c>
      <c r="CK923">
        <f>IF(SUMIFS(T_PlannedOrders[EffectiveQty],T_PlannedOrders[Part Name],$A917,T_PlannedOrders[WeekIndex],86)=0,"",SUMIFS(T_PlannedOrders[EffectiveQty],T_PlannedOrders[Part Name],$A917,T_PlannedOrders[WeekIndex],86)&amp;" ("&amp;TEXT(SUMPRODUCT(MAX((T_PlannedOrders[Part Name]=$A917)*(T_PlannedOrders[WeekIndex]=86)*(T_PlannedOrders[EffectiveQty]&gt;0)*T_PlannedOrders[Order_Month])),"m月")&amp;"発注)")</f>
        <v/>
      </c>
      <c r="CL923">
        <f>IF(SUMIFS(T_PlannedOrders[EffectiveQty],T_PlannedOrders[Part Name],$A917,T_PlannedOrders[WeekIndex],87)=0,"",SUMIFS(T_PlannedOrders[EffectiveQty],T_PlannedOrders[Part Name],$A917,T_PlannedOrders[WeekIndex],87)&amp;" ("&amp;TEXT(SUMPRODUCT(MAX((T_PlannedOrders[Part Name]=$A917)*(T_PlannedOrders[WeekIndex]=87)*(T_PlannedOrders[EffectiveQty]&gt;0)*T_PlannedOrders[Order_Month])),"m月")&amp;"発注)")</f>
        <v/>
      </c>
      <c r="CM923">
        <f>IF(SUMIFS(T_PlannedOrders[EffectiveQty],T_PlannedOrders[Part Name],$A917,T_PlannedOrders[WeekIndex],88)=0,"",SUMIFS(T_PlannedOrders[EffectiveQty],T_PlannedOrders[Part Name],$A917,T_PlannedOrders[WeekIndex],88)&amp;" ("&amp;TEXT(SUMPRODUCT(MAX((T_PlannedOrders[Part Name]=$A917)*(T_PlannedOrders[WeekIndex]=88)*(T_PlannedOrders[EffectiveQty]&gt;0)*T_PlannedOrders[Order_Month])),"m月")&amp;"発注)")</f>
        <v/>
      </c>
      <c r="CN923">
        <f>IF(SUMIFS(T_PlannedOrders[EffectiveQty],T_PlannedOrders[Part Name],$A917,T_PlannedOrders[WeekIndex],89)=0,"",SUMIFS(T_PlannedOrders[EffectiveQty],T_PlannedOrders[Part Name],$A917,T_PlannedOrders[WeekIndex],89)&amp;" ("&amp;TEXT(SUMPRODUCT(MAX((T_PlannedOrders[Part Name]=$A917)*(T_PlannedOrders[WeekIndex]=89)*(T_PlannedOrders[EffectiveQty]&gt;0)*T_PlannedOrders[Order_Month])),"m月")&amp;"発注)")</f>
        <v/>
      </c>
      <c r="CO923">
        <f>IF(SUMIFS(T_PlannedOrders[EffectiveQty],T_PlannedOrders[Part Name],$A917,T_PlannedOrders[WeekIndex],90)=0,"",SUMIFS(T_PlannedOrders[EffectiveQty],T_PlannedOrders[Part Name],$A917,T_PlannedOrders[WeekIndex],90)&amp;" ("&amp;TEXT(SUMPRODUCT(MAX((T_PlannedOrders[Part Name]=$A917)*(T_PlannedOrders[WeekIndex]=90)*(T_PlannedOrders[EffectiveQty]&gt;0)*T_PlannedOrders[Order_Month])),"m月")&amp;"発注)")</f>
        <v/>
      </c>
      <c r="CP923">
        <f>IF(SUMIFS(T_PlannedOrders[EffectiveQty],T_PlannedOrders[Part Name],$A917,T_PlannedOrders[WeekIndex],91)=0,"",SUMIFS(T_PlannedOrders[EffectiveQty],T_PlannedOrders[Part Name],$A917,T_PlannedOrders[WeekIndex],91)&amp;" ("&amp;TEXT(SUMPRODUCT(MAX((T_PlannedOrders[Part Name]=$A917)*(T_PlannedOrders[WeekIndex]=91)*(T_PlannedOrders[EffectiveQty]&gt;0)*T_PlannedOrders[Order_Month])),"m月")&amp;"発注)")</f>
        <v/>
      </c>
      <c r="CQ923">
        <f>IF(SUMIFS(T_PlannedOrders[EffectiveQty],T_PlannedOrders[Part Name],$A917,T_PlannedOrders[WeekIndex],92)=0,"",SUMIFS(T_PlannedOrders[EffectiveQty],T_PlannedOrders[Part Name],$A917,T_PlannedOrders[WeekIndex],92)&amp;" ("&amp;TEXT(SUMPRODUCT(MAX((T_PlannedOrders[Part Name]=$A917)*(T_PlannedOrders[WeekIndex]=92)*(T_PlannedOrders[EffectiveQty]&gt;0)*T_PlannedOrders[Order_Month])),"m月")&amp;"発注)")</f>
        <v/>
      </c>
      <c r="CR923">
        <f>IF(SUMIFS(T_PlannedOrders[EffectiveQty],T_PlannedOrders[Part Name],$A917,T_PlannedOrders[WeekIndex],93)=0,"",SUMIFS(T_PlannedOrders[EffectiveQty],T_PlannedOrders[Part Name],$A917,T_PlannedOrders[WeekIndex],93)&amp;" ("&amp;TEXT(SUMPRODUCT(MAX((T_PlannedOrders[Part Name]=$A917)*(T_PlannedOrders[WeekIndex]=93)*(T_PlannedOrders[EffectiveQty]&gt;0)*T_PlannedOrders[Order_Month])),"m月")&amp;"発注)")</f>
        <v/>
      </c>
      <c r="CS923">
        <f>IF(SUMIFS(T_PlannedOrders[EffectiveQty],T_PlannedOrders[Part Name],$A917,T_PlannedOrders[WeekIndex],94)=0,"",SUMIFS(T_PlannedOrders[EffectiveQty],T_PlannedOrders[Part Name],$A917,T_PlannedOrders[WeekIndex],94)&amp;" ("&amp;TEXT(SUMPRODUCT(MAX((T_PlannedOrders[Part Name]=$A917)*(T_PlannedOrders[WeekIndex]=94)*(T_PlannedOrders[EffectiveQty]&gt;0)*T_PlannedOrders[Order_Month])),"m月")&amp;"発注)")</f>
        <v/>
      </c>
      <c r="CT923">
        <f>IF(SUMIFS(T_PlannedOrders[EffectiveQty],T_PlannedOrders[Part Name],$A917,T_PlannedOrders[WeekIndex],95)=0,"",SUMIFS(T_PlannedOrders[EffectiveQty],T_PlannedOrders[Part Name],$A917,T_PlannedOrders[WeekIndex],95)&amp;" ("&amp;TEXT(SUMPRODUCT(MAX((T_PlannedOrders[Part Name]=$A917)*(T_PlannedOrders[WeekIndex]=95)*(T_PlannedOrders[EffectiveQty]&gt;0)*T_PlannedOrders[Order_Month])),"m月")&amp;"発注)")</f>
        <v/>
      </c>
      <c r="CU923">
        <f>IF(SUMIFS(T_PlannedOrders[EffectiveQty],T_PlannedOrders[Part Name],$A917,T_PlannedOrders[WeekIndex],96)=0,"",SUMIFS(T_PlannedOrders[EffectiveQty],T_PlannedOrders[Part Name],$A917,T_PlannedOrders[WeekIndex],96)&amp;" ("&amp;TEXT(SUMPRODUCT(MAX((T_PlannedOrders[Part Name]=$A917)*(T_PlannedOrders[WeekIndex]=96)*(T_PlannedOrders[EffectiveQty]&gt;0)*T_PlannedOrders[Order_Month])),"m月")&amp;"発注)")</f>
        <v/>
      </c>
      <c r="CV923">
        <f>IF(SUMIFS(T_PlannedOrders[EffectiveQty],T_PlannedOrders[Part Name],$A917,T_PlannedOrders[WeekIndex],97)=0,"",SUMIFS(T_PlannedOrders[EffectiveQty],T_PlannedOrders[Part Name],$A917,T_PlannedOrders[WeekIndex],97)&amp;" ("&amp;TEXT(SUMPRODUCT(MAX((T_PlannedOrders[Part Name]=$A917)*(T_PlannedOrders[WeekIndex]=97)*(T_PlannedOrders[EffectiveQty]&gt;0)*T_PlannedOrders[Order_Month])),"m月")&amp;"発注)")</f>
        <v/>
      </c>
      <c r="CW923">
        <f>IF(SUMIFS(T_PlannedOrders[EffectiveQty],T_PlannedOrders[Part Name],$A917,T_PlannedOrders[WeekIndex],98)=0,"",SUMIFS(T_PlannedOrders[EffectiveQty],T_PlannedOrders[Part Name],$A917,T_PlannedOrders[WeekIndex],98)&amp;" ("&amp;TEXT(SUMPRODUCT(MAX((T_PlannedOrders[Part Name]=$A917)*(T_PlannedOrders[WeekIndex]=98)*(T_PlannedOrders[EffectiveQty]&gt;0)*T_PlannedOrders[Order_Month])),"m月")&amp;"発注)")</f>
        <v/>
      </c>
      <c r="CX923">
        <f>IF(SUMIFS(T_PlannedOrders[EffectiveQty],T_PlannedOrders[Part Name],$A917,T_PlannedOrders[WeekIndex],99)=0,"",SUMIFS(T_PlannedOrders[EffectiveQty],T_PlannedOrders[Part Name],$A917,T_PlannedOrders[WeekIndex],99)&amp;" ("&amp;TEXT(SUMPRODUCT(MAX((T_PlannedOrders[Part Name]=$A917)*(T_PlannedOrders[WeekIndex]=99)*(T_PlannedOrders[EffectiveQty]&gt;0)*T_PlannedOrders[Order_Month])),"m月")&amp;"発注)")</f>
        <v/>
      </c>
      <c r="CY923">
        <f>IF(SUMIFS(T_PlannedOrders[EffectiveQty],T_PlannedOrders[Part Name],$A917,T_PlannedOrders[WeekIndex],100)=0,"",SUMIFS(T_PlannedOrders[EffectiveQty],T_PlannedOrders[Part Name],$A917,T_PlannedOrders[WeekIndex],100)&amp;" ("&amp;TEXT(SUMPRODUCT(MAX((T_PlannedOrders[Part Name]=$A917)*(T_PlannedOrders[WeekIndex]=100)*(T_PlannedOrders[EffectiveQty]&gt;0)*T_PlannedOrders[Order_Month])),"m月")&amp;"発注)")</f>
        <v/>
      </c>
      <c r="CZ923">
        <f>IF(SUMIFS(T_PlannedOrders[EffectiveQty],T_PlannedOrders[Part Name],$A917,T_PlannedOrders[WeekIndex],101)=0,"",SUMIFS(T_PlannedOrders[EffectiveQty],T_PlannedOrders[Part Name],$A917,T_PlannedOrders[WeekIndex],101)&amp;" ("&amp;TEXT(SUMPRODUCT(MAX((T_PlannedOrders[Part Name]=$A917)*(T_PlannedOrders[WeekIndex]=101)*(T_PlannedOrders[EffectiveQty]&gt;0)*T_PlannedOrders[Order_Month])),"m月")&amp;"発注)")</f>
        <v/>
      </c>
      <c r="DA923">
        <f>IF(SUMIFS(T_PlannedOrders[EffectiveQty],T_PlannedOrders[Part Name],$A917,T_PlannedOrders[WeekIndex],102)=0,"",SUMIFS(T_PlannedOrders[EffectiveQty],T_PlannedOrders[Part Name],$A917,T_PlannedOrders[WeekIndex],102)&amp;" ("&amp;TEXT(SUMPRODUCT(MAX((T_PlannedOrders[Part Name]=$A917)*(T_PlannedOrders[WeekIndex]=102)*(T_PlannedOrders[EffectiveQty]&gt;0)*T_PlannedOrders[Order_Month])),"m月")&amp;"発注)")</f>
        <v/>
      </c>
      <c r="DB923">
        <f>IF(SUMIFS(T_PlannedOrders[EffectiveQty],T_PlannedOrders[Part Name],$A917,T_PlannedOrders[WeekIndex],103)=0,"",SUMIFS(T_PlannedOrders[EffectiveQty],T_PlannedOrders[Part Name],$A917,T_PlannedOrders[WeekIndex],103)&amp;" ("&amp;TEXT(SUMPRODUCT(MAX((T_PlannedOrders[Part Name]=$A917)*(T_PlannedOrders[WeekIndex]=103)*(T_PlannedOrders[EffectiveQty]&gt;0)*T_PlannedOrders[Order_Month])),"m月")&amp;"発注)")</f>
        <v/>
      </c>
      <c r="DC923">
        <f>IF(SUMIFS(T_PlannedOrders[EffectiveQty],T_PlannedOrders[Part Name],$A917,T_PlannedOrders[WeekIndex],104)=0,"",SUMIFS(T_PlannedOrders[EffectiveQty],T_PlannedOrders[Part Name],$A917,T_PlannedOrders[WeekIndex],104)&amp;" ("&amp;TEXT(SUMPRODUCT(MAX((T_PlannedOrders[Part Name]=$A917)*(T_PlannedOrders[WeekIndex]=104)*(T_PlannedOrders[EffectiveQty]&gt;0)*T_PlannedOrders[Order_Month])),"m月")&amp;"発注)")</f>
        <v/>
      </c>
    </row>
    <row r="924">
      <c r="B924" s="5" t="inlineStr">
        <is>
          <t>合計在庫(週末時点,kg)</t>
        </is>
      </c>
      <c r="D924">
        <f>'Grid_Stock'!B18</f>
        <v/>
      </c>
      <c r="E924">
        <f>'Grid_Stock'!C18</f>
        <v/>
      </c>
      <c r="F924">
        <f>'Grid_Stock'!D18</f>
        <v/>
      </c>
      <c r="G924">
        <f>'Grid_Stock'!E18</f>
        <v/>
      </c>
      <c r="H924">
        <f>'Grid_Stock'!F18</f>
        <v/>
      </c>
      <c r="I924">
        <f>'Grid_Stock'!G18</f>
        <v/>
      </c>
      <c r="J924">
        <f>'Grid_Stock'!H18</f>
        <v/>
      </c>
      <c r="K924">
        <f>'Grid_Stock'!I18</f>
        <v/>
      </c>
      <c r="L924">
        <f>'Grid_Stock'!J18</f>
        <v/>
      </c>
      <c r="M924">
        <f>'Grid_Stock'!K18</f>
        <v/>
      </c>
      <c r="N924">
        <f>'Grid_Stock'!L18</f>
        <v/>
      </c>
      <c r="O924">
        <f>'Grid_Stock'!M18</f>
        <v/>
      </c>
      <c r="P924">
        <f>'Grid_Stock'!N18</f>
        <v/>
      </c>
      <c r="Q924">
        <f>'Grid_Stock'!O18</f>
        <v/>
      </c>
      <c r="R924">
        <f>'Grid_Stock'!P18</f>
        <v/>
      </c>
      <c r="S924">
        <f>'Grid_Stock'!Q18</f>
        <v/>
      </c>
      <c r="T924">
        <f>'Grid_Stock'!R18</f>
        <v/>
      </c>
      <c r="U924">
        <f>'Grid_Stock'!S18</f>
        <v/>
      </c>
      <c r="V924">
        <f>'Grid_Stock'!T18</f>
        <v/>
      </c>
      <c r="W924">
        <f>'Grid_Stock'!U18</f>
        <v/>
      </c>
      <c r="X924">
        <f>'Grid_Stock'!V18</f>
        <v/>
      </c>
      <c r="Y924">
        <f>'Grid_Stock'!W18</f>
        <v/>
      </c>
      <c r="Z924">
        <f>'Grid_Stock'!X18</f>
        <v/>
      </c>
      <c r="AA924">
        <f>'Grid_Stock'!Y18</f>
        <v/>
      </c>
      <c r="AB924">
        <f>'Grid_Stock'!Z18</f>
        <v/>
      </c>
      <c r="AC924">
        <f>'Grid_Stock'!AA18</f>
        <v/>
      </c>
      <c r="AD924">
        <f>'Grid_Stock'!AB18</f>
        <v/>
      </c>
      <c r="AE924">
        <f>'Grid_Stock'!AC18</f>
        <v/>
      </c>
      <c r="AF924">
        <f>'Grid_Stock'!AD18</f>
        <v/>
      </c>
      <c r="AG924">
        <f>'Grid_Stock'!AE18</f>
        <v/>
      </c>
      <c r="AH924">
        <f>'Grid_Stock'!AF18</f>
        <v/>
      </c>
      <c r="AI924">
        <f>'Grid_Stock'!AG18</f>
        <v/>
      </c>
      <c r="AJ924">
        <f>'Grid_Stock'!AH18</f>
        <v/>
      </c>
      <c r="AK924">
        <f>'Grid_Stock'!AI18</f>
        <v/>
      </c>
      <c r="AL924">
        <f>'Grid_Stock'!AJ18</f>
        <v/>
      </c>
      <c r="AM924">
        <f>'Grid_Stock'!AK18</f>
        <v/>
      </c>
      <c r="AN924">
        <f>'Grid_Stock'!AL18</f>
        <v/>
      </c>
      <c r="AO924">
        <f>'Grid_Stock'!AM18</f>
        <v/>
      </c>
      <c r="AP924">
        <f>'Grid_Stock'!AN18</f>
        <v/>
      </c>
      <c r="AQ924">
        <f>'Grid_Stock'!AO18</f>
        <v/>
      </c>
      <c r="AR924">
        <f>'Grid_Stock'!AP18</f>
        <v/>
      </c>
      <c r="AS924">
        <f>'Grid_Stock'!AQ18</f>
        <v/>
      </c>
      <c r="AT924">
        <f>'Grid_Stock'!AR18</f>
        <v/>
      </c>
      <c r="AU924">
        <f>'Grid_Stock'!AS18</f>
        <v/>
      </c>
      <c r="AV924">
        <f>'Grid_Stock'!AT18</f>
        <v/>
      </c>
      <c r="AW924">
        <f>'Grid_Stock'!AU18</f>
        <v/>
      </c>
      <c r="AX924">
        <f>'Grid_Stock'!AV18</f>
        <v/>
      </c>
      <c r="AY924">
        <f>'Grid_Stock'!AW18</f>
        <v/>
      </c>
      <c r="AZ924">
        <f>'Grid_Stock'!AX18</f>
        <v/>
      </c>
      <c r="BA924">
        <f>'Grid_Stock'!AY18</f>
        <v/>
      </c>
      <c r="BB924">
        <f>'Grid_Stock'!AZ18</f>
        <v/>
      </c>
      <c r="BC924">
        <f>'Grid_Stock'!BA18</f>
        <v/>
      </c>
      <c r="BD924">
        <f>'Grid_Stock'!BB18</f>
        <v/>
      </c>
      <c r="BE924">
        <f>'Grid_Stock'!BC18</f>
        <v/>
      </c>
      <c r="BF924">
        <f>'Grid_Stock'!BD18</f>
        <v/>
      </c>
      <c r="BG924">
        <f>'Grid_Stock'!BE18</f>
        <v/>
      </c>
      <c r="BH924">
        <f>'Grid_Stock'!BF18</f>
        <v/>
      </c>
      <c r="BI924">
        <f>'Grid_Stock'!BG18</f>
        <v/>
      </c>
      <c r="BJ924">
        <f>'Grid_Stock'!BH18</f>
        <v/>
      </c>
      <c r="BK924">
        <f>'Grid_Stock'!BI18</f>
        <v/>
      </c>
      <c r="BL924">
        <f>'Grid_Stock'!BJ18</f>
        <v/>
      </c>
      <c r="BM924">
        <f>'Grid_Stock'!BK18</f>
        <v/>
      </c>
      <c r="BN924">
        <f>'Grid_Stock'!BL18</f>
        <v/>
      </c>
      <c r="BO924">
        <f>'Grid_Stock'!BM18</f>
        <v/>
      </c>
      <c r="BP924">
        <f>'Grid_Stock'!BN18</f>
        <v/>
      </c>
      <c r="BQ924">
        <f>'Grid_Stock'!BO18</f>
        <v/>
      </c>
      <c r="BR924">
        <f>'Grid_Stock'!BP18</f>
        <v/>
      </c>
      <c r="BS924">
        <f>'Grid_Stock'!BQ18</f>
        <v/>
      </c>
      <c r="BT924">
        <f>'Grid_Stock'!BR18</f>
        <v/>
      </c>
      <c r="BU924">
        <f>'Grid_Stock'!BS18</f>
        <v/>
      </c>
      <c r="BV924">
        <f>'Grid_Stock'!BT18</f>
        <v/>
      </c>
      <c r="BW924">
        <f>'Grid_Stock'!BU18</f>
        <v/>
      </c>
      <c r="BX924">
        <f>'Grid_Stock'!BV18</f>
        <v/>
      </c>
      <c r="BY924">
        <f>'Grid_Stock'!BW18</f>
        <v/>
      </c>
      <c r="BZ924">
        <f>'Grid_Stock'!BX18</f>
        <v/>
      </c>
      <c r="CA924">
        <f>'Grid_Stock'!BY18</f>
        <v/>
      </c>
      <c r="CB924">
        <f>'Grid_Stock'!BZ18</f>
        <v/>
      </c>
      <c r="CC924">
        <f>'Grid_Stock'!CA18</f>
        <v/>
      </c>
      <c r="CD924">
        <f>'Grid_Stock'!CB18</f>
        <v/>
      </c>
      <c r="CE924">
        <f>'Grid_Stock'!CC18</f>
        <v/>
      </c>
      <c r="CF924">
        <f>'Grid_Stock'!CD18</f>
        <v/>
      </c>
      <c r="CG924">
        <f>'Grid_Stock'!CE18</f>
        <v/>
      </c>
      <c r="CH924">
        <f>'Grid_Stock'!CF18</f>
        <v/>
      </c>
      <c r="CI924">
        <f>'Grid_Stock'!CG18</f>
        <v/>
      </c>
      <c r="CJ924">
        <f>'Grid_Stock'!CH18</f>
        <v/>
      </c>
      <c r="CK924">
        <f>'Grid_Stock'!CI18</f>
        <v/>
      </c>
      <c r="CL924">
        <f>'Grid_Stock'!CJ18</f>
        <v/>
      </c>
      <c r="CM924">
        <f>'Grid_Stock'!CK18</f>
        <v/>
      </c>
      <c r="CN924">
        <f>'Grid_Stock'!CL18</f>
        <v/>
      </c>
      <c r="CO924">
        <f>'Grid_Stock'!CM18</f>
        <v/>
      </c>
      <c r="CP924">
        <f>'Grid_Stock'!CN18</f>
        <v/>
      </c>
      <c r="CQ924">
        <f>'Grid_Stock'!CO18</f>
        <v/>
      </c>
      <c r="CR924">
        <f>'Grid_Stock'!CP18</f>
        <v/>
      </c>
      <c r="CS924">
        <f>'Grid_Stock'!CQ18</f>
        <v/>
      </c>
      <c r="CT924">
        <f>'Grid_Stock'!CR18</f>
        <v/>
      </c>
      <c r="CU924">
        <f>'Grid_Stock'!CS18</f>
        <v/>
      </c>
      <c r="CV924">
        <f>'Grid_Stock'!CT18</f>
        <v/>
      </c>
      <c r="CW924">
        <f>'Grid_Stock'!CU18</f>
        <v/>
      </c>
      <c r="CX924">
        <f>'Grid_Stock'!CV18</f>
        <v/>
      </c>
      <c r="CY924">
        <f>'Grid_Stock'!CW18</f>
        <v/>
      </c>
      <c r="CZ924">
        <f>'Grid_Stock'!CX18</f>
        <v/>
      </c>
      <c r="DA924">
        <f>'Grid_Stock'!CY18</f>
        <v/>
      </c>
      <c r="DB924">
        <f>'Grid_Stock'!CZ18</f>
        <v/>
      </c>
      <c r="DC924">
        <f>'Grid_Stock'!DA18</f>
        <v/>
      </c>
    </row>
    <row r="925">
      <c r="B925" s="23" t="inlineStr">
        <is>
          <t>（発注の目安はDashboardの基準在庫[下限/上限]と色分けを参照）</t>
        </is>
      </c>
    </row>
    <row r="927">
      <c r="A927" s="21" t="inlineStr">
        <is>
          <t>CHEM-1470</t>
        </is>
      </c>
      <c r="B927" s="21" t="inlineStr">
        <is>
          <t>Aluminium Oxide [SCFA-100] - NO LANTHANUM</t>
        </is>
      </c>
      <c r="C927" s="22" t="n"/>
      <c r="D927" s="21" t="n"/>
      <c r="E927" s="21" t="n"/>
      <c r="F927" s="21" t="n"/>
      <c r="G927" s="21" t="n"/>
      <c r="H927" s="2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  <c r="AA927" s="21" t="n"/>
      <c r="AB927" s="21" t="n"/>
      <c r="AC927" s="21" t="n"/>
      <c r="AD927" s="21" t="n"/>
      <c r="AE927" s="21" t="n"/>
      <c r="AF927" s="21" t="n"/>
      <c r="AG927" s="21" t="n"/>
      <c r="AH927" s="21" t="n"/>
      <c r="AI927" s="21" t="n"/>
      <c r="AJ927" s="21" t="n"/>
      <c r="AK927" s="21" t="n"/>
      <c r="AL927" s="21" t="n"/>
      <c r="AM927" s="21" t="n"/>
      <c r="AN927" s="21" t="n"/>
      <c r="AO927" s="21" t="n"/>
      <c r="AP927" s="21" t="n"/>
      <c r="AQ927" s="21" t="n"/>
      <c r="AR927" s="21" t="n"/>
      <c r="AS927" s="21" t="n"/>
      <c r="AT927" s="21" t="n"/>
      <c r="AU927" s="21" t="n"/>
      <c r="AV927" s="21" t="n"/>
      <c r="AW927" s="21" t="n"/>
      <c r="AX927" s="21" t="n"/>
      <c r="AY927" s="21" t="n"/>
      <c r="AZ927" s="21" t="n"/>
      <c r="BA927" s="21" t="n"/>
      <c r="BB927" s="21" t="n"/>
      <c r="BC927" s="21" t="n"/>
      <c r="BD927" s="21" t="n"/>
      <c r="BE927" s="21" t="n"/>
      <c r="BF927" s="21" t="n"/>
      <c r="BG927" s="21" t="n"/>
      <c r="BH927" s="21" t="n"/>
      <c r="BI927" s="21" t="n"/>
      <c r="BJ927" s="21" t="n"/>
      <c r="BK927" s="21" t="n"/>
      <c r="BL927" s="21" t="n"/>
      <c r="BM927" s="21" t="n"/>
      <c r="BN927" s="21" t="n"/>
      <c r="BO927" s="21" t="n"/>
      <c r="BP927" s="21" t="n"/>
      <c r="BQ927" s="21" t="n"/>
      <c r="BR927" s="21" t="n"/>
      <c r="BS927" s="21" t="n"/>
      <c r="BT927" s="21" t="n"/>
      <c r="BU927" s="21" t="n"/>
      <c r="BV927" s="21" t="n"/>
      <c r="BW927" s="21" t="n"/>
      <c r="BX927" s="21" t="n"/>
      <c r="BY927" s="21" t="n"/>
      <c r="BZ927" s="21" t="n"/>
      <c r="CA927" s="21" t="n"/>
      <c r="CB927" s="21" t="n"/>
      <c r="CC927" s="21" t="n"/>
      <c r="CD927" s="21" t="n"/>
      <c r="CE927" s="21" t="n"/>
      <c r="CF927" s="21" t="n"/>
      <c r="CG927" s="21" t="n"/>
      <c r="CH927" s="21" t="n"/>
      <c r="CI927" s="21" t="n"/>
      <c r="CJ927" s="21" t="n"/>
      <c r="CK927" s="21" t="n"/>
      <c r="CL927" s="21" t="n"/>
      <c r="CM927" s="21" t="n"/>
      <c r="CN927" s="21" t="n"/>
      <c r="CO927" s="21" t="n"/>
      <c r="CP927" s="21" t="n"/>
      <c r="CQ927" s="21" t="n"/>
      <c r="CR927" s="21" t="n"/>
      <c r="CS927" s="21" t="n"/>
      <c r="CT927" s="21" t="n"/>
      <c r="CU927" s="21" t="n"/>
      <c r="CV927" s="21" t="n"/>
      <c r="CW927" s="21" t="n"/>
      <c r="CX927" s="21" t="n"/>
      <c r="CY927" s="21" t="n"/>
      <c r="CZ927" s="21" t="n"/>
      <c r="DA927" s="21" t="n"/>
      <c r="DB927" s="21" t="n"/>
      <c r="DC927" s="21" t="n"/>
    </row>
    <row r="928">
      <c r="B928" t="inlineStr">
        <is>
          <t>TSP-224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Name],$A927)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TSP-225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Name],$A927)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s="5" t="inlineStr">
        <is>
          <t>合計使用量(kg)/週</t>
        </is>
      </c>
      <c r="D932">
        <f>'Grid_Requirement'!B27</f>
        <v/>
      </c>
      <c r="E932">
        <f>'Grid_Requirement'!C27</f>
        <v/>
      </c>
      <c r="F932">
        <f>'Grid_Requirement'!D27</f>
        <v/>
      </c>
      <c r="G932">
        <f>'Grid_Requirement'!E27</f>
        <v/>
      </c>
      <c r="H932">
        <f>'Grid_Requirement'!F27</f>
        <v/>
      </c>
      <c r="I932">
        <f>'Grid_Requirement'!G27</f>
        <v/>
      </c>
      <c r="J932">
        <f>'Grid_Requirement'!H27</f>
        <v/>
      </c>
      <c r="K932">
        <f>'Grid_Requirement'!I27</f>
        <v/>
      </c>
      <c r="L932">
        <f>'Grid_Requirement'!J27</f>
        <v/>
      </c>
      <c r="M932">
        <f>'Grid_Requirement'!K27</f>
        <v/>
      </c>
      <c r="N932">
        <f>'Grid_Requirement'!L27</f>
        <v/>
      </c>
      <c r="O932">
        <f>'Grid_Requirement'!M27</f>
        <v/>
      </c>
      <c r="P932">
        <f>'Grid_Requirement'!N27</f>
        <v/>
      </c>
      <c r="Q932">
        <f>'Grid_Requirement'!O27</f>
        <v/>
      </c>
      <c r="R932">
        <f>'Grid_Requirement'!P27</f>
        <v/>
      </c>
      <c r="S932">
        <f>'Grid_Requirement'!Q27</f>
        <v/>
      </c>
      <c r="T932">
        <f>'Grid_Requirement'!R27</f>
        <v/>
      </c>
      <c r="U932">
        <f>'Grid_Requirement'!S27</f>
        <v/>
      </c>
      <c r="V932">
        <f>'Grid_Requirement'!T27</f>
        <v/>
      </c>
      <c r="W932">
        <f>'Grid_Requirement'!U27</f>
        <v/>
      </c>
      <c r="X932">
        <f>'Grid_Requirement'!V27</f>
        <v/>
      </c>
      <c r="Y932">
        <f>'Grid_Requirement'!W27</f>
        <v/>
      </c>
      <c r="Z932">
        <f>'Grid_Requirement'!X27</f>
        <v/>
      </c>
      <c r="AA932">
        <f>'Grid_Requirement'!Y27</f>
        <v/>
      </c>
      <c r="AB932">
        <f>'Grid_Requirement'!Z27</f>
        <v/>
      </c>
      <c r="AC932">
        <f>'Grid_Requirement'!AA27</f>
        <v/>
      </c>
      <c r="AD932">
        <f>'Grid_Requirement'!AB27</f>
        <v/>
      </c>
      <c r="AE932">
        <f>'Grid_Requirement'!AC27</f>
        <v/>
      </c>
      <c r="AF932">
        <f>'Grid_Requirement'!AD27</f>
        <v/>
      </c>
      <c r="AG932">
        <f>'Grid_Requirement'!AE27</f>
        <v/>
      </c>
      <c r="AH932">
        <f>'Grid_Requirement'!AF27</f>
        <v/>
      </c>
      <c r="AI932">
        <f>'Grid_Requirement'!AG27</f>
        <v/>
      </c>
      <c r="AJ932">
        <f>'Grid_Requirement'!AH27</f>
        <v/>
      </c>
      <c r="AK932">
        <f>'Grid_Requirement'!AI27</f>
        <v/>
      </c>
      <c r="AL932">
        <f>'Grid_Requirement'!AJ27</f>
        <v/>
      </c>
      <c r="AM932">
        <f>'Grid_Requirement'!AK27</f>
        <v/>
      </c>
      <c r="AN932">
        <f>'Grid_Requirement'!AL27</f>
        <v/>
      </c>
      <c r="AO932">
        <f>'Grid_Requirement'!AM27</f>
        <v/>
      </c>
      <c r="AP932">
        <f>'Grid_Requirement'!AN27</f>
        <v/>
      </c>
      <c r="AQ932">
        <f>'Grid_Requirement'!AO27</f>
        <v/>
      </c>
      <c r="AR932">
        <f>'Grid_Requirement'!AP27</f>
        <v/>
      </c>
      <c r="AS932">
        <f>'Grid_Requirement'!AQ27</f>
        <v/>
      </c>
      <c r="AT932">
        <f>'Grid_Requirement'!AR27</f>
        <v/>
      </c>
      <c r="AU932">
        <f>'Grid_Requirement'!AS27</f>
        <v/>
      </c>
      <c r="AV932">
        <f>'Grid_Requirement'!AT27</f>
        <v/>
      </c>
      <c r="AW932">
        <f>'Grid_Requirement'!AU27</f>
        <v/>
      </c>
      <c r="AX932">
        <f>'Grid_Requirement'!AV27</f>
        <v/>
      </c>
      <c r="AY932">
        <f>'Grid_Requirement'!AW27</f>
        <v/>
      </c>
      <c r="AZ932">
        <f>'Grid_Requirement'!AX27</f>
        <v/>
      </c>
      <c r="BA932">
        <f>'Grid_Requirement'!AY27</f>
        <v/>
      </c>
      <c r="BB932">
        <f>'Grid_Requirement'!AZ27</f>
        <v/>
      </c>
      <c r="BC932">
        <f>'Grid_Requirement'!BA27</f>
        <v/>
      </c>
      <c r="BD932">
        <f>'Grid_Requirement'!BB27</f>
        <v/>
      </c>
      <c r="BE932">
        <f>'Grid_Requirement'!BC27</f>
        <v/>
      </c>
      <c r="BF932">
        <f>'Grid_Requirement'!BD27</f>
        <v/>
      </c>
      <c r="BG932">
        <f>'Grid_Requirement'!BE27</f>
        <v/>
      </c>
      <c r="BH932">
        <f>'Grid_Requirement'!BF27</f>
        <v/>
      </c>
      <c r="BI932">
        <f>'Grid_Requirement'!BG27</f>
        <v/>
      </c>
      <c r="BJ932">
        <f>'Grid_Requirement'!BH27</f>
        <v/>
      </c>
      <c r="BK932">
        <f>'Grid_Requirement'!BI27</f>
        <v/>
      </c>
      <c r="BL932">
        <f>'Grid_Requirement'!BJ27</f>
        <v/>
      </c>
      <c r="BM932">
        <f>'Grid_Requirement'!BK27</f>
        <v/>
      </c>
      <c r="BN932">
        <f>'Grid_Requirement'!BL27</f>
        <v/>
      </c>
      <c r="BO932">
        <f>'Grid_Requirement'!BM27</f>
        <v/>
      </c>
      <c r="BP932">
        <f>'Grid_Requirement'!BN27</f>
        <v/>
      </c>
      <c r="BQ932">
        <f>'Grid_Requirement'!BO27</f>
        <v/>
      </c>
      <c r="BR932">
        <f>'Grid_Requirement'!BP27</f>
        <v/>
      </c>
      <c r="BS932">
        <f>'Grid_Requirement'!BQ27</f>
        <v/>
      </c>
      <c r="BT932">
        <f>'Grid_Requirement'!BR27</f>
        <v/>
      </c>
      <c r="BU932">
        <f>'Grid_Requirement'!BS27</f>
        <v/>
      </c>
      <c r="BV932">
        <f>'Grid_Requirement'!BT27</f>
        <v/>
      </c>
      <c r="BW932">
        <f>'Grid_Requirement'!BU27</f>
        <v/>
      </c>
      <c r="BX932">
        <f>'Grid_Requirement'!BV27</f>
        <v/>
      </c>
      <c r="BY932">
        <f>'Grid_Requirement'!BW27</f>
        <v/>
      </c>
      <c r="BZ932">
        <f>'Grid_Requirement'!BX27</f>
        <v/>
      </c>
      <c r="CA932">
        <f>'Grid_Requirement'!BY27</f>
        <v/>
      </c>
      <c r="CB932">
        <f>'Grid_Requirement'!BZ27</f>
        <v/>
      </c>
      <c r="CC932">
        <f>'Grid_Requirement'!CA27</f>
        <v/>
      </c>
      <c r="CD932">
        <f>'Grid_Requirement'!CB27</f>
        <v/>
      </c>
      <c r="CE932">
        <f>'Grid_Requirement'!CC27</f>
        <v/>
      </c>
      <c r="CF932">
        <f>'Grid_Requirement'!CD27</f>
        <v/>
      </c>
      <c r="CG932">
        <f>'Grid_Requirement'!CE27</f>
        <v/>
      </c>
      <c r="CH932">
        <f>'Grid_Requirement'!CF27</f>
        <v/>
      </c>
      <c r="CI932">
        <f>'Grid_Requirement'!CG27</f>
        <v/>
      </c>
      <c r="CJ932">
        <f>'Grid_Requirement'!CH27</f>
        <v/>
      </c>
      <c r="CK932">
        <f>'Grid_Requirement'!CI27</f>
        <v/>
      </c>
      <c r="CL932">
        <f>'Grid_Requirement'!CJ27</f>
        <v/>
      </c>
      <c r="CM932">
        <f>'Grid_Requirement'!CK27</f>
        <v/>
      </c>
      <c r="CN932">
        <f>'Grid_Requirement'!CL27</f>
        <v/>
      </c>
      <c r="CO932">
        <f>'Grid_Requirement'!CM27</f>
        <v/>
      </c>
      <c r="CP932">
        <f>'Grid_Requirement'!CN27</f>
        <v/>
      </c>
      <c r="CQ932">
        <f>'Grid_Requirement'!CO27</f>
        <v/>
      </c>
      <c r="CR932">
        <f>'Grid_Requirement'!CP27</f>
        <v/>
      </c>
      <c r="CS932">
        <f>'Grid_Requirement'!CQ27</f>
        <v/>
      </c>
      <c r="CT932">
        <f>'Grid_Requirement'!CR27</f>
        <v/>
      </c>
      <c r="CU932">
        <f>'Grid_Requirement'!CS27</f>
        <v/>
      </c>
      <c r="CV932">
        <f>'Grid_Requirement'!CT27</f>
        <v/>
      </c>
      <c r="CW932">
        <f>'Grid_Requirement'!CU27</f>
        <v/>
      </c>
      <c r="CX932">
        <f>'Grid_Requirement'!CV27</f>
        <v/>
      </c>
      <c r="CY932">
        <f>'Grid_Requirement'!CW27</f>
        <v/>
      </c>
      <c r="CZ932">
        <f>'Grid_Requirement'!CX27</f>
        <v/>
      </c>
      <c r="DA932">
        <f>'Grid_Requirement'!CY27</f>
        <v/>
      </c>
      <c r="DB932">
        <f>'Grid_Requirement'!CZ27</f>
        <v/>
      </c>
      <c r="DC932">
        <f>'Grid_Requirement'!DA27</f>
        <v/>
      </c>
    </row>
    <row r="933">
      <c r="B933" t="inlineStr">
        <is>
          <t>TTAF在庫(実績,kg)</t>
        </is>
      </c>
      <c r="D933">
        <f>'T_TTAFStock'!B31</f>
        <v/>
      </c>
      <c r="E933">
        <f>'T_TTAFStock'!C31</f>
        <v/>
      </c>
      <c r="F933">
        <f>'T_TTAFStock'!D31</f>
        <v/>
      </c>
      <c r="G933">
        <f>'T_TTAFStock'!E31</f>
        <v/>
      </c>
      <c r="H933">
        <f>'T_TTAFStock'!F31</f>
        <v/>
      </c>
      <c r="I933">
        <f>'T_TTAFStock'!G31</f>
        <v/>
      </c>
      <c r="J933">
        <f>'T_TTAFStock'!H31</f>
        <v/>
      </c>
      <c r="K933">
        <f>'T_TTAFStock'!I31</f>
        <v/>
      </c>
      <c r="L933">
        <f>'T_TTAFStock'!J31</f>
        <v/>
      </c>
      <c r="M933">
        <f>'T_TTAFStock'!K31</f>
        <v/>
      </c>
      <c r="N933">
        <f>'T_TTAFStock'!L31</f>
        <v/>
      </c>
      <c r="O933">
        <f>'T_TTAFStock'!M31</f>
        <v/>
      </c>
      <c r="P933">
        <f>'T_TTAFStock'!N31</f>
        <v/>
      </c>
      <c r="Q933">
        <f>'T_TTAFStock'!O31</f>
        <v/>
      </c>
      <c r="R933">
        <f>'T_TTAFStock'!P31</f>
        <v/>
      </c>
      <c r="S933">
        <f>'T_TTAFStock'!Q31</f>
        <v/>
      </c>
      <c r="T933">
        <f>'T_TTAFStock'!R31</f>
        <v/>
      </c>
      <c r="U933">
        <f>'T_TTAFStock'!S31</f>
        <v/>
      </c>
      <c r="V933">
        <f>'T_TTAFStock'!T31</f>
        <v/>
      </c>
      <c r="W933">
        <f>'T_TTAFStock'!U31</f>
        <v/>
      </c>
      <c r="X933">
        <f>'T_TTAFStock'!V31</f>
        <v/>
      </c>
      <c r="Y933">
        <f>'T_TTAFStock'!W31</f>
        <v/>
      </c>
      <c r="Z933">
        <f>'T_TTAFStock'!X31</f>
        <v/>
      </c>
      <c r="AA933">
        <f>'T_TTAFStock'!Y31</f>
        <v/>
      </c>
      <c r="AB933">
        <f>'T_TTAFStock'!Z31</f>
        <v/>
      </c>
      <c r="AC933">
        <f>'T_TTAFStock'!AA31</f>
        <v/>
      </c>
      <c r="AD933">
        <f>'T_TTAFStock'!AB31</f>
        <v/>
      </c>
      <c r="AE933">
        <f>'T_TTAFStock'!AC31</f>
        <v/>
      </c>
      <c r="AF933">
        <f>'T_TTAFStock'!AD31</f>
        <v/>
      </c>
      <c r="AG933">
        <f>'T_TTAFStock'!AE31</f>
        <v/>
      </c>
      <c r="AH933">
        <f>'T_TTAFStock'!AF31</f>
        <v/>
      </c>
      <c r="AI933">
        <f>'T_TTAFStock'!AG31</f>
        <v/>
      </c>
      <c r="AJ933">
        <f>'T_TTAFStock'!AH31</f>
        <v/>
      </c>
      <c r="AK933">
        <f>'T_TTAFStock'!AI31</f>
        <v/>
      </c>
      <c r="AL933">
        <f>'T_TTAFStock'!AJ31</f>
        <v/>
      </c>
      <c r="AM933">
        <f>'T_TTAFStock'!AK31</f>
        <v/>
      </c>
      <c r="AN933">
        <f>'T_TTAFStock'!AL31</f>
        <v/>
      </c>
      <c r="AO933">
        <f>'T_TTAFStock'!AM31</f>
        <v/>
      </c>
      <c r="AP933">
        <f>'T_TTAFStock'!AN31</f>
        <v/>
      </c>
      <c r="AQ933">
        <f>'T_TTAFStock'!AO31</f>
        <v/>
      </c>
      <c r="AR933">
        <f>'T_TTAFStock'!AP31</f>
        <v/>
      </c>
      <c r="AS933">
        <f>'T_TTAFStock'!AQ31</f>
        <v/>
      </c>
      <c r="AT933">
        <f>'T_TTAFStock'!AR31</f>
        <v/>
      </c>
      <c r="AU933">
        <f>'T_TTAFStock'!AS31</f>
        <v/>
      </c>
      <c r="AV933">
        <f>'T_TTAFStock'!AT31</f>
        <v/>
      </c>
      <c r="AW933">
        <f>'T_TTAFStock'!AU31</f>
        <v/>
      </c>
      <c r="AX933">
        <f>'T_TTAFStock'!AV31</f>
        <v/>
      </c>
      <c r="AY933">
        <f>'T_TTAFStock'!AW31</f>
        <v/>
      </c>
      <c r="AZ933">
        <f>'T_TTAFStock'!AX31</f>
        <v/>
      </c>
      <c r="BA933">
        <f>'T_TTAFStock'!AY31</f>
        <v/>
      </c>
      <c r="BB933">
        <f>'T_TTAFStock'!AZ31</f>
        <v/>
      </c>
      <c r="BC933">
        <f>'T_TTAFStock'!BA31</f>
        <v/>
      </c>
      <c r="BD933">
        <f>'T_TTAFStock'!BB31</f>
        <v/>
      </c>
      <c r="BE933">
        <f>'T_TTAFStock'!BC31</f>
        <v/>
      </c>
      <c r="BF933">
        <f>'T_TTAFStock'!BD31</f>
        <v/>
      </c>
      <c r="BG933">
        <f>'T_TTAFStock'!BE31</f>
        <v/>
      </c>
      <c r="BH933">
        <f>'T_TTAFStock'!BF31</f>
        <v/>
      </c>
      <c r="BI933">
        <f>'T_TTAFStock'!BG31</f>
        <v/>
      </c>
      <c r="BJ933">
        <f>'T_TTAFStock'!BH31</f>
        <v/>
      </c>
      <c r="BK933">
        <f>'T_TTAFStock'!BI31</f>
        <v/>
      </c>
      <c r="BL933">
        <f>'T_TTAFStock'!BJ31</f>
        <v/>
      </c>
      <c r="BM933">
        <f>'T_TTAFStock'!BK31</f>
        <v/>
      </c>
      <c r="BN933">
        <f>'T_TTAFStock'!BL31</f>
        <v/>
      </c>
      <c r="BO933">
        <f>'T_TTAFStock'!BM31</f>
        <v/>
      </c>
      <c r="BP933">
        <f>'T_TTAFStock'!BN31</f>
        <v/>
      </c>
      <c r="BQ933">
        <f>'T_TTAFStock'!BO31</f>
        <v/>
      </c>
      <c r="BR933">
        <f>'T_TTAFStock'!BP31</f>
        <v/>
      </c>
      <c r="BS933">
        <f>'T_TTAFStock'!BQ31</f>
        <v/>
      </c>
      <c r="BT933">
        <f>'T_TTAFStock'!BR31</f>
        <v/>
      </c>
      <c r="BU933">
        <f>'T_TTAFStock'!BS31</f>
        <v/>
      </c>
      <c r="BV933">
        <f>'T_TTAFStock'!BT31</f>
        <v/>
      </c>
      <c r="BW933">
        <f>'T_TTAFStock'!BU31</f>
        <v/>
      </c>
      <c r="BX933">
        <f>'T_TTAFStock'!BV31</f>
        <v/>
      </c>
      <c r="BY933">
        <f>'T_TTAFStock'!BW31</f>
        <v/>
      </c>
      <c r="BZ933">
        <f>'T_TTAFStock'!BX31</f>
        <v/>
      </c>
      <c r="CA933">
        <f>'T_TTAFStock'!BY31</f>
        <v/>
      </c>
      <c r="CB933">
        <f>'T_TTAFStock'!BZ31</f>
        <v/>
      </c>
      <c r="CC933">
        <f>'T_TTAFStock'!CA31</f>
        <v/>
      </c>
      <c r="CD933">
        <f>'T_TTAFStock'!CB31</f>
        <v/>
      </c>
      <c r="CE933">
        <f>'T_TTAFStock'!CC31</f>
        <v/>
      </c>
      <c r="CF933">
        <f>'T_TTAFStock'!CD31</f>
        <v/>
      </c>
      <c r="CG933">
        <f>'T_TTAFStock'!CE31</f>
        <v/>
      </c>
      <c r="CH933">
        <f>'T_TTAFStock'!CF31</f>
        <v/>
      </c>
      <c r="CI933">
        <f>'T_TTAFStock'!CG31</f>
        <v/>
      </c>
      <c r="CJ933">
        <f>'T_TTAFStock'!CH31</f>
        <v/>
      </c>
      <c r="CK933">
        <f>'T_TTAFStock'!CI31</f>
        <v/>
      </c>
      <c r="CL933">
        <f>'T_TTAFStock'!CJ31</f>
        <v/>
      </c>
      <c r="CM933">
        <f>'T_TTAFStock'!CK31</f>
        <v/>
      </c>
      <c r="CN933">
        <f>'T_TTAFStock'!CL31</f>
        <v/>
      </c>
      <c r="CO933">
        <f>'T_TTAFStock'!CM31</f>
        <v/>
      </c>
      <c r="CP933">
        <f>'T_TTAFStock'!CN31</f>
        <v/>
      </c>
      <c r="CQ933">
        <f>'T_TTAFStock'!CO31</f>
        <v/>
      </c>
      <c r="CR933">
        <f>'T_TTAFStock'!CP31</f>
        <v/>
      </c>
      <c r="CS933">
        <f>'T_TTAFStock'!CQ31</f>
        <v/>
      </c>
      <c r="CT933">
        <f>'T_TTAFStock'!CR31</f>
        <v/>
      </c>
      <c r="CU933">
        <f>'T_TTAFStock'!CS31</f>
        <v/>
      </c>
      <c r="CV933">
        <f>'T_TTAFStock'!CT31</f>
        <v/>
      </c>
      <c r="CW933">
        <f>'T_TTAFStock'!CU31</f>
        <v/>
      </c>
      <c r="CX933">
        <f>'T_TTAFStock'!CV31</f>
        <v/>
      </c>
      <c r="CY933">
        <f>'T_TTAFStock'!CW31</f>
        <v/>
      </c>
      <c r="CZ933">
        <f>'T_TTAFStock'!CX31</f>
        <v/>
      </c>
      <c r="DA933">
        <f>'T_TTAFStock'!CY31</f>
        <v/>
      </c>
      <c r="DB933">
        <f>'T_TTAFStock'!CZ31</f>
        <v/>
      </c>
      <c r="DC933">
        <f>'T_TTAFStock'!DA31</f>
        <v/>
      </c>
    </row>
    <row r="934">
      <c r="B934" t="inlineStr">
        <is>
          <t>自社在庫(実績,kg)</t>
        </is>
      </c>
      <c r="D934">
        <f>'T_SelfStock'!B31</f>
        <v/>
      </c>
      <c r="E934">
        <f>'T_SelfStock'!C31</f>
        <v/>
      </c>
      <c r="F934">
        <f>'T_SelfStock'!D31</f>
        <v/>
      </c>
      <c r="G934">
        <f>'T_SelfStock'!E31</f>
        <v/>
      </c>
      <c r="H934">
        <f>'T_SelfStock'!F31</f>
        <v/>
      </c>
      <c r="I934">
        <f>'T_SelfStock'!G31</f>
        <v/>
      </c>
      <c r="J934">
        <f>'T_SelfStock'!H31</f>
        <v/>
      </c>
      <c r="K934">
        <f>'T_SelfStock'!I31</f>
        <v/>
      </c>
      <c r="L934">
        <f>'T_SelfStock'!J31</f>
        <v/>
      </c>
      <c r="M934">
        <f>'T_SelfStock'!K31</f>
        <v/>
      </c>
      <c r="N934">
        <f>'T_SelfStock'!L31</f>
        <v/>
      </c>
      <c r="O934">
        <f>'T_SelfStock'!M31</f>
        <v/>
      </c>
      <c r="P934">
        <f>'T_SelfStock'!N31</f>
        <v/>
      </c>
      <c r="Q934">
        <f>'T_SelfStock'!O31</f>
        <v/>
      </c>
      <c r="R934">
        <f>'T_SelfStock'!P31</f>
        <v/>
      </c>
      <c r="S934">
        <f>'T_SelfStock'!Q31</f>
        <v/>
      </c>
      <c r="T934">
        <f>'T_SelfStock'!R31</f>
        <v/>
      </c>
      <c r="U934">
        <f>'T_SelfStock'!S31</f>
        <v/>
      </c>
      <c r="V934">
        <f>'T_SelfStock'!T31</f>
        <v/>
      </c>
      <c r="W934">
        <f>'T_SelfStock'!U31</f>
        <v/>
      </c>
      <c r="X934">
        <f>'T_SelfStock'!V31</f>
        <v/>
      </c>
      <c r="Y934">
        <f>'T_SelfStock'!W31</f>
        <v/>
      </c>
      <c r="Z934">
        <f>'T_SelfStock'!X31</f>
        <v/>
      </c>
      <c r="AA934">
        <f>'T_SelfStock'!Y31</f>
        <v/>
      </c>
      <c r="AB934">
        <f>'T_SelfStock'!Z31</f>
        <v/>
      </c>
      <c r="AC934">
        <f>'T_SelfStock'!AA31</f>
        <v/>
      </c>
      <c r="AD934">
        <f>'T_SelfStock'!AB31</f>
        <v/>
      </c>
      <c r="AE934">
        <f>'T_SelfStock'!AC31</f>
        <v/>
      </c>
      <c r="AF934">
        <f>'T_SelfStock'!AD31</f>
        <v/>
      </c>
      <c r="AG934">
        <f>'T_SelfStock'!AE31</f>
        <v/>
      </c>
      <c r="AH934">
        <f>'T_SelfStock'!AF31</f>
        <v/>
      </c>
      <c r="AI934">
        <f>'T_SelfStock'!AG31</f>
        <v/>
      </c>
      <c r="AJ934">
        <f>'T_SelfStock'!AH31</f>
        <v/>
      </c>
      <c r="AK934">
        <f>'T_SelfStock'!AI31</f>
        <v/>
      </c>
      <c r="AL934">
        <f>'T_SelfStock'!AJ31</f>
        <v/>
      </c>
      <c r="AM934">
        <f>'T_SelfStock'!AK31</f>
        <v/>
      </c>
      <c r="AN934">
        <f>'T_SelfStock'!AL31</f>
        <v/>
      </c>
      <c r="AO934">
        <f>'T_SelfStock'!AM31</f>
        <v/>
      </c>
      <c r="AP934">
        <f>'T_SelfStock'!AN31</f>
        <v/>
      </c>
      <c r="AQ934">
        <f>'T_SelfStock'!AO31</f>
        <v/>
      </c>
      <c r="AR934">
        <f>'T_SelfStock'!AP31</f>
        <v/>
      </c>
      <c r="AS934">
        <f>'T_SelfStock'!AQ31</f>
        <v/>
      </c>
      <c r="AT934">
        <f>'T_SelfStock'!AR31</f>
        <v/>
      </c>
      <c r="AU934">
        <f>'T_SelfStock'!AS31</f>
        <v/>
      </c>
      <c r="AV934">
        <f>'T_SelfStock'!AT31</f>
        <v/>
      </c>
      <c r="AW934">
        <f>'T_SelfStock'!AU31</f>
        <v/>
      </c>
      <c r="AX934">
        <f>'T_SelfStock'!AV31</f>
        <v/>
      </c>
      <c r="AY934">
        <f>'T_SelfStock'!AW31</f>
        <v/>
      </c>
      <c r="AZ934">
        <f>'T_SelfStock'!AX31</f>
        <v/>
      </c>
      <c r="BA934">
        <f>'T_SelfStock'!AY31</f>
        <v/>
      </c>
      <c r="BB934">
        <f>'T_SelfStock'!AZ31</f>
        <v/>
      </c>
      <c r="BC934">
        <f>'T_SelfStock'!BA31</f>
        <v/>
      </c>
      <c r="BD934">
        <f>'T_SelfStock'!BB31</f>
        <v/>
      </c>
      <c r="BE934">
        <f>'T_SelfStock'!BC31</f>
        <v/>
      </c>
      <c r="BF934">
        <f>'T_SelfStock'!BD31</f>
        <v/>
      </c>
      <c r="BG934">
        <f>'T_SelfStock'!BE31</f>
        <v/>
      </c>
      <c r="BH934">
        <f>'T_SelfStock'!BF31</f>
        <v/>
      </c>
      <c r="BI934">
        <f>'T_SelfStock'!BG31</f>
        <v/>
      </c>
      <c r="BJ934">
        <f>'T_SelfStock'!BH31</f>
        <v/>
      </c>
      <c r="BK934">
        <f>'T_SelfStock'!BI31</f>
        <v/>
      </c>
      <c r="BL934">
        <f>'T_SelfStock'!BJ31</f>
        <v/>
      </c>
      <c r="BM934">
        <f>'T_SelfStock'!BK31</f>
        <v/>
      </c>
      <c r="BN934">
        <f>'T_SelfStock'!BL31</f>
        <v/>
      </c>
      <c r="BO934">
        <f>'T_SelfStock'!BM31</f>
        <v/>
      </c>
      <c r="BP934">
        <f>'T_SelfStock'!BN31</f>
        <v/>
      </c>
      <c r="BQ934">
        <f>'T_SelfStock'!BO31</f>
        <v/>
      </c>
      <c r="BR934">
        <f>'T_SelfStock'!BP31</f>
        <v/>
      </c>
      <c r="BS934">
        <f>'T_SelfStock'!BQ31</f>
        <v/>
      </c>
      <c r="BT934">
        <f>'T_SelfStock'!BR31</f>
        <v/>
      </c>
      <c r="BU934">
        <f>'T_SelfStock'!BS31</f>
        <v/>
      </c>
      <c r="BV934">
        <f>'T_SelfStock'!BT31</f>
        <v/>
      </c>
      <c r="BW934">
        <f>'T_SelfStock'!BU31</f>
        <v/>
      </c>
      <c r="BX934">
        <f>'T_SelfStock'!BV31</f>
        <v/>
      </c>
      <c r="BY934">
        <f>'T_SelfStock'!BW31</f>
        <v/>
      </c>
      <c r="BZ934">
        <f>'T_SelfStock'!BX31</f>
        <v/>
      </c>
      <c r="CA934">
        <f>'T_SelfStock'!BY31</f>
        <v/>
      </c>
      <c r="CB934">
        <f>'T_SelfStock'!BZ31</f>
        <v/>
      </c>
      <c r="CC934">
        <f>'T_SelfStock'!CA31</f>
        <v/>
      </c>
      <c r="CD934">
        <f>'T_SelfStock'!CB31</f>
        <v/>
      </c>
      <c r="CE934">
        <f>'T_SelfStock'!CC31</f>
        <v/>
      </c>
      <c r="CF934">
        <f>'T_SelfStock'!CD31</f>
        <v/>
      </c>
      <c r="CG934">
        <f>'T_SelfStock'!CE31</f>
        <v/>
      </c>
      <c r="CH934">
        <f>'T_SelfStock'!CF31</f>
        <v/>
      </c>
      <c r="CI934">
        <f>'T_SelfStock'!CG31</f>
        <v/>
      </c>
      <c r="CJ934">
        <f>'T_SelfStock'!CH31</f>
        <v/>
      </c>
      <c r="CK934">
        <f>'T_SelfStock'!CI31</f>
        <v/>
      </c>
      <c r="CL934">
        <f>'T_SelfStock'!CJ31</f>
        <v/>
      </c>
      <c r="CM934">
        <f>'T_SelfStock'!CK31</f>
        <v/>
      </c>
      <c r="CN934">
        <f>'T_SelfStock'!CL31</f>
        <v/>
      </c>
      <c r="CO934">
        <f>'T_SelfStock'!CM31</f>
        <v/>
      </c>
      <c r="CP934">
        <f>'T_SelfStock'!CN31</f>
        <v/>
      </c>
      <c r="CQ934">
        <f>'T_SelfStock'!CO31</f>
        <v/>
      </c>
      <c r="CR934">
        <f>'T_SelfStock'!CP31</f>
        <v/>
      </c>
      <c r="CS934">
        <f>'T_SelfStock'!CQ31</f>
        <v/>
      </c>
      <c r="CT934">
        <f>'T_SelfStock'!CR31</f>
        <v/>
      </c>
      <c r="CU934">
        <f>'T_SelfStock'!CS31</f>
        <v/>
      </c>
      <c r="CV934">
        <f>'T_SelfStock'!CT31</f>
        <v/>
      </c>
      <c r="CW934">
        <f>'T_SelfStock'!CU31</f>
        <v/>
      </c>
      <c r="CX934">
        <f>'T_SelfStock'!CV31</f>
        <v/>
      </c>
      <c r="CY934">
        <f>'T_SelfStock'!CW31</f>
        <v/>
      </c>
      <c r="CZ934">
        <f>'T_SelfStock'!CX31</f>
        <v/>
      </c>
      <c r="DA934">
        <f>'T_SelfStock'!CY31</f>
        <v/>
      </c>
      <c r="DB934">
        <f>'T_SelfStock'!CZ31</f>
        <v/>
      </c>
      <c r="DC934">
        <f>'T_SelfStock'!DA31</f>
        <v/>
      </c>
    </row>
    <row r="935">
      <c r="B935" t="inlineStr">
        <is>
          <t>Order(発注予定,kg)</t>
        </is>
      </c>
      <c r="D935">
        <f>IF(SUMIFS(T_PlannedOrders[EffectiveQty],T_PlannedOrders[Part Name],$A927,T_PlannedOrders[WeekIndex],1)=0,"",SUMIFS(T_PlannedOrders[EffectiveQty],T_PlannedOrders[Part Name],$A927,T_PlannedOrders[WeekIndex],1)&amp;" ("&amp;TEXT(SUMPRODUCT(MAX((T_PlannedOrders[Part Name]=$A927)*(T_PlannedOrders[WeekIndex]=1)*(T_PlannedOrders[EffectiveQty]&gt;0)*T_PlannedOrders[Order_Month])),"m月")&amp;"発注)")</f>
        <v/>
      </c>
      <c r="E935">
        <f>IF(SUMIFS(T_PlannedOrders[EffectiveQty],T_PlannedOrders[Part Name],$A927,T_PlannedOrders[WeekIndex],2)=0,"",SUMIFS(T_PlannedOrders[EffectiveQty],T_PlannedOrders[Part Name],$A927,T_PlannedOrders[WeekIndex],2)&amp;" ("&amp;TEXT(SUMPRODUCT(MAX((T_PlannedOrders[Part Name]=$A927)*(T_PlannedOrders[WeekIndex]=2)*(T_PlannedOrders[EffectiveQty]&gt;0)*T_PlannedOrders[Order_Month])),"m月")&amp;"発注)")</f>
        <v/>
      </c>
      <c r="F935">
        <f>IF(SUMIFS(T_PlannedOrders[EffectiveQty],T_PlannedOrders[Part Name],$A927,T_PlannedOrders[WeekIndex],3)=0,"",SUMIFS(T_PlannedOrders[EffectiveQty],T_PlannedOrders[Part Name],$A927,T_PlannedOrders[WeekIndex],3)&amp;" ("&amp;TEXT(SUMPRODUCT(MAX((T_PlannedOrders[Part Name]=$A927)*(T_PlannedOrders[WeekIndex]=3)*(T_PlannedOrders[EffectiveQty]&gt;0)*T_PlannedOrders[Order_Month])),"m月")&amp;"発注)")</f>
        <v/>
      </c>
      <c r="G935">
        <f>IF(SUMIFS(T_PlannedOrders[EffectiveQty],T_PlannedOrders[Part Name],$A927,T_PlannedOrders[WeekIndex],4)=0,"",SUMIFS(T_PlannedOrders[EffectiveQty],T_PlannedOrders[Part Name],$A927,T_PlannedOrders[WeekIndex],4)&amp;" ("&amp;TEXT(SUMPRODUCT(MAX((T_PlannedOrders[Part Name]=$A927)*(T_PlannedOrders[WeekIndex]=4)*(T_PlannedOrders[EffectiveQty]&gt;0)*T_PlannedOrders[Order_Month])),"m月")&amp;"発注)")</f>
        <v/>
      </c>
      <c r="H935">
        <f>IF(SUMIFS(T_PlannedOrders[EffectiveQty],T_PlannedOrders[Part Name],$A927,T_PlannedOrders[WeekIndex],5)=0,"",SUMIFS(T_PlannedOrders[EffectiveQty],T_PlannedOrders[Part Name],$A927,T_PlannedOrders[WeekIndex],5)&amp;" ("&amp;TEXT(SUMPRODUCT(MAX((T_PlannedOrders[Part Name]=$A927)*(T_PlannedOrders[WeekIndex]=5)*(T_PlannedOrders[EffectiveQty]&gt;0)*T_PlannedOrders[Order_Month])),"m月")&amp;"発注)")</f>
        <v/>
      </c>
      <c r="I935">
        <f>IF(SUMIFS(T_PlannedOrders[EffectiveQty],T_PlannedOrders[Part Name],$A927,T_PlannedOrders[WeekIndex],6)=0,"",SUMIFS(T_PlannedOrders[EffectiveQty],T_PlannedOrders[Part Name],$A927,T_PlannedOrders[WeekIndex],6)&amp;" ("&amp;TEXT(SUMPRODUCT(MAX((T_PlannedOrders[Part Name]=$A927)*(T_PlannedOrders[WeekIndex]=6)*(T_PlannedOrders[EffectiveQty]&gt;0)*T_PlannedOrders[Order_Month])),"m月")&amp;"発注)")</f>
        <v/>
      </c>
      <c r="J935">
        <f>IF(SUMIFS(T_PlannedOrders[EffectiveQty],T_PlannedOrders[Part Name],$A927,T_PlannedOrders[WeekIndex],7)=0,"",SUMIFS(T_PlannedOrders[EffectiveQty],T_PlannedOrders[Part Name],$A927,T_PlannedOrders[WeekIndex],7)&amp;" ("&amp;TEXT(SUMPRODUCT(MAX((T_PlannedOrders[Part Name]=$A927)*(T_PlannedOrders[WeekIndex]=7)*(T_PlannedOrders[EffectiveQty]&gt;0)*T_PlannedOrders[Order_Month])),"m月")&amp;"発注)")</f>
        <v/>
      </c>
      <c r="K935">
        <f>IF(SUMIFS(T_PlannedOrders[EffectiveQty],T_PlannedOrders[Part Name],$A927,T_PlannedOrders[WeekIndex],8)=0,"",SUMIFS(T_PlannedOrders[EffectiveQty],T_PlannedOrders[Part Name],$A927,T_PlannedOrders[WeekIndex],8)&amp;" ("&amp;TEXT(SUMPRODUCT(MAX((T_PlannedOrders[Part Name]=$A927)*(T_PlannedOrders[WeekIndex]=8)*(T_PlannedOrders[EffectiveQty]&gt;0)*T_PlannedOrders[Order_Month])),"m月")&amp;"発注)")</f>
        <v/>
      </c>
      <c r="L935">
        <f>IF(SUMIFS(T_PlannedOrders[EffectiveQty],T_PlannedOrders[Part Name],$A927,T_PlannedOrders[WeekIndex],9)=0,"",SUMIFS(T_PlannedOrders[EffectiveQty],T_PlannedOrders[Part Name],$A927,T_PlannedOrders[WeekIndex],9)&amp;" ("&amp;TEXT(SUMPRODUCT(MAX((T_PlannedOrders[Part Name]=$A927)*(T_PlannedOrders[WeekIndex]=9)*(T_PlannedOrders[EffectiveQty]&gt;0)*T_PlannedOrders[Order_Month])),"m月")&amp;"発注)")</f>
        <v/>
      </c>
      <c r="M935">
        <f>IF(SUMIFS(T_PlannedOrders[EffectiveQty],T_PlannedOrders[Part Name],$A927,T_PlannedOrders[WeekIndex],10)=0,"",SUMIFS(T_PlannedOrders[EffectiveQty],T_PlannedOrders[Part Name],$A927,T_PlannedOrders[WeekIndex],10)&amp;" ("&amp;TEXT(SUMPRODUCT(MAX((T_PlannedOrders[Part Name]=$A927)*(T_PlannedOrders[WeekIndex]=10)*(T_PlannedOrders[EffectiveQty]&gt;0)*T_PlannedOrders[Order_Month])),"m月")&amp;"発注)")</f>
        <v/>
      </c>
      <c r="N935">
        <f>IF(SUMIFS(T_PlannedOrders[EffectiveQty],T_PlannedOrders[Part Name],$A927,T_PlannedOrders[WeekIndex],11)=0,"",SUMIFS(T_PlannedOrders[EffectiveQty],T_PlannedOrders[Part Name],$A927,T_PlannedOrders[WeekIndex],11)&amp;" ("&amp;TEXT(SUMPRODUCT(MAX((T_PlannedOrders[Part Name]=$A927)*(T_PlannedOrders[WeekIndex]=11)*(T_PlannedOrders[EffectiveQty]&gt;0)*T_PlannedOrders[Order_Month])),"m月")&amp;"発注)")</f>
        <v/>
      </c>
      <c r="O935">
        <f>IF(SUMIFS(T_PlannedOrders[EffectiveQty],T_PlannedOrders[Part Name],$A927,T_PlannedOrders[WeekIndex],12)=0,"",SUMIFS(T_PlannedOrders[EffectiveQty],T_PlannedOrders[Part Name],$A927,T_PlannedOrders[WeekIndex],12)&amp;" ("&amp;TEXT(SUMPRODUCT(MAX((T_PlannedOrders[Part Name]=$A927)*(T_PlannedOrders[WeekIndex]=12)*(T_PlannedOrders[EffectiveQty]&gt;0)*T_PlannedOrders[Order_Month])),"m月")&amp;"発注)")</f>
        <v/>
      </c>
      <c r="P935">
        <f>IF(SUMIFS(T_PlannedOrders[EffectiveQty],T_PlannedOrders[Part Name],$A927,T_PlannedOrders[WeekIndex],13)=0,"",SUMIFS(T_PlannedOrders[EffectiveQty],T_PlannedOrders[Part Name],$A927,T_PlannedOrders[WeekIndex],13)&amp;" ("&amp;TEXT(SUMPRODUCT(MAX((T_PlannedOrders[Part Name]=$A927)*(T_PlannedOrders[WeekIndex]=13)*(T_PlannedOrders[EffectiveQty]&gt;0)*T_PlannedOrders[Order_Month])),"m月")&amp;"発注)")</f>
        <v/>
      </c>
      <c r="Q935">
        <f>IF(SUMIFS(T_PlannedOrders[EffectiveQty],T_PlannedOrders[Part Name],$A927,T_PlannedOrders[WeekIndex],14)=0,"",SUMIFS(T_PlannedOrders[EffectiveQty],T_PlannedOrders[Part Name],$A927,T_PlannedOrders[WeekIndex],14)&amp;" ("&amp;TEXT(SUMPRODUCT(MAX((T_PlannedOrders[Part Name]=$A927)*(T_PlannedOrders[WeekIndex]=14)*(T_PlannedOrders[EffectiveQty]&gt;0)*T_PlannedOrders[Order_Month])),"m月")&amp;"発注)")</f>
        <v/>
      </c>
      <c r="R935">
        <f>IF(SUMIFS(T_PlannedOrders[EffectiveQty],T_PlannedOrders[Part Name],$A927,T_PlannedOrders[WeekIndex],15)=0,"",SUMIFS(T_PlannedOrders[EffectiveQty],T_PlannedOrders[Part Name],$A927,T_PlannedOrders[WeekIndex],15)&amp;" ("&amp;TEXT(SUMPRODUCT(MAX((T_PlannedOrders[Part Name]=$A927)*(T_PlannedOrders[WeekIndex]=15)*(T_PlannedOrders[EffectiveQty]&gt;0)*T_PlannedOrders[Order_Month])),"m月")&amp;"発注)")</f>
        <v/>
      </c>
      <c r="S935">
        <f>IF(SUMIFS(T_PlannedOrders[EffectiveQty],T_PlannedOrders[Part Name],$A927,T_PlannedOrders[WeekIndex],16)=0,"",SUMIFS(T_PlannedOrders[EffectiveQty],T_PlannedOrders[Part Name],$A927,T_PlannedOrders[WeekIndex],16)&amp;" ("&amp;TEXT(SUMPRODUCT(MAX((T_PlannedOrders[Part Name]=$A927)*(T_PlannedOrders[WeekIndex]=16)*(T_PlannedOrders[EffectiveQty]&gt;0)*T_PlannedOrders[Order_Month])),"m月")&amp;"発注)")</f>
        <v/>
      </c>
      <c r="T935">
        <f>IF(SUMIFS(T_PlannedOrders[EffectiveQty],T_PlannedOrders[Part Name],$A927,T_PlannedOrders[WeekIndex],17)=0,"",SUMIFS(T_PlannedOrders[EffectiveQty],T_PlannedOrders[Part Name],$A927,T_PlannedOrders[WeekIndex],17)&amp;" ("&amp;TEXT(SUMPRODUCT(MAX((T_PlannedOrders[Part Name]=$A927)*(T_PlannedOrders[WeekIndex]=17)*(T_PlannedOrders[EffectiveQty]&gt;0)*T_PlannedOrders[Order_Month])),"m月")&amp;"発注)")</f>
        <v/>
      </c>
      <c r="U935">
        <f>IF(SUMIFS(T_PlannedOrders[EffectiveQty],T_PlannedOrders[Part Name],$A927,T_PlannedOrders[WeekIndex],18)=0,"",SUMIFS(T_PlannedOrders[EffectiveQty],T_PlannedOrders[Part Name],$A927,T_PlannedOrders[WeekIndex],18)&amp;" ("&amp;TEXT(SUMPRODUCT(MAX((T_PlannedOrders[Part Name]=$A927)*(T_PlannedOrders[WeekIndex]=18)*(T_PlannedOrders[EffectiveQty]&gt;0)*T_PlannedOrders[Order_Month])),"m月")&amp;"発注)")</f>
        <v/>
      </c>
      <c r="V935">
        <f>IF(SUMIFS(T_PlannedOrders[EffectiveQty],T_PlannedOrders[Part Name],$A927,T_PlannedOrders[WeekIndex],19)=0,"",SUMIFS(T_PlannedOrders[EffectiveQty],T_PlannedOrders[Part Name],$A927,T_PlannedOrders[WeekIndex],19)&amp;" ("&amp;TEXT(SUMPRODUCT(MAX((T_PlannedOrders[Part Name]=$A927)*(T_PlannedOrders[WeekIndex]=19)*(T_PlannedOrders[EffectiveQty]&gt;0)*T_PlannedOrders[Order_Month])),"m月")&amp;"発注)")</f>
        <v/>
      </c>
      <c r="W935">
        <f>IF(SUMIFS(T_PlannedOrders[EffectiveQty],T_PlannedOrders[Part Name],$A927,T_PlannedOrders[WeekIndex],20)=0,"",SUMIFS(T_PlannedOrders[EffectiveQty],T_PlannedOrders[Part Name],$A927,T_PlannedOrders[WeekIndex],20)&amp;" ("&amp;TEXT(SUMPRODUCT(MAX((T_PlannedOrders[Part Name]=$A927)*(T_PlannedOrders[WeekIndex]=20)*(T_PlannedOrders[EffectiveQty]&gt;0)*T_PlannedOrders[Order_Month])),"m月")&amp;"発注)")</f>
        <v/>
      </c>
      <c r="X935">
        <f>IF(SUMIFS(T_PlannedOrders[EffectiveQty],T_PlannedOrders[Part Name],$A927,T_PlannedOrders[WeekIndex],21)=0,"",SUMIFS(T_PlannedOrders[EffectiveQty],T_PlannedOrders[Part Name],$A927,T_PlannedOrders[WeekIndex],21)&amp;" ("&amp;TEXT(SUMPRODUCT(MAX((T_PlannedOrders[Part Name]=$A927)*(T_PlannedOrders[WeekIndex]=21)*(T_PlannedOrders[EffectiveQty]&gt;0)*T_PlannedOrders[Order_Month])),"m月")&amp;"発注)")</f>
        <v/>
      </c>
      <c r="Y935">
        <f>IF(SUMIFS(T_PlannedOrders[EffectiveQty],T_PlannedOrders[Part Name],$A927,T_PlannedOrders[WeekIndex],22)=0,"",SUMIFS(T_PlannedOrders[EffectiveQty],T_PlannedOrders[Part Name],$A927,T_PlannedOrders[WeekIndex],22)&amp;" ("&amp;TEXT(SUMPRODUCT(MAX((T_PlannedOrders[Part Name]=$A927)*(T_PlannedOrders[WeekIndex]=22)*(T_PlannedOrders[EffectiveQty]&gt;0)*T_PlannedOrders[Order_Month])),"m月")&amp;"発注)")</f>
        <v/>
      </c>
      <c r="Z935">
        <f>IF(SUMIFS(T_PlannedOrders[EffectiveQty],T_PlannedOrders[Part Name],$A927,T_PlannedOrders[WeekIndex],23)=0,"",SUMIFS(T_PlannedOrders[EffectiveQty],T_PlannedOrders[Part Name],$A927,T_PlannedOrders[WeekIndex],23)&amp;" ("&amp;TEXT(SUMPRODUCT(MAX((T_PlannedOrders[Part Name]=$A927)*(T_PlannedOrders[WeekIndex]=23)*(T_PlannedOrders[EffectiveQty]&gt;0)*T_PlannedOrders[Order_Month])),"m月")&amp;"発注)")</f>
        <v/>
      </c>
      <c r="AA935">
        <f>IF(SUMIFS(T_PlannedOrders[EffectiveQty],T_PlannedOrders[Part Name],$A927,T_PlannedOrders[WeekIndex],24)=0,"",SUMIFS(T_PlannedOrders[EffectiveQty],T_PlannedOrders[Part Name],$A927,T_PlannedOrders[WeekIndex],24)&amp;" ("&amp;TEXT(SUMPRODUCT(MAX((T_PlannedOrders[Part Name]=$A927)*(T_PlannedOrders[WeekIndex]=24)*(T_PlannedOrders[EffectiveQty]&gt;0)*T_PlannedOrders[Order_Month])),"m月")&amp;"発注)")</f>
        <v/>
      </c>
      <c r="AB935">
        <f>IF(SUMIFS(T_PlannedOrders[EffectiveQty],T_PlannedOrders[Part Name],$A927,T_PlannedOrders[WeekIndex],25)=0,"",SUMIFS(T_PlannedOrders[EffectiveQty],T_PlannedOrders[Part Name],$A927,T_PlannedOrders[WeekIndex],25)&amp;" ("&amp;TEXT(SUMPRODUCT(MAX((T_PlannedOrders[Part Name]=$A927)*(T_PlannedOrders[WeekIndex]=25)*(T_PlannedOrders[EffectiveQty]&gt;0)*T_PlannedOrders[Order_Month])),"m月")&amp;"発注)")</f>
        <v/>
      </c>
      <c r="AC935">
        <f>IF(SUMIFS(T_PlannedOrders[EffectiveQty],T_PlannedOrders[Part Name],$A927,T_PlannedOrders[WeekIndex],26)=0,"",SUMIFS(T_PlannedOrders[EffectiveQty],T_PlannedOrders[Part Name],$A927,T_PlannedOrders[WeekIndex],26)&amp;" ("&amp;TEXT(SUMPRODUCT(MAX((T_PlannedOrders[Part Name]=$A927)*(T_PlannedOrders[WeekIndex]=26)*(T_PlannedOrders[EffectiveQty]&gt;0)*T_PlannedOrders[Order_Month])),"m月")&amp;"発注)")</f>
        <v/>
      </c>
      <c r="AD935">
        <f>IF(SUMIFS(T_PlannedOrders[EffectiveQty],T_PlannedOrders[Part Name],$A927,T_PlannedOrders[WeekIndex],27)=0,"",SUMIFS(T_PlannedOrders[EffectiveQty],T_PlannedOrders[Part Name],$A927,T_PlannedOrders[WeekIndex],27)&amp;" ("&amp;TEXT(SUMPRODUCT(MAX((T_PlannedOrders[Part Name]=$A927)*(T_PlannedOrders[WeekIndex]=27)*(T_PlannedOrders[EffectiveQty]&gt;0)*T_PlannedOrders[Order_Month])),"m月")&amp;"発注)")</f>
        <v/>
      </c>
      <c r="AE935">
        <f>IF(SUMIFS(T_PlannedOrders[EffectiveQty],T_PlannedOrders[Part Name],$A927,T_PlannedOrders[WeekIndex],28)=0,"",SUMIFS(T_PlannedOrders[EffectiveQty],T_PlannedOrders[Part Name],$A927,T_PlannedOrders[WeekIndex],28)&amp;" ("&amp;TEXT(SUMPRODUCT(MAX((T_PlannedOrders[Part Name]=$A927)*(T_PlannedOrders[WeekIndex]=28)*(T_PlannedOrders[EffectiveQty]&gt;0)*T_PlannedOrders[Order_Month])),"m月")&amp;"発注)")</f>
        <v/>
      </c>
      <c r="AF935">
        <f>IF(SUMIFS(T_PlannedOrders[EffectiveQty],T_PlannedOrders[Part Name],$A927,T_PlannedOrders[WeekIndex],29)=0,"",SUMIFS(T_PlannedOrders[EffectiveQty],T_PlannedOrders[Part Name],$A927,T_PlannedOrders[WeekIndex],29)&amp;" ("&amp;TEXT(SUMPRODUCT(MAX((T_PlannedOrders[Part Name]=$A927)*(T_PlannedOrders[WeekIndex]=29)*(T_PlannedOrders[EffectiveQty]&gt;0)*T_PlannedOrders[Order_Month])),"m月")&amp;"発注)")</f>
        <v/>
      </c>
      <c r="AG935">
        <f>IF(SUMIFS(T_PlannedOrders[EffectiveQty],T_PlannedOrders[Part Name],$A927,T_PlannedOrders[WeekIndex],30)=0,"",SUMIFS(T_PlannedOrders[EffectiveQty],T_PlannedOrders[Part Name],$A927,T_PlannedOrders[WeekIndex],30)&amp;" ("&amp;TEXT(SUMPRODUCT(MAX((T_PlannedOrders[Part Name]=$A927)*(T_PlannedOrders[WeekIndex]=30)*(T_PlannedOrders[EffectiveQty]&gt;0)*T_PlannedOrders[Order_Month])),"m月")&amp;"発注)")</f>
        <v/>
      </c>
      <c r="AH935">
        <f>IF(SUMIFS(T_PlannedOrders[EffectiveQty],T_PlannedOrders[Part Name],$A927,T_PlannedOrders[WeekIndex],31)=0,"",SUMIFS(T_PlannedOrders[EffectiveQty],T_PlannedOrders[Part Name],$A927,T_PlannedOrders[WeekIndex],31)&amp;" ("&amp;TEXT(SUMPRODUCT(MAX((T_PlannedOrders[Part Name]=$A927)*(T_PlannedOrders[WeekIndex]=31)*(T_PlannedOrders[EffectiveQty]&gt;0)*T_PlannedOrders[Order_Month])),"m月")&amp;"発注)")</f>
        <v/>
      </c>
      <c r="AI935">
        <f>IF(SUMIFS(T_PlannedOrders[EffectiveQty],T_PlannedOrders[Part Name],$A927,T_PlannedOrders[WeekIndex],32)=0,"",SUMIFS(T_PlannedOrders[EffectiveQty],T_PlannedOrders[Part Name],$A927,T_PlannedOrders[WeekIndex],32)&amp;" ("&amp;TEXT(SUMPRODUCT(MAX((T_PlannedOrders[Part Name]=$A927)*(T_PlannedOrders[WeekIndex]=32)*(T_PlannedOrders[EffectiveQty]&gt;0)*T_PlannedOrders[Order_Month])),"m月")&amp;"発注)")</f>
        <v/>
      </c>
      <c r="AJ935">
        <f>IF(SUMIFS(T_PlannedOrders[EffectiveQty],T_PlannedOrders[Part Name],$A927,T_PlannedOrders[WeekIndex],33)=0,"",SUMIFS(T_PlannedOrders[EffectiveQty],T_PlannedOrders[Part Name],$A927,T_PlannedOrders[WeekIndex],33)&amp;" ("&amp;TEXT(SUMPRODUCT(MAX((T_PlannedOrders[Part Name]=$A927)*(T_PlannedOrders[WeekIndex]=33)*(T_PlannedOrders[EffectiveQty]&gt;0)*T_PlannedOrders[Order_Month])),"m月")&amp;"発注)")</f>
        <v/>
      </c>
      <c r="AK935">
        <f>IF(SUMIFS(T_PlannedOrders[EffectiveQty],T_PlannedOrders[Part Name],$A927,T_PlannedOrders[WeekIndex],34)=0,"",SUMIFS(T_PlannedOrders[EffectiveQty],T_PlannedOrders[Part Name],$A927,T_PlannedOrders[WeekIndex],34)&amp;" ("&amp;TEXT(SUMPRODUCT(MAX((T_PlannedOrders[Part Name]=$A927)*(T_PlannedOrders[WeekIndex]=34)*(T_PlannedOrders[EffectiveQty]&gt;0)*T_PlannedOrders[Order_Month])),"m月")&amp;"発注)")</f>
        <v/>
      </c>
      <c r="AL935">
        <f>IF(SUMIFS(T_PlannedOrders[EffectiveQty],T_PlannedOrders[Part Name],$A927,T_PlannedOrders[WeekIndex],35)=0,"",SUMIFS(T_PlannedOrders[EffectiveQty],T_PlannedOrders[Part Name],$A927,T_PlannedOrders[WeekIndex],35)&amp;" ("&amp;TEXT(SUMPRODUCT(MAX((T_PlannedOrders[Part Name]=$A927)*(T_PlannedOrders[WeekIndex]=35)*(T_PlannedOrders[EffectiveQty]&gt;0)*T_PlannedOrders[Order_Month])),"m月")&amp;"発注)")</f>
        <v/>
      </c>
      <c r="AM935">
        <f>IF(SUMIFS(T_PlannedOrders[EffectiveQty],T_PlannedOrders[Part Name],$A927,T_PlannedOrders[WeekIndex],36)=0,"",SUMIFS(T_PlannedOrders[EffectiveQty],T_PlannedOrders[Part Name],$A927,T_PlannedOrders[WeekIndex],36)&amp;" ("&amp;TEXT(SUMPRODUCT(MAX((T_PlannedOrders[Part Name]=$A927)*(T_PlannedOrders[WeekIndex]=36)*(T_PlannedOrders[EffectiveQty]&gt;0)*T_PlannedOrders[Order_Month])),"m月")&amp;"発注)")</f>
        <v/>
      </c>
      <c r="AN935">
        <f>IF(SUMIFS(T_PlannedOrders[EffectiveQty],T_PlannedOrders[Part Name],$A927,T_PlannedOrders[WeekIndex],37)=0,"",SUMIFS(T_PlannedOrders[EffectiveQty],T_PlannedOrders[Part Name],$A927,T_PlannedOrders[WeekIndex],37)&amp;" ("&amp;TEXT(SUMPRODUCT(MAX((T_PlannedOrders[Part Name]=$A927)*(T_PlannedOrders[WeekIndex]=37)*(T_PlannedOrders[EffectiveQty]&gt;0)*T_PlannedOrders[Order_Month])),"m月")&amp;"発注)")</f>
        <v/>
      </c>
      <c r="AO935">
        <f>IF(SUMIFS(T_PlannedOrders[EffectiveQty],T_PlannedOrders[Part Name],$A927,T_PlannedOrders[WeekIndex],38)=0,"",SUMIFS(T_PlannedOrders[EffectiveQty],T_PlannedOrders[Part Name],$A927,T_PlannedOrders[WeekIndex],38)&amp;" ("&amp;TEXT(SUMPRODUCT(MAX((T_PlannedOrders[Part Name]=$A927)*(T_PlannedOrders[WeekIndex]=38)*(T_PlannedOrders[EffectiveQty]&gt;0)*T_PlannedOrders[Order_Month])),"m月")&amp;"発注)")</f>
        <v/>
      </c>
      <c r="AP935">
        <f>IF(SUMIFS(T_PlannedOrders[EffectiveQty],T_PlannedOrders[Part Name],$A927,T_PlannedOrders[WeekIndex],39)=0,"",SUMIFS(T_PlannedOrders[EffectiveQty],T_PlannedOrders[Part Name],$A927,T_PlannedOrders[WeekIndex],39)&amp;" ("&amp;TEXT(SUMPRODUCT(MAX((T_PlannedOrders[Part Name]=$A927)*(T_PlannedOrders[WeekIndex]=39)*(T_PlannedOrders[EffectiveQty]&gt;0)*T_PlannedOrders[Order_Month])),"m月")&amp;"発注)")</f>
        <v/>
      </c>
      <c r="AQ935">
        <f>IF(SUMIFS(T_PlannedOrders[EffectiveQty],T_PlannedOrders[Part Name],$A927,T_PlannedOrders[WeekIndex],40)=0,"",SUMIFS(T_PlannedOrders[EffectiveQty],T_PlannedOrders[Part Name],$A927,T_PlannedOrders[WeekIndex],40)&amp;" ("&amp;TEXT(SUMPRODUCT(MAX((T_PlannedOrders[Part Name]=$A927)*(T_PlannedOrders[WeekIndex]=40)*(T_PlannedOrders[EffectiveQty]&gt;0)*T_PlannedOrders[Order_Month])),"m月")&amp;"発注)")</f>
        <v/>
      </c>
      <c r="AR935">
        <f>IF(SUMIFS(T_PlannedOrders[EffectiveQty],T_PlannedOrders[Part Name],$A927,T_PlannedOrders[WeekIndex],41)=0,"",SUMIFS(T_PlannedOrders[EffectiveQty],T_PlannedOrders[Part Name],$A927,T_PlannedOrders[WeekIndex],41)&amp;" ("&amp;TEXT(SUMPRODUCT(MAX((T_PlannedOrders[Part Name]=$A927)*(T_PlannedOrders[WeekIndex]=41)*(T_PlannedOrders[EffectiveQty]&gt;0)*T_PlannedOrders[Order_Month])),"m月")&amp;"発注)")</f>
        <v/>
      </c>
      <c r="AS935">
        <f>IF(SUMIFS(T_PlannedOrders[EffectiveQty],T_PlannedOrders[Part Name],$A927,T_PlannedOrders[WeekIndex],42)=0,"",SUMIFS(T_PlannedOrders[EffectiveQty],T_PlannedOrders[Part Name],$A927,T_PlannedOrders[WeekIndex],42)&amp;" ("&amp;TEXT(SUMPRODUCT(MAX((T_PlannedOrders[Part Name]=$A927)*(T_PlannedOrders[WeekIndex]=42)*(T_PlannedOrders[EffectiveQty]&gt;0)*T_PlannedOrders[Order_Month])),"m月")&amp;"発注)")</f>
        <v/>
      </c>
      <c r="AT935">
        <f>IF(SUMIFS(T_PlannedOrders[EffectiveQty],T_PlannedOrders[Part Name],$A927,T_PlannedOrders[WeekIndex],43)=0,"",SUMIFS(T_PlannedOrders[EffectiveQty],T_PlannedOrders[Part Name],$A927,T_PlannedOrders[WeekIndex],43)&amp;" ("&amp;TEXT(SUMPRODUCT(MAX((T_PlannedOrders[Part Name]=$A927)*(T_PlannedOrders[WeekIndex]=43)*(T_PlannedOrders[EffectiveQty]&gt;0)*T_PlannedOrders[Order_Month])),"m月")&amp;"発注)")</f>
        <v/>
      </c>
      <c r="AU935">
        <f>IF(SUMIFS(T_PlannedOrders[EffectiveQty],T_PlannedOrders[Part Name],$A927,T_PlannedOrders[WeekIndex],44)=0,"",SUMIFS(T_PlannedOrders[EffectiveQty],T_PlannedOrders[Part Name],$A927,T_PlannedOrders[WeekIndex],44)&amp;" ("&amp;TEXT(SUMPRODUCT(MAX((T_PlannedOrders[Part Name]=$A927)*(T_PlannedOrders[WeekIndex]=44)*(T_PlannedOrders[EffectiveQty]&gt;0)*T_PlannedOrders[Order_Month])),"m月")&amp;"発注)")</f>
        <v/>
      </c>
      <c r="AV935">
        <f>IF(SUMIFS(T_PlannedOrders[EffectiveQty],T_PlannedOrders[Part Name],$A927,T_PlannedOrders[WeekIndex],45)=0,"",SUMIFS(T_PlannedOrders[EffectiveQty],T_PlannedOrders[Part Name],$A927,T_PlannedOrders[WeekIndex],45)&amp;" ("&amp;TEXT(SUMPRODUCT(MAX((T_PlannedOrders[Part Name]=$A927)*(T_PlannedOrders[WeekIndex]=45)*(T_PlannedOrders[EffectiveQty]&gt;0)*T_PlannedOrders[Order_Month])),"m月")&amp;"発注)")</f>
        <v/>
      </c>
      <c r="AW935">
        <f>IF(SUMIFS(T_PlannedOrders[EffectiveQty],T_PlannedOrders[Part Name],$A927,T_PlannedOrders[WeekIndex],46)=0,"",SUMIFS(T_PlannedOrders[EffectiveQty],T_PlannedOrders[Part Name],$A927,T_PlannedOrders[WeekIndex],46)&amp;" ("&amp;TEXT(SUMPRODUCT(MAX((T_PlannedOrders[Part Name]=$A927)*(T_PlannedOrders[WeekIndex]=46)*(T_PlannedOrders[EffectiveQty]&gt;0)*T_PlannedOrders[Order_Month])),"m月")&amp;"発注)")</f>
        <v/>
      </c>
      <c r="AX935">
        <f>IF(SUMIFS(T_PlannedOrders[EffectiveQty],T_PlannedOrders[Part Name],$A927,T_PlannedOrders[WeekIndex],47)=0,"",SUMIFS(T_PlannedOrders[EffectiveQty],T_PlannedOrders[Part Name],$A927,T_PlannedOrders[WeekIndex],47)&amp;" ("&amp;TEXT(SUMPRODUCT(MAX((T_PlannedOrders[Part Name]=$A927)*(T_PlannedOrders[WeekIndex]=47)*(T_PlannedOrders[EffectiveQty]&gt;0)*T_PlannedOrders[Order_Month])),"m月")&amp;"発注)")</f>
        <v/>
      </c>
      <c r="AY935">
        <f>IF(SUMIFS(T_PlannedOrders[EffectiveQty],T_PlannedOrders[Part Name],$A927,T_PlannedOrders[WeekIndex],48)=0,"",SUMIFS(T_PlannedOrders[EffectiveQty],T_PlannedOrders[Part Name],$A927,T_PlannedOrders[WeekIndex],48)&amp;" ("&amp;TEXT(SUMPRODUCT(MAX((T_PlannedOrders[Part Name]=$A927)*(T_PlannedOrders[WeekIndex]=48)*(T_PlannedOrders[EffectiveQty]&gt;0)*T_PlannedOrders[Order_Month])),"m月")&amp;"発注)")</f>
        <v/>
      </c>
      <c r="AZ935">
        <f>IF(SUMIFS(T_PlannedOrders[EffectiveQty],T_PlannedOrders[Part Name],$A927,T_PlannedOrders[WeekIndex],49)=0,"",SUMIFS(T_PlannedOrders[EffectiveQty],T_PlannedOrders[Part Name],$A927,T_PlannedOrders[WeekIndex],49)&amp;" ("&amp;TEXT(SUMPRODUCT(MAX((T_PlannedOrders[Part Name]=$A927)*(T_PlannedOrders[WeekIndex]=49)*(T_PlannedOrders[EffectiveQty]&gt;0)*T_PlannedOrders[Order_Month])),"m月")&amp;"発注)")</f>
        <v/>
      </c>
      <c r="BA935">
        <f>IF(SUMIFS(T_PlannedOrders[EffectiveQty],T_PlannedOrders[Part Name],$A927,T_PlannedOrders[WeekIndex],50)=0,"",SUMIFS(T_PlannedOrders[EffectiveQty],T_PlannedOrders[Part Name],$A927,T_PlannedOrders[WeekIndex],50)&amp;" ("&amp;TEXT(SUMPRODUCT(MAX((T_PlannedOrders[Part Name]=$A927)*(T_PlannedOrders[WeekIndex]=50)*(T_PlannedOrders[EffectiveQty]&gt;0)*T_PlannedOrders[Order_Month])),"m月")&amp;"発注)")</f>
        <v/>
      </c>
      <c r="BB935">
        <f>IF(SUMIFS(T_PlannedOrders[EffectiveQty],T_PlannedOrders[Part Name],$A927,T_PlannedOrders[WeekIndex],51)=0,"",SUMIFS(T_PlannedOrders[EffectiveQty],T_PlannedOrders[Part Name],$A927,T_PlannedOrders[WeekIndex],51)&amp;" ("&amp;TEXT(SUMPRODUCT(MAX((T_PlannedOrders[Part Name]=$A927)*(T_PlannedOrders[WeekIndex]=51)*(T_PlannedOrders[EffectiveQty]&gt;0)*T_PlannedOrders[Order_Month])),"m月")&amp;"発注)")</f>
        <v/>
      </c>
      <c r="BC935">
        <f>IF(SUMIFS(T_PlannedOrders[EffectiveQty],T_PlannedOrders[Part Name],$A927,T_PlannedOrders[WeekIndex],52)=0,"",SUMIFS(T_PlannedOrders[EffectiveQty],T_PlannedOrders[Part Name],$A927,T_PlannedOrders[WeekIndex],52)&amp;" ("&amp;TEXT(SUMPRODUCT(MAX((T_PlannedOrders[Part Name]=$A927)*(T_PlannedOrders[WeekIndex]=52)*(T_PlannedOrders[EffectiveQty]&gt;0)*T_PlannedOrders[Order_Month])),"m月")&amp;"発注)")</f>
        <v/>
      </c>
      <c r="BD935">
        <f>IF(SUMIFS(T_PlannedOrders[EffectiveQty],T_PlannedOrders[Part Name],$A927,T_PlannedOrders[WeekIndex],53)=0,"",SUMIFS(T_PlannedOrders[EffectiveQty],T_PlannedOrders[Part Name],$A927,T_PlannedOrders[WeekIndex],53)&amp;" ("&amp;TEXT(SUMPRODUCT(MAX((T_PlannedOrders[Part Name]=$A927)*(T_PlannedOrders[WeekIndex]=53)*(T_PlannedOrders[EffectiveQty]&gt;0)*T_PlannedOrders[Order_Month])),"m月")&amp;"発注)")</f>
        <v/>
      </c>
      <c r="BE935">
        <f>IF(SUMIFS(T_PlannedOrders[EffectiveQty],T_PlannedOrders[Part Name],$A927,T_PlannedOrders[WeekIndex],54)=0,"",SUMIFS(T_PlannedOrders[EffectiveQty],T_PlannedOrders[Part Name],$A927,T_PlannedOrders[WeekIndex],54)&amp;" ("&amp;TEXT(SUMPRODUCT(MAX((T_PlannedOrders[Part Name]=$A927)*(T_PlannedOrders[WeekIndex]=54)*(T_PlannedOrders[EffectiveQty]&gt;0)*T_PlannedOrders[Order_Month])),"m月")&amp;"発注)")</f>
        <v/>
      </c>
      <c r="BF935">
        <f>IF(SUMIFS(T_PlannedOrders[EffectiveQty],T_PlannedOrders[Part Name],$A927,T_PlannedOrders[WeekIndex],55)=0,"",SUMIFS(T_PlannedOrders[EffectiveQty],T_PlannedOrders[Part Name],$A927,T_PlannedOrders[WeekIndex],55)&amp;" ("&amp;TEXT(SUMPRODUCT(MAX((T_PlannedOrders[Part Name]=$A927)*(T_PlannedOrders[WeekIndex]=55)*(T_PlannedOrders[EffectiveQty]&gt;0)*T_PlannedOrders[Order_Month])),"m月")&amp;"発注)")</f>
        <v/>
      </c>
      <c r="BG935">
        <f>IF(SUMIFS(T_PlannedOrders[EffectiveQty],T_PlannedOrders[Part Name],$A927,T_PlannedOrders[WeekIndex],56)=0,"",SUMIFS(T_PlannedOrders[EffectiveQty],T_PlannedOrders[Part Name],$A927,T_PlannedOrders[WeekIndex],56)&amp;" ("&amp;TEXT(SUMPRODUCT(MAX((T_PlannedOrders[Part Name]=$A927)*(T_PlannedOrders[WeekIndex]=56)*(T_PlannedOrders[EffectiveQty]&gt;0)*T_PlannedOrders[Order_Month])),"m月")&amp;"発注)")</f>
        <v/>
      </c>
      <c r="BH935">
        <f>IF(SUMIFS(T_PlannedOrders[EffectiveQty],T_PlannedOrders[Part Name],$A927,T_PlannedOrders[WeekIndex],57)=0,"",SUMIFS(T_PlannedOrders[EffectiveQty],T_PlannedOrders[Part Name],$A927,T_PlannedOrders[WeekIndex],57)&amp;" ("&amp;TEXT(SUMPRODUCT(MAX((T_PlannedOrders[Part Name]=$A927)*(T_PlannedOrders[WeekIndex]=57)*(T_PlannedOrders[EffectiveQty]&gt;0)*T_PlannedOrders[Order_Month])),"m月")&amp;"発注)")</f>
        <v/>
      </c>
      <c r="BI935">
        <f>IF(SUMIFS(T_PlannedOrders[EffectiveQty],T_PlannedOrders[Part Name],$A927,T_PlannedOrders[WeekIndex],58)=0,"",SUMIFS(T_PlannedOrders[EffectiveQty],T_PlannedOrders[Part Name],$A927,T_PlannedOrders[WeekIndex],58)&amp;" ("&amp;TEXT(SUMPRODUCT(MAX((T_PlannedOrders[Part Name]=$A927)*(T_PlannedOrders[WeekIndex]=58)*(T_PlannedOrders[EffectiveQty]&gt;0)*T_PlannedOrders[Order_Month])),"m月")&amp;"発注)")</f>
        <v/>
      </c>
      <c r="BJ935">
        <f>IF(SUMIFS(T_PlannedOrders[EffectiveQty],T_PlannedOrders[Part Name],$A927,T_PlannedOrders[WeekIndex],59)=0,"",SUMIFS(T_PlannedOrders[EffectiveQty],T_PlannedOrders[Part Name],$A927,T_PlannedOrders[WeekIndex],59)&amp;" ("&amp;TEXT(SUMPRODUCT(MAX((T_PlannedOrders[Part Name]=$A927)*(T_PlannedOrders[WeekIndex]=59)*(T_PlannedOrders[EffectiveQty]&gt;0)*T_PlannedOrders[Order_Month])),"m月")&amp;"発注)")</f>
        <v/>
      </c>
      <c r="BK935">
        <f>IF(SUMIFS(T_PlannedOrders[EffectiveQty],T_PlannedOrders[Part Name],$A927,T_PlannedOrders[WeekIndex],60)=0,"",SUMIFS(T_PlannedOrders[EffectiveQty],T_PlannedOrders[Part Name],$A927,T_PlannedOrders[WeekIndex],60)&amp;" ("&amp;TEXT(SUMPRODUCT(MAX((T_PlannedOrders[Part Name]=$A927)*(T_PlannedOrders[WeekIndex]=60)*(T_PlannedOrders[EffectiveQty]&gt;0)*T_PlannedOrders[Order_Month])),"m月")&amp;"発注)")</f>
        <v/>
      </c>
      <c r="BL935">
        <f>IF(SUMIFS(T_PlannedOrders[EffectiveQty],T_PlannedOrders[Part Name],$A927,T_PlannedOrders[WeekIndex],61)=0,"",SUMIFS(T_PlannedOrders[EffectiveQty],T_PlannedOrders[Part Name],$A927,T_PlannedOrders[WeekIndex],61)&amp;" ("&amp;TEXT(SUMPRODUCT(MAX((T_PlannedOrders[Part Name]=$A927)*(T_PlannedOrders[WeekIndex]=61)*(T_PlannedOrders[EffectiveQty]&gt;0)*T_PlannedOrders[Order_Month])),"m月")&amp;"発注)")</f>
        <v/>
      </c>
      <c r="BM935">
        <f>IF(SUMIFS(T_PlannedOrders[EffectiveQty],T_PlannedOrders[Part Name],$A927,T_PlannedOrders[WeekIndex],62)=0,"",SUMIFS(T_PlannedOrders[EffectiveQty],T_PlannedOrders[Part Name],$A927,T_PlannedOrders[WeekIndex],62)&amp;" ("&amp;TEXT(SUMPRODUCT(MAX((T_PlannedOrders[Part Name]=$A927)*(T_PlannedOrders[WeekIndex]=62)*(T_PlannedOrders[EffectiveQty]&gt;0)*T_PlannedOrders[Order_Month])),"m月")&amp;"発注)")</f>
        <v/>
      </c>
      <c r="BN935">
        <f>IF(SUMIFS(T_PlannedOrders[EffectiveQty],T_PlannedOrders[Part Name],$A927,T_PlannedOrders[WeekIndex],63)=0,"",SUMIFS(T_PlannedOrders[EffectiveQty],T_PlannedOrders[Part Name],$A927,T_PlannedOrders[WeekIndex],63)&amp;" ("&amp;TEXT(SUMPRODUCT(MAX((T_PlannedOrders[Part Name]=$A927)*(T_PlannedOrders[WeekIndex]=63)*(T_PlannedOrders[EffectiveQty]&gt;0)*T_PlannedOrders[Order_Month])),"m月")&amp;"発注)")</f>
        <v/>
      </c>
      <c r="BO935">
        <f>IF(SUMIFS(T_PlannedOrders[EffectiveQty],T_PlannedOrders[Part Name],$A927,T_PlannedOrders[WeekIndex],64)=0,"",SUMIFS(T_PlannedOrders[EffectiveQty],T_PlannedOrders[Part Name],$A927,T_PlannedOrders[WeekIndex],64)&amp;" ("&amp;TEXT(SUMPRODUCT(MAX((T_PlannedOrders[Part Name]=$A927)*(T_PlannedOrders[WeekIndex]=64)*(T_PlannedOrders[EffectiveQty]&gt;0)*T_PlannedOrders[Order_Month])),"m月")&amp;"発注)")</f>
        <v/>
      </c>
      <c r="BP935">
        <f>IF(SUMIFS(T_PlannedOrders[EffectiveQty],T_PlannedOrders[Part Name],$A927,T_PlannedOrders[WeekIndex],65)=0,"",SUMIFS(T_PlannedOrders[EffectiveQty],T_PlannedOrders[Part Name],$A927,T_PlannedOrders[WeekIndex],65)&amp;" ("&amp;TEXT(SUMPRODUCT(MAX((T_PlannedOrders[Part Name]=$A927)*(T_PlannedOrders[WeekIndex]=65)*(T_PlannedOrders[EffectiveQty]&gt;0)*T_PlannedOrders[Order_Month])),"m月")&amp;"発注)")</f>
        <v/>
      </c>
      <c r="BQ935">
        <f>IF(SUMIFS(T_PlannedOrders[EffectiveQty],T_PlannedOrders[Part Name],$A927,T_PlannedOrders[WeekIndex],66)=0,"",SUMIFS(T_PlannedOrders[EffectiveQty],T_PlannedOrders[Part Name],$A927,T_PlannedOrders[WeekIndex],66)&amp;" ("&amp;TEXT(SUMPRODUCT(MAX((T_PlannedOrders[Part Name]=$A927)*(T_PlannedOrders[WeekIndex]=66)*(T_PlannedOrders[EffectiveQty]&gt;0)*T_PlannedOrders[Order_Month])),"m月")&amp;"発注)")</f>
        <v/>
      </c>
      <c r="BR935">
        <f>IF(SUMIFS(T_PlannedOrders[EffectiveQty],T_PlannedOrders[Part Name],$A927,T_PlannedOrders[WeekIndex],67)=0,"",SUMIFS(T_PlannedOrders[EffectiveQty],T_PlannedOrders[Part Name],$A927,T_PlannedOrders[WeekIndex],67)&amp;" ("&amp;TEXT(SUMPRODUCT(MAX((T_PlannedOrders[Part Name]=$A927)*(T_PlannedOrders[WeekIndex]=67)*(T_PlannedOrders[EffectiveQty]&gt;0)*T_PlannedOrders[Order_Month])),"m月")&amp;"発注)")</f>
        <v/>
      </c>
      <c r="BS935">
        <f>IF(SUMIFS(T_PlannedOrders[EffectiveQty],T_PlannedOrders[Part Name],$A927,T_PlannedOrders[WeekIndex],68)=0,"",SUMIFS(T_PlannedOrders[EffectiveQty],T_PlannedOrders[Part Name],$A927,T_PlannedOrders[WeekIndex],68)&amp;" ("&amp;TEXT(SUMPRODUCT(MAX((T_PlannedOrders[Part Name]=$A927)*(T_PlannedOrders[WeekIndex]=68)*(T_PlannedOrders[EffectiveQty]&gt;0)*T_PlannedOrders[Order_Month])),"m月")&amp;"発注)")</f>
        <v/>
      </c>
      <c r="BT935">
        <f>IF(SUMIFS(T_PlannedOrders[EffectiveQty],T_PlannedOrders[Part Name],$A927,T_PlannedOrders[WeekIndex],69)=0,"",SUMIFS(T_PlannedOrders[EffectiveQty],T_PlannedOrders[Part Name],$A927,T_PlannedOrders[WeekIndex],69)&amp;" ("&amp;TEXT(SUMPRODUCT(MAX((T_PlannedOrders[Part Name]=$A927)*(T_PlannedOrders[WeekIndex]=69)*(T_PlannedOrders[EffectiveQty]&gt;0)*T_PlannedOrders[Order_Month])),"m月")&amp;"発注)")</f>
        <v/>
      </c>
      <c r="BU935">
        <f>IF(SUMIFS(T_PlannedOrders[EffectiveQty],T_PlannedOrders[Part Name],$A927,T_PlannedOrders[WeekIndex],70)=0,"",SUMIFS(T_PlannedOrders[EffectiveQty],T_PlannedOrders[Part Name],$A927,T_PlannedOrders[WeekIndex],70)&amp;" ("&amp;TEXT(SUMPRODUCT(MAX((T_PlannedOrders[Part Name]=$A927)*(T_PlannedOrders[WeekIndex]=70)*(T_PlannedOrders[EffectiveQty]&gt;0)*T_PlannedOrders[Order_Month])),"m月")&amp;"発注)")</f>
        <v/>
      </c>
      <c r="BV935">
        <f>IF(SUMIFS(T_PlannedOrders[EffectiveQty],T_PlannedOrders[Part Name],$A927,T_PlannedOrders[WeekIndex],71)=0,"",SUMIFS(T_PlannedOrders[EffectiveQty],T_PlannedOrders[Part Name],$A927,T_PlannedOrders[WeekIndex],71)&amp;" ("&amp;TEXT(SUMPRODUCT(MAX((T_PlannedOrders[Part Name]=$A927)*(T_PlannedOrders[WeekIndex]=71)*(T_PlannedOrders[EffectiveQty]&gt;0)*T_PlannedOrders[Order_Month])),"m月")&amp;"発注)")</f>
        <v/>
      </c>
      <c r="BW935">
        <f>IF(SUMIFS(T_PlannedOrders[EffectiveQty],T_PlannedOrders[Part Name],$A927,T_PlannedOrders[WeekIndex],72)=0,"",SUMIFS(T_PlannedOrders[EffectiveQty],T_PlannedOrders[Part Name],$A927,T_PlannedOrders[WeekIndex],72)&amp;" ("&amp;TEXT(SUMPRODUCT(MAX((T_PlannedOrders[Part Name]=$A927)*(T_PlannedOrders[WeekIndex]=72)*(T_PlannedOrders[EffectiveQty]&gt;0)*T_PlannedOrders[Order_Month])),"m月")&amp;"発注)")</f>
        <v/>
      </c>
      <c r="BX935">
        <f>IF(SUMIFS(T_PlannedOrders[EffectiveQty],T_PlannedOrders[Part Name],$A927,T_PlannedOrders[WeekIndex],73)=0,"",SUMIFS(T_PlannedOrders[EffectiveQty],T_PlannedOrders[Part Name],$A927,T_PlannedOrders[WeekIndex],73)&amp;" ("&amp;TEXT(SUMPRODUCT(MAX((T_PlannedOrders[Part Name]=$A927)*(T_PlannedOrders[WeekIndex]=73)*(T_PlannedOrders[EffectiveQty]&gt;0)*T_PlannedOrders[Order_Month])),"m月")&amp;"発注)")</f>
        <v/>
      </c>
      <c r="BY935">
        <f>IF(SUMIFS(T_PlannedOrders[EffectiveQty],T_PlannedOrders[Part Name],$A927,T_PlannedOrders[WeekIndex],74)=0,"",SUMIFS(T_PlannedOrders[EffectiveQty],T_PlannedOrders[Part Name],$A927,T_PlannedOrders[WeekIndex],74)&amp;" ("&amp;TEXT(SUMPRODUCT(MAX((T_PlannedOrders[Part Name]=$A927)*(T_PlannedOrders[WeekIndex]=74)*(T_PlannedOrders[EffectiveQty]&gt;0)*T_PlannedOrders[Order_Month])),"m月")&amp;"発注)")</f>
        <v/>
      </c>
      <c r="BZ935">
        <f>IF(SUMIFS(T_PlannedOrders[EffectiveQty],T_PlannedOrders[Part Name],$A927,T_PlannedOrders[WeekIndex],75)=0,"",SUMIFS(T_PlannedOrders[EffectiveQty],T_PlannedOrders[Part Name],$A927,T_PlannedOrders[WeekIndex],75)&amp;" ("&amp;TEXT(SUMPRODUCT(MAX((T_PlannedOrders[Part Name]=$A927)*(T_PlannedOrders[WeekIndex]=75)*(T_PlannedOrders[EffectiveQty]&gt;0)*T_PlannedOrders[Order_Month])),"m月")&amp;"発注)")</f>
        <v/>
      </c>
      <c r="CA935">
        <f>IF(SUMIFS(T_PlannedOrders[EffectiveQty],T_PlannedOrders[Part Name],$A927,T_PlannedOrders[WeekIndex],76)=0,"",SUMIFS(T_PlannedOrders[EffectiveQty],T_PlannedOrders[Part Name],$A927,T_PlannedOrders[WeekIndex],76)&amp;" ("&amp;TEXT(SUMPRODUCT(MAX((T_PlannedOrders[Part Name]=$A927)*(T_PlannedOrders[WeekIndex]=76)*(T_PlannedOrders[EffectiveQty]&gt;0)*T_PlannedOrders[Order_Month])),"m月")&amp;"発注)")</f>
        <v/>
      </c>
      <c r="CB935">
        <f>IF(SUMIFS(T_PlannedOrders[EffectiveQty],T_PlannedOrders[Part Name],$A927,T_PlannedOrders[WeekIndex],77)=0,"",SUMIFS(T_PlannedOrders[EffectiveQty],T_PlannedOrders[Part Name],$A927,T_PlannedOrders[WeekIndex],77)&amp;" ("&amp;TEXT(SUMPRODUCT(MAX((T_PlannedOrders[Part Name]=$A927)*(T_PlannedOrders[WeekIndex]=77)*(T_PlannedOrders[EffectiveQty]&gt;0)*T_PlannedOrders[Order_Month])),"m月")&amp;"発注)")</f>
        <v/>
      </c>
      <c r="CC935">
        <f>IF(SUMIFS(T_PlannedOrders[EffectiveQty],T_PlannedOrders[Part Name],$A927,T_PlannedOrders[WeekIndex],78)=0,"",SUMIFS(T_PlannedOrders[EffectiveQty],T_PlannedOrders[Part Name],$A927,T_PlannedOrders[WeekIndex],78)&amp;" ("&amp;TEXT(SUMPRODUCT(MAX((T_PlannedOrders[Part Name]=$A927)*(T_PlannedOrders[WeekIndex]=78)*(T_PlannedOrders[EffectiveQty]&gt;0)*T_PlannedOrders[Order_Month])),"m月")&amp;"発注)")</f>
        <v/>
      </c>
      <c r="CD935">
        <f>IF(SUMIFS(T_PlannedOrders[EffectiveQty],T_PlannedOrders[Part Name],$A927,T_PlannedOrders[WeekIndex],79)=0,"",SUMIFS(T_PlannedOrders[EffectiveQty],T_PlannedOrders[Part Name],$A927,T_PlannedOrders[WeekIndex],79)&amp;" ("&amp;TEXT(SUMPRODUCT(MAX((T_PlannedOrders[Part Name]=$A927)*(T_PlannedOrders[WeekIndex]=79)*(T_PlannedOrders[EffectiveQty]&gt;0)*T_PlannedOrders[Order_Month])),"m月")&amp;"発注)")</f>
        <v/>
      </c>
      <c r="CE935">
        <f>IF(SUMIFS(T_PlannedOrders[EffectiveQty],T_PlannedOrders[Part Name],$A927,T_PlannedOrders[WeekIndex],80)=0,"",SUMIFS(T_PlannedOrders[EffectiveQty],T_PlannedOrders[Part Name],$A927,T_PlannedOrders[WeekIndex],80)&amp;" ("&amp;TEXT(SUMPRODUCT(MAX((T_PlannedOrders[Part Name]=$A927)*(T_PlannedOrders[WeekIndex]=80)*(T_PlannedOrders[EffectiveQty]&gt;0)*T_PlannedOrders[Order_Month])),"m月")&amp;"発注)")</f>
        <v/>
      </c>
      <c r="CF935">
        <f>IF(SUMIFS(T_PlannedOrders[EffectiveQty],T_PlannedOrders[Part Name],$A927,T_PlannedOrders[WeekIndex],81)=0,"",SUMIFS(T_PlannedOrders[EffectiveQty],T_PlannedOrders[Part Name],$A927,T_PlannedOrders[WeekIndex],81)&amp;" ("&amp;TEXT(SUMPRODUCT(MAX((T_PlannedOrders[Part Name]=$A927)*(T_PlannedOrders[WeekIndex]=81)*(T_PlannedOrders[EffectiveQty]&gt;0)*T_PlannedOrders[Order_Month])),"m月")&amp;"発注)")</f>
        <v/>
      </c>
      <c r="CG935">
        <f>IF(SUMIFS(T_PlannedOrders[EffectiveQty],T_PlannedOrders[Part Name],$A927,T_PlannedOrders[WeekIndex],82)=0,"",SUMIFS(T_PlannedOrders[EffectiveQty],T_PlannedOrders[Part Name],$A927,T_PlannedOrders[WeekIndex],82)&amp;" ("&amp;TEXT(SUMPRODUCT(MAX((T_PlannedOrders[Part Name]=$A927)*(T_PlannedOrders[WeekIndex]=82)*(T_PlannedOrders[EffectiveQty]&gt;0)*T_PlannedOrders[Order_Month])),"m月")&amp;"発注)")</f>
        <v/>
      </c>
      <c r="CH935">
        <f>IF(SUMIFS(T_PlannedOrders[EffectiveQty],T_PlannedOrders[Part Name],$A927,T_PlannedOrders[WeekIndex],83)=0,"",SUMIFS(T_PlannedOrders[EffectiveQty],T_PlannedOrders[Part Name],$A927,T_PlannedOrders[WeekIndex],83)&amp;" ("&amp;TEXT(SUMPRODUCT(MAX((T_PlannedOrders[Part Name]=$A927)*(T_PlannedOrders[WeekIndex]=83)*(T_PlannedOrders[EffectiveQty]&gt;0)*T_PlannedOrders[Order_Month])),"m月")&amp;"発注)")</f>
        <v/>
      </c>
      <c r="CI935">
        <f>IF(SUMIFS(T_PlannedOrders[EffectiveQty],T_PlannedOrders[Part Name],$A927,T_PlannedOrders[WeekIndex],84)=0,"",SUMIFS(T_PlannedOrders[EffectiveQty],T_PlannedOrders[Part Name],$A927,T_PlannedOrders[WeekIndex],84)&amp;" ("&amp;TEXT(SUMPRODUCT(MAX((T_PlannedOrders[Part Name]=$A927)*(T_PlannedOrders[WeekIndex]=84)*(T_PlannedOrders[EffectiveQty]&gt;0)*T_PlannedOrders[Order_Month])),"m月")&amp;"発注)")</f>
        <v/>
      </c>
      <c r="CJ935">
        <f>IF(SUMIFS(T_PlannedOrders[EffectiveQty],T_PlannedOrders[Part Name],$A927,T_PlannedOrders[WeekIndex],85)=0,"",SUMIFS(T_PlannedOrders[EffectiveQty],T_PlannedOrders[Part Name],$A927,T_PlannedOrders[WeekIndex],85)&amp;" ("&amp;TEXT(SUMPRODUCT(MAX((T_PlannedOrders[Part Name]=$A927)*(T_PlannedOrders[WeekIndex]=85)*(T_PlannedOrders[EffectiveQty]&gt;0)*T_PlannedOrders[Order_Month])),"m月")&amp;"発注)")</f>
        <v/>
      </c>
      <c r="CK935">
        <f>IF(SUMIFS(T_PlannedOrders[EffectiveQty],T_PlannedOrders[Part Name],$A927,T_PlannedOrders[WeekIndex],86)=0,"",SUMIFS(T_PlannedOrders[EffectiveQty],T_PlannedOrders[Part Name],$A927,T_PlannedOrders[WeekIndex],86)&amp;" ("&amp;TEXT(SUMPRODUCT(MAX((T_PlannedOrders[Part Name]=$A927)*(T_PlannedOrders[WeekIndex]=86)*(T_PlannedOrders[EffectiveQty]&gt;0)*T_PlannedOrders[Order_Month])),"m月")&amp;"発注)")</f>
        <v/>
      </c>
      <c r="CL935">
        <f>IF(SUMIFS(T_PlannedOrders[EffectiveQty],T_PlannedOrders[Part Name],$A927,T_PlannedOrders[WeekIndex],87)=0,"",SUMIFS(T_PlannedOrders[EffectiveQty],T_PlannedOrders[Part Name],$A927,T_PlannedOrders[WeekIndex],87)&amp;" ("&amp;TEXT(SUMPRODUCT(MAX((T_PlannedOrders[Part Name]=$A927)*(T_PlannedOrders[WeekIndex]=87)*(T_PlannedOrders[EffectiveQty]&gt;0)*T_PlannedOrders[Order_Month])),"m月")&amp;"発注)")</f>
        <v/>
      </c>
      <c r="CM935">
        <f>IF(SUMIFS(T_PlannedOrders[EffectiveQty],T_PlannedOrders[Part Name],$A927,T_PlannedOrders[WeekIndex],88)=0,"",SUMIFS(T_PlannedOrders[EffectiveQty],T_PlannedOrders[Part Name],$A927,T_PlannedOrders[WeekIndex],88)&amp;" ("&amp;TEXT(SUMPRODUCT(MAX((T_PlannedOrders[Part Name]=$A927)*(T_PlannedOrders[WeekIndex]=88)*(T_PlannedOrders[EffectiveQty]&gt;0)*T_PlannedOrders[Order_Month])),"m月")&amp;"発注)")</f>
        <v/>
      </c>
      <c r="CN935">
        <f>IF(SUMIFS(T_PlannedOrders[EffectiveQty],T_PlannedOrders[Part Name],$A927,T_PlannedOrders[WeekIndex],89)=0,"",SUMIFS(T_PlannedOrders[EffectiveQty],T_PlannedOrders[Part Name],$A927,T_PlannedOrders[WeekIndex],89)&amp;" ("&amp;TEXT(SUMPRODUCT(MAX((T_PlannedOrders[Part Name]=$A927)*(T_PlannedOrders[WeekIndex]=89)*(T_PlannedOrders[EffectiveQty]&gt;0)*T_PlannedOrders[Order_Month])),"m月")&amp;"発注)")</f>
        <v/>
      </c>
      <c r="CO935">
        <f>IF(SUMIFS(T_PlannedOrders[EffectiveQty],T_PlannedOrders[Part Name],$A927,T_PlannedOrders[WeekIndex],90)=0,"",SUMIFS(T_PlannedOrders[EffectiveQty],T_PlannedOrders[Part Name],$A927,T_PlannedOrders[WeekIndex],90)&amp;" ("&amp;TEXT(SUMPRODUCT(MAX((T_PlannedOrders[Part Name]=$A927)*(T_PlannedOrders[WeekIndex]=90)*(T_PlannedOrders[EffectiveQty]&gt;0)*T_PlannedOrders[Order_Month])),"m月")&amp;"発注)")</f>
        <v/>
      </c>
      <c r="CP935">
        <f>IF(SUMIFS(T_PlannedOrders[EffectiveQty],T_PlannedOrders[Part Name],$A927,T_PlannedOrders[WeekIndex],91)=0,"",SUMIFS(T_PlannedOrders[EffectiveQty],T_PlannedOrders[Part Name],$A927,T_PlannedOrders[WeekIndex],91)&amp;" ("&amp;TEXT(SUMPRODUCT(MAX((T_PlannedOrders[Part Name]=$A927)*(T_PlannedOrders[WeekIndex]=91)*(T_PlannedOrders[EffectiveQty]&gt;0)*T_PlannedOrders[Order_Month])),"m月")&amp;"発注)")</f>
        <v/>
      </c>
      <c r="CQ935">
        <f>IF(SUMIFS(T_PlannedOrders[EffectiveQty],T_PlannedOrders[Part Name],$A927,T_PlannedOrders[WeekIndex],92)=0,"",SUMIFS(T_PlannedOrders[EffectiveQty],T_PlannedOrders[Part Name],$A927,T_PlannedOrders[WeekIndex],92)&amp;" ("&amp;TEXT(SUMPRODUCT(MAX((T_PlannedOrders[Part Name]=$A927)*(T_PlannedOrders[WeekIndex]=92)*(T_PlannedOrders[EffectiveQty]&gt;0)*T_PlannedOrders[Order_Month])),"m月")&amp;"発注)")</f>
        <v/>
      </c>
      <c r="CR935">
        <f>IF(SUMIFS(T_PlannedOrders[EffectiveQty],T_PlannedOrders[Part Name],$A927,T_PlannedOrders[WeekIndex],93)=0,"",SUMIFS(T_PlannedOrders[EffectiveQty],T_PlannedOrders[Part Name],$A927,T_PlannedOrders[WeekIndex],93)&amp;" ("&amp;TEXT(SUMPRODUCT(MAX((T_PlannedOrders[Part Name]=$A927)*(T_PlannedOrders[WeekIndex]=93)*(T_PlannedOrders[EffectiveQty]&gt;0)*T_PlannedOrders[Order_Month])),"m月")&amp;"発注)")</f>
        <v/>
      </c>
      <c r="CS935">
        <f>IF(SUMIFS(T_PlannedOrders[EffectiveQty],T_PlannedOrders[Part Name],$A927,T_PlannedOrders[WeekIndex],94)=0,"",SUMIFS(T_PlannedOrders[EffectiveQty],T_PlannedOrders[Part Name],$A927,T_PlannedOrders[WeekIndex],94)&amp;" ("&amp;TEXT(SUMPRODUCT(MAX((T_PlannedOrders[Part Name]=$A927)*(T_PlannedOrders[WeekIndex]=94)*(T_PlannedOrders[EffectiveQty]&gt;0)*T_PlannedOrders[Order_Month])),"m月")&amp;"発注)")</f>
        <v/>
      </c>
      <c r="CT935">
        <f>IF(SUMIFS(T_PlannedOrders[EffectiveQty],T_PlannedOrders[Part Name],$A927,T_PlannedOrders[WeekIndex],95)=0,"",SUMIFS(T_PlannedOrders[EffectiveQty],T_PlannedOrders[Part Name],$A927,T_PlannedOrders[WeekIndex],95)&amp;" ("&amp;TEXT(SUMPRODUCT(MAX((T_PlannedOrders[Part Name]=$A927)*(T_PlannedOrders[WeekIndex]=95)*(T_PlannedOrders[EffectiveQty]&gt;0)*T_PlannedOrders[Order_Month])),"m月")&amp;"発注)")</f>
        <v/>
      </c>
      <c r="CU935">
        <f>IF(SUMIFS(T_PlannedOrders[EffectiveQty],T_PlannedOrders[Part Name],$A927,T_PlannedOrders[WeekIndex],96)=0,"",SUMIFS(T_PlannedOrders[EffectiveQty],T_PlannedOrders[Part Name],$A927,T_PlannedOrders[WeekIndex],96)&amp;" ("&amp;TEXT(SUMPRODUCT(MAX((T_PlannedOrders[Part Name]=$A927)*(T_PlannedOrders[WeekIndex]=96)*(T_PlannedOrders[EffectiveQty]&gt;0)*T_PlannedOrders[Order_Month])),"m月")&amp;"発注)")</f>
        <v/>
      </c>
      <c r="CV935">
        <f>IF(SUMIFS(T_PlannedOrders[EffectiveQty],T_PlannedOrders[Part Name],$A927,T_PlannedOrders[WeekIndex],97)=0,"",SUMIFS(T_PlannedOrders[EffectiveQty],T_PlannedOrders[Part Name],$A927,T_PlannedOrders[WeekIndex],97)&amp;" ("&amp;TEXT(SUMPRODUCT(MAX((T_PlannedOrders[Part Name]=$A927)*(T_PlannedOrders[WeekIndex]=97)*(T_PlannedOrders[EffectiveQty]&gt;0)*T_PlannedOrders[Order_Month])),"m月")&amp;"発注)")</f>
        <v/>
      </c>
      <c r="CW935">
        <f>IF(SUMIFS(T_PlannedOrders[EffectiveQty],T_PlannedOrders[Part Name],$A927,T_PlannedOrders[WeekIndex],98)=0,"",SUMIFS(T_PlannedOrders[EffectiveQty],T_PlannedOrders[Part Name],$A927,T_PlannedOrders[WeekIndex],98)&amp;" ("&amp;TEXT(SUMPRODUCT(MAX((T_PlannedOrders[Part Name]=$A927)*(T_PlannedOrders[WeekIndex]=98)*(T_PlannedOrders[EffectiveQty]&gt;0)*T_PlannedOrders[Order_Month])),"m月")&amp;"発注)")</f>
        <v/>
      </c>
      <c r="CX935">
        <f>IF(SUMIFS(T_PlannedOrders[EffectiveQty],T_PlannedOrders[Part Name],$A927,T_PlannedOrders[WeekIndex],99)=0,"",SUMIFS(T_PlannedOrders[EffectiveQty],T_PlannedOrders[Part Name],$A927,T_PlannedOrders[WeekIndex],99)&amp;" ("&amp;TEXT(SUMPRODUCT(MAX((T_PlannedOrders[Part Name]=$A927)*(T_PlannedOrders[WeekIndex]=99)*(T_PlannedOrders[EffectiveQty]&gt;0)*T_PlannedOrders[Order_Month])),"m月")&amp;"発注)")</f>
        <v/>
      </c>
      <c r="CY935">
        <f>IF(SUMIFS(T_PlannedOrders[EffectiveQty],T_PlannedOrders[Part Name],$A927,T_PlannedOrders[WeekIndex],100)=0,"",SUMIFS(T_PlannedOrders[EffectiveQty],T_PlannedOrders[Part Name],$A927,T_PlannedOrders[WeekIndex],100)&amp;" ("&amp;TEXT(SUMPRODUCT(MAX((T_PlannedOrders[Part Name]=$A927)*(T_PlannedOrders[WeekIndex]=100)*(T_PlannedOrders[EffectiveQty]&gt;0)*T_PlannedOrders[Order_Month])),"m月")&amp;"発注)")</f>
        <v/>
      </c>
      <c r="CZ935">
        <f>IF(SUMIFS(T_PlannedOrders[EffectiveQty],T_PlannedOrders[Part Name],$A927,T_PlannedOrders[WeekIndex],101)=0,"",SUMIFS(T_PlannedOrders[EffectiveQty],T_PlannedOrders[Part Name],$A927,T_PlannedOrders[WeekIndex],101)&amp;" ("&amp;TEXT(SUMPRODUCT(MAX((T_PlannedOrders[Part Name]=$A927)*(T_PlannedOrders[WeekIndex]=101)*(T_PlannedOrders[EffectiveQty]&gt;0)*T_PlannedOrders[Order_Month])),"m月")&amp;"発注)")</f>
        <v/>
      </c>
      <c r="DA935">
        <f>IF(SUMIFS(T_PlannedOrders[EffectiveQty],T_PlannedOrders[Part Name],$A927,T_PlannedOrders[WeekIndex],102)=0,"",SUMIFS(T_PlannedOrders[EffectiveQty],T_PlannedOrders[Part Name],$A927,T_PlannedOrders[WeekIndex],102)&amp;" ("&amp;TEXT(SUMPRODUCT(MAX((T_PlannedOrders[Part Name]=$A927)*(T_PlannedOrders[WeekIndex]=102)*(T_PlannedOrders[EffectiveQty]&gt;0)*T_PlannedOrders[Order_Month])),"m月")&amp;"発注)")</f>
        <v/>
      </c>
      <c r="DB935">
        <f>IF(SUMIFS(T_PlannedOrders[EffectiveQty],T_PlannedOrders[Part Name],$A927,T_PlannedOrders[WeekIndex],103)=0,"",SUMIFS(T_PlannedOrders[EffectiveQty],T_PlannedOrders[Part Name],$A927,T_PlannedOrders[WeekIndex],103)&amp;" ("&amp;TEXT(SUMPRODUCT(MAX((T_PlannedOrders[Part Name]=$A927)*(T_PlannedOrders[WeekIndex]=103)*(T_PlannedOrders[EffectiveQty]&gt;0)*T_PlannedOrders[Order_Month])),"m月")&amp;"発注)")</f>
        <v/>
      </c>
      <c r="DC935">
        <f>IF(SUMIFS(T_PlannedOrders[EffectiveQty],T_PlannedOrders[Part Name],$A927,T_PlannedOrders[WeekIndex],104)=0,"",SUMIFS(T_PlannedOrders[EffectiveQty],T_PlannedOrders[Part Name],$A927,T_PlannedOrders[WeekIndex],104)&amp;" ("&amp;TEXT(SUMPRODUCT(MAX((T_PlannedOrders[Part Name]=$A927)*(T_PlannedOrders[WeekIndex]=104)*(T_PlannedOrders[EffectiveQty]&gt;0)*T_PlannedOrders[Order_Month])),"m月")&amp;"発注)")</f>
        <v/>
      </c>
    </row>
    <row r="936">
      <c r="B936" s="5" t="inlineStr">
        <is>
          <t>合計在庫(週末時点,kg)</t>
        </is>
      </c>
      <c r="D936">
        <f>'Grid_Stock'!B27</f>
        <v/>
      </c>
      <c r="E936">
        <f>'Grid_Stock'!C27</f>
        <v/>
      </c>
      <c r="F936">
        <f>'Grid_Stock'!D27</f>
        <v/>
      </c>
      <c r="G936">
        <f>'Grid_Stock'!E27</f>
        <v/>
      </c>
      <c r="H936">
        <f>'Grid_Stock'!F27</f>
        <v/>
      </c>
      <c r="I936">
        <f>'Grid_Stock'!G27</f>
        <v/>
      </c>
      <c r="J936">
        <f>'Grid_Stock'!H27</f>
        <v/>
      </c>
      <c r="K936">
        <f>'Grid_Stock'!I27</f>
        <v/>
      </c>
      <c r="L936">
        <f>'Grid_Stock'!J27</f>
        <v/>
      </c>
      <c r="M936">
        <f>'Grid_Stock'!K27</f>
        <v/>
      </c>
      <c r="N936">
        <f>'Grid_Stock'!L27</f>
        <v/>
      </c>
      <c r="O936">
        <f>'Grid_Stock'!M27</f>
        <v/>
      </c>
      <c r="P936">
        <f>'Grid_Stock'!N27</f>
        <v/>
      </c>
      <c r="Q936">
        <f>'Grid_Stock'!O27</f>
        <v/>
      </c>
      <c r="R936">
        <f>'Grid_Stock'!P27</f>
        <v/>
      </c>
      <c r="S936">
        <f>'Grid_Stock'!Q27</f>
        <v/>
      </c>
      <c r="T936">
        <f>'Grid_Stock'!R27</f>
        <v/>
      </c>
      <c r="U936">
        <f>'Grid_Stock'!S27</f>
        <v/>
      </c>
      <c r="V936">
        <f>'Grid_Stock'!T27</f>
        <v/>
      </c>
      <c r="W936">
        <f>'Grid_Stock'!U27</f>
        <v/>
      </c>
      <c r="X936">
        <f>'Grid_Stock'!V27</f>
        <v/>
      </c>
      <c r="Y936">
        <f>'Grid_Stock'!W27</f>
        <v/>
      </c>
      <c r="Z936">
        <f>'Grid_Stock'!X27</f>
        <v/>
      </c>
      <c r="AA936">
        <f>'Grid_Stock'!Y27</f>
        <v/>
      </c>
      <c r="AB936">
        <f>'Grid_Stock'!Z27</f>
        <v/>
      </c>
      <c r="AC936">
        <f>'Grid_Stock'!AA27</f>
        <v/>
      </c>
      <c r="AD936">
        <f>'Grid_Stock'!AB27</f>
        <v/>
      </c>
      <c r="AE936">
        <f>'Grid_Stock'!AC27</f>
        <v/>
      </c>
      <c r="AF936">
        <f>'Grid_Stock'!AD27</f>
        <v/>
      </c>
      <c r="AG936">
        <f>'Grid_Stock'!AE27</f>
        <v/>
      </c>
      <c r="AH936">
        <f>'Grid_Stock'!AF27</f>
        <v/>
      </c>
      <c r="AI936">
        <f>'Grid_Stock'!AG27</f>
        <v/>
      </c>
      <c r="AJ936">
        <f>'Grid_Stock'!AH27</f>
        <v/>
      </c>
      <c r="AK936">
        <f>'Grid_Stock'!AI27</f>
        <v/>
      </c>
      <c r="AL936">
        <f>'Grid_Stock'!AJ27</f>
        <v/>
      </c>
      <c r="AM936">
        <f>'Grid_Stock'!AK27</f>
        <v/>
      </c>
      <c r="AN936">
        <f>'Grid_Stock'!AL27</f>
        <v/>
      </c>
      <c r="AO936">
        <f>'Grid_Stock'!AM27</f>
        <v/>
      </c>
      <c r="AP936">
        <f>'Grid_Stock'!AN27</f>
        <v/>
      </c>
      <c r="AQ936">
        <f>'Grid_Stock'!AO27</f>
        <v/>
      </c>
      <c r="AR936">
        <f>'Grid_Stock'!AP27</f>
        <v/>
      </c>
      <c r="AS936">
        <f>'Grid_Stock'!AQ27</f>
        <v/>
      </c>
      <c r="AT936">
        <f>'Grid_Stock'!AR27</f>
        <v/>
      </c>
      <c r="AU936">
        <f>'Grid_Stock'!AS27</f>
        <v/>
      </c>
      <c r="AV936">
        <f>'Grid_Stock'!AT27</f>
        <v/>
      </c>
      <c r="AW936">
        <f>'Grid_Stock'!AU27</f>
        <v/>
      </c>
      <c r="AX936">
        <f>'Grid_Stock'!AV27</f>
        <v/>
      </c>
      <c r="AY936">
        <f>'Grid_Stock'!AW27</f>
        <v/>
      </c>
      <c r="AZ936">
        <f>'Grid_Stock'!AX27</f>
        <v/>
      </c>
      <c r="BA936">
        <f>'Grid_Stock'!AY27</f>
        <v/>
      </c>
      <c r="BB936">
        <f>'Grid_Stock'!AZ27</f>
        <v/>
      </c>
      <c r="BC936">
        <f>'Grid_Stock'!BA27</f>
        <v/>
      </c>
      <c r="BD936">
        <f>'Grid_Stock'!BB27</f>
        <v/>
      </c>
      <c r="BE936">
        <f>'Grid_Stock'!BC27</f>
        <v/>
      </c>
      <c r="BF936">
        <f>'Grid_Stock'!BD27</f>
        <v/>
      </c>
      <c r="BG936">
        <f>'Grid_Stock'!BE27</f>
        <v/>
      </c>
      <c r="BH936">
        <f>'Grid_Stock'!BF27</f>
        <v/>
      </c>
      <c r="BI936">
        <f>'Grid_Stock'!BG27</f>
        <v/>
      </c>
      <c r="BJ936">
        <f>'Grid_Stock'!BH27</f>
        <v/>
      </c>
      <c r="BK936">
        <f>'Grid_Stock'!BI27</f>
        <v/>
      </c>
      <c r="BL936">
        <f>'Grid_Stock'!BJ27</f>
        <v/>
      </c>
      <c r="BM936">
        <f>'Grid_Stock'!BK27</f>
        <v/>
      </c>
      <c r="BN936">
        <f>'Grid_Stock'!BL27</f>
        <v/>
      </c>
      <c r="BO936">
        <f>'Grid_Stock'!BM27</f>
        <v/>
      </c>
      <c r="BP936">
        <f>'Grid_Stock'!BN27</f>
        <v/>
      </c>
      <c r="BQ936">
        <f>'Grid_Stock'!BO27</f>
        <v/>
      </c>
      <c r="BR936">
        <f>'Grid_Stock'!BP27</f>
        <v/>
      </c>
      <c r="BS936">
        <f>'Grid_Stock'!BQ27</f>
        <v/>
      </c>
      <c r="BT936">
        <f>'Grid_Stock'!BR27</f>
        <v/>
      </c>
      <c r="BU936">
        <f>'Grid_Stock'!BS27</f>
        <v/>
      </c>
      <c r="BV936">
        <f>'Grid_Stock'!BT27</f>
        <v/>
      </c>
      <c r="BW936">
        <f>'Grid_Stock'!BU27</f>
        <v/>
      </c>
      <c r="BX936">
        <f>'Grid_Stock'!BV27</f>
        <v/>
      </c>
      <c r="BY936">
        <f>'Grid_Stock'!BW27</f>
        <v/>
      </c>
      <c r="BZ936">
        <f>'Grid_Stock'!BX27</f>
        <v/>
      </c>
      <c r="CA936">
        <f>'Grid_Stock'!BY27</f>
        <v/>
      </c>
      <c r="CB936">
        <f>'Grid_Stock'!BZ27</f>
        <v/>
      </c>
      <c r="CC936">
        <f>'Grid_Stock'!CA27</f>
        <v/>
      </c>
      <c r="CD936">
        <f>'Grid_Stock'!CB27</f>
        <v/>
      </c>
      <c r="CE936">
        <f>'Grid_Stock'!CC27</f>
        <v/>
      </c>
      <c r="CF936">
        <f>'Grid_Stock'!CD27</f>
        <v/>
      </c>
      <c r="CG936">
        <f>'Grid_Stock'!CE27</f>
        <v/>
      </c>
      <c r="CH936">
        <f>'Grid_Stock'!CF27</f>
        <v/>
      </c>
      <c r="CI936">
        <f>'Grid_Stock'!CG27</f>
        <v/>
      </c>
      <c r="CJ936">
        <f>'Grid_Stock'!CH27</f>
        <v/>
      </c>
      <c r="CK936">
        <f>'Grid_Stock'!CI27</f>
        <v/>
      </c>
      <c r="CL936">
        <f>'Grid_Stock'!CJ27</f>
        <v/>
      </c>
      <c r="CM936">
        <f>'Grid_Stock'!CK27</f>
        <v/>
      </c>
      <c r="CN936">
        <f>'Grid_Stock'!CL27</f>
        <v/>
      </c>
      <c r="CO936">
        <f>'Grid_Stock'!CM27</f>
        <v/>
      </c>
      <c r="CP936">
        <f>'Grid_Stock'!CN27</f>
        <v/>
      </c>
      <c r="CQ936">
        <f>'Grid_Stock'!CO27</f>
        <v/>
      </c>
      <c r="CR936">
        <f>'Grid_Stock'!CP27</f>
        <v/>
      </c>
      <c r="CS936">
        <f>'Grid_Stock'!CQ27</f>
        <v/>
      </c>
      <c r="CT936">
        <f>'Grid_Stock'!CR27</f>
        <v/>
      </c>
      <c r="CU936">
        <f>'Grid_Stock'!CS27</f>
        <v/>
      </c>
      <c r="CV936">
        <f>'Grid_Stock'!CT27</f>
        <v/>
      </c>
      <c r="CW936">
        <f>'Grid_Stock'!CU27</f>
        <v/>
      </c>
      <c r="CX936">
        <f>'Grid_Stock'!CV27</f>
        <v/>
      </c>
      <c r="CY936">
        <f>'Grid_Stock'!CW27</f>
        <v/>
      </c>
      <c r="CZ936">
        <f>'Grid_Stock'!CX27</f>
        <v/>
      </c>
      <c r="DA936">
        <f>'Grid_Stock'!CY27</f>
        <v/>
      </c>
      <c r="DB936">
        <f>'Grid_Stock'!CZ27</f>
        <v/>
      </c>
      <c r="DC936">
        <f>'Grid_Stock'!DA27</f>
        <v/>
      </c>
    </row>
    <row r="937">
      <c r="B937" s="23" t="inlineStr">
        <is>
          <t>（発注の目安はDashboardの基準在庫[下限/上限]と色分けを参照）</t>
        </is>
      </c>
    </row>
    <row r="939">
      <c r="A939" s="21" t="inlineStr">
        <is>
          <t>CHEM-1450</t>
        </is>
      </c>
      <c r="B939" s="21" t="inlineStr">
        <is>
          <t>Noptechs</t>
        </is>
      </c>
      <c r="C939" s="22" t="n"/>
      <c r="D939" s="21" t="n"/>
      <c r="E939" s="21" t="n"/>
      <c r="F939" s="21" t="n"/>
      <c r="G939" s="21" t="n"/>
      <c r="H939" s="2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  <c r="AA939" s="21" t="n"/>
      <c r="AB939" s="21" t="n"/>
      <c r="AC939" s="21" t="n"/>
      <c r="AD939" s="21" t="n"/>
      <c r="AE939" s="21" t="n"/>
      <c r="AF939" s="21" t="n"/>
      <c r="AG939" s="21" t="n"/>
      <c r="AH939" s="21" t="n"/>
      <c r="AI939" s="21" t="n"/>
      <c r="AJ939" s="21" t="n"/>
      <c r="AK939" s="21" t="n"/>
      <c r="AL939" s="21" t="n"/>
      <c r="AM939" s="21" t="n"/>
      <c r="AN939" s="21" t="n"/>
      <c r="AO939" s="21" t="n"/>
      <c r="AP939" s="21" t="n"/>
      <c r="AQ939" s="21" t="n"/>
      <c r="AR939" s="21" t="n"/>
      <c r="AS939" s="21" t="n"/>
      <c r="AT939" s="21" t="n"/>
      <c r="AU939" s="21" t="n"/>
      <c r="AV939" s="21" t="n"/>
      <c r="AW939" s="21" t="n"/>
      <c r="AX939" s="21" t="n"/>
      <c r="AY939" s="21" t="n"/>
      <c r="AZ939" s="21" t="n"/>
      <c r="BA939" s="21" t="n"/>
      <c r="BB939" s="21" t="n"/>
      <c r="BC939" s="21" t="n"/>
      <c r="BD939" s="21" t="n"/>
      <c r="BE939" s="21" t="n"/>
      <c r="BF939" s="21" t="n"/>
      <c r="BG939" s="21" t="n"/>
      <c r="BH939" s="21" t="n"/>
      <c r="BI939" s="21" t="n"/>
      <c r="BJ939" s="21" t="n"/>
      <c r="BK939" s="21" t="n"/>
      <c r="BL939" s="21" t="n"/>
      <c r="BM939" s="21" t="n"/>
      <c r="BN939" s="21" t="n"/>
      <c r="BO939" s="21" t="n"/>
      <c r="BP939" s="21" t="n"/>
      <c r="BQ939" s="21" t="n"/>
      <c r="BR939" s="21" t="n"/>
      <c r="BS939" s="21" t="n"/>
      <c r="BT939" s="21" t="n"/>
      <c r="BU939" s="21" t="n"/>
      <c r="BV939" s="21" t="n"/>
      <c r="BW939" s="21" t="n"/>
      <c r="BX939" s="21" t="n"/>
      <c r="BY939" s="21" t="n"/>
      <c r="BZ939" s="21" t="n"/>
      <c r="CA939" s="21" t="n"/>
      <c r="CB939" s="21" t="n"/>
      <c r="CC939" s="21" t="n"/>
      <c r="CD939" s="21" t="n"/>
      <c r="CE939" s="21" t="n"/>
      <c r="CF939" s="21" t="n"/>
      <c r="CG939" s="21" t="n"/>
      <c r="CH939" s="21" t="n"/>
      <c r="CI939" s="21" t="n"/>
      <c r="CJ939" s="21" t="n"/>
      <c r="CK939" s="21" t="n"/>
      <c r="CL939" s="21" t="n"/>
      <c r="CM939" s="21" t="n"/>
      <c r="CN939" s="21" t="n"/>
      <c r="CO939" s="21" t="n"/>
      <c r="CP939" s="21" t="n"/>
      <c r="CQ939" s="21" t="n"/>
      <c r="CR939" s="21" t="n"/>
      <c r="CS939" s="21" t="n"/>
      <c r="CT939" s="21" t="n"/>
      <c r="CU939" s="21" t="n"/>
      <c r="CV939" s="21" t="n"/>
      <c r="CW939" s="21" t="n"/>
      <c r="CX939" s="21" t="n"/>
      <c r="CY939" s="21" t="n"/>
      <c r="CZ939" s="21" t="n"/>
      <c r="DA939" s="21" t="n"/>
      <c r="DB939" s="21" t="n"/>
      <c r="DC939" s="21" t="n"/>
    </row>
    <row r="940">
      <c r="B940" t="inlineStr">
        <is>
          <t>TSP-225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Name],$A939)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TSP-558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Name],$A939)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s="5" t="inlineStr">
        <is>
          <t>合計使用量(kg)/週</t>
        </is>
      </c>
      <c r="D944">
        <f>'Grid_Requirement'!B24</f>
        <v/>
      </c>
      <c r="E944">
        <f>'Grid_Requirement'!C24</f>
        <v/>
      </c>
      <c r="F944">
        <f>'Grid_Requirement'!D24</f>
        <v/>
      </c>
      <c r="G944">
        <f>'Grid_Requirement'!E24</f>
        <v/>
      </c>
      <c r="H944">
        <f>'Grid_Requirement'!F24</f>
        <v/>
      </c>
      <c r="I944">
        <f>'Grid_Requirement'!G24</f>
        <v/>
      </c>
      <c r="J944">
        <f>'Grid_Requirement'!H24</f>
        <v/>
      </c>
      <c r="K944">
        <f>'Grid_Requirement'!I24</f>
        <v/>
      </c>
      <c r="L944">
        <f>'Grid_Requirement'!J24</f>
        <v/>
      </c>
      <c r="M944">
        <f>'Grid_Requirement'!K24</f>
        <v/>
      </c>
      <c r="N944">
        <f>'Grid_Requirement'!L24</f>
        <v/>
      </c>
      <c r="O944">
        <f>'Grid_Requirement'!M24</f>
        <v/>
      </c>
      <c r="P944">
        <f>'Grid_Requirement'!N24</f>
        <v/>
      </c>
      <c r="Q944">
        <f>'Grid_Requirement'!O24</f>
        <v/>
      </c>
      <c r="R944">
        <f>'Grid_Requirement'!P24</f>
        <v/>
      </c>
      <c r="S944">
        <f>'Grid_Requirement'!Q24</f>
        <v/>
      </c>
      <c r="T944">
        <f>'Grid_Requirement'!R24</f>
        <v/>
      </c>
      <c r="U944">
        <f>'Grid_Requirement'!S24</f>
        <v/>
      </c>
      <c r="V944">
        <f>'Grid_Requirement'!T24</f>
        <v/>
      </c>
      <c r="W944">
        <f>'Grid_Requirement'!U24</f>
        <v/>
      </c>
      <c r="X944">
        <f>'Grid_Requirement'!V24</f>
        <v/>
      </c>
      <c r="Y944">
        <f>'Grid_Requirement'!W24</f>
        <v/>
      </c>
      <c r="Z944">
        <f>'Grid_Requirement'!X24</f>
        <v/>
      </c>
      <c r="AA944">
        <f>'Grid_Requirement'!Y24</f>
        <v/>
      </c>
      <c r="AB944">
        <f>'Grid_Requirement'!Z24</f>
        <v/>
      </c>
      <c r="AC944">
        <f>'Grid_Requirement'!AA24</f>
        <v/>
      </c>
      <c r="AD944">
        <f>'Grid_Requirement'!AB24</f>
        <v/>
      </c>
      <c r="AE944">
        <f>'Grid_Requirement'!AC24</f>
        <v/>
      </c>
      <c r="AF944">
        <f>'Grid_Requirement'!AD24</f>
        <v/>
      </c>
      <c r="AG944">
        <f>'Grid_Requirement'!AE24</f>
        <v/>
      </c>
      <c r="AH944">
        <f>'Grid_Requirement'!AF24</f>
        <v/>
      </c>
      <c r="AI944">
        <f>'Grid_Requirement'!AG24</f>
        <v/>
      </c>
      <c r="AJ944">
        <f>'Grid_Requirement'!AH24</f>
        <v/>
      </c>
      <c r="AK944">
        <f>'Grid_Requirement'!AI24</f>
        <v/>
      </c>
      <c r="AL944">
        <f>'Grid_Requirement'!AJ24</f>
        <v/>
      </c>
      <c r="AM944">
        <f>'Grid_Requirement'!AK24</f>
        <v/>
      </c>
      <c r="AN944">
        <f>'Grid_Requirement'!AL24</f>
        <v/>
      </c>
      <c r="AO944">
        <f>'Grid_Requirement'!AM24</f>
        <v/>
      </c>
      <c r="AP944">
        <f>'Grid_Requirement'!AN24</f>
        <v/>
      </c>
      <c r="AQ944">
        <f>'Grid_Requirement'!AO24</f>
        <v/>
      </c>
      <c r="AR944">
        <f>'Grid_Requirement'!AP24</f>
        <v/>
      </c>
      <c r="AS944">
        <f>'Grid_Requirement'!AQ24</f>
        <v/>
      </c>
      <c r="AT944">
        <f>'Grid_Requirement'!AR24</f>
        <v/>
      </c>
      <c r="AU944">
        <f>'Grid_Requirement'!AS24</f>
        <v/>
      </c>
      <c r="AV944">
        <f>'Grid_Requirement'!AT24</f>
        <v/>
      </c>
      <c r="AW944">
        <f>'Grid_Requirement'!AU24</f>
        <v/>
      </c>
      <c r="AX944">
        <f>'Grid_Requirement'!AV24</f>
        <v/>
      </c>
      <c r="AY944">
        <f>'Grid_Requirement'!AW24</f>
        <v/>
      </c>
      <c r="AZ944">
        <f>'Grid_Requirement'!AX24</f>
        <v/>
      </c>
      <c r="BA944">
        <f>'Grid_Requirement'!AY24</f>
        <v/>
      </c>
      <c r="BB944">
        <f>'Grid_Requirement'!AZ24</f>
        <v/>
      </c>
      <c r="BC944">
        <f>'Grid_Requirement'!BA24</f>
        <v/>
      </c>
      <c r="BD944">
        <f>'Grid_Requirement'!BB24</f>
        <v/>
      </c>
      <c r="BE944">
        <f>'Grid_Requirement'!BC24</f>
        <v/>
      </c>
      <c r="BF944">
        <f>'Grid_Requirement'!BD24</f>
        <v/>
      </c>
      <c r="BG944">
        <f>'Grid_Requirement'!BE24</f>
        <v/>
      </c>
      <c r="BH944">
        <f>'Grid_Requirement'!BF24</f>
        <v/>
      </c>
      <c r="BI944">
        <f>'Grid_Requirement'!BG24</f>
        <v/>
      </c>
      <c r="BJ944">
        <f>'Grid_Requirement'!BH24</f>
        <v/>
      </c>
      <c r="BK944">
        <f>'Grid_Requirement'!BI24</f>
        <v/>
      </c>
      <c r="BL944">
        <f>'Grid_Requirement'!BJ24</f>
        <v/>
      </c>
      <c r="BM944">
        <f>'Grid_Requirement'!BK24</f>
        <v/>
      </c>
      <c r="BN944">
        <f>'Grid_Requirement'!BL24</f>
        <v/>
      </c>
      <c r="BO944">
        <f>'Grid_Requirement'!BM24</f>
        <v/>
      </c>
      <c r="BP944">
        <f>'Grid_Requirement'!BN24</f>
        <v/>
      </c>
      <c r="BQ944">
        <f>'Grid_Requirement'!BO24</f>
        <v/>
      </c>
      <c r="BR944">
        <f>'Grid_Requirement'!BP24</f>
        <v/>
      </c>
      <c r="BS944">
        <f>'Grid_Requirement'!BQ24</f>
        <v/>
      </c>
      <c r="BT944">
        <f>'Grid_Requirement'!BR24</f>
        <v/>
      </c>
      <c r="BU944">
        <f>'Grid_Requirement'!BS24</f>
        <v/>
      </c>
      <c r="BV944">
        <f>'Grid_Requirement'!BT24</f>
        <v/>
      </c>
      <c r="BW944">
        <f>'Grid_Requirement'!BU24</f>
        <v/>
      </c>
      <c r="BX944">
        <f>'Grid_Requirement'!BV24</f>
        <v/>
      </c>
      <c r="BY944">
        <f>'Grid_Requirement'!BW24</f>
        <v/>
      </c>
      <c r="BZ944">
        <f>'Grid_Requirement'!BX24</f>
        <v/>
      </c>
      <c r="CA944">
        <f>'Grid_Requirement'!BY24</f>
        <v/>
      </c>
      <c r="CB944">
        <f>'Grid_Requirement'!BZ24</f>
        <v/>
      </c>
      <c r="CC944">
        <f>'Grid_Requirement'!CA24</f>
        <v/>
      </c>
      <c r="CD944">
        <f>'Grid_Requirement'!CB24</f>
        <v/>
      </c>
      <c r="CE944">
        <f>'Grid_Requirement'!CC24</f>
        <v/>
      </c>
      <c r="CF944">
        <f>'Grid_Requirement'!CD24</f>
        <v/>
      </c>
      <c r="CG944">
        <f>'Grid_Requirement'!CE24</f>
        <v/>
      </c>
      <c r="CH944">
        <f>'Grid_Requirement'!CF24</f>
        <v/>
      </c>
      <c r="CI944">
        <f>'Grid_Requirement'!CG24</f>
        <v/>
      </c>
      <c r="CJ944">
        <f>'Grid_Requirement'!CH24</f>
        <v/>
      </c>
      <c r="CK944">
        <f>'Grid_Requirement'!CI24</f>
        <v/>
      </c>
      <c r="CL944">
        <f>'Grid_Requirement'!CJ24</f>
        <v/>
      </c>
      <c r="CM944">
        <f>'Grid_Requirement'!CK24</f>
        <v/>
      </c>
      <c r="CN944">
        <f>'Grid_Requirement'!CL24</f>
        <v/>
      </c>
      <c r="CO944">
        <f>'Grid_Requirement'!CM24</f>
        <v/>
      </c>
      <c r="CP944">
        <f>'Grid_Requirement'!CN24</f>
        <v/>
      </c>
      <c r="CQ944">
        <f>'Grid_Requirement'!CO24</f>
        <v/>
      </c>
      <c r="CR944">
        <f>'Grid_Requirement'!CP24</f>
        <v/>
      </c>
      <c r="CS944">
        <f>'Grid_Requirement'!CQ24</f>
        <v/>
      </c>
      <c r="CT944">
        <f>'Grid_Requirement'!CR24</f>
        <v/>
      </c>
      <c r="CU944">
        <f>'Grid_Requirement'!CS24</f>
        <v/>
      </c>
      <c r="CV944">
        <f>'Grid_Requirement'!CT24</f>
        <v/>
      </c>
      <c r="CW944">
        <f>'Grid_Requirement'!CU24</f>
        <v/>
      </c>
      <c r="CX944">
        <f>'Grid_Requirement'!CV24</f>
        <v/>
      </c>
      <c r="CY944">
        <f>'Grid_Requirement'!CW24</f>
        <v/>
      </c>
      <c r="CZ944">
        <f>'Grid_Requirement'!CX24</f>
        <v/>
      </c>
      <c r="DA944">
        <f>'Grid_Requirement'!CY24</f>
        <v/>
      </c>
      <c r="DB944">
        <f>'Grid_Requirement'!CZ24</f>
        <v/>
      </c>
      <c r="DC944">
        <f>'Grid_Requirement'!DA24</f>
        <v/>
      </c>
    </row>
    <row r="945">
      <c r="B945" t="inlineStr">
        <is>
          <t>TTAF在庫(実績,kg)</t>
        </is>
      </c>
      <c r="D945">
        <f>'T_TTAFStock'!B28</f>
        <v/>
      </c>
      <c r="E945">
        <f>'T_TTAFStock'!C28</f>
        <v/>
      </c>
      <c r="F945">
        <f>'T_TTAFStock'!D28</f>
        <v/>
      </c>
      <c r="G945">
        <f>'T_TTAFStock'!E28</f>
        <v/>
      </c>
      <c r="H945">
        <f>'T_TTAFStock'!F28</f>
        <v/>
      </c>
      <c r="I945">
        <f>'T_TTAFStock'!G28</f>
        <v/>
      </c>
      <c r="J945">
        <f>'T_TTAFStock'!H28</f>
        <v/>
      </c>
      <c r="K945">
        <f>'T_TTAFStock'!I28</f>
        <v/>
      </c>
      <c r="L945">
        <f>'T_TTAFStock'!J28</f>
        <v/>
      </c>
      <c r="M945">
        <f>'T_TTAFStock'!K28</f>
        <v/>
      </c>
      <c r="N945">
        <f>'T_TTAFStock'!L28</f>
        <v/>
      </c>
      <c r="O945">
        <f>'T_TTAFStock'!M28</f>
        <v/>
      </c>
      <c r="P945">
        <f>'T_TTAFStock'!N28</f>
        <v/>
      </c>
      <c r="Q945">
        <f>'T_TTAFStock'!O28</f>
        <v/>
      </c>
      <c r="R945">
        <f>'T_TTAFStock'!P28</f>
        <v/>
      </c>
      <c r="S945">
        <f>'T_TTAFStock'!Q28</f>
        <v/>
      </c>
      <c r="T945">
        <f>'T_TTAFStock'!R28</f>
        <v/>
      </c>
      <c r="U945">
        <f>'T_TTAFStock'!S28</f>
        <v/>
      </c>
      <c r="V945">
        <f>'T_TTAFStock'!T28</f>
        <v/>
      </c>
      <c r="W945">
        <f>'T_TTAFStock'!U28</f>
        <v/>
      </c>
      <c r="X945">
        <f>'T_TTAFStock'!V28</f>
        <v/>
      </c>
      <c r="Y945">
        <f>'T_TTAFStock'!W28</f>
        <v/>
      </c>
      <c r="Z945">
        <f>'T_TTAFStock'!X28</f>
        <v/>
      </c>
      <c r="AA945">
        <f>'T_TTAFStock'!Y28</f>
        <v/>
      </c>
      <c r="AB945">
        <f>'T_TTAFStock'!Z28</f>
        <v/>
      </c>
      <c r="AC945">
        <f>'T_TTAFStock'!AA28</f>
        <v/>
      </c>
      <c r="AD945">
        <f>'T_TTAFStock'!AB28</f>
        <v/>
      </c>
      <c r="AE945">
        <f>'T_TTAFStock'!AC28</f>
        <v/>
      </c>
      <c r="AF945">
        <f>'T_TTAFStock'!AD28</f>
        <v/>
      </c>
      <c r="AG945">
        <f>'T_TTAFStock'!AE28</f>
        <v/>
      </c>
      <c r="AH945">
        <f>'T_TTAFStock'!AF28</f>
        <v/>
      </c>
      <c r="AI945">
        <f>'T_TTAFStock'!AG28</f>
        <v/>
      </c>
      <c r="AJ945">
        <f>'T_TTAFStock'!AH28</f>
        <v/>
      </c>
      <c r="AK945">
        <f>'T_TTAFStock'!AI28</f>
        <v/>
      </c>
      <c r="AL945">
        <f>'T_TTAFStock'!AJ28</f>
        <v/>
      </c>
      <c r="AM945">
        <f>'T_TTAFStock'!AK28</f>
        <v/>
      </c>
      <c r="AN945">
        <f>'T_TTAFStock'!AL28</f>
        <v/>
      </c>
      <c r="AO945">
        <f>'T_TTAFStock'!AM28</f>
        <v/>
      </c>
      <c r="AP945">
        <f>'T_TTAFStock'!AN28</f>
        <v/>
      </c>
      <c r="AQ945">
        <f>'T_TTAFStock'!AO28</f>
        <v/>
      </c>
      <c r="AR945">
        <f>'T_TTAFStock'!AP28</f>
        <v/>
      </c>
      <c r="AS945">
        <f>'T_TTAFStock'!AQ28</f>
        <v/>
      </c>
      <c r="AT945">
        <f>'T_TTAFStock'!AR28</f>
        <v/>
      </c>
      <c r="AU945">
        <f>'T_TTAFStock'!AS28</f>
        <v/>
      </c>
      <c r="AV945">
        <f>'T_TTAFStock'!AT28</f>
        <v/>
      </c>
      <c r="AW945">
        <f>'T_TTAFStock'!AU28</f>
        <v/>
      </c>
      <c r="AX945">
        <f>'T_TTAFStock'!AV28</f>
        <v/>
      </c>
      <c r="AY945">
        <f>'T_TTAFStock'!AW28</f>
        <v/>
      </c>
      <c r="AZ945">
        <f>'T_TTAFStock'!AX28</f>
        <v/>
      </c>
      <c r="BA945">
        <f>'T_TTAFStock'!AY28</f>
        <v/>
      </c>
      <c r="BB945">
        <f>'T_TTAFStock'!AZ28</f>
        <v/>
      </c>
      <c r="BC945">
        <f>'T_TTAFStock'!BA28</f>
        <v/>
      </c>
      <c r="BD945">
        <f>'T_TTAFStock'!BB28</f>
        <v/>
      </c>
      <c r="BE945">
        <f>'T_TTAFStock'!BC28</f>
        <v/>
      </c>
      <c r="BF945">
        <f>'T_TTAFStock'!BD28</f>
        <v/>
      </c>
      <c r="BG945">
        <f>'T_TTAFStock'!BE28</f>
        <v/>
      </c>
      <c r="BH945">
        <f>'T_TTAFStock'!BF28</f>
        <v/>
      </c>
      <c r="BI945">
        <f>'T_TTAFStock'!BG28</f>
        <v/>
      </c>
      <c r="BJ945">
        <f>'T_TTAFStock'!BH28</f>
        <v/>
      </c>
      <c r="BK945">
        <f>'T_TTAFStock'!BI28</f>
        <v/>
      </c>
      <c r="BL945">
        <f>'T_TTAFStock'!BJ28</f>
        <v/>
      </c>
      <c r="BM945">
        <f>'T_TTAFStock'!BK28</f>
        <v/>
      </c>
      <c r="BN945">
        <f>'T_TTAFStock'!BL28</f>
        <v/>
      </c>
      <c r="BO945">
        <f>'T_TTAFStock'!BM28</f>
        <v/>
      </c>
      <c r="BP945">
        <f>'T_TTAFStock'!BN28</f>
        <v/>
      </c>
      <c r="BQ945">
        <f>'T_TTAFStock'!BO28</f>
        <v/>
      </c>
      <c r="BR945">
        <f>'T_TTAFStock'!BP28</f>
        <v/>
      </c>
      <c r="BS945">
        <f>'T_TTAFStock'!BQ28</f>
        <v/>
      </c>
      <c r="BT945">
        <f>'T_TTAFStock'!BR28</f>
        <v/>
      </c>
      <c r="BU945">
        <f>'T_TTAFStock'!BS28</f>
        <v/>
      </c>
      <c r="BV945">
        <f>'T_TTAFStock'!BT28</f>
        <v/>
      </c>
      <c r="BW945">
        <f>'T_TTAFStock'!BU28</f>
        <v/>
      </c>
      <c r="BX945">
        <f>'T_TTAFStock'!BV28</f>
        <v/>
      </c>
      <c r="BY945">
        <f>'T_TTAFStock'!BW28</f>
        <v/>
      </c>
      <c r="BZ945">
        <f>'T_TTAFStock'!BX28</f>
        <v/>
      </c>
      <c r="CA945">
        <f>'T_TTAFStock'!BY28</f>
        <v/>
      </c>
      <c r="CB945">
        <f>'T_TTAFStock'!BZ28</f>
        <v/>
      </c>
      <c r="CC945">
        <f>'T_TTAFStock'!CA28</f>
        <v/>
      </c>
      <c r="CD945">
        <f>'T_TTAFStock'!CB28</f>
        <v/>
      </c>
      <c r="CE945">
        <f>'T_TTAFStock'!CC28</f>
        <v/>
      </c>
      <c r="CF945">
        <f>'T_TTAFStock'!CD28</f>
        <v/>
      </c>
      <c r="CG945">
        <f>'T_TTAFStock'!CE28</f>
        <v/>
      </c>
      <c r="CH945">
        <f>'T_TTAFStock'!CF28</f>
        <v/>
      </c>
      <c r="CI945">
        <f>'T_TTAFStock'!CG28</f>
        <v/>
      </c>
      <c r="CJ945">
        <f>'T_TTAFStock'!CH28</f>
        <v/>
      </c>
      <c r="CK945">
        <f>'T_TTAFStock'!CI28</f>
        <v/>
      </c>
      <c r="CL945">
        <f>'T_TTAFStock'!CJ28</f>
        <v/>
      </c>
      <c r="CM945">
        <f>'T_TTAFStock'!CK28</f>
        <v/>
      </c>
      <c r="CN945">
        <f>'T_TTAFStock'!CL28</f>
        <v/>
      </c>
      <c r="CO945">
        <f>'T_TTAFStock'!CM28</f>
        <v/>
      </c>
      <c r="CP945">
        <f>'T_TTAFStock'!CN28</f>
        <v/>
      </c>
      <c r="CQ945">
        <f>'T_TTAFStock'!CO28</f>
        <v/>
      </c>
      <c r="CR945">
        <f>'T_TTAFStock'!CP28</f>
        <v/>
      </c>
      <c r="CS945">
        <f>'T_TTAFStock'!CQ28</f>
        <v/>
      </c>
      <c r="CT945">
        <f>'T_TTAFStock'!CR28</f>
        <v/>
      </c>
      <c r="CU945">
        <f>'T_TTAFStock'!CS28</f>
        <v/>
      </c>
      <c r="CV945">
        <f>'T_TTAFStock'!CT28</f>
        <v/>
      </c>
      <c r="CW945">
        <f>'T_TTAFStock'!CU28</f>
        <v/>
      </c>
      <c r="CX945">
        <f>'T_TTAFStock'!CV28</f>
        <v/>
      </c>
      <c r="CY945">
        <f>'T_TTAFStock'!CW28</f>
        <v/>
      </c>
      <c r="CZ945">
        <f>'T_TTAFStock'!CX28</f>
        <v/>
      </c>
      <c r="DA945">
        <f>'T_TTAFStock'!CY28</f>
        <v/>
      </c>
      <c r="DB945">
        <f>'T_TTAFStock'!CZ28</f>
        <v/>
      </c>
      <c r="DC945">
        <f>'T_TTAFStock'!DA28</f>
        <v/>
      </c>
    </row>
    <row r="946">
      <c r="B946" t="inlineStr">
        <is>
          <t>自社在庫(実績,kg)</t>
        </is>
      </c>
      <c r="D946">
        <f>'T_SelfStock'!B28</f>
        <v/>
      </c>
      <c r="E946">
        <f>'T_SelfStock'!C28</f>
        <v/>
      </c>
      <c r="F946">
        <f>'T_SelfStock'!D28</f>
        <v/>
      </c>
      <c r="G946">
        <f>'T_SelfStock'!E28</f>
        <v/>
      </c>
      <c r="H946">
        <f>'T_SelfStock'!F28</f>
        <v/>
      </c>
      <c r="I946">
        <f>'T_SelfStock'!G28</f>
        <v/>
      </c>
      <c r="J946">
        <f>'T_SelfStock'!H28</f>
        <v/>
      </c>
      <c r="K946">
        <f>'T_SelfStock'!I28</f>
        <v/>
      </c>
      <c r="L946">
        <f>'T_SelfStock'!J28</f>
        <v/>
      </c>
      <c r="M946">
        <f>'T_SelfStock'!K28</f>
        <v/>
      </c>
      <c r="N946">
        <f>'T_SelfStock'!L28</f>
        <v/>
      </c>
      <c r="O946">
        <f>'T_SelfStock'!M28</f>
        <v/>
      </c>
      <c r="P946">
        <f>'T_SelfStock'!N28</f>
        <v/>
      </c>
      <c r="Q946">
        <f>'T_SelfStock'!O28</f>
        <v/>
      </c>
      <c r="R946">
        <f>'T_SelfStock'!P28</f>
        <v/>
      </c>
      <c r="S946">
        <f>'T_SelfStock'!Q28</f>
        <v/>
      </c>
      <c r="T946">
        <f>'T_SelfStock'!R28</f>
        <v/>
      </c>
      <c r="U946">
        <f>'T_SelfStock'!S28</f>
        <v/>
      </c>
      <c r="V946">
        <f>'T_SelfStock'!T28</f>
        <v/>
      </c>
      <c r="W946">
        <f>'T_SelfStock'!U28</f>
        <v/>
      </c>
      <c r="X946">
        <f>'T_SelfStock'!V28</f>
        <v/>
      </c>
      <c r="Y946">
        <f>'T_SelfStock'!W28</f>
        <v/>
      </c>
      <c r="Z946">
        <f>'T_SelfStock'!X28</f>
        <v/>
      </c>
      <c r="AA946">
        <f>'T_SelfStock'!Y28</f>
        <v/>
      </c>
      <c r="AB946">
        <f>'T_SelfStock'!Z28</f>
        <v/>
      </c>
      <c r="AC946">
        <f>'T_SelfStock'!AA28</f>
        <v/>
      </c>
      <c r="AD946">
        <f>'T_SelfStock'!AB28</f>
        <v/>
      </c>
      <c r="AE946">
        <f>'T_SelfStock'!AC28</f>
        <v/>
      </c>
      <c r="AF946">
        <f>'T_SelfStock'!AD28</f>
        <v/>
      </c>
      <c r="AG946">
        <f>'T_SelfStock'!AE28</f>
        <v/>
      </c>
      <c r="AH946">
        <f>'T_SelfStock'!AF28</f>
        <v/>
      </c>
      <c r="AI946">
        <f>'T_SelfStock'!AG28</f>
        <v/>
      </c>
      <c r="AJ946">
        <f>'T_SelfStock'!AH28</f>
        <v/>
      </c>
      <c r="AK946">
        <f>'T_SelfStock'!AI28</f>
        <v/>
      </c>
      <c r="AL946">
        <f>'T_SelfStock'!AJ28</f>
        <v/>
      </c>
      <c r="AM946">
        <f>'T_SelfStock'!AK28</f>
        <v/>
      </c>
      <c r="AN946">
        <f>'T_SelfStock'!AL28</f>
        <v/>
      </c>
      <c r="AO946">
        <f>'T_SelfStock'!AM28</f>
        <v/>
      </c>
      <c r="AP946">
        <f>'T_SelfStock'!AN28</f>
        <v/>
      </c>
      <c r="AQ946">
        <f>'T_SelfStock'!AO28</f>
        <v/>
      </c>
      <c r="AR946">
        <f>'T_SelfStock'!AP28</f>
        <v/>
      </c>
      <c r="AS946">
        <f>'T_SelfStock'!AQ28</f>
        <v/>
      </c>
      <c r="AT946">
        <f>'T_SelfStock'!AR28</f>
        <v/>
      </c>
      <c r="AU946">
        <f>'T_SelfStock'!AS28</f>
        <v/>
      </c>
      <c r="AV946">
        <f>'T_SelfStock'!AT28</f>
        <v/>
      </c>
      <c r="AW946">
        <f>'T_SelfStock'!AU28</f>
        <v/>
      </c>
      <c r="AX946">
        <f>'T_SelfStock'!AV28</f>
        <v/>
      </c>
      <c r="AY946">
        <f>'T_SelfStock'!AW28</f>
        <v/>
      </c>
      <c r="AZ946">
        <f>'T_SelfStock'!AX28</f>
        <v/>
      </c>
      <c r="BA946">
        <f>'T_SelfStock'!AY28</f>
        <v/>
      </c>
      <c r="BB946">
        <f>'T_SelfStock'!AZ28</f>
        <v/>
      </c>
      <c r="BC946">
        <f>'T_SelfStock'!BA28</f>
        <v/>
      </c>
      <c r="BD946">
        <f>'T_SelfStock'!BB28</f>
        <v/>
      </c>
      <c r="BE946">
        <f>'T_SelfStock'!BC28</f>
        <v/>
      </c>
      <c r="BF946">
        <f>'T_SelfStock'!BD28</f>
        <v/>
      </c>
      <c r="BG946">
        <f>'T_SelfStock'!BE28</f>
        <v/>
      </c>
      <c r="BH946">
        <f>'T_SelfStock'!BF28</f>
        <v/>
      </c>
      <c r="BI946">
        <f>'T_SelfStock'!BG28</f>
        <v/>
      </c>
      <c r="BJ946">
        <f>'T_SelfStock'!BH28</f>
        <v/>
      </c>
      <c r="BK946">
        <f>'T_SelfStock'!BI28</f>
        <v/>
      </c>
      <c r="BL946">
        <f>'T_SelfStock'!BJ28</f>
        <v/>
      </c>
      <c r="BM946">
        <f>'T_SelfStock'!BK28</f>
        <v/>
      </c>
      <c r="BN946">
        <f>'T_SelfStock'!BL28</f>
        <v/>
      </c>
      <c r="BO946">
        <f>'T_SelfStock'!BM28</f>
        <v/>
      </c>
      <c r="BP946">
        <f>'T_SelfStock'!BN28</f>
        <v/>
      </c>
      <c r="BQ946">
        <f>'T_SelfStock'!BO28</f>
        <v/>
      </c>
      <c r="BR946">
        <f>'T_SelfStock'!BP28</f>
        <v/>
      </c>
      <c r="BS946">
        <f>'T_SelfStock'!BQ28</f>
        <v/>
      </c>
      <c r="BT946">
        <f>'T_SelfStock'!BR28</f>
        <v/>
      </c>
      <c r="BU946">
        <f>'T_SelfStock'!BS28</f>
        <v/>
      </c>
      <c r="BV946">
        <f>'T_SelfStock'!BT28</f>
        <v/>
      </c>
      <c r="BW946">
        <f>'T_SelfStock'!BU28</f>
        <v/>
      </c>
      <c r="BX946">
        <f>'T_SelfStock'!BV28</f>
        <v/>
      </c>
      <c r="BY946">
        <f>'T_SelfStock'!BW28</f>
        <v/>
      </c>
      <c r="BZ946">
        <f>'T_SelfStock'!BX28</f>
        <v/>
      </c>
      <c r="CA946">
        <f>'T_SelfStock'!BY28</f>
        <v/>
      </c>
      <c r="CB946">
        <f>'T_SelfStock'!BZ28</f>
        <v/>
      </c>
      <c r="CC946">
        <f>'T_SelfStock'!CA28</f>
        <v/>
      </c>
      <c r="CD946">
        <f>'T_SelfStock'!CB28</f>
        <v/>
      </c>
      <c r="CE946">
        <f>'T_SelfStock'!CC28</f>
        <v/>
      </c>
      <c r="CF946">
        <f>'T_SelfStock'!CD28</f>
        <v/>
      </c>
      <c r="CG946">
        <f>'T_SelfStock'!CE28</f>
        <v/>
      </c>
      <c r="CH946">
        <f>'T_SelfStock'!CF28</f>
        <v/>
      </c>
      <c r="CI946">
        <f>'T_SelfStock'!CG28</f>
        <v/>
      </c>
      <c r="CJ946">
        <f>'T_SelfStock'!CH28</f>
        <v/>
      </c>
      <c r="CK946">
        <f>'T_SelfStock'!CI28</f>
        <v/>
      </c>
      <c r="CL946">
        <f>'T_SelfStock'!CJ28</f>
        <v/>
      </c>
      <c r="CM946">
        <f>'T_SelfStock'!CK28</f>
        <v/>
      </c>
      <c r="CN946">
        <f>'T_SelfStock'!CL28</f>
        <v/>
      </c>
      <c r="CO946">
        <f>'T_SelfStock'!CM28</f>
        <v/>
      </c>
      <c r="CP946">
        <f>'T_SelfStock'!CN28</f>
        <v/>
      </c>
      <c r="CQ946">
        <f>'T_SelfStock'!CO28</f>
        <v/>
      </c>
      <c r="CR946">
        <f>'T_SelfStock'!CP28</f>
        <v/>
      </c>
      <c r="CS946">
        <f>'T_SelfStock'!CQ28</f>
        <v/>
      </c>
      <c r="CT946">
        <f>'T_SelfStock'!CR28</f>
        <v/>
      </c>
      <c r="CU946">
        <f>'T_SelfStock'!CS28</f>
        <v/>
      </c>
      <c r="CV946">
        <f>'T_SelfStock'!CT28</f>
        <v/>
      </c>
      <c r="CW946">
        <f>'T_SelfStock'!CU28</f>
        <v/>
      </c>
      <c r="CX946">
        <f>'T_SelfStock'!CV28</f>
        <v/>
      </c>
      <c r="CY946">
        <f>'T_SelfStock'!CW28</f>
        <v/>
      </c>
      <c r="CZ946">
        <f>'T_SelfStock'!CX28</f>
        <v/>
      </c>
      <c r="DA946">
        <f>'T_SelfStock'!CY28</f>
        <v/>
      </c>
      <c r="DB946">
        <f>'T_SelfStock'!CZ28</f>
        <v/>
      </c>
      <c r="DC946">
        <f>'T_SelfStock'!DA28</f>
        <v/>
      </c>
    </row>
    <row r="947">
      <c r="B947" t="inlineStr">
        <is>
          <t>Order(発注予定,kg)</t>
        </is>
      </c>
      <c r="D947">
        <f>IF(SUMIFS(T_PlannedOrders[EffectiveQty],T_PlannedOrders[Part Name],$A939,T_PlannedOrders[WeekIndex],1)=0,"",SUMIFS(T_PlannedOrders[EffectiveQty],T_PlannedOrders[Part Name],$A939,T_PlannedOrders[WeekIndex],1)&amp;" ("&amp;TEXT(SUMPRODUCT(MAX((T_PlannedOrders[Part Name]=$A939)*(T_PlannedOrders[WeekIndex]=1)*(T_PlannedOrders[EffectiveQty]&gt;0)*T_PlannedOrders[Order_Month])),"m月")&amp;"発注)")</f>
        <v/>
      </c>
      <c r="E947">
        <f>IF(SUMIFS(T_PlannedOrders[EffectiveQty],T_PlannedOrders[Part Name],$A939,T_PlannedOrders[WeekIndex],2)=0,"",SUMIFS(T_PlannedOrders[EffectiveQty],T_PlannedOrders[Part Name],$A939,T_PlannedOrders[WeekIndex],2)&amp;" ("&amp;TEXT(SUMPRODUCT(MAX((T_PlannedOrders[Part Name]=$A939)*(T_PlannedOrders[WeekIndex]=2)*(T_PlannedOrders[EffectiveQty]&gt;0)*T_PlannedOrders[Order_Month])),"m月")&amp;"発注)")</f>
        <v/>
      </c>
      <c r="F947">
        <f>IF(SUMIFS(T_PlannedOrders[EffectiveQty],T_PlannedOrders[Part Name],$A939,T_PlannedOrders[WeekIndex],3)=0,"",SUMIFS(T_PlannedOrders[EffectiveQty],T_PlannedOrders[Part Name],$A939,T_PlannedOrders[WeekIndex],3)&amp;" ("&amp;TEXT(SUMPRODUCT(MAX((T_PlannedOrders[Part Name]=$A939)*(T_PlannedOrders[WeekIndex]=3)*(T_PlannedOrders[EffectiveQty]&gt;0)*T_PlannedOrders[Order_Month])),"m月")&amp;"発注)")</f>
        <v/>
      </c>
      <c r="G947">
        <f>IF(SUMIFS(T_PlannedOrders[EffectiveQty],T_PlannedOrders[Part Name],$A939,T_PlannedOrders[WeekIndex],4)=0,"",SUMIFS(T_PlannedOrders[EffectiveQty],T_PlannedOrders[Part Name],$A939,T_PlannedOrders[WeekIndex],4)&amp;" ("&amp;TEXT(SUMPRODUCT(MAX((T_PlannedOrders[Part Name]=$A939)*(T_PlannedOrders[WeekIndex]=4)*(T_PlannedOrders[EffectiveQty]&gt;0)*T_PlannedOrders[Order_Month])),"m月")&amp;"発注)")</f>
        <v/>
      </c>
      <c r="H947">
        <f>IF(SUMIFS(T_PlannedOrders[EffectiveQty],T_PlannedOrders[Part Name],$A939,T_PlannedOrders[WeekIndex],5)=0,"",SUMIFS(T_PlannedOrders[EffectiveQty],T_PlannedOrders[Part Name],$A939,T_PlannedOrders[WeekIndex],5)&amp;" ("&amp;TEXT(SUMPRODUCT(MAX((T_PlannedOrders[Part Name]=$A939)*(T_PlannedOrders[WeekIndex]=5)*(T_PlannedOrders[EffectiveQty]&gt;0)*T_PlannedOrders[Order_Month])),"m月")&amp;"発注)")</f>
        <v/>
      </c>
      <c r="I947">
        <f>IF(SUMIFS(T_PlannedOrders[EffectiveQty],T_PlannedOrders[Part Name],$A939,T_PlannedOrders[WeekIndex],6)=0,"",SUMIFS(T_PlannedOrders[EffectiveQty],T_PlannedOrders[Part Name],$A939,T_PlannedOrders[WeekIndex],6)&amp;" ("&amp;TEXT(SUMPRODUCT(MAX((T_PlannedOrders[Part Name]=$A939)*(T_PlannedOrders[WeekIndex]=6)*(T_PlannedOrders[EffectiveQty]&gt;0)*T_PlannedOrders[Order_Month])),"m月")&amp;"発注)")</f>
        <v/>
      </c>
      <c r="J947">
        <f>IF(SUMIFS(T_PlannedOrders[EffectiveQty],T_PlannedOrders[Part Name],$A939,T_PlannedOrders[WeekIndex],7)=0,"",SUMIFS(T_PlannedOrders[EffectiveQty],T_PlannedOrders[Part Name],$A939,T_PlannedOrders[WeekIndex],7)&amp;" ("&amp;TEXT(SUMPRODUCT(MAX((T_PlannedOrders[Part Name]=$A939)*(T_PlannedOrders[WeekIndex]=7)*(T_PlannedOrders[EffectiveQty]&gt;0)*T_PlannedOrders[Order_Month])),"m月")&amp;"発注)")</f>
        <v/>
      </c>
      <c r="K947">
        <f>IF(SUMIFS(T_PlannedOrders[EffectiveQty],T_PlannedOrders[Part Name],$A939,T_PlannedOrders[WeekIndex],8)=0,"",SUMIFS(T_PlannedOrders[EffectiveQty],T_PlannedOrders[Part Name],$A939,T_PlannedOrders[WeekIndex],8)&amp;" ("&amp;TEXT(SUMPRODUCT(MAX((T_PlannedOrders[Part Name]=$A939)*(T_PlannedOrders[WeekIndex]=8)*(T_PlannedOrders[EffectiveQty]&gt;0)*T_PlannedOrders[Order_Month])),"m月")&amp;"発注)")</f>
        <v/>
      </c>
      <c r="L947">
        <f>IF(SUMIFS(T_PlannedOrders[EffectiveQty],T_PlannedOrders[Part Name],$A939,T_PlannedOrders[WeekIndex],9)=0,"",SUMIFS(T_PlannedOrders[EffectiveQty],T_PlannedOrders[Part Name],$A939,T_PlannedOrders[WeekIndex],9)&amp;" ("&amp;TEXT(SUMPRODUCT(MAX((T_PlannedOrders[Part Name]=$A939)*(T_PlannedOrders[WeekIndex]=9)*(T_PlannedOrders[EffectiveQty]&gt;0)*T_PlannedOrders[Order_Month])),"m月")&amp;"発注)")</f>
        <v/>
      </c>
      <c r="M947">
        <f>IF(SUMIFS(T_PlannedOrders[EffectiveQty],T_PlannedOrders[Part Name],$A939,T_PlannedOrders[WeekIndex],10)=0,"",SUMIFS(T_PlannedOrders[EffectiveQty],T_PlannedOrders[Part Name],$A939,T_PlannedOrders[WeekIndex],10)&amp;" ("&amp;TEXT(SUMPRODUCT(MAX((T_PlannedOrders[Part Name]=$A939)*(T_PlannedOrders[WeekIndex]=10)*(T_PlannedOrders[EffectiveQty]&gt;0)*T_PlannedOrders[Order_Month])),"m月")&amp;"発注)")</f>
        <v/>
      </c>
      <c r="N947">
        <f>IF(SUMIFS(T_PlannedOrders[EffectiveQty],T_PlannedOrders[Part Name],$A939,T_PlannedOrders[WeekIndex],11)=0,"",SUMIFS(T_PlannedOrders[EffectiveQty],T_PlannedOrders[Part Name],$A939,T_PlannedOrders[WeekIndex],11)&amp;" ("&amp;TEXT(SUMPRODUCT(MAX((T_PlannedOrders[Part Name]=$A939)*(T_PlannedOrders[WeekIndex]=11)*(T_PlannedOrders[EffectiveQty]&gt;0)*T_PlannedOrders[Order_Month])),"m月")&amp;"発注)")</f>
        <v/>
      </c>
      <c r="O947">
        <f>IF(SUMIFS(T_PlannedOrders[EffectiveQty],T_PlannedOrders[Part Name],$A939,T_PlannedOrders[WeekIndex],12)=0,"",SUMIFS(T_PlannedOrders[EffectiveQty],T_PlannedOrders[Part Name],$A939,T_PlannedOrders[WeekIndex],12)&amp;" ("&amp;TEXT(SUMPRODUCT(MAX((T_PlannedOrders[Part Name]=$A939)*(T_PlannedOrders[WeekIndex]=12)*(T_PlannedOrders[EffectiveQty]&gt;0)*T_PlannedOrders[Order_Month])),"m月")&amp;"発注)")</f>
        <v/>
      </c>
      <c r="P947">
        <f>IF(SUMIFS(T_PlannedOrders[EffectiveQty],T_PlannedOrders[Part Name],$A939,T_PlannedOrders[WeekIndex],13)=0,"",SUMIFS(T_PlannedOrders[EffectiveQty],T_PlannedOrders[Part Name],$A939,T_PlannedOrders[WeekIndex],13)&amp;" ("&amp;TEXT(SUMPRODUCT(MAX((T_PlannedOrders[Part Name]=$A939)*(T_PlannedOrders[WeekIndex]=13)*(T_PlannedOrders[EffectiveQty]&gt;0)*T_PlannedOrders[Order_Month])),"m月")&amp;"発注)")</f>
        <v/>
      </c>
      <c r="Q947">
        <f>IF(SUMIFS(T_PlannedOrders[EffectiveQty],T_PlannedOrders[Part Name],$A939,T_PlannedOrders[WeekIndex],14)=0,"",SUMIFS(T_PlannedOrders[EffectiveQty],T_PlannedOrders[Part Name],$A939,T_PlannedOrders[WeekIndex],14)&amp;" ("&amp;TEXT(SUMPRODUCT(MAX((T_PlannedOrders[Part Name]=$A939)*(T_PlannedOrders[WeekIndex]=14)*(T_PlannedOrders[EffectiveQty]&gt;0)*T_PlannedOrders[Order_Month])),"m月")&amp;"発注)")</f>
        <v/>
      </c>
      <c r="R947">
        <f>IF(SUMIFS(T_PlannedOrders[EffectiveQty],T_PlannedOrders[Part Name],$A939,T_PlannedOrders[WeekIndex],15)=0,"",SUMIFS(T_PlannedOrders[EffectiveQty],T_PlannedOrders[Part Name],$A939,T_PlannedOrders[WeekIndex],15)&amp;" ("&amp;TEXT(SUMPRODUCT(MAX((T_PlannedOrders[Part Name]=$A939)*(T_PlannedOrders[WeekIndex]=15)*(T_PlannedOrders[EffectiveQty]&gt;0)*T_PlannedOrders[Order_Month])),"m月")&amp;"発注)")</f>
        <v/>
      </c>
      <c r="S947">
        <f>IF(SUMIFS(T_PlannedOrders[EffectiveQty],T_PlannedOrders[Part Name],$A939,T_PlannedOrders[WeekIndex],16)=0,"",SUMIFS(T_PlannedOrders[EffectiveQty],T_PlannedOrders[Part Name],$A939,T_PlannedOrders[WeekIndex],16)&amp;" ("&amp;TEXT(SUMPRODUCT(MAX((T_PlannedOrders[Part Name]=$A939)*(T_PlannedOrders[WeekIndex]=16)*(T_PlannedOrders[EffectiveQty]&gt;0)*T_PlannedOrders[Order_Month])),"m月")&amp;"発注)")</f>
        <v/>
      </c>
      <c r="T947">
        <f>IF(SUMIFS(T_PlannedOrders[EffectiveQty],T_PlannedOrders[Part Name],$A939,T_PlannedOrders[WeekIndex],17)=0,"",SUMIFS(T_PlannedOrders[EffectiveQty],T_PlannedOrders[Part Name],$A939,T_PlannedOrders[WeekIndex],17)&amp;" ("&amp;TEXT(SUMPRODUCT(MAX((T_PlannedOrders[Part Name]=$A939)*(T_PlannedOrders[WeekIndex]=17)*(T_PlannedOrders[EffectiveQty]&gt;0)*T_PlannedOrders[Order_Month])),"m月")&amp;"発注)")</f>
        <v/>
      </c>
      <c r="U947">
        <f>IF(SUMIFS(T_PlannedOrders[EffectiveQty],T_PlannedOrders[Part Name],$A939,T_PlannedOrders[WeekIndex],18)=0,"",SUMIFS(T_PlannedOrders[EffectiveQty],T_PlannedOrders[Part Name],$A939,T_PlannedOrders[WeekIndex],18)&amp;" ("&amp;TEXT(SUMPRODUCT(MAX((T_PlannedOrders[Part Name]=$A939)*(T_PlannedOrders[WeekIndex]=18)*(T_PlannedOrders[EffectiveQty]&gt;0)*T_PlannedOrders[Order_Month])),"m月")&amp;"発注)")</f>
        <v/>
      </c>
      <c r="V947">
        <f>IF(SUMIFS(T_PlannedOrders[EffectiveQty],T_PlannedOrders[Part Name],$A939,T_PlannedOrders[WeekIndex],19)=0,"",SUMIFS(T_PlannedOrders[EffectiveQty],T_PlannedOrders[Part Name],$A939,T_PlannedOrders[WeekIndex],19)&amp;" ("&amp;TEXT(SUMPRODUCT(MAX((T_PlannedOrders[Part Name]=$A939)*(T_PlannedOrders[WeekIndex]=19)*(T_PlannedOrders[EffectiveQty]&gt;0)*T_PlannedOrders[Order_Month])),"m月")&amp;"発注)")</f>
        <v/>
      </c>
      <c r="W947">
        <f>IF(SUMIFS(T_PlannedOrders[EffectiveQty],T_PlannedOrders[Part Name],$A939,T_PlannedOrders[WeekIndex],20)=0,"",SUMIFS(T_PlannedOrders[EffectiveQty],T_PlannedOrders[Part Name],$A939,T_PlannedOrders[WeekIndex],20)&amp;" ("&amp;TEXT(SUMPRODUCT(MAX((T_PlannedOrders[Part Name]=$A939)*(T_PlannedOrders[WeekIndex]=20)*(T_PlannedOrders[EffectiveQty]&gt;0)*T_PlannedOrders[Order_Month])),"m月")&amp;"発注)")</f>
        <v/>
      </c>
      <c r="X947">
        <f>IF(SUMIFS(T_PlannedOrders[EffectiveQty],T_PlannedOrders[Part Name],$A939,T_PlannedOrders[WeekIndex],21)=0,"",SUMIFS(T_PlannedOrders[EffectiveQty],T_PlannedOrders[Part Name],$A939,T_PlannedOrders[WeekIndex],21)&amp;" ("&amp;TEXT(SUMPRODUCT(MAX((T_PlannedOrders[Part Name]=$A939)*(T_PlannedOrders[WeekIndex]=21)*(T_PlannedOrders[EffectiveQty]&gt;0)*T_PlannedOrders[Order_Month])),"m月")&amp;"発注)")</f>
        <v/>
      </c>
      <c r="Y947">
        <f>IF(SUMIFS(T_PlannedOrders[EffectiveQty],T_PlannedOrders[Part Name],$A939,T_PlannedOrders[WeekIndex],22)=0,"",SUMIFS(T_PlannedOrders[EffectiveQty],T_PlannedOrders[Part Name],$A939,T_PlannedOrders[WeekIndex],22)&amp;" ("&amp;TEXT(SUMPRODUCT(MAX((T_PlannedOrders[Part Name]=$A939)*(T_PlannedOrders[WeekIndex]=22)*(T_PlannedOrders[EffectiveQty]&gt;0)*T_PlannedOrders[Order_Month])),"m月")&amp;"発注)")</f>
        <v/>
      </c>
      <c r="Z947">
        <f>IF(SUMIFS(T_PlannedOrders[EffectiveQty],T_PlannedOrders[Part Name],$A939,T_PlannedOrders[WeekIndex],23)=0,"",SUMIFS(T_PlannedOrders[EffectiveQty],T_PlannedOrders[Part Name],$A939,T_PlannedOrders[WeekIndex],23)&amp;" ("&amp;TEXT(SUMPRODUCT(MAX((T_PlannedOrders[Part Name]=$A939)*(T_PlannedOrders[WeekIndex]=23)*(T_PlannedOrders[EffectiveQty]&gt;0)*T_PlannedOrders[Order_Month])),"m月")&amp;"発注)")</f>
        <v/>
      </c>
      <c r="AA947">
        <f>IF(SUMIFS(T_PlannedOrders[EffectiveQty],T_PlannedOrders[Part Name],$A939,T_PlannedOrders[WeekIndex],24)=0,"",SUMIFS(T_PlannedOrders[EffectiveQty],T_PlannedOrders[Part Name],$A939,T_PlannedOrders[WeekIndex],24)&amp;" ("&amp;TEXT(SUMPRODUCT(MAX((T_PlannedOrders[Part Name]=$A939)*(T_PlannedOrders[WeekIndex]=24)*(T_PlannedOrders[EffectiveQty]&gt;0)*T_PlannedOrders[Order_Month])),"m月")&amp;"発注)")</f>
        <v/>
      </c>
      <c r="AB947">
        <f>IF(SUMIFS(T_PlannedOrders[EffectiveQty],T_PlannedOrders[Part Name],$A939,T_PlannedOrders[WeekIndex],25)=0,"",SUMIFS(T_PlannedOrders[EffectiveQty],T_PlannedOrders[Part Name],$A939,T_PlannedOrders[WeekIndex],25)&amp;" ("&amp;TEXT(SUMPRODUCT(MAX((T_PlannedOrders[Part Name]=$A939)*(T_PlannedOrders[WeekIndex]=25)*(T_PlannedOrders[EffectiveQty]&gt;0)*T_PlannedOrders[Order_Month])),"m月")&amp;"発注)")</f>
        <v/>
      </c>
      <c r="AC947">
        <f>IF(SUMIFS(T_PlannedOrders[EffectiveQty],T_PlannedOrders[Part Name],$A939,T_PlannedOrders[WeekIndex],26)=0,"",SUMIFS(T_PlannedOrders[EffectiveQty],T_PlannedOrders[Part Name],$A939,T_PlannedOrders[WeekIndex],26)&amp;" ("&amp;TEXT(SUMPRODUCT(MAX((T_PlannedOrders[Part Name]=$A939)*(T_PlannedOrders[WeekIndex]=26)*(T_PlannedOrders[EffectiveQty]&gt;0)*T_PlannedOrders[Order_Month])),"m月")&amp;"発注)")</f>
        <v/>
      </c>
      <c r="AD947">
        <f>IF(SUMIFS(T_PlannedOrders[EffectiveQty],T_PlannedOrders[Part Name],$A939,T_PlannedOrders[WeekIndex],27)=0,"",SUMIFS(T_PlannedOrders[EffectiveQty],T_PlannedOrders[Part Name],$A939,T_PlannedOrders[WeekIndex],27)&amp;" ("&amp;TEXT(SUMPRODUCT(MAX((T_PlannedOrders[Part Name]=$A939)*(T_PlannedOrders[WeekIndex]=27)*(T_PlannedOrders[EffectiveQty]&gt;0)*T_PlannedOrders[Order_Month])),"m月")&amp;"発注)")</f>
        <v/>
      </c>
      <c r="AE947">
        <f>IF(SUMIFS(T_PlannedOrders[EffectiveQty],T_PlannedOrders[Part Name],$A939,T_PlannedOrders[WeekIndex],28)=0,"",SUMIFS(T_PlannedOrders[EffectiveQty],T_PlannedOrders[Part Name],$A939,T_PlannedOrders[WeekIndex],28)&amp;" ("&amp;TEXT(SUMPRODUCT(MAX((T_PlannedOrders[Part Name]=$A939)*(T_PlannedOrders[WeekIndex]=28)*(T_PlannedOrders[EffectiveQty]&gt;0)*T_PlannedOrders[Order_Month])),"m月")&amp;"発注)")</f>
        <v/>
      </c>
      <c r="AF947">
        <f>IF(SUMIFS(T_PlannedOrders[EffectiveQty],T_PlannedOrders[Part Name],$A939,T_PlannedOrders[WeekIndex],29)=0,"",SUMIFS(T_PlannedOrders[EffectiveQty],T_PlannedOrders[Part Name],$A939,T_PlannedOrders[WeekIndex],29)&amp;" ("&amp;TEXT(SUMPRODUCT(MAX((T_PlannedOrders[Part Name]=$A939)*(T_PlannedOrders[WeekIndex]=29)*(T_PlannedOrders[EffectiveQty]&gt;0)*T_PlannedOrders[Order_Month])),"m月")&amp;"発注)")</f>
        <v/>
      </c>
      <c r="AG947">
        <f>IF(SUMIFS(T_PlannedOrders[EffectiveQty],T_PlannedOrders[Part Name],$A939,T_PlannedOrders[WeekIndex],30)=0,"",SUMIFS(T_PlannedOrders[EffectiveQty],T_PlannedOrders[Part Name],$A939,T_PlannedOrders[WeekIndex],30)&amp;" ("&amp;TEXT(SUMPRODUCT(MAX((T_PlannedOrders[Part Name]=$A939)*(T_PlannedOrders[WeekIndex]=30)*(T_PlannedOrders[EffectiveQty]&gt;0)*T_PlannedOrders[Order_Month])),"m月")&amp;"発注)")</f>
        <v/>
      </c>
      <c r="AH947">
        <f>IF(SUMIFS(T_PlannedOrders[EffectiveQty],T_PlannedOrders[Part Name],$A939,T_PlannedOrders[WeekIndex],31)=0,"",SUMIFS(T_PlannedOrders[EffectiveQty],T_PlannedOrders[Part Name],$A939,T_PlannedOrders[WeekIndex],31)&amp;" ("&amp;TEXT(SUMPRODUCT(MAX((T_PlannedOrders[Part Name]=$A939)*(T_PlannedOrders[WeekIndex]=31)*(T_PlannedOrders[EffectiveQty]&gt;0)*T_PlannedOrders[Order_Month])),"m月")&amp;"発注)")</f>
        <v/>
      </c>
      <c r="AI947">
        <f>IF(SUMIFS(T_PlannedOrders[EffectiveQty],T_PlannedOrders[Part Name],$A939,T_PlannedOrders[WeekIndex],32)=0,"",SUMIFS(T_PlannedOrders[EffectiveQty],T_PlannedOrders[Part Name],$A939,T_PlannedOrders[WeekIndex],32)&amp;" ("&amp;TEXT(SUMPRODUCT(MAX((T_PlannedOrders[Part Name]=$A939)*(T_PlannedOrders[WeekIndex]=32)*(T_PlannedOrders[EffectiveQty]&gt;0)*T_PlannedOrders[Order_Month])),"m月")&amp;"発注)")</f>
        <v/>
      </c>
      <c r="AJ947">
        <f>IF(SUMIFS(T_PlannedOrders[EffectiveQty],T_PlannedOrders[Part Name],$A939,T_PlannedOrders[WeekIndex],33)=0,"",SUMIFS(T_PlannedOrders[EffectiveQty],T_PlannedOrders[Part Name],$A939,T_PlannedOrders[WeekIndex],33)&amp;" ("&amp;TEXT(SUMPRODUCT(MAX((T_PlannedOrders[Part Name]=$A939)*(T_PlannedOrders[WeekIndex]=33)*(T_PlannedOrders[EffectiveQty]&gt;0)*T_PlannedOrders[Order_Month])),"m月")&amp;"発注)")</f>
        <v/>
      </c>
      <c r="AK947">
        <f>IF(SUMIFS(T_PlannedOrders[EffectiveQty],T_PlannedOrders[Part Name],$A939,T_PlannedOrders[WeekIndex],34)=0,"",SUMIFS(T_PlannedOrders[EffectiveQty],T_PlannedOrders[Part Name],$A939,T_PlannedOrders[WeekIndex],34)&amp;" ("&amp;TEXT(SUMPRODUCT(MAX((T_PlannedOrders[Part Name]=$A939)*(T_PlannedOrders[WeekIndex]=34)*(T_PlannedOrders[EffectiveQty]&gt;0)*T_PlannedOrders[Order_Month])),"m月")&amp;"発注)")</f>
        <v/>
      </c>
      <c r="AL947">
        <f>IF(SUMIFS(T_PlannedOrders[EffectiveQty],T_PlannedOrders[Part Name],$A939,T_PlannedOrders[WeekIndex],35)=0,"",SUMIFS(T_PlannedOrders[EffectiveQty],T_PlannedOrders[Part Name],$A939,T_PlannedOrders[WeekIndex],35)&amp;" ("&amp;TEXT(SUMPRODUCT(MAX((T_PlannedOrders[Part Name]=$A939)*(T_PlannedOrders[WeekIndex]=35)*(T_PlannedOrders[EffectiveQty]&gt;0)*T_PlannedOrders[Order_Month])),"m月")&amp;"発注)")</f>
        <v/>
      </c>
      <c r="AM947">
        <f>IF(SUMIFS(T_PlannedOrders[EffectiveQty],T_PlannedOrders[Part Name],$A939,T_PlannedOrders[WeekIndex],36)=0,"",SUMIFS(T_PlannedOrders[EffectiveQty],T_PlannedOrders[Part Name],$A939,T_PlannedOrders[WeekIndex],36)&amp;" ("&amp;TEXT(SUMPRODUCT(MAX((T_PlannedOrders[Part Name]=$A939)*(T_PlannedOrders[WeekIndex]=36)*(T_PlannedOrders[EffectiveQty]&gt;0)*T_PlannedOrders[Order_Month])),"m月")&amp;"発注)")</f>
        <v/>
      </c>
      <c r="AN947">
        <f>IF(SUMIFS(T_PlannedOrders[EffectiveQty],T_PlannedOrders[Part Name],$A939,T_PlannedOrders[WeekIndex],37)=0,"",SUMIFS(T_PlannedOrders[EffectiveQty],T_PlannedOrders[Part Name],$A939,T_PlannedOrders[WeekIndex],37)&amp;" ("&amp;TEXT(SUMPRODUCT(MAX((T_PlannedOrders[Part Name]=$A939)*(T_PlannedOrders[WeekIndex]=37)*(T_PlannedOrders[EffectiveQty]&gt;0)*T_PlannedOrders[Order_Month])),"m月")&amp;"発注)")</f>
        <v/>
      </c>
      <c r="AO947">
        <f>IF(SUMIFS(T_PlannedOrders[EffectiveQty],T_PlannedOrders[Part Name],$A939,T_PlannedOrders[WeekIndex],38)=0,"",SUMIFS(T_PlannedOrders[EffectiveQty],T_PlannedOrders[Part Name],$A939,T_PlannedOrders[WeekIndex],38)&amp;" ("&amp;TEXT(SUMPRODUCT(MAX((T_PlannedOrders[Part Name]=$A939)*(T_PlannedOrders[WeekIndex]=38)*(T_PlannedOrders[EffectiveQty]&gt;0)*T_PlannedOrders[Order_Month])),"m月")&amp;"発注)")</f>
        <v/>
      </c>
      <c r="AP947">
        <f>IF(SUMIFS(T_PlannedOrders[EffectiveQty],T_PlannedOrders[Part Name],$A939,T_PlannedOrders[WeekIndex],39)=0,"",SUMIFS(T_PlannedOrders[EffectiveQty],T_PlannedOrders[Part Name],$A939,T_PlannedOrders[WeekIndex],39)&amp;" ("&amp;TEXT(SUMPRODUCT(MAX((T_PlannedOrders[Part Name]=$A939)*(T_PlannedOrders[WeekIndex]=39)*(T_PlannedOrders[EffectiveQty]&gt;0)*T_PlannedOrders[Order_Month])),"m月")&amp;"発注)")</f>
        <v/>
      </c>
      <c r="AQ947">
        <f>IF(SUMIFS(T_PlannedOrders[EffectiveQty],T_PlannedOrders[Part Name],$A939,T_PlannedOrders[WeekIndex],40)=0,"",SUMIFS(T_PlannedOrders[EffectiveQty],T_PlannedOrders[Part Name],$A939,T_PlannedOrders[WeekIndex],40)&amp;" ("&amp;TEXT(SUMPRODUCT(MAX((T_PlannedOrders[Part Name]=$A939)*(T_PlannedOrders[WeekIndex]=40)*(T_PlannedOrders[EffectiveQty]&gt;0)*T_PlannedOrders[Order_Month])),"m月")&amp;"発注)")</f>
        <v/>
      </c>
      <c r="AR947">
        <f>IF(SUMIFS(T_PlannedOrders[EffectiveQty],T_PlannedOrders[Part Name],$A939,T_PlannedOrders[WeekIndex],41)=0,"",SUMIFS(T_PlannedOrders[EffectiveQty],T_PlannedOrders[Part Name],$A939,T_PlannedOrders[WeekIndex],41)&amp;" ("&amp;TEXT(SUMPRODUCT(MAX((T_PlannedOrders[Part Name]=$A939)*(T_PlannedOrders[WeekIndex]=41)*(T_PlannedOrders[EffectiveQty]&gt;0)*T_PlannedOrders[Order_Month])),"m月")&amp;"発注)")</f>
        <v/>
      </c>
      <c r="AS947">
        <f>IF(SUMIFS(T_PlannedOrders[EffectiveQty],T_PlannedOrders[Part Name],$A939,T_PlannedOrders[WeekIndex],42)=0,"",SUMIFS(T_PlannedOrders[EffectiveQty],T_PlannedOrders[Part Name],$A939,T_PlannedOrders[WeekIndex],42)&amp;" ("&amp;TEXT(SUMPRODUCT(MAX((T_PlannedOrders[Part Name]=$A939)*(T_PlannedOrders[WeekIndex]=42)*(T_PlannedOrders[EffectiveQty]&gt;0)*T_PlannedOrders[Order_Month])),"m月")&amp;"発注)")</f>
        <v/>
      </c>
      <c r="AT947">
        <f>IF(SUMIFS(T_PlannedOrders[EffectiveQty],T_PlannedOrders[Part Name],$A939,T_PlannedOrders[WeekIndex],43)=0,"",SUMIFS(T_PlannedOrders[EffectiveQty],T_PlannedOrders[Part Name],$A939,T_PlannedOrders[WeekIndex],43)&amp;" ("&amp;TEXT(SUMPRODUCT(MAX((T_PlannedOrders[Part Name]=$A939)*(T_PlannedOrders[WeekIndex]=43)*(T_PlannedOrders[EffectiveQty]&gt;0)*T_PlannedOrders[Order_Month])),"m月")&amp;"発注)")</f>
        <v/>
      </c>
      <c r="AU947">
        <f>IF(SUMIFS(T_PlannedOrders[EffectiveQty],T_PlannedOrders[Part Name],$A939,T_PlannedOrders[WeekIndex],44)=0,"",SUMIFS(T_PlannedOrders[EffectiveQty],T_PlannedOrders[Part Name],$A939,T_PlannedOrders[WeekIndex],44)&amp;" ("&amp;TEXT(SUMPRODUCT(MAX((T_PlannedOrders[Part Name]=$A939)*(T_PlannedOrders[WeekIndex]=44)*(T_PlannedOrders[EffectiveQty]&gt;0)*T_PlannedOrders[Order_Month])),"m月")&amp;"発注)")</f>
        <v/>
      </c>
      <c r="AV947">
        <f>IF(SUMIFS(T_PlannedOrders[EffectiveQty],T_PlannedOrders[Part Name],$A939,T_PlannedOrders[WeekIndex],45)=0,"",SUMIFS(T_PlannedOrders[EffectiveQty],T_PlannedOrders[Part Name],$A939,T_PlannedOrders[WeekIndex],45)&amp;" ("&amp;TEXT(SUMPRODUCT(MAX((T_PlannedOrders[Part Name]=$A939)*(T_PlannedOrders[WeekIndex]=45)*(T_PlannedOrders[EffectiveQty]&gt;0)*T_PlannedOrders[Order_Month])),"m月")&amp;"発注)")</f>
        <v/>
      </c>
      <c r="AW947">
        <f>IF(SUMIFS(T_PlannedOrders[EffectiveQty],T_PlannedOrders[Part Name],$A939,T_PlannedOrders[WeekIndex],46)=0,"",SUMIFS(T_PlannedOrders[EffectiveQty],T_PlannedOrders[Part Name],$A939,T_PlannedOrders[WeekIndex],46)&amp;" ("&amp;TEXT(SUMPRODUCT(MAX((T_PlannedOrders[Part Name]=$A939)*(T_PlannedOrders[WeekIndex]=46)*(T_PlannedOrders[EffectiveQty]&gt;0)*T_PlannedOrders[Order_Month])),"m月")&amp;"発注)")</f>
        <v/>
      </c>
      <c r="AX947">
        <f>IF(SUMIFS(T_PlannedOrders[EffectiveQty],T_PlannedOrders[Part Name],$A939,T_PlannedOrders[WeekIndex],47)=0,"",SUMIFS(T_PlannedOrders[EffectiveQty],T_PlannedOrders[Part Name],$A939,T_PlannedOrders[WeekIndex],47)&amp;" ("&amp;TEXT(SUMPRODUCT(MAX((T_PlannedOrders[Part Name]=$A939)*(T_PlannedOrders[WeekIndex]=47)*(T_PlannedOrders[EffectiveQty]&gt;0)*T_PlannedOrders[Order_Month])),"m月")&amp;"発注)")</f>
        <v/>
      </c>
      <c r="AY947">
        <f>IF(SUMIFS(T_PlannedOrders[EffectiveQty],T_PlannedOrders[Part Name],$A939,T_PlannedOrders[WeekIndex],48)=0,"",SUMIFS(T_PlannedOrders[EffectiveQty],T_PlannedOrders[Part Name],$A939,T_PlannedOrders[WeekIndex],48)&amp;" ("&amp;TEXT(SUMPRODUCT(MAX((T_PlannedOrders[Part Name]=$A939)*(T_PlannedOrders[WeekIndex]=48)*(T_PlannedOrders[EffectiveQty]&gt;0)*T_PlannedOrders[Order_Month])),"m月")&amp;"発注)")</f>
        <v/>
      </c>
      <c r="AZ947">
        <f>IF(SUMIFS(T_PlannedOrders[EffectiveQty],T_PlannedOrders[Part Name],$A939,T_PlannedOrders[WeekIndex],49)=0,"",SUMIFS(T_PlannedOrders[EffectiveQty],T_PlannedOrders[Part Name],$A939,T_PlannedOrders[WeekIndex],49)&amp;" ("&amp;TEXT(SUMPRODUCT(MAX((T_PlannedOrders[Part Name]=$A939)*(T_PlannedOrders[WeekIndex]=49)*(T_PlannedOrders[EffectiveQty]&gt;0)*T_PlannedOrders[Order_Month])),"m月")&amp;"発注)")</f>
        <v/>
      </c>
      <c r="BA947">
        <f>IF(SUMIFS(T_PlannedOrders[EffectiveQty],T_PlannedOrders[Part Name],$A939,T_PlannedOrders[WeekIndex],50)=0,"",SUMIFS(T_PlannedOrders[EffectiveQty],T_PlannedOrders[Part Name],$A939,T_PlannedOrders[WeekIndex],50)&amp;" ("&amp;TEXT(SUMPRODUCT(MAX((T_PlannedOrders[Part Name]=$A939)*(T_PlannedOrders[WeekIndex]=50)*(T_PlannedOrders[EffectiveQty]&gt;0)*T_PlannedOrders[Order_Month])),"m月")&amp;"発注)")</f>
        <v/>
      </c>
      <c r="BB947">
        <f>IF(SUMIFS(T_PlannedOrders[EffectiveQty],T_PlannedOrders[Part Name],$A939,T_PlannedOrders[WeekIndex],51)=0,"",SUMIFS(T_PlannedOrders[EffectiveQty],T_PlannedOrders[Part Name],$A939,T_PlannedOrders[WeekIndex],51)&amp;" ("&amp;TEXT(SUMPRODUCT(MAX((T_PlannedOrders[Part Name]=$A939)*(T_PlannedOrders[WeekIndex]=51)*(T_PlannedOrders[EffectiveQty]&gt;0)*T_PlannedOrders[Order_Month])),"m月")&amp;"発注)")</f>
        <v/>
      </c>
      <c r="BC947">
        <f>IF(SUMIFS(T_PlannedOrders[EffectiveQty],T_PlannedOrders[Part Name],$A939,T_PlannedOrders[WeekIndex],52)=0,"",SUMIFS(T_PlannedOrders[EffectiveQty],T_PlannedOrders[Part Name],$A939,T_PlannedOrders[WeekIndex],52)&amp;" ("&amp;TEXT(SUMPRODUCT(MAX((T_PlannedOrders[Part Name]=$A939)*(T_PlannedOrders[WeekIndex]=52)*(T_PlannedOrders[EffectiveQty]&gt;0)*T_PlannedOrders[Order_Month])),"m月")&amp;"発注)")</f>
        <v/>
      </c>
      <c r="BD947">
        <f>IF(SUMIFS(T_PlannedOrders[EffectiveQty],T_PlannedOrders[Part Name],$A939,T_PlannedOrders[WeekIndex],53)=0,"",SUMIFS(T_PlannedOrders[EffectiveQty],T_PlannedOrders[Part Name],$A939,T_PlannedOrders[WeekIndex],53)&amp;" ("&amp;TEXT(SUMPRODUCT(MAX((T_PlannedOrders[Part Name]=$A939)*(T_PlannedOrders[WeekIndex]=53)*(T_PlannedOrders[EffectiveQty]&gt;0)*T_PlannedOrders[Order_Month])),"m月")&amp;"発注)")</f>
        <v/>
      </c>
      <c r="BE947">
        <f>IF(SUMIFS(T_PlannedOrders[EffectiveQty],T_PlannedOrders[Part Name],$A939,T_PlannedOrders[WeekIndex],54)=0,"",SUMIFS(T_PlannedOrders[EffectiveQty],T_PlannedOrders[Part Name],$A939,T_PlannedOrders[WeekIndex],54)&amp;" ("&amp;TEXT(SUMPRODUCT(MAX((T_PlannedOrders[Part Name]=$A939)*(T_PlannedOrders[WeekIndex]=54)*(T_PlannedOrders[EffectiveQty]&gt;0)*T_PlannedOrders[Order_Month])),"m月")&amp;"発注)")</f>
        <v/>
      </c>
      <c r="BF947">
        <f>IF(SUMIFS(T_PlannedOrders[EffectiveQty],T_PlannedOrders[Part Name],$A939,T_PlannedOrders[WeekIndex],55)=0,"",SUMIFS(T_PlannedOrders[EffectiveQty],T_PlannedOrders[Part Name],$A939,T_PlannedOrders[WeekIndex],55)&amp;" ("&amp;TEXT(SUMPRODUCT(MAX((T_PlannedOrders[Part Name]=$A939)*(T_PlannedOrders[WeekIndex]=55)*(T_PlannedOrders[EffectiveQty]&gt;0)*T_PlannedOrders[Order_Month])),"m月")&amp;"発注)")</f>
        <v/>
      </c>
      <c r="BG947">
        <f>IF(SUMIFS(T_PlannedOrders[EffectiveQty],T_PlannedOrders[Part Name],$A939,T_PlannedOrders[WeekIndex],56)=0,"",SUMIFS(T_PlannedOrders[EffectiveQty],T_PlannedOrders[Part Name],$A939,T_PlannedOrders[WeekIndex],56)&amp;" ("&amp;TEXT(SUMPRODUCT(MAX((T_PlannedOrders[Part Name]=$A939)*(T_PlannedOrders[WeekIndex]=56)*(T_PlannedOrders[EffectiveQty]&gt;0)*T_PlannedOrders[Order_Month])),"m月")&amp;"発注)")</f>
        <v/>
      </c>
      <c r="BH947">
        <f>IF(SUMIFS(T_PlannedOrders[EffectiveQty],T_PlannedOrders[Part Name],$A939,T_PlannedOrders[WeekIndex],57)=0,"",SUMIFS(T_PlannedOrders[EffectiveQty],T_PlannedOrders[Part Name],$A939,T_PlannedOrders[WeekIndex],57)&amp;" ("&amp;TEXT(SUMPRODUCT(MAX((T_PlannedOrders[Part Name]=$A939)*(T_PlannedOrders[WeekIndex]=57)*(T_PlannedOrders[EffectiveQty]&gt;0)*T_PlannedOrders[Order_Month])),"m月")&amp;"発注)")</f>
        <v/>
      </c>
      <c r="BI947">
        <f>IF(SUMIFS(T_PlannedOrders[EffectiveQty],T_PlannedOrders[Part Name],$A939,T_PlannedOrders[WeekIndex],58)=0,"",SUMIFS(T_PlannedOrders[EffectiveQty],T_PlannedOrders[Part Name],$A939,T_PlannedOrders[WeekIndex],58)&amp;" ("&amp;TEXT(SUMPRODUCT(MAX((T_PlannedOrders[Part Name]=$A939)*(T_PlannedOrders[WeekIndex]=58)*(T_PlannedOrders[EffectiveQty]&gt;0)*T_PlannedOrders[Order_Month])),"m月")&amp;"発注)")</f>
        <v/>
      </c>
      <c r="BJ947">
        <f>IF(SUMIFS(T_PlannedOrders[EffectiveQty],T_PlannedOrders[Part Name],$A939,T_PlannedOrders[WeekIndex],59)=0,"",SUMIFS(T_PlannedOrders[EffectiveQty],T_PlannedOrders[Part Name],$A939,T_PlannedOrders[WeekIndex],59)&amp;" ("&amp;TEXT(SUMPRODUCT(MAX((T_PlannedOrders[Part Name]=$A939)*(T_PlannedOrders[WeekIndex]=59)*(T_PlannedOrders[EffectiveQty]&gt;0)*T_PlannedOrders[Order_Month])),"m月")&amp;"発注)")</f>
        <v/>
      </c>
      <c r="BK947">
        <f>IF(SUMIFS(T_PlannedOrders[EffectiveQty],T_PlannedOrders[Part Name],$A939,T_PlannedOrders[WeekIndex],60)=0,"",SUMIFS(T_PlannedOrders[EffectiveQty],T_PlannedOrders[Part Name],$A939,T_PlannedOrders[WeekIndex],60)&amp;" ("&amp;TEXT(SUMPRODUCT(MAX((T_PlannedOrders[Part Name]=$A939)*(T_PlannedOrders[WeekIndex]=60)*(T_PlannedOrders[EffectiveQty]&gt;0)*T_PlannedOrders[Order_Month])),"m月")&amp;"発注)")</f>
        <v/>
      </c>
      <c r="BL947">
        <f>IF(SUMIFS(T_PlannedOrders[EffectiveQty],T_PlannedOrders[Part Name],$A939,T_PlannedOrders[WeekIndex],61)=0,"",SUMIFS(T_PlannedOrders[EffectiveQty],T_PlannedOrders[Part Name],$A939,T_PlannedOrders[WeekIndex],61)&amp;" ("&amp;TEXT(SUMPRODUCT(MAX((T_PlannedOrders[Part Name]=$A939)*(T_PlannedOrders[WeekIndex]=61)*(T_PlannedOrders[EffectiveQty]&gt;0)*T_PlannedOrders[Order_Month])),"m月")&amp;"発注)")</f>
        <v/>
      </c>
      <c r="BM947">
        <f>IF(SUMIFS(T_PlannedOrders[EffectiveQty],T_PlannedOrders[Part Name],$A939,T_PlannedOrders[WeekIndex],62)=0,"",SUMIFS(T_PlannedOrders[EffectiveQty],T_PlannedOrders[Part Name],$A939,T_PlannedOrders[WeekIndex],62)&amp;" ("&amp;TEXT(SUMPRODUCT(MAX((T_PlannedOrders[Part Name]=$A939)*(T_PlannedOrders[WeekIndex]=62)*(T_PlannedOrders[EffectiveQty]&gt;0)*T_PlannedOrders[Order_Month])),"m月")&amp;"発注)")</f>
        <v/>
      </c>
      <c r="BN947">
        <f>IF(SUMIFS(T_PlannedOrders[EffectiveQty],T_PlannedOrders[Part Name],$A939,T_PlannedOrders[WeekIndex],63)=0,"",SUMIFS(T_PlannedOrders[EffectiveQty],T_PlannedOrders[Part Name],$A939,T_PlannedOrders[WeekIndex],63)&amp;" ("&amp;TEXT(SUMPRODUCT(MAX((T_PlannedOrders[Part Name]=$A939)*(T_PlannedOrders[WeekIndex]=63)*(T_PlannedOrders[EffectiveQty]&gt;0)*T_PlannedOrders[Order_Month])),"m月")&amp;"発注)")</f>
        <v/>
      </c>
      <c r="BO947">
        <f>IF(SUMIFS(T_PlannedOrders[EffectiveQty],T_PlannedOrders[Part Name],$A939,T_PlannedOrders[WeekIndex],64)=0,"",SUMIFS(T_PlannedOrders[EffectiveQty],T_PlannedOrders[Part Name],$A939,T_PlannedOrders[WeekIndex],64)&amp;" ("&amp;TEXT(SUMPRODUCT(MAX((T_PlannedOrders[Part Name]=$A939)*(T_PlannedOrders[WeekIndex]=64)*(T_PlannedOrders[EffectiveQty]&gt;0)*T_PlannedOrders[Order_Month])),"m月")&amp;"発注)")</f>
        <v/>
      </c>
      <c r="BP947">
        <f>IF(SUMIFS(T_PlannedOrders[EffectiveQty],T_PlannedOrders[Part Name],$A939,T_PlannedOrders[WeekIndex],65)=0,"",SUMIFS(T_PlannedOrders[EffectiveQty],T_PlannedOrders[Part Name],$A939,T_PlannedOrders[WeekIndex],65)&amp;" ("&amp;TEXT(SUMPRODUCT(MAX((T_PlannedOrders[Part Name]=$A939)*(T_PlannedOrders[WeekIndex]=65)*(T_PlannedOrders[EffectiveQty]&gt;0)*T_PlannedOrders[Order_Month])),"m月")&amp;"発注)")</f>
        <v/>
      </c>
      <c r="BQ947">
        <f>IF(SUMIFS(T_PlannedOrders[EffectiveQty],T_PlannedOrders[Part Name],$A939,T_PlannedOrders[WeekIndex],66)=0,"",SUMIFS(T_PlannedOrders[EffectiveQty],T_PlannedOrders[Part Name],$A939,T_PlannedOrders[WeekIndex],66)&amp;" ("&amp;TEXT(SUMPRODUCT(MAX((T_PlannedOrders[Part Name]=$A939)*(T_PlannedOrders[WeekIndex]=66)*(T_PlannedOrders[EffectiveQty]&gt;0)*T_PlannedOrders[Order_Month])),"m月")&amp;"発注)")</f>
        <v/>
      </c>
      <c r="BR947">
        <f>IF(SUMIFS(T_PlannedOrders[EffectiveQty],T_PlannedOrders[Part Name],$A939,T_PlannedOrders[WeekIndex],67)=0,"",SUMIFS(T_PlannedOrders[EffectiveQty],T_PlannedOrders[Part Name],$A939,T_PlannedOrders[WeekIndex],67)&amp;" ("&amp;TEXT(SUMPRODUCT(MAX((T_PlannedOrders[Part Name]=$A939)*(T_PlannedOrders[WeekIndex]=67)*(T_PlannedOrders[EffectiveQty]&gt;0)*T_PlannedOrders[Order_Month])),"m月")&amp;"発注)")</f>
        <v/>
      </c>
      <c r="BS947">
        <f>IF(SUMIFS(T_PlannedOrders[EffectiveQty],T_PlannedOrders[Part Name],$A939,T_PlannedOrders[WeekIndex],68)=0,"",SUMIFS(T_PlannedOrders[EffectiveQty],T_PlannedOrders[Part Name],$A939,T_PlannedOrders[WeekIndex],68)&amp;" ("&amp;TEXT(SUMPRODUCT(MAX((T_PlannedOrders[Part Name]=$A939)*(T_PlannedOrders[WeekIndex]=68)*(T_PlannedOrders[EffectiveQty]&gt;0)*T_PlannedOrders[Order_Month])),"m月")&amp;"発注)")</f>
        <v/>
      </c>
      <c r="BT947">
        <f>IF(SUMIFS(T_PlannedOrders[EffectiveQty],T_PlannedOrders[Part Name],$A939,T_PlannedOrders[WeekIndex],69)=0,"",SUMIFS(T_PlannedOrders[EffectiveQty],T_PlannedOrders[Part Name],$A939,T_PlannedOrders[WeekIndex],69)&amp;" ("&amp;TEXT(SUMPRODUCT(MAX((T_PlannedOrders[Part Name]=$A939)*(T_PlannedOrders[WeekIndex]=69)*(T_PlannedOrders[EffectiveQty]&gt;0)*T_PlannedOrders[Order_Month])),"m月")&amp;"発注)")</f>
        <v/>
      </c>
      <c r="BU947">
        <f>IF(SUMIFS(T_PlannedOrders[EffectiveQty],T_PlannedOrders[Part Name],$A939,T_PlannedOrders[WeekIndex],70)=0,"",SUMIFS(T_PlannedOrders[EffectiveQty],T_PlannedOrders[Part Name],$A939,T_PlannedOrders[WeekIndex],70)&amp;" ("&amp;TEXT(SUMPRODUCT(MAX((T_PlannedOrders[Part Name]=$A939)*(T_PlannedOrders[WeekIndex]=70)*(T_PlannedOrders[EffectiveQty]&gt;0)*T_PlannedOrders[Order_Month])),"m月")&amp;"発注)")</f>
        <v/>
      </c>
      <c r="BV947">
        <f>IF(SUMIFS(T_PlannedOrders[EffectiveQty],T_PlannedOrders[Part Name],$A939,T_PlannedOrders[WeekIndex],71)=0,"",SUMIFS(T_PlannedOrders[EffectiveQty],T_PlannedOrders[Part Name],$A939,T_PlannedOrders[WeekIndex],71)&amp;" ("&amp;TEXT(SUMPRODUCT(MAX((T_PlannedOrders[Part Name]=$A939)*(T_PlannedOrders[WeekIndex]=71)*(T_PlannedOrders[EffectiveQty]&gt;0)*T_PlannedOrders[Order_Month])),"m月")&amp;"発注)")</f>
        <v/>
      </c>
      <c r="BW947">
        <f>IF(SUMIFS(T_PlannedOrders[EffectiveQty],T_PlannedOrders[Part Name],$A939,T_PlannedOrders[WeekIndex],72)=0,"",SUMIFS(T_PlannedOrders[EffectiveQty],T_PlannedOrders[Part Name],$A939,T_PlannedOrders[WeekIndex],72)&amp;" ("&amp;TEXT(SUMPRODUCT(MAX((T_PlannedOrders[Part Name]=$A939)*(T_PlannedOrders[WeekIndex]=72)*(T_PlannedOrders[EffectiveQty]&gt;0)*T_PlannedOrders[Order_Month])),"m月")&amp;"発注)")</f>
        <v/>
      </c>
      <c r="BX947">
        <f>IF(SUMIFS(T_PlannedOrders[EffectiveQty],T_PlannedOrders[Part Name],$A939,T_PlannedOrders[WeekIndex],73)=0,"",SUMIFS(T_PlannedOrders[EffectiveQty],T_PlannedOrders[Part Name],$A939,T_PlannedOrders[WeekIndex],73)&amp;" ("&amp;TEXT(SUMPRODUCT(MAX((T_PlannedOrders[Part Name]=$A939)*(T_PlannedOrders[WeekIndex]=73)*(T_PlannedOrders[EffectiveQty]&gt;0)*T_PlannedOrders[Order_Month])),"m月")&amp;"発注)")</f>
        <v/>
      </c>
      <c r="BY947">
        <f>IF(SUMIFS(T_PlannedOrders[EffectiveQty],T_PlannedOrders[Part Name],$A939,T_PlannedOrders[WeekIndex],74)=0,"",SUMIFS(T_PlannedOrders[EffectiveQty],T_PlannedOrders[Part Name],$A939,T_PlannedOrders[WeekIndex],74)&amp;" ("&amp;TEXT(SUMPRODUCT(MAX((T_PlannedOrders[Part Name]=$A939)*(T_PlannedOrders[WeekIndex]=74)*(T_PlannedOrders[EffectiveQty]&gt;0)*T_PlannedOrders[Order_Month])),"m月")&amp;"発注)")</f>
        <v/>
      </c>
      <c r="BZ947">
        <f>IF(SUMIFS(T_PlannedOrders[EffectiveQty],T_PlannedOrders[Part Name],$A939,T_PlannedOrders[WeekIndex],75)=0,"",SUMIFS(T_PlannedOrders[EffectiveQty],T_PlannedOrders[Part Name],$A939,T_PlannedOrders[WeekIndex],75)&amp;" ("&amp;TEXT(SUMPRODUCT(MAX((T_PlannedOrders[Part Name]=$A939)*(T_PlannedOrders[WeekIndex]=75)*(T_PlannedOrders[EffectiveQty]&gt;0)*T_PlannedOrders[Order_Month])),"m月")&amp;"発注)")</f>
        <v/>
      </c>
      <c r="CA947">
        <f>IF(SUMIFS(T_PlannedOrders[EffectiveQty],T_PlannedOrders[Part Name],$A939,T_PlannedOrders[WeekIndex],76)=0,"",SUMIFS(T_PlannedOrders[EffectiveQty],T_PlannedOrders[Part Name],$A939,T_PlannedOrders[WeekIndex],76)&amp;" ("&amp;TEXT(SUMPRODUCT(MAX((T_PlannedOrders[Part Name]=$A939)*(T_PlannedOrders[WeekIndex]=76)*(T_PlannedOrders[EffectiveQty]&gt;0)*T_PlannedOrders[Order_Month])),"m月")&amp;"発注)")</f>
        <v/>
      </c>
      <c r="CB947">
        <f>IF(SUMIFS(T_PlannedOrders[EffectiveQty],T_PlannedOrders[Part Name],$A939,T_PlannedOrders[WeekIndex],77)=0,"",SUMIFS(T_PlannedOrders[EffectiveQty],T_PlannedOrders[Part Name],$A939,T_PlannedOrders[WeekIndex],77)&amp;" ("&amp;TEXT(SUMPRODUCT(MAX((T_PlannedOrders[Part Name]=$A939)*(T_PlannedOrders[WeekIndex]=77)*(T_PlannedOrders[EffectiveQty]&gt;0)*T_PlannedOrders[Order_Month])),"m月")&amp;"発注)")</f>
        <v/>
      </c>
      <c r="CC947">
        <f>IF(SUMIFS(T_PlannedOrders[EffectiveQty],T_PlannedOrders[Part Name],$A939,T_PlannedOrders[WeekIndex],78)=0,"",SUMIFS(T_PlannedOrders[EffectiveQty],T_PlannedOrders[Part Name],$A939,T_PlannedOrders[WeekIndex],78)&amp;" ("&amp;TEXT(SUMPRODUCT(MAX((T_PlannedOrders[Part Name]=$A939)*(T_PlannedOrders[WeekIndex]=78)*(T_PlannedOrders[EffectiveQty]&gt;0)*T_PlannedOrders[Order_Month])),"m月")&amp;"発注)")</f>
        <v/>
      </c>
      <c r="CD947">
        <f>IF(SUMIFS(T_PlannedOrders[EffectiveQty],T_PlannedOrders[Part Name],$A939,T_PlannedOrders[WeekIndex],79)=0,"",SUMIFS(T_PlannedOrders[EffectiveQty],T_PlannedOrders[Part Name],$A939,T_PlannedOrders[WeekIndex],79)&amp;" ("&amp;TEXT(SUMPRODUCT(MAX((T_PlannedOrders[Part Name]=$A939)*(T_PlannedOrders[WeekIndex]=79)*(T_PlannedOrders[EffectiveQty]&gt;0)*T_PlannedOrders[Order_Month])),"m月")&amp;"発注)")</f>
        <v/>
      </c>
      <c r="CE947">
        <f>IF(SUMIFS(T_PlannedOrders[EffectiveQty],T_PlannedOrders[Part Name],$A939,T_PlannedOrders[WeekIndex],80)=0,"",SUMIFS(T_PlannedOrders[EffectiveQty],T_PlannedOrders[Part Name],$A939,T_PlannedOrders[WeekIndex],80)&amp;" ("&amp;TEXT(SUMPRODUCT(MAX((T_PlannedOrders[Part Name]=$A939)*(T_PlannedOrders[WeekIndex]=80)*(T_PlannedOrders[EffectiveQty]&gt;0)*T_PlannedOrders[Order_Month])),"m月")&amp;"発注)")</f>
        <v/>
      </c>
      <c r="CF947">
        <f>IF(SUMIFS(T_PlannedOrders[EffectiveQty],T_PlannedOrders[Part Name],$A939,T_PlannedOrders[WeekIndex],81)=0,"",SUMIFS(T_PlannedOrders[EffectiveQty],T_PlannedOrders[Part Name],$A939,T_PlannedOrders[WeekIndex],81)&amp;" ("&amp;TEXT(SUMPRODUCT(MAX((T_PlannedOrders[Part Name]=$A939)*(T_PlannedOrders[WeekIndex]=81)*(T_PlannedOrders[EffectiveQty]&gt;0)*T_PlannedOrders[Order_Month])),"m月")&amp;"発注)")</f>
        <v/>
      </c>
      <c r="CG947">
        <f>IF(SUMIFS(T_PlannedOrders[EffectiveQty],T_PlannedOrders[Part Name],$A939,T_PlannedOrders[WeekIndex],82)=0,"",SUMIFS(T_PlannedOrders[EffectiveQty],T_PlannedOrders[Part Name],$A939,T_PlannedOrders[WeekIndex],82)&amp;" ("&amp;TEXT(SUMPRODUCT(MAX((T_PlannedOrders[Part Name]=$A939)*(T_PlannedOrders[WeekIndex]=82)*(T_PlannedOrders[EffectiveQty]&gt;0)*T_PlannedOrders[Order_Month])),"m月")&amp;"発注)")</f>
        <v/>
      </c>
      <c r="CH947">
        <f>IF(SUMIFS(T_PlannedOrders[EffectiveQty],T_PlannedOrders[Part Name],$A939,T_PlannedOrders[WeekIndex],83)=0,"",SUMIFS(T_PlannedOrders[EffectiveQty],T_PlannedOrders[Part Name],$A939,T_PlannedOrders[WeekIndex],83)&amp;" ("&amp;TEXT(SUMPRODUCT(MAX((T_PlannedOrders[Part Name]=$A939)*(T_PlannedOrders[WeekIndex]=83)*(T_PlannedOrders[EffectiveQty]&gt;0)*T_PlannedOrders[Order_Month])),"m月")&amp;"発注)")</f>
        <v/>
      </c>
      <c r="CI947">
        <f>IF(SUMIFS(T_PlannedOrders[EffectiveQty],T_PlannedOrders[Part Name],$A939,T_PlannedOrders[WeekIndex],84)=0,"",SUMIFS(T_PlannedOrders[EffectiveQty],T_PlannedOrders[Part Name],$A939,T_PlannedOrders[WeekIndex],84)&amp;" ("&amp;TEXT(SUMPRODUCT(MAX((T_PlannedOrders[Part Name]=$A939)*(T_PlannedOrders[WeekIndex]=84)*(T_PlannedOrders[EffectiveQty]&gt;0)*T_PlannedOrders[Order_Month])),"m月")&amp;"発注)")</f>
        <v/>
      </c>
      <c r="CJ947">
        <f>IF(SUMIFS(T_PlannedOrders[EffectiveQty],T_PlannedOrders[Part Name],$A939,T_PlannedOrders[WeekIndex],85)=0,"",SUMIFS(T_PlannedOrders[EffectiveQty],T_PlannedOrders[Part Name],$A939,T_PlannedOrders[WeekIndex],85)&amp;" ("&amp;TEXT(SUMPRODUCT(MAX((T_PlannedOrders[Part Name]=$A939)*(T_PlannedOrders[WeekIndex]=85)*(T_PlannedOrders[EffectiveQty]&gt;0)*T_PlannedOrders[Order_Month])),"m月")&amp;"発注)")</f>
        <v/>
      </c>
      <c r="CK947">
        <f>IF(SUMIFS(T_PlannedOrders[EffectiveQty],T_PlannedOrders[Part Name],$A939,T_PlannedOrders[WeekIndex],86)=0,"",SUMIFS(T_PlannedOrders[EffectiveQty],T_PlannedOrders[Part Name],$A939,T_PlannedOrders[WeekIndex],86)&amp;" ("&amp;TEXT(SUMPRODUCT(MAX((T_PlannedOrders[Part Name]=$A939)*(T_PlannedOrders[WeekIndex]=86)*(T_PlannedOrders[EffectiveQty]&gt;0)*T_PlannedOrders[Order_Month])),"m月")&amp;"発注)")</f>
        <v/>
      </c>
      <c r="CL947">
        <f>IF(SUMIFS(T_PlannedOrders[EffectiveQty],T_PlannedOrders[Part Name],$A939,T_PlannedOrders[WeekIndex],87)=0,"",SUMIFS(T_PlannedOrders[EffectiveQty],T_PlannedOrders[Part Name],$A939,T_PlannedOrders[WeekIndex],87)&amp;" ("&amp;TEXT(SUMPRODUCT(MAX((T_PlannedOrders[Part Name]=$A939)*(T_PlannedOrders[WeekIndex]=87)*(T_PlannedOrders[EffectiveQty]&gt;0)*T_PlannedOrders[Order_Month])),"m月")&amp;"発注)")</f>
        <v/>
      </c>
      <c r="CM947">
        <f>IF(SUMIFS(T_PlannedOrders[EffectiveQty],T_PlannedOrders[Part Name],$A939,T_PlannedOrders[WeekIndex],88)=0,"",SUMIFS(T_PlannedOrders[EffectiveQty],T_PlannedOrders[Part Name],$A939,T_PlannedOrders[WeekIndex],88)&amp;" ("&amp;TEXT(SUMPRODUCT(MAX((T_PlannedOrders[Part Name]=$A939)*(T_PlannedOrders[WeekIndex]=88)*(T_PlannedOrders[EffectiveQty]&gt;0)*T_PlannedOrders[Order_Month])),"m月")&amp;"発注)")</f>
        <v/>
      </c>
      <c r="CN947">
        <f>IF(SUMIFS(T_PlannedOrders[EffectiveQty],T_PlannedOrders[Part Name],$A939,T_PlannedOrders[WeekIndex],89)=0,"",SUMIFS(T_PlannedOrders[EffectiveQty],T_PlannedOrders[Part Name],$A939,T_PlannedOrders[WeekIndex],89)&amp;" ("&amp;TEXT(SUMPRODUCT(MAX((T_PlannedOrders[Part Name]=$A939)*(T_PlannedOrders[WeekIndex]=89)*(T_PlannedOrders[EffectiveQty]&gt;0)*T_PlannedOrders[Order_Month])),"m月")&amp;"発注)")</f>
        <v/>
      </c>
      <c r="CO947">
        <f>IF(SUMIFS(T_PlannedOrders[EffectiveQty],T_PlannedOrders[Part Name],$A939,T_PlannedOrders[WeekIndex],90)=0,"",SUMIFS(T_PlannedOrders[EffectiveQty],T_PlannedOrders[Part Name],$A939,T_PlannedOrders[WeekIndex],90)&amp;" ("&amp;TEXT(SUMPRODUCT(MAX((T_PlannedOrders[Part Name]=$A939)*(T_PlannedOrders[WeekIndex]=90)*(T_PlannedOrders[EffectiveQty]&gt;0)*T_PlannedOrders[Order_Month])),"m月")&amp;"発注)")</f>
        <v/>
      </c>
      <c r="CP947">
        <f>IF(SUMIFS(T_PlannedOrders[EffectiveQty],T_PlannedOrders[Part Name],$A939,T_PlannedOrders[WeekIndex],91)=0,"",SUMIFS(T_PlannedOrders[EffectiveQty],T_PlannedOrders[Part Name],$A939,T_PlannedOrders[WeekIndex],91)&amp;" ("&amp;TEXT(SUMPRODUCT(MAX((T_PlannedOrders[Part Name]=$A939)*(T_PlannedOrders[WeekIndex]=91)*(T_PlannedOrders[EffectiveQty]&gt;0)*T_PlannedOrders[Order_Month])),"m月")&amp;"発注)")</f>
        <v/>
      </c>
      <c r="CQ947">
        <f>IF(SUMIFS(T_PlannedOrders[EffectiveQty],T_PlannedOrders[Part Name],$A939,T_PlannedOrders[WeekIndex],92)=0,"",SUMIFS(T_PlannedOrders[EffectiveQty],T_PlannedOrders[Part Name],$A939,T_PlannedOrders[WeekIndex],92)&amp;" ("&amp;TEXT(SUMPRODUCT(MAX((T_PlannedOrders[Part Name]=$A939)*(T_PlannedOrders[WeekIndex]=92)*(T_PlannedOrders[EffectiveQty]&gt;0)*T_PlannedOrders[Order_Month])),"m月")&amp;"発注)")</f>
        <v/>
      </c>
      <c r="CR947">
        <f>IF(SUMIFS(T_PlannedOrders[EffectiveQty],T_PlannedOrders[Part Name],$A939,T_PlannedOrders[WeekIndex],93)=0,"",SUMIFS(T_PlannedOrders[EffectiveQty],T_PlannedOrders[Part Name],$A939,T_PlannedOrders[WeekIndex],93)&amp;" ("&amp;TEXT(SUMPRODUCT(MAX((T_PlannedOrders[Part Name]=$A939)*(T_PlannedOrders[WeekIndex]=93)*(T_PlannedOrders[EffectiveQty]&gt;0)*T_PlannedOrders[Order_Month])),"m月")&amp;"発注)")</f>
        <v/>
      </c>
      <c r="CS947">
        <f>IF(SUMIFS(T_PlannedOrders[EffectiveQty],T_PlannedOrders[Part Name],$A939,T_PlannedOrders[WeekIndex],94)=0,"",SUMIFS(T_PlannedOrders[EffectiveQty],T_PlannedOrders[Part Name],$A939,T_PlannedOrders[WeekIndex],94)&amp;" ("&amp;TEXT(SUMPRODUCT(MAX((T_PlannedOrders[Part Name]=$A939)*(T_PlannedOrders[WeekIndex]=94)*(T_PlannedOrders[EffectiveQty]&gt;0)*T_PlannedOrders[Order_Month])),"m月")&amp;"発注)")</f>
        <v/>
      </c>
      <c r="CT947">
        <f>IF(SUMIFS(T_PlannedOrders[EffectiveQty],T_PlannedOrders[Part Name],$A939,T_PlannedOrders[WeekIndex],95)=0,"",SUMIFS(T_PlannedOrders[EffectiveQty],T_PlannedOrders[Part Name],$A939,T_PlannedOrders[WeekIndex],95)&amp;" ("&amp;TEXT(SUMPRODUCT(MAX((T_PlannedOrders[Part Name]=$A939)*(T_PlannedOrders[WeekIndex]=95)*(T_PlannedOrders[EffectiveQty]&gt;0)*T_PlannedOrders[Order_Month])),"m月")&amp;"発注)")</f>
        <v/>
      </c>
      <c r="CU947">
        <f>IF(SUMIFS(T_PlannedOrders[EffectiveQty],T_PlannedOrders[Part Name],$A939,T_PlannedOrders[WeekIndex],96)=0,"",SUMIFS(T_PlannedOrders[EffectiveQty],T_PlannedOrders[Part Name],$A939,T_PlannedOrders[WeekIndex],96)&amp;" ("&amp;TEXT(SUMPRODUCT(MAX((T_PlannedOrders[Part Name]=$A939)*(T_PlannedOrders[WeekIndex]=96)*(T_PlannedOrders[EffectiveQty]&gt;0)*T_PlannedOrders[Order_Month])),"m月")&amp;"発注)")</f>
        <v/>
      </c>
      <c r="CV947">
        <f>IF(SUMIFS(T_PlannedOrders[EffectiveQty],T_PlannedOrders[Part Name],$A939,T_PlannedOrders[WeekIndex],97)=0,"",SUMIFS(T_PlannedOrders[EffectiveQty],T_PlannedOrders[Part Name],$A939,T_PlannedOrders[WeekIndex],97)&amp;" ("&amp;TEXT(SUMPRODUCT(MAX((T_PlannedOrders[Part Name]=$A939)*(T_PlannedOrders[WeekIndex]=97)*(T_PlannedOrders[EffectiveQty]&gt;0)*T_PlannedOrders[Order_Month])),"m月")&amp;"発注)")</f>
        <v/>
      </c>
      <c r="CW947">
        <f>IF(SUMIFS(T_PlannedOrders[EffectiveQty],T_PlannedOrders[Part Name],$A939,T_PlannedOrders[WeekIndex],98)=0,"",SUMIFS(T_PlannedOrders[EffectiveQty],T_PlannedOrders[Part Name],$A939,T_PlannedOrders[WeekIndex],98)&amp;" ("&amp;TEXT(SUMPRODUCT(MAX((T_PlannedOrders[Part Name]=$A939)*(T_PlannedOrders[WeekIndex]=98)*(T_PlannedOrders[EffectiveQty]&gt;0)*T_PlannedOrders[Order_Month])),"m月")&amp;"発注)")</f>
        <v/>
      </c>
      <c r="CX947">
        <f>IF(SUMIFS(T_PlannedOrders[EffectiveQty],T_PlannedOrders[Part Name],$A939,T_PlannedOrders[WeekIndex],99)=0,"",SUMIFS(T_PlannedOrders[EffectiveQty],T_PlannedOrders[Part Name],$A939,T_PlannedOrders[WeekIndex],99)&amp;" ("&amp;TEXT(SUMPRODUCT(MAX((T_PlannedOrders[Part Name]=$A939)*(T_PlannedOrders[WeekIndex]=99)*(T_PlannedOrders[EffectiveQty]&gt;0)*T_PlannedOrders[Order_Month])),"m月")&amp;"発注)")</f>
        <v/>
      </c>
      <c r="CY947">
        <f>IF(SUMIFS(T_PlannedOrders[EffectiveQty],T_PlannedOrders[Part Name],$A939,T_PlannedOrders[WeekIndex],100)=0,"",SUMIFS(T_PlannedOrders[EffectiveQty],T_PlannedOrders[Part Name],$A939,T_PlannedOrders[WeekIndex],100)&amp;" ("&amp;TEXT(SUMPRODUCT(MAX((T_PlannedOrders[Part Name]=$A939)*(T_PlannedOrders[WeekIndex]=100)*(T_PlannedOrders[EffectiveQty]&gt;0)*T_PlannedOrders[Order_Month])),"m月")&amp;"発注)")</f>
        <v/>
      </c>
      <c r="CZ947">
        <f>IF(SUMIFS(T_PlannedOrders[EffectiveQty],T_PlannedOrders[Part Name],$A939,T_PlannedOrders[WeekIndex],101)=0,"",SUMIFS(T_PlannedOrders[EffectiveQty],T_PlannedOrders[Part Name],$A939,T_PlannedOrders[WeekIndex],101)&amp;" ("&amp;TEXT(SUMPRODUCT(MAX((T_PlannedOrders[Part Name]=$A939)*(T_PlannedOrders[WeekIndex]=101)*(T_PlannedOrders[EffectiveQty]&gt;0)*T_PlannedOrders[Order_Month])),"m月")&amp;"発注)")</f>
        <v/>
      </c>
      <c r="DA947">
        <f>IF(SUMIFS(T_PlannedOrders[EffectiveQty],T_PlannedOrders[Part Name],$A939,T_PlannedOrders[WeekIndex],102)=0,"",SUMIFS(T_PlannedOrders[EffectiveQty],T_PlannedOrders[Part Name],$A939,T_PlannedOrders[WeekIndex],102)&amp;" ("&amp;TEXT(SUMPRODUCT(MAX((T_PlannedOrders[Part Name]=$A939)*(T_PlannedOrders[WeekIndex]=102)*(T_PlannedOrders[EffectiveQty]&gt;0)*T_PlannedOrders[Order_Month])),"m月")&amp;"発注)")</f>
        <v/>
      </c>
      <c r="DB947">
        <f>IF(SUMIFS(T_PlannedOrders[EffectiveQty],T_PlannedOrders[Part Name],$A939,T_PlannedOrders[WeekIndex],103)=0,"",SUMIFS(T_PlannedOrders[EffectiveQty],T_PlannedOrders[Part Name],$A939,T_PlannedOrders[WeekIndex],103)&amp;" ("&amp;TEXT(SUMPRODUCT(MAX((T_PlannedOrders[Part Name]=$A939)*(T_PlannedOrders[WeekIndex]=103)*(T_PlannedOrders[EffectiveQty]&gt;0)*T_PlannedOrders[Order_Month])),"m月")&amp;"発注)")</f>
        <v/>
      </c>
      <c r="DC947">
        <f>IF(SUMIFS(T_PlannedOrders[EffectiveQty],T_PlannedOrders[Part Name],$A939,T_PlannedOrders[WeekIndex],104)=0,"",SUMIFS(T_PlannedOrders[EffectiveQty],T_PlannedOrders[Part Name],$A939,T_PlannedOrders[WeekIndex],104)&amp;" ("&amp;TEXT(SUMPRODUCT(MAX((T_PlannedOrders[Part Name]=$A939)*(T_PlannedOrders[WeekIndex]=104)*(T_PlannedOrders[EffectiveQty]&gt;0)*T_PlannedOrders[Order_Month])),"m月")&amp;"発注)")</f>
        <v/>
      </c>
    </row>
    <row r="948">
      <c r="B948" s="5" t="inlineStr">
        <is>
          <t>合計在庫(週末時点,kg)</t>
        </is>
      </c>
      <c r="D948">
        <f>'Grid_Stock'!B24</f>
        <v/>
      </c>
      <c r="E948">
        <f>'Grid_Stock'!C24</f>
        <v/>
      </c>
      <c r="F948">
        <f>'Grid_Stock'!D24</f>
        <v/>
      </c>
      <c r="G948">
        <f>'Grid_Stock'!E24</f>
        <v/>
      </c>
      <c r="H948">
        <f>'Grid_Stock'!F24</f>
        <v/>
      </c>
      <c r="I948">
        <f>'Grid_Stock'!G24</f>
        <v/>
      </c>
      <c r="J948">
        <f>'Grid_Stock'!H24</f>
        <v/>
      </c>
      <c r="K948">
        <f>'Grid_Stock'!I24</f>
        <v/>
      </c>
      <c r="L948">
        <f>'Grid_Stock'!J24</f>
        <v/>
      </c>
      <c r="M948">
        <f>'Grid_Stock'!K24</f>
        <v/>
      </c>
      <c r="N948">
        <f>'Grid_Stock'!L24</f>
        <v/>
      </c>
      <c r="O948">
        <f>'Grid_Stock'!M24</f>
        <v/>
      </c>
      <c r="P948">
        <f>'Grid_Stock'!N24</f>
        <v/>
      </c>
      <c r="Q948">
        <f>'Grid_Stock'!O24</f>
        <v/>
      </c>
      <c r="R948">
        <f>'Grid_Stock'!P24</f>
        <v/>
      </c>
      <c r="S948">
        <f>'Grid_Stock'!Q24</f>
        <v/>
      </c>
      <c r="T948">
        <f>'Grid_Stock'!R24</f>
        <v/>
      </c>
      <c r="U948">
        <f>'Grid_Stock'!S24</f>
        <v/>
      </c>
      <c r="V948">
        <f>'Grid_Stock'!T24</f>
        <v/>
      </c>
      <c r="W948">
        <f>'Grid_Stock'!U24</f>
        <v/>
      </c>
      <c r="X948">
        <f>'Grid_Stock'!V24</f>
        <v/>
      </c>
      <c r="Y948">
        <f>'Grid_Stock'!W24</f>
        <v/>
      </c>
      <c r="Z948">
        <f>'Grid_Stock'!X24</f>
        <v/>
      </c>
      <c r="AA948">
        <f>'Grid_Stock'!Y24</f>
        <v/>
      </c>
      <c r="AB948">
        <f>'Grid_Stock'!Z24</f>
        <v/>
      </c>
      <c r="AC948">
        <f>'Grid_Stock'!AA24</f>
        <v/>
      </c>
      <c r="AD948">
        <f>'Grid_Stock'!AB24</f>
        <v/>
      </c>
      <c r="AE948">
        <f>'Grid_Stock'!AC24</f>
        <v/>
      </c>
      <c r="AF948">
        <f>'Grid_Stock'!AD24</f>
        <v/>
      </c>
      <c r="AG948">
        <f>'Grid_Stock'!AE24</f>
        <v/>
      </c>
      <c r="AH948">
        <f>'Grid_Stock'!AF24</f>
        <v/>
      </c>
      <c r="AI948">
        <f>'Grid_Stock'!AG24</f>
        <v/>
      </c>
      <c r="AJ948">
        <f>'Grid_Stock'!AH24</f>
        <v/>
      </c>
      <c r="AK948">
        <f>'Grid_Stock'!AI24</f>
        <v/>
      </c>
      <c r="AL948">
        <f>'Grid_Stock'!AJ24</f>
        <v/>
      </c>
      <c r="AM948">
        <f>'Grid_Stock'!AK24</f>
        <v/>
      </c>
      <c r="AN948">
        <f>'Grid_Stock'!AL24</f>
        <v/>
      </c>
      <c r="AO948">
        <f>'Grid_Stock'!AM24</f>
        <v/>
      </c>
      <c r="AP948">
        <f>'Grid_Stock'!AN24</f>
        <v/>
      </c>
      <c r="AQ948">
        <f>'Grid_Stock'!AO24</f>
        <v/>
      </c>
      <c r="AR948">
        <f>'Grid_Stock'!AP24</f>
        <v/>
      </c>
      <c r="AS948">
        <f>'Grid_Stock'!AQ24</f>
        <v/>
      </c>
      <c r="AT948">
        <f>'Grid_Stock'!AR24</f>
        <v/>
      </c>
      <c r="AU948">
        <f>'Grid_Stock'!AS24</f>
        <v/>
      </c>
      <c r="AV948">
        <f>'Grid_Stock'!AT24</f>
        <v/>
      </c>
      <c r="AW948">
        <f>'Grid_Stock'!AU24</f>
        <v/>
      </c>
      <c r="AX948">
        <f>'Grid_Stock'!AV24</f>
        <v/>
      </c>
      <c r="AY948">
        <f>'Grid_Stock'!AW24</f>
        <v/>
      </c>
      <c r="AZ948">
        <f>'Grid_Stock'!AX24</f>
        <v/>
      </c>
      <c r="BA948">
        <f>'Grid_Stock'!AY24</f>
        <v/>
      </c>
      <c r="BB948">
        <f>'Grid_Stock'!AZ24</f>
        <v/>
      </c>
      <c r="BC948">
        <f>'Grid_Stock'!BA24</f>
        <v/>
      </c>
      <c r="BD948">
        <f>'Grid_Stock'!BB24</f>
        <v/>
      </c>
      <c r="BE948">
        <f>'Grid_Stock'!BC24</f>
        <v/>
      </c>
      <c r="BF948">
        <f>'Grid_Stock'!BD24</f>
        <v/>
      </c>
      <c r="BG948">
        <f>'Grid_Stock'!BE24</f>
        <v/>
      </c>
      <c r="BH948">
        <f>'Grid_Stock'!BF24</f>
        <v/>
      </c>
      <c r="BI948">
        <f>'Grid_Stock'!BG24</f>
        <v/>
      </c>
      <c r="BJ948">
        <f>'Grid_Stock'!BH24</f>
        <v/>
      </c>
      <c r="BK948">
        <f>'Grid_Stock'!BI24</f>
        <v/>
      </c>
      <c r="BL948">
        <f>'Grid_Stock'!BJ24</f>
        <v/>
      </c>
      <c r="BM948">
        <f>'Grid_Stock'!BK24</f>
        <v/>
      </c>
      <c r="BN948">
        <f>'Grid_Stock'!BL24</f>
        <v/>
      </c>
      <c r="BO948">
        <f>'Grid_Stock'!BM24</f>
        <v/>
      </c>
      <c r="BP948">
        <f>'Grid_Stock'!BN24</f>
        <v/>
      </c>
      <c r="BQ948">
        <f>'Grid_Stock'!BO24</f>
        <v/>
      </c>
      <c r="BR948">
        <f>'Grid_Stock'!BP24</f>
        <v/>
      </c>
      <c r="BS948">
        <f>'Grid_Stock'!BQ24</f>
        <v/>
      </c>
      <c r="BT948">
        <f>'Grid_Stock'!BR24</f>
        <v/>
      </c>
      <c r="BU948">
        <f>'Grid_Stock'!BS24</f>
        <v/>
      </c>
      <c r="BV948">
        <f>'Grid_Stock'!BT24</f>
        <v/>
      </c>
      <c r="BW948">
        <f>'Grid_Stock'!BU24</f>
        <v/>
      </c>
      <c r="BX948">
        <f>'Grid_Stock'!BV24</f>
        <v/>
      </c>
      <c r="BY948">
        <f>'Grid_Stock'!BW24</f>
        <v/>
      </c>
      <c r="BZ948">
        <f>'Grid_Stock'!BX24</f>
        <v/>
      </c>
      <c r="CA948">
        <f>'Grid_Stock'!BY24</f>
        <v/>
      </c>
      <c r="CB948">
        <f>'Grid_Stock'!BZ24</f>
        <v/>
      </c>
      <c r="CC948">
        <f>'Grid_Stock'!CA24</f>
        <v/>
      </c>
      <c r="CD948">
        <f>'Grid_Stock'!CB24</f>
        <v/>
      </c>
      <c r="CE948">
        <f>'Grid_Stock'!CC24</f>
        <v/>
      </c>
      <c r="CF948">
        <f>'Grid_Stock'!CD24</f>
        <v/>
      </c>
      <c r="CG948">
        <f>'Grid_Stock'!CE24</f>
        <v/>
      </c>
      <c r="CH948">
        <f>'Grid_Stock'!CF24</f>
        <v/>
      </c>
      <c r="CI948">
        <f>'Grid_Stock'!CG24</f>
        <v/>
      </c>
      <c r="CJ948">
        <f>'Grid_Stock'!CH24</f>
        <v/>
      </c>
      <c r="CK948">
        <f>'Grid_Stock'!CI24</f>
        <v/>
      </c>
      <c r="CL948">
        <f>'Grid_Stock'!CJ24</f>
        <v/>
      </c>
      <c r="CM948">
        <f>'Grid_Stock'!CK24</f>
        <v/>
      </c>
      <c r="CN948">
        <f>'Grid_Stock'!CL24</f>
        <v/>
      </c>
      <c r="CO948">
        <f>'Grid_Stock'!CM24</f>
        <v/>
      </c>
      <c r="CP948">
        <f>'Grid_Stock'!CN24</f>
        <v/>
      </c>
      <c r="CQ948">
        <f>'Grid_Stock'!CO24</f>
        <v/>
      </c>
      <c r="CR948">
        <f>'Grid_Stock'!CP24</f>
        <v/>
      </c>
      <c r="CS948">
        <f>'Grid_Stock'!CQ24</f>
        <v/>
      </c>
      <c r="CT948">
        <f>'Grid_Stock'!CR24</f>
        <v/>
      </c>
      <c r="CU948">
        <f>'Grid_Stock'!CS24</f>
        <v/>
      </c>
      <c r="CV948">
        <f>'Grid_Stock'!CT24</f>
        <v/>
      </c>
      <c r="CW948">
        <f>'Grid_Stock'!CU24</f>
        <v/>
      </c>
      <c r="CX948">
        <f>'Grid_Stock'!CV24</f>
        <v/>
      </c>
      <c r="CY948">
        <f>'Grid_Stock'!CW24</f>
        <v/>
      </c>
      <c r="CZ948">
        <f>'Grid_Stock'!CX24</f>
        <v/>
      </c>
      <c r="DA948">
        <f>'Grid_Stock'!CY24</f>
        <v/>
      </c>
      <c r="DB948">
        <f>'Grid_Stock'!CZ24</f>
        <v/>
      </c>
      <c r="DC948">
        <f>'Grid_Stock'!DA24</f>
        <v/>
      </c>
    </row>
    <row r="949">
      <c r="B949" s="23" t="inlineStr">
        <is>
          <t>（発注の目安はDashboardの基準在庫[下限/上限]と色分けを参照）</t>
        </is>
      </c>
    </row>
    <row r="951">
      <c r="A951" s="21" t="inlineStr">
        <is>
          <t>CHEM-1560</t>
        </is>
      </c>
      <c r="B951" s="21" t="inlineStr">
        <is>
          <t>TZP 511</t>
        </is>
      </c>
      <c r="C951" s="22" t="n"/>
      <c r="D951" s="21" t="n"/>
      <c r="E951" s="21" t="n"/>
      <c r="F951" s="21" t="n"/>
      <c r="G951" s="21" t="n"/>
      <c r="H951" s="2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  <c r="AA951" s="21" t="n"/>
      <c r="AB951" s="21" t="n"/>
      <c r="AC951" s="21" t="n"/>
      <c r="AD951" s="21" t="n"/>
      <c r="AE951" s="21" t="n"/>
      <c r="AF951" s="21" t="n"/>
      <c r="AG951" s="21" t="n"/>
      <c r="AH951" s="21" t="n"/>
      <c r="AI951" s="21" t="n"/>
      <c r="AJ951" s="21" t="n"/>
      <c r="AK951" s="21" t="n"/>
      <c r="AL951" s="21" t="n"/>
      <c r="AM951" s="21" t="n"/>
      <c r="AN951" s="21" t="n"/>
      <c r="AO951" s="21" t="n"/>
      <c r="AP951" s="21" t="n"/>
      <c r="AQ951" s="21" t="n"/>
      <c r="AR951" s="21" t="n"/>
      <c r="AS951" s="21" t="n"/>
      <c r="AT951" s="21" t="n"/>
      <c r="AU951" s="21" t="n"/>
      <c r="AV951" s="21" t="n"/>
      <c r="AW951" s="21" t="n"/>
      <c r="AX951" s="21" t="n"/>
      <c r="AY951" s="21" t="n"/>
      <c r="AZ951" s="21" t="n"/>
      <c r="BA951" s="21" t="n"/>
      <c r="BB951" s="21" t="n"/>
      <c r="BC951" s="21" t="n"/>
      <c r="BD951" s="21" t="n"/>
      <c r="BE951" s="21" t="n"/>
      <c r="BF951" s="21" t="n"/>
      <c r="BG951" s="21" t="n"/>
      <c r="BH951" s="21" t="n"/>
      <c r="BI951" s="21" t="n"/>
      <c r="BJ951" s="21" t="n"/>
      <c r="BK951" s="21" t="n"/>
      <c r="BL951" s="21" t="n"/>
      <c r="BM951" s="21" t="n"/>
      <c r="BN951" s="21" t="n"/>
      <c r="BO951" s="21" t="n"/>
      <c r="BP951" s="21" t="n"/>
      <c r="BQ951" s="21" t="n"/>
      <c r="BR951" s="21" t="n"/>
      <c r="BS951" s="21" t="n"/>
      <c r="BT951" s="21" t="n"/>
      <c r="BU951" s="21" t="n"/>
      <c r="BV951" s="21" t="n"/>
      <c r="BW951" s="21" t="n"/>
      <c r="BX951" s="21" t="n"/>
      <c r="BY951" s="21" t="n"/>
      <c r="BZ951" s="21" t="n"/>
      <c r="CA951" s="21" t="n"/>
      <c r="CB951" s="21" t="n"/>
      <c r="CC951" s="21" t="n"/>
      <c r="CD951" s="21" t="n"/>
      <c r="CE951" s="21" t="n"/>
      <c r="CF951" s="21" t="n"/>
      <c r="CG951" s="21" t="n"/>
      <c r="CH951" s="21" t="n"/>
      <c r="CI951" s="21" t="n"/>
      <c r="CJ951" s="21" t="n"/>
      <c r="CK951" s="21" t="n"/>
      <c r="CL951" s="21" t="n"/>
      <c r="CM951" s="21" t="n"/>
      <c r="CN951" s="21" t="n"/>
      <c r="CO951" s="21" t="n"/>
      <c r="CP951" s="21" t="n"/>
      <c r="CQ951" s="21" t="n"/>
      <c r="CR951" s="21" t="n"/>
      <c r="CS951" s="21" t="n"/>
      <c r="CT951" s="21" t="n"/>
      <c r="CU951" s="21" t="n"/>
      <c r="CV951" s="21" t="n"/>
      <c r="CW951" s="21" t="n"/>
      <c r="CX951" s="21" t="n"/>
      <c r="CY951" s="21" t="n"/>
      <c r="CZ951" s="21" t="n"/>
      <c r="DA951" s="21" t="n"/>
      <c r="DB951" s="21" t="n"/>
      <c r="DC951" s="21" t="n"/>
    </row>
    <row r="952">
      <c r="B952" t="inlineStr">
        <is>
          <t>TSP-360</t>
        </is>
      </c>
      <c r="C952" t="inlineStr">
        <is>
          <t>No. of batches</t>
        </is>
      </c>
      <c r="D952">
        <f>IFERROR(INDEX(PP_Grid[#Data],$DD952,2),0)</f>
        <v/>
      </c>
      <c r="E952">
        <f>IFERROR(INDEX(PP_Grid[#Data],$DD952,3),0)</f>
        <v/>
      </c>
      <c r="F952">
        <f>IFERROR(INDEX(PP_Grid[#Data],$DD952,4),0)</f>
        <v/>
      </c>
      <c r="G952">
        <f>IFERROR(INDEX(PP_Grid[#Data],$DD952,5),0)</f>
        <v/>
      </c>
      <c r="H952">
        <f>IFERROR(INDEX(PP_Grid[#Data],$DD952,6),0)</f>
        <v/>
      </c>
      <c r="I952">
        <f>IFERROR(INDEX(PP_Grid[#Data],$DD952,7),0)</f>
        <v/>
      </c>
      <c r="J952">
        <f>IFERROR(INDEX(PP_Grid[#Data],$DD952,8),0)</f>
        <v/>
      </c>
      <c r="K952">
        <f>IFERROR(INDEX(PP_Grid[#Data],$DD952,9),0)</f>
        <v/>
      </c>
      <c r="L952">
        <f>IFERROR(INDEX(PP_Grid[#Data],$DD952,10),0)</f>
        <v/>
      </c>
      <c r="M952">
        <f>IFERROR(INDEX(PP_Grid[#Data],$DD952,11),0)</f>
        <v/>
      </c>
      <c r="N952">
        <f>IFERROR(INDEX(PP_Grid[#Data],$DD952,12),0)</f>
        <v/>
      </c>
      <c r="O952">
        <f>IFERROR(INDEX(PP_Grid[#Data],$DD952,13),0)</f>
        <v/>
      </c>
      <c r="P952">
        <f>IFERROR(INDEX(PP_Grid[#Data],$DD952,14),0)</f>
        <v/>
      </c>
      <c r="Q952">
        <f>IFERROR(INDEX(PP_Grid[#Data],$DD952,15),0)</f>
        <v/>
      </c>
      <c r="R952">
        <f>IFERROR(INDEX(PP_Grid[#Data],$DD952,16),0)</f>
        <v/>
      </c>
      <c r="S952">
        <f>IFERROR(INDEX(PP_Grid[#Data],$DD952,17),0)</f>
        <v/>
      </c>
      <c r="T952">
        <f>IFERROR(INDEX(PP_Grid[#Data],$DD952,18),0)</f>
        <v/>
      </c>
      <c r="U952">
        <f>IFERROR(INDEX(PP_Grid[#Data],$DD952,19),0)</f>
        <v/>
      </c>
      <c r="V952">
        <f>IFERROR(INDEX(PP_Grid[#Data],$DD952,20),0)</f>
        <v/>
      </c>
      <c r="W952">
        <f>IFERROR(INDEX(PP_Grid[#Data],$DD952,21),0)</f>
        <v/>
      </c>
      <c r="X952">
        <f>IFERROR(INDEX(PP_Grid[#Data],$DD952,22),0)</f>
        <v/>
      </c>
      <c r="Y952">
        <f>IFERROR(INDEX(PP_Grid[#Data],$DD952,23),0)</f>
        <v/>
      </c>
      <c r="Z952">
        <f>IFERROR(INDEX(PP_Grid[#Data],$DD952,24),0)</f>
        <v/>
      </c>
      <c r="AA952">
        <f>IFERROR(INDEX(PP_Grid[#Data],$DD952,25),0)</f>
        <v/>
      </c>
      <c r="AB952">
        <f>IFERROR(INDEX(PP_Grid[#Data],$DD952,26),0)</f>
        <v/>
      </c>
      <c r="AC952">
        <f>IFERROR(INDEX(PP_Grid[#Data],$DD952,27),0)</f>
        <v/>
      </c>
      <c r="AD952">
        <f>IFERROR(INDEX(PP_Grid[#Data],$DD952,28),0)</f>
        <v/>
      </c>
      <c r="AE952">
        <f>IFERROR(INDEX(PP_Grid[#Data],$DD952,29),0)</f>
        <v/>
      </c>
      <c r="AF952">
        <f>IFERROR(INDEX(PP_Grid[#Data],$DD952,30),0)</f>
        <v/>
      </c>
      <c r="AG952">
        <f>IFERROR(INDEX(PP_Grid[#Data],$DD952,31),0)</f>
        <v/>
      </c>
      <c r="AH952">
        <f>IFERROR(INDEX(PP_Grid[#Data],$DD952,32),0)</f>
        <v/>
      </c>
      <c r="AI952">
        <f>IFERROR(INDEX(PP_Grid[#Data],$DD952,33),0)</f>
        <v/>
      </c>
      <c r="AJ952">
        <f>IFERROR(INDEX(PP_Grid[#Data],$DD952,34),0)</f>
        <v/>
      </c>
      <c r="AK952">
        <f>IFERROR(INDEX(PP_Grid[#Data],$DD952,35),0)</f>
        <v/>
      </c>
      <c r="AL952">
        <f>IFERROR(INDEX(PP_Grid[#Data],$DD952,36),0)</f>
        <v/>
      </c>
      <c r="AM952">
        <f>IFERROR(INDEX(PP_Grid[#Data],$DD952,37),0)</f>
        <v/>
      </c>
      <c r="AN952">
        <f>IFERROR(INDEX(PP_Grid[#Data],$DD952,38),0)</f>
        <v/>
      </c>
      <c r="AO952">
        <f>IFERROR(INDEX(PP_Grid[#Data],$DD952,39),0)</f>
        <v/>
      </c>
      <c r="AP952">
        <f>IFERROR(INDEX(PP_Grid[#Data],$DD952,40),0)</f>
        <v/>
      </c>
      <c r="AQ952">
        <f>IFERROR(INDEX(PP_Grid[#Data],$DD952,41),0)</f>
        <v/>
      </c>
      <c r="AR952">
        <f>IFERROR(INDEX(PP_Grid[#Data],$DD952,42),0)</f>
        <v/>
      </c>
      <c r="AS952">
        <f>IFERROR(INDEX(PP_Grid[#Data],$DD952,43),0)</f>
        <v/>
      </c>
      <c r="AT952">
        <f>IFERROR(INDEX(PP_Grid[#Data],$DD952,44),0)</f>
        <v/>
      </c>
      <c r="AU952">
        <f>IFERROR(INDEX(PP_Grid[#Data],$DD952,45),0)</f>
        <v/>
      </c>
      <c r="AV952">
        <f>IFERROR(INDEX(PP_Grid[#Data],$DD952,46),0)</f>
        <v/>
      </c>
      <c r="AW952">
        <f>IFERROR(INDEX(PP_Grid[#Data],$DD952,47),0)</f>
        <v/>
      </c>
      <c r="AX952">
        <f>IFERROR(INDEX(PP_Grid[#Data],$DD952,48),0)</f>
        <v/>
      </c>
      <c r="AY952">
        <f>IFERROR(INDEX(PP_Grid[#Data],$DD952,49),0)</f>
        <v/>
      </c>
      <c r="AZ952">
        <f>IFERROR(INDEX(PP_Grid[#Data],$DD952,50),0)</f>
        <v/>
      </c>
      <c r="BA952">
        <f>IFERROR(INDEX(PP_Grid[#Data],$DD952,51),0)</f>
        <v/>
      </c>
      <c r="BB952">
        <f>IFERROR(INDEX(PP_Grid[#Data],$DD952,52),0)</f>
        <v/>
      </c>
      <c r="BC952">
        <f>IFERROR(INDEX(PP_Grid[#Data],$DD952,53),0)</f>
        <v/>
      </c>
      <c r="BD952">
        <f>IFERROR(INDEX(PP_Grid[#Data],$DD952,54),0)</f>
        <v/>
      </c>
      <c r="BE952">
        <f>IFERROR(INDEX(PP_Grid[#Data],$DD952,55),0)</f>
        <v/>
      </c>
      <c r="BF952">
        <f>IFERROR(INDEX(PP_Grid[#Data],$DD952,56),0)</f>
        <v/>
      </c>
      <c r="BG952">
        <f>IFERROR(INDEX(PP_Grid[#Data],$DD952,57),0)</f>
        <v/>
      </c>
      <c r="BH952">
        <f>IFERROR(INDEX(PP_Grid[#Data],$DD952,58),0)</f>
        <v/>
      </c>
      <c r="BI952">
        <f>IFERROR(INDEX(PP_Grid[#Data],$DD952,59),0)</f>
        <v/>
      </c>
      <c r="BJ952">
        <f>IFERROR(INDEX(PP_Grid[#Data],$DD952,60),0)</f>
        <v/>
      </c>
      <c r="BK952">
        <f>IFERROR(INDEX(PP_Grid[#Data],$DD952,61),0)</f>
        <v/>
      </c>
      <c r="BL952">
        <f>IFERROR(INDEX(PP_Grid[#Data],$DD952,62),0)</f>
        <v/>
      </c>
      <c r="BM952">
        <f>IFERROR(INDEX(PP_Grid[#Data],$DD952,63),0)</f>
        <v/>
      </c>
      <c r="BN952">
        <f>IFERROR(INDEX(PP_Grid[#Data],$DD952,64),0)</f>
        <v/>
      </c>
      <c r="BO952">
        <f>IFERROR(INDEX(PP_Grid[#Data],$DD952,65),0)</f>
        <v/>
      </c>
      <c r="BP952">
        <f>IFERROR(INDEX(PP_Grid[#Data],$DD952,66),0)</f>
        <v/>
      </c>
      <c r="BQ952">
        <f>IFERROR(INDEX(PP_Grid[#Data],$DD952,67),0)</f>
        <v/>
      </c>
      <c r="BR952">
        <f>IFERROR(INDEX(PP_Grid[#Data],$DD952,68),0)</f>
        <v/>
      </c>
      <c r="BS952">
        <f>IFERROR(INDEX(PP_Grid[#Data],$DD952,69),0)</f>
        <v/>
      </c>
      <c r="BT952">
        <f>IFERROR(INDEX(PP_Grid[#Data],$DD952,70),0)</f>
        <v/>
      </c>
      <c r="BU952">
        <f>IFERROR(INDEX(PP_Grid[#Data],$DD952,71),0)</f>
        <v/>
      </c>
      <c r="BV952">
        <f>IFERROR(INDEX(PP_Grid[#Data],$DD952,72),0)</f>
        <v/>
      </c>
      <c r="BW952">
        <f>IFERROR(INDEX(PP_Grid[#Data],$DD952,73),0)</f>
        <v/>
      </c>
      <c r="BX952">
        <f>IFERROR(INDEX(PP_Grid[#Data],$DD952,74),0)</f>
        <v/>
      </c>
      <c r="BY952">
        <f>IFERROR(INDEX(PP_Grid[#Data],$DD952,75),0)</f>
        <v/>
      </c>
      <c r="BZ952">
        <f>IFERROR(INDEX(PP_Grid[#Data],$DD952,76),0)</f>
        <v/>
      </c>
      <c r="CA952">
        <f>IFERROR(INDEX(PP_Grid[#Data],$DD952,77),0)</f>
        <v/>
      </c>
      <c r="CB952">
        <f>IFERROR(INDEX(PP_Grid[#Data],$DD952,78),0)</f>
        <v/>
      </c>
      <c r="CC952">
        <f>IFERROR(INDEX(PP_Grid[#Data],$DD952,79),0)</f>
        <v/>
      </c>
      <c r="CD952">
        <f>IFERROR(INDEX(PP_Grid[#Data],$DD952,80),0)</f>
        <v/>
      </c>
      <c r="CE952">
        <f>IFERROR(INDEX(PP_Grid[#Data],$DD952,81),0)</f>
        <v/>
      </c>
      <c r="CF952">
        <f>IFERROR(INDEX(PP_Grid[#Data],$DD952,82),0)</f>
        <v/>
      </c>
      <c r="CG952">
        <f>IFERROR(INDEX(PP_Grid[#Data],$DD952,83),0)</f>
        <v/>
      </c>
      <c r="CH952">
        <f>IFERROR(INDEX(PP_Grid[#Data],$DD952,84),0)</f>
        <v/>
      </c>
      <c r="CI952">
        <f>IFERROR(INDEX(PP_Grid[#Data],$DD952,85),0)</f>
        <v/>
      </c>
      <c r="CJ952">
        <f>IFERROR(INDEX(PP_Grid[#Data],$DD952,86),0)</f>
        <v/>
      </c>
      <c r="CK952">
        <f>IFERROR(INDEX(PP_Grid[#Data],$DD952,87),0)</f>
        <v/>
      </c>
      <c r="CL952">
        <f>IFERROR(INDEX(PP_Grid[#Data],$DD952,88),0)</f>
        <v/>
      </c>
      <c r="CM952">
        <f>IFERROR(INDEX(PP_Grid[#Data],$DD952,89),0)</f>
        <v/>
      </c>
      <c r="CN952">
        <f>IFERROR(INDEX(PP_Grid[#Data],$DD952,90),0)</f>
        <v/>
      </c>
      <c r="CO952">
        <f>IFERROR(INDEX(PP_Grid[#Data],$DD952,91),0)</f>
        <v/>
      </c>
      <c r="CP952">
        <f>IFERROR(INDEX(PP_Grid[#Data],$DD952,92),0)</f>
        <v/>
      </c>
      <c r="CQ952">
        <f>IFERROR(INDEX(PP_Grid[#Data],$DD952,93),0)</f>
        <v/>
      </c>
      <c r="CR952">
        <f>IFERROR(INDEX(PP_Grid[#Data],$DD952,94),0)</f>
        <v/>
      </c>
      <c r="CS952">
        <f>IFERROR(INDEX(PP_Grid[#Data],$DD952,95),0)</f>
        <v/>
      </c>
      <c r="CT952">
        <f>IFERROR(INDEX(PP_Grid[#Data],$DD952,96),0)</f>
        <v/>
      </c>
      <c r="CU952">
        <f>IFERROR(INDEX(PP_Grid[#Data],$DD952,97),0)</f>
        <v/>
      </c>
      <c r="CV952">
        <f>IFERROR(INDEX(PP_Grid[#Data],$DD952,98),0)</f>
        <v/>
      </c>
      <c r="CW952">
        <f>IFERROR(INDEX(PP_Grid[#Data],$DD952,99),0)</f>
        <v/>
      </c>
      <c r="CX952">
        <f>IFERROR(INDEX(PP_Grid[#Data],$DD952,100),0)</f>
        <v/>
      </c>
      <c r="CY952">
        <f>IFERROR(INDEX(PP_Grid[#Data],$DD952,101),0)</f>
        <v/>
      </c>
      <c r="CZ952">
        <f>IFERROR(INDEX(PP_Grid[#Data],$DD952,102),0)</f>
        <v/>
      </c>
      <c r="DA952">
        <f>IFERROR(INDEX(PP_Grid[#Data],$DD952,103),0)</f>
        <v/>
      </c>
      <c r="DB952">
        <f>IFERROR(INDEX(PP_Grid[#Data],$DD952,104),0)</f>
        <v/>
      </c>
      <c r="DC952">
        <f>IFERROR(INDEX(PP_Grid[#Data],$DD952,105),0)</f>
        <v/>
      </c>
      <c r="DD952" s="12">
        <f>IFERROR(MATCH($B952,PP_Grid[Intermediate],0),99999)</f>
        <v/>
      </c>
    </row>
    <row r="953">
      <c r="B953" t="inlineStr">
        <is>
          <t>使用量(kg)</t>
        </is>
      </c>
      <c r="C953">
        <f>SUMIFS(M_BOM[RM_Qty_Per_Batch],M_BOM[Intermediate],$B952,M_BOM[Part Name],$A951)</f>
        <v/>
      </c>
      <c r="D953">
        <f>$C953*D952</f>
        <v/>
      </c>
      <c r="E953">
        <f>$C953*E952</f>
        <v/>
      </c>
      <c r="F953">
        <f>$C953*F952</f>
        <v/>
      </c>
      <c r="G953">
        <f>$C953*G952</f>
        <v/>
      </c>
      <c r="H953">
        <f>$C953*H952</f>
        <v/>
      </c>
      <c r="I953">
        <f>$C953*I952</f>
        <v/>
      </c>
      <c r="J953">
        <f>$C953*J952</f>
        <v/>
      </c>
      <c r="K953">
        <f>$C953*K952</f>
        <v/>
      </c>
      <c r="L953">
        <f>$C953*L952</f>
        <v/>
      </c>
      <c r="M953">
        <f>$C953*M952</f>
        <v/>
      </c>
      <c r="N953">
        <f>$C953*N952</f>
        <v/>
      </c>
      <c r="O953">
        <f>$C953*O952</f>
        <v/>
      </c>
      <c r="P953">
        <f>$C953*P952</f>
        <v/>
      </c>
      <c r="Q953">
        <f>$C953*Q952</f>
        <v/>
      </c>
      <c r="R953">
        <f>$C953*R952</f>
        <v/>
      </c>
      <c r="S953">
        <f>$C953*S952</f>
        <v/>
      </c>
      <c r="T953">
        <f>$C953*T952</f>
        <v/>
      </c>
      <c r="U953">
        <f>$C953*U952</f>
        <v/>
      </c>
      <c r="V953">
        <f>$C953*V952</f>
        <v/>
      </c>
      <c r="W953">
        <f>$C953*W952</f>
        <v/>
      </c>
      <c r="X953">
        <f>$C953*X952</f>
        <v/>
      </c>
      <c r="Y953">
        <f>$C953*Y952</f>
        <v/>
      </c>
      <c r="Z953">
        <f>$C953*Z952</f>
        <v/>
      </c>
      <c r="AA953">
        <f>$C953*AA952</f>
        <v/>
      </c>
      <c r="AB953">
        <f>$C953*AB952</f>
        <v/>
      </c>
      <c r="AC953">
        <f>$C953*AC952</f>
        <v/>
      </c>
      <c r="AD953">
        <f>$C953*AD952</f>
        <v/>
      </c>
      <c r="AE953">
        <f>$C953*AE952</f>
        <v/>
      </c>
      <c r="AF953">
        <f>$C953*AF952</f>
        <v/>
      </c>
      <c r="AG953">
        <f>$C953*AG952</f>
        <v/>
      </c>
      <c r="AH953">
        <f>$C953*AH952</f>
        <v/>
      </c>
      <c r="AI953">
        <f>$C953*AI952</f>
        <v/>
      </c>
      <c r="AJ953">
        <f>$C953*AJ952</f>
        <v/>
      </c>
      <c r="AK953">
        <f>$C953*AK952</f>
        <v/>
      </c>
      <c r="AL953">
        <f>$C953*AL952</f>
        <v/>
      </c>
      <c r="AM953">
        <f>$C953*AM952</f>
        <v/>
      </c>
      <c r="AN953">
        <f>$C953*AN952</f>
        <v/>
      </c>
      <c r="AO953">
        <f>$C953*AO952</f>
        <v/>
      </c>
      <c r="AP953">
        <f>$C953*AP952</f>
        <v/>
      </c>
      <c r="AQ953">
        <f>$C953*AQ952</f>
        <v/>
      </c>
      <c r="AR953">
        <f>$C953*AR952</f>
        <v/>
      </c>
      <c r="AS953">
        <f>$C953*AS952</f>
        <v/>
      </c>
      <c r="AT953">
        <f>$C953*AT952</f>
        <v/>
      </c>
      <c r="AU953">
        <f>$C953*AU952</f>
        <v/>
      </c>
      <c r="AV953">
        <f>$C953*AV952</f>
        <v/>
      </c>
      <c r="AW953">
        <f>$C953*AW952</f>
        <v/>
      </c>
      <c r="AX953">
        <f>$C953*AX952</f>
        <v/>
      </c>
      <c r="AY953">
        <f>$C953*AY952</f>
        <v/>
      </c>
      <c r="AZ953">
        <f>$C953*AZ952</f>
        <v/>
      </c>
      <c r="BA953">
        <f>$C953*BA952</f>
        <v/>
      </c>
      <c r="BB953">
        <f>$C953*BB952</f>
        <v/>
      </c>
      <c r="BC953">
        <f>$C953*BC952</f>
        <v/>
      </c>
      <c r="BD953">
        <f>$C953*BD952</f>
        <v/>
      </c>
      <c r="BE953">
        <f>$C953*BE952</f>
        <v/>
      </c>
      <c r="BF953">
        <f>$C953*BF952</f>
        <v/>
      </c>
      <c r="BG953">
        <f>$C953*BG952</f>
        <v/>
      </c>
      <c r="BH953">
        <f>$C953*BH952</f>
        <v/>
      </c>
      <c r="BI953">
        <f>$C953*BI952</f>
        <v/>
      </c>
      <c r="BJ953">
        <f>$C953*BJ952</f>
        <v/>
      </c>
      <c r="BK953">
        <f>$C953*BK952</f>
        <v/>
      </c>
      <c r="BL953">
        <f>$C953*BL952</f>
        <v/>
      </c>
      <c r="BM953">
        <f>$C953*BM952</f>
        <v/>
      </c>
      <c r="BN953">
        <f>$C953*BN952</f>
        <v/>
      </c>
      <c r="BO953">
        <f>$C953*BO952</f>
        <v/>
      </c>
      <c r="BP953">
        <f>$C953*BP952</f>
        <v/>
      </c>
      <c r="BQ953">
        <f>$C953*BQ952</f>
        <v/>
      </c>
      <c r="BR953">
        <f>$C953*BR952</f>
        <v/>
      </c>
      <c r="BS953">
        <f>$C953*BS952</f>
        <v/>
      </c>
      <c r="BT953">
        <f>$C953*BT952</f>
        <v/>
      </c>
      <c r="BU953">
        <f>$C953*BU952</f>
        <v/>
      </c>
      <c r="BV953">
        <f>$C953*BV952</f>
        <v/>
      </c>
      <c r="BW953">
        <f>$C953*BW952</f>
        <v/>
      </c>
      <c r="BX953">
        <f>$C953*BX952</f>
        <v/>
      </c>
      <c r="BY953">
        <f>$C953*BY952</f>
        <v/>
      </c>
      <c r="BZ953">
        <f>$C953*BZ952</f>
        <v/>
      </c>
      <c r="CA953">
        <f>$C953*CA952</f>
        <v/>
      </c>
      <c r="CB953">
        <f>$C953*CB952</f>
        <v/>
      </c>
      <c r="CC953">
        <f>$C953*CC952</f>
        <v/>
      </c>
      <c r="CD953">
        <f>$C953*CD952</f>
        <v/>
      </c>
      <c r="CE953">
        <f>$C953*CE952</f>
        <v/>
      </c>
      <c r="CF953">
        <f>$C953*CF952</f>
        <v/>
      </c>
      <c r="CG953">
        <f>$C953*CG952</f>
        <v/>
      </c>
      <c r="CH953">
        <f>$C953*CH952</f>
        <v/>
      </c>
      <c r="CI953">
        <f>$C953*CI952</f>
        <v/>
      </c>
      <c r="CJ953">
        <f>$C953*CJ952</f>
        <v/>
      </c>
      <c r="CK953">
        <f>$C953*CK952</f>
        <v/>
      </c>
      <c r="CL953">
        <f>$C953*CL952</f>
        <v/>
      </c>
      <c r="CM953">
        <f>$C953*CM952</f>
        <v/>
      </c>
      <c r="CN953">
        <f>$C953*CN952</f>
        <v/>
      </c>
      <c r="CO953">
        <f>$C953*CO952</f>
        <v/>
      </c>
      <c r="CP953">
        <f>$C953*CP952</f>
        <v/>
      </c>
      <c r="CQ953">
        <f>$C953*CQ952</f>
        <v/>
      </c>
      <c r="CR953">
        <f>$C953*CR952</f>
        <v/>
      </c>
      <c r="CS953">
        <f>$C953*CS952</f>
        <v/>
      </c>
      <c r="CT953">
        <f>$C953*CT952</f>
        <v/>
      </c>
      <c r="CU953">
        <f>$C953*CU952</f>
        <v/>
      </c>
      <c r="CV953">
        <f>$C953*CV952</f>
        <v/>
      </c>
      <c r="CW953">
        <f>$C953*CW952</f>
        <v/>
      </c>
      <c r="CX953">
        <f>$C953*CX952</f>
        <v/>
      </c>
      <c r="CY953">
        <f>$C953*CY952</f>
        <v/>
      </c>
      <c r="CZ953">
        <f>$C953*CZ952</f>
        <v/>
      </c>
      <c r="DA953">
        <f>$C953*DA952</f>
        <v/>
      </c>
      <c r="DB953">
        <f>$C953*DB952</f>
        <v/>
      </c>
      <c r="DC953">
        <f>$C953*DC952</f>
        <v/>
      </c>
    </row>
    <row r="954">
      <c r="B954" t="inlineStr">
        <is>
          <t>TSP-544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Name],$A951)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TSP-710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Name],$A951)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s="5" t="inlineStr">
        <is>
          <t>合計使用量(kg)/週</t>
        </is>
      </c>
      <c r="D958">
        <f>'Grid_Requirement'!B32</f>
        <v/>
      </c>
      <c r="E958">
        <f>'Grid_Requirement'!C32</f>
        <v/>
      </c>
      <c r="F958">
        <f>'Grid_Requirement'!D32</f>
        <v/>
      </c>
      <c r="G958">
        <f>'Grid_Requirement'!E32</f>
        <v/>
      </c>
      <c r="H958">
        <f>'Grid_Requirement'!F32</f>
        <v/>
      </c>
      <c r="I958">
        <f>'Grid_Requirement'!G32</f>
        <v/>
      </c>
      <c r="J958">
        <f>'Grid_Requirement'!H32</f>
        <v/>
      </c>
      <c r="K958">
        <f>'Grid_Requirement'!I32</f>
        <v/>
      </c>
      <c r="L958">
        <f>'Grid_Requirement'!J32</f>
        <v/>
      </c>
      <c r="M958">
        <f>'Grid_Requirement'!K32</f>
        <v/>
      </c>
      <c r="N958">
        <f>'Grid_Requirement'!L32</f>
        <v/>
      </c>
      <c r="O958">
        <f>'Grid_Requirement'!M32</f>
        <v/>
      </c>
      <c r="P958">
        <f>'Grid_Requirement'!N32</f>
        <v/>
      </c>
      <c r="Q958">
        <f>'Grid_Requirement'!O32</f>
        <v/>
      </c>
      <c r="R958">
        <f>'Grid_Requirement'!P32</f>
        <v/>
      </c>
      <c r="S958">
        <f>'Grid_Requirement'!Q32</f>
        <v/>
      </c>
      <c r="T958">
        <f>'Grid_Requirement'!R32</f>
        <v/>
      </c>
      <c r="U958">
        <f>'Grid_Requirement'!S32</f>
        <v/>
      </c>
      <c r="V958">
        <f>'Grid_Requirement'!T32</f>
        <v/>
      </c>
      <c r="W958">
        <f>'Grid_Requirement'!U32</f>
        <v/>
      </c>
      <c r="X958">
        <f>'Grid_Requirement'!V32</f>
        <v/>
      </c>
      <c r="Y958">
        <f>'Grid_Requirement'!W32</f>
        <v/>
      </c>
      <c r="Z958">
        <f>'Grid_Requirement'!X32</f>
        <v/>
      </c>
      <c r="AA958">
        <f>'Grid_Requirement'!Y32</f>
        <v/>
      </c>
      <c r="AB958">
        <f>'Grid_Requirement'!Z32</f>
        <v/>
      </c>
      <c r="AC958">
        <f>'Grid_Requirement'!AA32</f>
        <v/>
      </c>
      <c r="AD958">
        <f>'Grid_Requirement'!AB32</f>
        <v/>
      </c>
      <c r="AE958">
        <f>'Grid_Requirement'!AC32</f>
        <v/>
      </c>
      <c r="AF958">
        <f>'Grid_Requirement'!AD32</f>
        <v/>
      </c>
      <c r="AG958">
        <f>'Grid_Requirement'!AE32</f>
        <v/>
      </c>
      <c r="AH958">
        <f>'Grid_Requirement'!AF32</f>
        <v/>
      </c>
      <c r="AI958">
        <f>'Grid_Requirement'!AG32</f>
        <v/>
      </c>
      <c r="AJ958">
        <f>'Grid_Requirement'!AH32</f>
        <v/>
      </c>
      <c r="AK958">
        <f>'Grid_Requirement'!AI32</f>
        <v/>
      </c>
      <c r="AL958">
        <f>'Grid_Requirement'!AJ32</f>
        <v/>
      </c>
      <c r="AM958">
        <f>'Grid_Requirement'!AK32</f>
        <v/>
      </c>
      <c r="AN958">
        <f>'Grid_Requirement'!AL32</f>
        <v/>
      </c>
      <c r="AO958">
        <f>'Grid_Requirement'!AM32</f>
        <v/>
      </c>
      <c r="AP958">
        <f>'Grid_Requirement'!AN32</f>
        <v/>
      </c>
      <c r="AQ958">
        <f>'Grid_Requirement'!AO32</f>
        <v/>
      </c>
      <c r="AR958">
        <f>'Grid_Requirement'!AP32</f>
        <v/>
      </c>
      <c r="AS958">
        <f>'Grid_Requirement'!AQ32</f>
        <v/>
      </c>
      <c r="AT958">
        <f>'Grid_Requirement'!AR32</f>
        <v/>
      </c>
      <c r="AU958">
        <f>'Grid_Requirement'!AS32</f>
        <v/>
      </c>
      <c r="AV958">
        <f>'Grid_Requirement'!AT32</f>
        <v/>
      </c>
      <c r="AW958">
        <f>'Grid_Requirement'!AU32</f>
        <v/>
      </c>
      <c r="AX958">
        <f>'Grid_Requirement'!AV32</f>
        <v/>
      </c>
      <c r="AY958">
        <f>'Grid_Requirement'!AW32</f>
        <v/>
      </c>
      <c r="AZ958">
        <f>'Grid_Requirement'!AX32</f>
        <v/>
      </c>
      <c r="BA958">
        <f>'Grid_Requirement'!AY32</f>
        <v/>
      </c>
      <c r="BB958">
        <f>'Grid_Requirement'!AZ32</f>
        <v/>
      </c>
      <c r="BC958">
        <f>'Grid_Requirement'!BA32</f>
        <v/>
      </c>
      <c r="BD958">
        <f>'Grid_Requirement'!BB32</f>
        <v/>
      </c>
      <c r="BE958">
        <f>'Grid_Requirement'!BC32</f>
        <v/>
      </c>
      <c r="BF958">
        <f>'Grid_Requirement'!BD32</f>
        <v/>
      </c>
      <c r="BG958">
        <f>'Grid_Requirement'!BE32</f>
        <v/>
      </c>
      <c r="BH958">
        <f>'Grid_Requirement'!BF32</f>
        <v/>
      </c>
      <c r="BI958">
        <f>'Grid_Requirement'!BG32</f>
        <v/>
      </c>
      <c r="BJ958">
        <f>'Grid_Requirement'!BH32</f>
        <v/>
      </c>
      <c r="BK958">
        <f>'Grid_Requirement'!BI32</f>
        <v/>
      </c>
      <c r="BL958">
        <f>'Grid_Requirement'!BJ32</f>
        <v/>
      </c>
      <c r="BM958">
        <f>'Grid_Requirement'!BK32</f>
        <v/>
      </c>
      <c r="BN958">
        <f>'Grid_Requirement'!BL32</f>
        <v/>
      </c>
      <c r="BO958">
        <f>'Grid_Requirement'!BM32</f>
        <v/>
      </c>
      <c r="BP958">
        <f>'Grid_Requirement'!BN32</f>
        <v/>
      </c>
      <c r="BQ958">
        <f>'Grid_Requirement'!BO32</f>
        <v/>
      </c>
      <c r="BR958">
        <f>'Grid_Requirement'!BP32</f>
        <v/>
      </c>
      <c r="BS958">
        <f>'Grid_Requirement'!BQ32</f>
        <v/>
      </c>
      <c r="BT958">
        <f>'Grid_Requirement'!BR32</f>
        <v/>
      </c>
      <c r="BU958">
        <f>'Grid_Requirement'!BS32</f>
        <v/>
      </c>
      <c r="BV958">
        <f>'Grid_Requirement'!BT32</f>
        <v/>
      </c>
      <c r="BW958">
        <f>'Grid_Requirement'!BU32</f>
        <v/>
      </c>
      <c r="BX958">
        <f>'Grid_Requirement'!BV32</f>
        <v/>
      </c>
      <c r="BY958">
        <f>'Grid_Requirement'!BW32</f>
        <v/>
      </c>
      <c r="BZ958">
        <f>'Grid_Requirement'!BX32</f>
        <v/>
      </c>
      <c r="CA958">
        <f>'Grid_Requirement'!BY32</f>
        <v/>
      </c>
      <c r="CB958">
        <f>'Grid_Requirement'!BZ32</f>
        <v/>
      </c>
      <c r="CC958">
        <f>'Grid_Requirement'!CA32</f>
        <v/>
      </c>
      <c r="CD958">
        <f>'Grid_Requirement'!CB32</f>
        <v/>
      </c>
      <c r="CE958">
        <f>'Grid_Requirement'!CC32</f>
        <v/>
      </c>
      <c r="CF958">
        <f>'Grid_Requirement'!CD32</f>
        <v/>
      </c>
      <c r="CG958">
        <f>'Grid_Requirement'!CE32</f>
        <v/>
      </c>
      <c r="CH958">
        <f>'Grid_Requirement'!CF32</f>
        <v/>
      </c>
      <c r="CI958">
        <f>'Grid_Requirement'!CG32</f>
        <v/>
      </c>
      <c r="CJ958">
        <f>'Grid_Requirement'!CH32</f>
        <v/>
      </c>
      <c r="CK958">
        <f>'Grid_Requirement'!CI32</f>
        <v/>
      </c>
      <c r="CL958">
        <f>'Grid_Requirement'!CJ32</f>
        <v/>
      </c>
      <c r="CM958">
        <f>'Grid_Requirement'!CK32</f>
        <v/>
      </c>
      <c r="CN958">
        <f>'Grid_Requirement'!CL32</f>
        <v/>
      </c>
      <c r="CO958">
        <f>'Grid_Requirement'!CM32</f>
        <v/>
      </c>
      <c r="CP958">
        <f>'Grid_Requirement'!CN32</f>
        <v/>
      </c>
      <c r="CQ958">
        <f>'Grid_Requirement'!CO32</f>
        <v/>
      </c>
      <c r="CR958">
        <f>'Grid_Requirement'!CP32</f>
        <v/>
      </c>
      <c r="CS958">
        <f>'Grid_Requirement'!CQ32</f>
        <v/>
      </c>
      <c r="CT958">
        <f>'Grid_Requirement'!CR32</f>
        <v/>
      </c>
      <c r="CU958">
        <f>'Grid_Requirement'!CS32</f>
        <v/>
      </c>
      <c r="CV958">
        <f>'Grid_Requirement'!CT32</f>
        <v/>
      </c>
      <c r="CW958">
        <f>'Grid_Requirement'!CU32</f>
        <v/>
      </c>
      <c r="CX958">
        <f>'Grid_Requirement'!CV32</f>
        <v/>
      </c>
      <c r="CY958">
        <f>'Grid_Requirement'!CW32</f>
        <v/>
      </c>
      <c r="CZ958">
        <f>'Grid_Requirement'!CX32</f>
        <v/>
      </c>
      <c r="DA958">
        <f>'Grid_Requirement'!CY32</f>
        <v/>
      </c>
      <c r="DB958">
        <f>'Grid_Requirement'!CZ32</f>
        <v/>
      </c>
      <c r="DC958">
        <f>'Grid_Requirement'!DA32</f>
        <v/>
      </c>
    </row>
    <row r="959">
      <c r="B959" t="inlineStr">
        <is>
          <t>TTAF在庫(実績,kg)</t>
        </is>
      </c>
      <c r="D959">
        <f>'T_TTAFStock'!B36</f>
        <v/>
      </c>
      <c r="E959">
        <f>'T_TTAFStock'!C36</f>
        <v/>
      </c>
      <c r="F959">
        <f>'T_TTAFStock'!D36</f>
        <v/>
      </c>
      <c r="G959">
        <f>'T_TTAFStock'!E36</f>
        <v/>
      </c>
      <c r="H959">
        <f>'T_TTAFStock'!F36</f>
        <v/>
      </c>
      <c r="I959">
        <f>'T_TTAFStock'!G36</f>
        <v/>
      </c>
      <c r="J959">
        <f>'T_TTAFStock'!H36</f>
        <v/>
      </c>
      <c r="K959">
        <f>'T_TTAFStock'!I36</f>
        <v/>
      </c>
      <c r="L959">
        <f>'T_TTAFStock'!J36</f>
        <v/>
      </c>
      <c r="M959">
        <f>'T_TTAFStock'!K36</f>
        <v/>
      </c>
      <c r="N959">
        <f>'T_TTAFStock'!L36</f>
        <v/>
      </c>
      <c r="O959">
        <f>'T_TTAFStock'!M36</f>
        <v/>
      </c>
      <c r="P959">
        <f>'T_TTAFStock'!N36</f>
        <v/>
      </c>
      <c r="Q959">
        <f>'T_TTAFStock'!O36</f>
        <v/>
      </c>
      <c r="R959">
        <f>'T_TTAFStock'!P36</f>
        <v/>
      </c>
      <c r="S959">
        <f>'T_TTAFStock'!Q36</f>
        <v/>
      </c>
      <c r="T959">
        <f>'T_TTAFStock'!R36</f>
        <v/>
      </c>
      <c r="U959">
        <f>'T_TTAFStock'!S36</f>
        <v/>
      </c>
      <c r="V959">
        <f>'T_TTAFStock'!T36</f>
        <v/>
      </c>
      <c r="W959">
        <f>'T_TTAFStock'!U36</f>
        <v/>
      </c>
      <c r="X959">
        <f>'T_TTAFStock'!V36</f>
        <v/>
      </c>
      <c r="Y959">
        <f>'T_TTAFStock'!W36</f>
        <v/>
      </c>
      <c r="Z959">
        <f>'T_TTAFStock'!X36</f>
        <v/>
      </c>
      <c r="AA959">
        <f>'T_TTAFStock'!Y36</f>
        <v/>
      </c>
      <c r="AB959">
        <f>'T_TTAFStock'!Z36</f>
        <v/>
      </c>
      <c r="AC959">
        <f>'T_TTAFStock'!AA36</f>
        <v/>
      </c>
      <c r="AD959">
        <f>'T_TTAFStock'!AB36</f>
        <v/>
      </c>
      <c r="AE959">
        <f>'T_TTAFStock'!AC36</f>
        <v/>
      </c>
      <c r="AF959">
        <f>'T_TTAFStock'!AD36</f>
        <v/>
      </c>
      <c r="AG959">
        <f>'T_TTAFStock'!AE36</f>
        <v/>
      </c>
      <c r="AH959">
        <f>'T_TTAFStock'!AF36</f>
        <v/>
      </c>
      <c r="AI959">
        <f>'T_TTAFStock'!AG36</f>
        <v/>
      </c>
      <c r="AJ959">
        <f>'T_TTAFStock'!AH36</f>
        <v/>
      </c>
      <c r="AK959">
        <f>'T_TTAFStock'!AI36</f>
        <v/>
      </c>
      <c r="AL959">
        <f>'T_TTAFStock'!AJ36</f>
        <v/>
      </c>
      <c r="AM959">
        <f>'T_TTAFStock'!AK36</f>
        <v/>
      </c>
      <c r="AN959">
        <f>'T_TTAFStock'!AL36</f>
        <v/>
      </c>
      <c r="AO959">
        <f>'T_TTAFStock'!AM36</f>
        <v/>
      </c>
      <c r="AP959">
        <f>'T_TTAFStock'!AN36</f>
        <v/>
      </c>
      <c r="AQ959">
        <f>'T_TTAFStock'!AO36</f>
        <v/>
      </c>
      <c r="AR959">
        <f>'T_TTAFStock'!AP36</f>
        <v/>
      </c>
      <c r="AS959">
        <f>'T_TTAFStock'!AQ36</f>
        <v/>
      </c>
      <c r="AT959">
        <f>'T_TTAFStock'!AR36</f>
        <v/>
      </c>
      <c r="AU959">
        <f>'T_TTAFStock'!AS36</f>
        <v/>
      </c>
      <c r="AV959">
        <f>'T_TTAFStock'!AT36</f>
        <v/>
      </c>
      <c r="AW959">
        <f>'T_TTAFStock'!AU36</f>
        <v/>
      </c>
      <c r="AX959">
        <f>'T_TTAFStock'!AV36</f>
        <v/>
      </c>
      <c r="AY959">
        <f>'T_TTAFStock'!AW36</f>
        <v/>
      </c>
      <c r="AZ959">
        <f>'T_TTAFStock'!AX36</f>
        <v/>
      </c>
      <c r="BA959">
        <f>'T_TTAFStock'!AY36</f>
        <v/>
      </c>
      <c r="BB959">
        <f>'T_TTAFStock'!AZ36</f>
        <v/>
      </c>
      <c r="BC959">
        <f>'T_TTAFStock'!BA36</f>
        <v/>
      </c>
      <c r="BD959">
        <f>'T_TTAFStock'!BB36</f>
        <v/>
      </c>
      <c r="BE959">
        <f>'T_TTAFStock'!BC36</f>
        <v/>
      </c>
      <c r="BF959">
        <f>'T_TTAFStock'!BD36</f>
        <v/>
      </c>
      <c r="BG959">
        <f>'T_TTAFStock'!BE36</f>
        <v/>
      </c>
      <c r="BH959">
        <f>'T_TTAFStock'!BF36</f>
        <v/>
      </c>
      <c r="BI959">
        <f>'T_TTAFStock'!BG36</f>
        <v/>
      </c>
      <c r="BJ959">
        <f>'T_TTAFStock'!BH36</f>
        <v/>
      </c>
      <c r="BK959">
        <f>'T_TTAFStock'!BI36</f>
        <v/>
      </c>
      <c r="BL959">
        <f>'T_TTAFStock'!BJ36</f>
        <v/>
      </c>
      <c r="BM959">
        <f>'T_TTAFStock'!BK36</f>
        <v/>
      </c>
      <c r="BN959">
        <f>'T_TTAFStock'!BL36</f>
        <v/>
      </c>
      <c r="BO959">
        <f>'T_TTAFStock'!BM36</f>
        <v/>
      </c>
      <c r="BP959">
        <f>'T_TTAFStock'!BN36</f>
        <v/>
      </c>
      <c r="BQ959">
        <f>'T_TTAFStock'!BO36</f>
        <v/>
      </c>
      <c r="BR959">
        <f>'T_TTAFStock'!BP36</f>
        <v/>
      </c>
      <c r="BS959">
        <f>'T_TTAFStock'!BQ36</f>
        <v/>
      </c>
      <c r="BT959">
        <f>'T_TTAFStock'!BR36</f>
        <v/>
      </c>
      <c r="BU959">
        <f>'T_TTAFStock'!BS36</f>
        <v/>
      </c>
      <c r="BV959">
        <f>'T_TTAFStock'!BT36</f>
        <v/>
      </c>
      <c r="BW959">
        <f>'T_TTAFStock'!BU36</f>
        <v/>
      </c>
      <c r="BX959">
        <f>'T_TTAFStock'!BV36</f>
        <v/>
      </c>
      <c r="BY959">
        <f>'T_TTAFStock'!BW36</f>
        <v/>
      </c>
      <c r="BZ959">
        <f>'T_TTAFStock'!BX36</f>
        <v/>
      </c>
      <c r="CA959">
        <f>'T_TTAFStock'!BY36</f>
        <v/>
      </c>
      <c r="CB959">
        <f>'T_TTAFStock'!BZ36</f>
        <v/>
      </c>
      <c r="CC959">
        <f>'T_TTAFStock'!CA36</f>
        <v/>
      </c>
      <c r="CD959">
        <f>'T_TTAFStock'!CB36</f>
        <v/>
      </c>
      <c r="CE959">
        <f>'T_TTAFStock'!CC36</f>
        <v/>
      </c>
      <c r="CF959">
        <f>'T_TTAFStock'!CD36</f>
        <v/>
      </c>
      <c r="CG959">
        <f>'T_TTAFStock'!CE36</f>
        <v/>
      </c>
      <c r="CH959">
        <f>'T_TTAFStock'!CF36</f>
        <v/>
      </c>
      <c r="CI959">
        <f>'T_TTAFStock'!CG36</f>
        <v/>
      </c>
      <c r="CJ959">
        <f>'T_TTAFStock'!CH36</f>
        <v/>
      </c>
      <c r="CK959">
        <f>'T_TTAFStock'!CI36</f>
        <v/>
      </c>
      <c r="CL959">
        <f>'T_TTAFStock'!CJ36</f>
        <v/>
      </c>
      <c r="CM959">
        <f>'T_TTAFStock'!CK36</f>
        <v/>
      </c>
      <c r="CN959">
        <f>'T_TTAFStock'!CL36</f>
        <v/>
      </c>
      <c r="CO959">
        <f>'T_TTAFStock'!CM36</f>
        <v/>
      </c>
      <c r="CP959">
        <f>'T_TTAFStock'!CN36</f>
        <v/>
      </c>
      <c r="CQ959">
        <f>'T_TTAFStock'!CO36</f>
        <v/>
      </c>
      <c r="CR959">
        <f>'T_TTAFStock'!CP36</f>
        <v/>
      </c>
      <c r="CS959">
        <f>'T_TTAFStock'!CQ36</f>
        <v/>
      </c>
      <c r="CT959">
        <f>'T_TTAFStock'!CR36</f>
        <v/>
      </c>
      <c r="CU959">
        <f>'T_TTAFStock'!CS36</f>
        <v/>
      </c>
      <c r="CV959">
        <f>'T_TTAFStock'!CT36</f>
        <v/>
      </c>
      <c r="CW959">
        <f>'T_TTAFStock'!CU36</f>
        <v/>
      </c>
      <c r="CX959">
        <f>'T_TTAFStock'!CV36</f>
        <v/>
      </c>
      <c r="CY959">
        <f>'T_TTAFStock'!CW36</f>
        <v/>
      </c>
      <c r="CZ959">
        <f>'T_TTAFStock'!CX36</f>
        <v/>
      </c>
      <c r="DA959">
        <f>'T_TTAFStock'!CY36</f>
        <v/>
      </c>
      <c r="DB959">
        <f>'T_TTAFStock'!CZ36</f>
        <v/>
      </c>
      <c r="DC959">
        <f>'T_TTAFStock'!DA36</f>
        <v/>
      </c>
    </row>
    <row r="960">
      <c r="B960" t="inlineStr">
        <is>
          <t>自社在庫(実績,kg)</t>
        </is>
      </c>
      <c r="D960">
        <f>'T_SelfStock'!B36</f>
        <v/>
      </c>
      <c r="E960">
        <f>'T_SelfStock'!C36</f>
        <v/>
      </c>
      <c r="F960">
        <f>'T_SelfStock'!D36</f>
        <v/>
      </c>
      <c r="G960">
        <f>'T_SelfStock'!E36</f>
        <v/>
      </c>
      <c r="H960">
        <f>'T_SelfStock'!F36</f>
        <v/>
      </c>
      <c r="I960">
        <f>'T_SelfStock'!G36</f>
        <v/>
      </c>
      <c r="J960">
        <f>'T_SelfStock'!H36</f>
        <v/>
      </c>
      <c r="K960">
        <f>'T_SelfStock'!I36</f>
        <v/>
      </c>
      <c r="L960">
        <f>'T_SelfStock'!J36</f>
        <v/>
      </c>
      <c r="M960">
        <f>'T_SelfStock'!K36</f>
        <v/>
      </c>
      <c r="N960">
        <f>'T_SelfStock'!L36</f>
        <v/>
      </c>
      <c r="O960">
        <f>'T_SelfStock'!M36</f>
        <v/>
      </c>
      <c r="P960">
        <f>'T_SelfStock'!N36</f>
        <v/>
      </c>
      <c r="Q960">
        <f>'T_SelfStock'!O36</f>
        <v/>
      </c>
      <c r="R960">
        <f>'T_SelfStock'!P36</f>
        <v/>
      </c>
      <c r="S960">
        <f>'T_SelfStock'!Q36</f>
        <v/>
      </c>
      <c r="T960">
        <f>'T_SelfStock'!R36</f>
        <v/>
      </c>
      <c r="U960">
        <f>'T_SelfStock'!S36</f>
        <v/>
      </c>
      <c r="V960">
        <f>'T_SelfStock'!T36</f>
        <v/>
      </c>
      <c r="W960">
        <f>'T_SelfStock'!U36</f>
        <v/>
      </c>
      <c r="X960">
        <f>'T_SelfStock'!V36</f>
        <v/>
      </c>
      <c r="Y960">
        <f>'T_SelfStock'!W36</f>
        <v/>
      </c>
      <c r="Z960">
        <f>'T_SelfStock'!X36</f>
        <v/>
      </c>
      <c r="AA960">
        <f>'T_SelfStock'!Y36</f>
        <v/>
      </c>
      <c r="AB960">
        <f>'T_SelfStock'!Z36</f>
        <v/>
      </c>
      <c r="AC960">
        <f>'T_SelfStock'!AA36</f>
        <v/>
      </c>
      <c r="AD960">
        <f>'T_SelfStock'!AB36</f>
        <v/>
      </c>
      <c r="AE960">
        <f>'T_SelfStock'!AC36</f>
        <v/>
      </c>
      <c r="AF960">
        <f>'T_SelfStock'!AD36</f>
        <v/>
      </c>
      <c r="AG960">
        <f>'T_SelfStock'!AE36</f>
        <v/>
      </c>
      <c r="AH960">
        <f>'T_SelfStock'!AF36</f>
        <v/>
      </c>
      <c r="AI960">
        <f>'T_SelfStock'!AG36</f>
        <v/>
      </c>
      <c r="AJ960">
        <f>'T_SelfStock'!AH36</f>
        <v/>
      </c>
      <c r="AK960">
        <f>'T_SelfStock'!AI36</f>
        <v/>
      </c>
      <c r="AL960">
        <f>'T_SelfStock'!AJ36</f>
        <v/>
      </c>
      <c r="AM960">
        <f>'T_SelfStock'!AK36</f>
        <v/>
      </c>
      <c r="AN960">
        <f>'T_SelfStock'!AL36</f>
        <v/>
      </c>
      <c r="AO960">
        <f>'T_SelfStock'!AM36</f>
        <v/>
      </c>
      <c r="AP960">
        <f>'T_SelfStock'!AN36</f>
        <v/>
      </c>
      <c r="AQ960">
        <f>'T_SelfStock'!AO36</f>
        <v/>
      </c>
      <c r="AR960">
        <f>'T_SelfStock'!AP36</f>
        <v/>
      </c>
      <c r="AS960">
        <f>'T_SelfStock'!AQ36</f>
        <v/>
      </c>
      <c r="AT960">
        <f>'T_SelfStock'!AR36</f>
        <v/>
      </c>
      <c r="AU960">
        <f>'T_SelfStock'!AS36</f>
        <v/>
      </c>
      <c r="AV960">
        <f>'T_SelfStock'!AT36</f>
        <v/>
      </c>
      <c r="AW960">
        <f>'T_SelfStock'!AU36</f>
        <v/>
      </c>
      <c r="AX960">
        <f>'T_SelfStock'!AV36</f>
        <v/>
      </c>
      <c r="AY960">
        <f>'T_SelfStock'!AW36</f>
        <v/>
      </c>
      <c r="AZ960">
        <f>'T_SelfStock'!AX36</f>
        <v/>
      </c>
      <c r="BA960">
        <f>'T_SelfStock'!AY36</f>
        <v/>
      </c>
      <c r="BB960">
        <f>'T_SelfStock'!AZ36</f>
        <v/>
      </c>
      <c r="BC960">
        <f>'T_SelfStock'!BA36</f>
        <v/>
      </c>
      <c r="BD960">
        <f>'T_SelfStock'!BB36</f>
        <v/>
      </c>
      <c r="BE960">
        <f>'T_SelfStock'!BC36</f>
        <v/>
      </c>
      <c r="BF960">
        <f>'T_SelfStock'!BD36</f>
        <v/>
      </c>
      <c r="BG960">
        <f>'T_SelfStock'!BE36</f>
        <v/>
      </c>
      <c r="BH960">
        <f>'T_SelfStock'!BF36</f>
        <v/>
      </c>
      <c r="BI960">
        <f>'T_SelfStock'!BG36</f>
        <v/>
      </c>
      <c r="BJ960">
        <f>'T_SelfStock'!BH36</f>
        <v/>
      </c>
      <c r="BK960">
        <f>'T_SelfStock'!BI36</f>
        <v/>
      </c>
      <c r="BL960">
        <f>'T_SelfStock'!BJ36</f>
        <v/>
      </c>
      <c r="BM960">
        <f>'T_SelfStock'!BK36</f>
        <v/>
      </c>
      <c r="BN960">
        <f>'T_SelfStock'!BL36</f>
        <v/>
      </c>
      <c r="BO960">
        <f>'T_SelfStock'!BM36</f>
        <v/>
      </c>
      <c r="BP960">
        <f>'T_SelfStock'!BN36</f>
        <v/>
      </c>
      <c r="BQ960">
        <f>'T_SelfStock'!BO36</f>
        <v/>
      </c>
      <c r="BR960">
        <f>'T_SelfStock'!BP36</f>
        <v/>
      </c>
      <c r="BS960">
        <f>'T_SelfStock'!BQ36</f>
        <v/>
      </c>
      <c r="BT960">
        <f>'T_SelfStock'!BR36</f>
        <v/>
      </c>
      <c r="BU960">
        <f>'T_SelfStock'!BS36</f>
        <v/>
      </c>
      <c r="BV960">
        <f>'T_SelfStock'!BT36</f>
        <v/>
      </c>
      <c r="BW960">
        <f>'T_SelfStock'!BU36</f>
        <v/>
      </c>
      <c r="BX960">
        <f>'T_SelfStock'!BV36</f>
        <v/>
      </c>
      <c r="BY960">
        <f>'T_SelfStock'!BW36</f>
        <v/>
      </c>
      <c r="BZ960">
        <f>'T_SelfStock'!BX36</f>
        <v/>
      </c>
      <c r="CA960">
        <f>'T_SelfStock'!BY36</f>
        <v/>
      </c>
      <c r="CB960">
        <f>'T_SelfStock'!BZ36</f>
        <v/>
      </c>
      <c r="CC960">
        <f>'T_SelfStock'!CA36</f>
        <v/>
      </c>
      <c r="CD960">
        <f>'T_SelfStock'!CB36</f>
        <v/>
      </c>
      <c r="CE960">
        <f>'T_SelfStock'!CC36</f>
        <v/>
      </c>
      <c r="CF960">
        <f>'T_SelfStock'!CD36</f>
        <v/>
      </c>
      <c r="CG960">
        <f>'T_SelfStock'!CE36</f>
        <v/>
      </c>
      <c r="CH960">
        <f>'T_SelfStock'!CF36</f>
        <v/>
      </c>
      <c r="CI960">
        <f>'T_SelfStock'!CG36</f>
        <v/>
      </c>
      <c r="CJ960">
        <f>'T_SelfStock'!CH36</f>
        <v/>
      </c>
      <c r="CK960">
        <f>'T_SelfStock'!CI36</f>
        <v/>
      </c>
      <c r="CL960">
        <f>'T_SelfStock'!CJ36</f>
        <v/>
      </c>
      <c r="CM960">
        <f>'T_SelfStock'!CK36</f>
        <v/>
      </c>
      <c r="CN960">
        <f>'T_SelfStock'!CL36</f>
        <v/>
      </c>
      <c r="CO960">
        <f>'T_SelfStock'!CM36</f>
        <v/>
      </c>
      <c r="CP960">
        <f>'T_SelfStock'!CN36</f>
        <v/>
      </c>
      <c r="CQ960">
        <f>'T_SelfStock'!CO36</f>
        <v/>
      </c>
      <c r="CR960">
        <f>'T_SelfStock'!CP36</f>
        <v/>
      </c>
      <c r="CS960">
        <f>'T_SelfStock'!CQ36</f>
        <v/>
      </c>
      <c r="CT960">
        <f>'T_SelfStock'!CR36</f>
        <v/>
      </c>
      <c r="CU960">
        <f>'T_SelfStock'!CS36</f>
        <v/>
      </c>
      <c r="CV960">
        <f>'T_SelfStock'!CT36</f>
        <v/>
      </c>
      <c r="CW960">
        <f>'T_SelfStock'!CU36</f>
        <v/>
      </c>
      <c r="CX960">
        <f>'T_SelfStock'!CV36</f>
        <v/>
      </c>
      <c r="CY960">
        <f>'T_SelfStock'!CW36</f>
        <v/>
      </c>
      <c r="CZ960">
        <f>'T_SelfStock'!CX36</f>
        <v/>
      </c>
      <c r="DA960">
        <f>'T_SelfStock'!CY36</f>
        <v/>
      </c>
      <c r="DB960">
        <f>'T_SelfStock'!CZ36</f>
        <v/>
      </c>
      <c r="DC960">
        <f>'T_SelfStock'!DA36</f>
        <v/>
      </c>
    </row>
    <row r="961">
      <c r="B961" t="inlineStr">
        <is>
          <t>Order(発注予定,kg)</t>
        </is>
      </c>
      <c r="D961">
        <f>IF(SUMIFS(T_PlannedOrders[EffectiveQty],T_PlannedOrders[Part Name],$A951,T_PlannedOrders[WeekIndex],1)=0,"",SUMIFS(T_PlannedOrders[EffectiveQty],T_PlannedOrders[Part Name],$A951,T_PlannedOrders[WeekIndex],1)&amp;" ("&amp;TEXT(SUMPRODUCT(MAX((T_PlannedOrders[Part Name]=$A951)*(T_PlannedOrders[WeekIndex]=1)*(T_PlannedOrders[EffectiveQty]&gt;0)*T_PlannedOrders[Order_Month])),"m月")&amp;"発注)")</f>
        <v/>
      </c>
      <c r="E961">
        <f>IF(SUMIFS(T_PlannedOrders[EffectiveQty],T_PlannedOrders[Part Name],$A951,T_PlannedOrders[WeekIndex],2)=0,"",SUMIFS(T_PlannedOrders[EffectiveQty],T_PlannedOrders[Part Name],$A951,T_PlannedOrders[WeekIndex],2)&amp;" ("&amp;TEXT(SUMPRODUCT(MAX((T_PlannedOrders[Part Name]=$A951)*(T_PlannedOrders[WeekIndex]=2)*(T_PlannedOrders[EffectiveQty]&gt;0)*T_PlannedOrders[Order_Month])),"m月")&amp;"発注)")</f>
        <v/>
      </c>
      <c r="F961">
        <f>IF(SUMIFS(T_PlannedOrders[EffectiveQty],T_PlannedOrders[Part Name],$A951,T_PlannedOrders[WeekIndex],3)=0,"",SUMIFS(T_PlannedOrders[EffectiveQty],T_PlannedOrders[Part Name],$A951,T_PlannedOrders[WeekIndex],3)&amp;" ("&amp;TEXT(SUMPRODUCT(MAX((T_PlannedOrders[Part Name]=$A951)*(T_PlannedOrders[WeekIndex]=3)*(T_PlannedOrders[EffectiveQty]&gt;0)*T_PlannedOrders[Order_Month])),"m月")&amp;"発注)")</f>
        <v/>
      </c>
      <c r="G961">
        <f>IF(SUMIFS(T_PlannedOrders[EffectiveQty],T_PlannedOrders[Part Name],$A951,T_PlannedOrders[WeekIndex],4)=0,"",SUMIFS(T_PlannedOrders[EffectiveQty],T_PlannedOrders[Part Name],$A951,T_PlannedOrders[WeekIndex],4)&amp;" ("&amp;TEXT(SUMPRODUCT(MAX((T_PlannedOrders[Part Name]=$A951)*(T_PlannedOrders[WeekIndex]=4)*(T_PlannedOrders[EffectiveQty]&gt;0)*T_PlannedOrders[Order_Month])),"m月")&amp;"発注)")</f>
        <v/>
      </c>
      <c r="H961">
        <f>IF(SUMIFS(T_PlannedOrders[EffectiveQty],T_PlannedOrders[Part Name],$A951,T_PlannedOrders[WeekIndex],5)=0,"",SUMIFS(T_PlannedOrders[EffectiveQty],T_PlannedOrders[Part Name],$A951,T_PlannedOrders[WeekIndex],5)&amp;" ("&amp;TEXT(SUMPRODUCT(MAX((T_PlannedOrders[Part Name]=$A951)*(T_PlannedOrders[WeekIndex]=5)*(T_PlannedOrders[EffectiveQty]&gt;0)*T_PlannedOrders[Order_Month])),"m月")&amp;"発注)")</f>
        <v/>
      </c>
      <c r="I961">
        <f>IF(SUMIFS(T_PlannedOrders[EffectiveQty],T_PlannedOrders[Part Name],$A951,T_PlannedOrders[WeekIndex],6)=0,"",SUMIFS(T_PlannedOrders[EffectiveQty],T_PlannedOrders[Part Name],$A951,T_PlannedOrders[WeekIndex],6)&amp;" ("&amp;TEXT(SUMPRODUCT(MAX((T_PlannedOrders[Part Name]=$A951)*(T_PlannedOrders[WeekIndex]=6)*(T_PlannedOrders[EffectiveQty]&gt;0)*T_PlannedOrders[Order_Month])),"m月")&amp;"発注)")</f>
        <v/>
      </c>
      <c r="J961">
        <f>IF(SUMIFS(T_PlannedOrders[EffectiveQty],T_PlannedOrders[Part Name],$A951,T_PlannedOrders[WeekIndex],7)=0,"",SUMIFS(T_PlannedOrders[EffectiveQty],T_PlannedOrders[Part Name],$A951,T_PlannedOrders[WeekIndex],7)&amp;" ("&amp;TEXT(SUMPRODUCT(MAX((T_PlannedOrders[Part Name]=$A951)*(T_PlannedOrders[WeekIndex]=7)*(T_PlannedOrders[EffectiveQty]&gt;0)*T_PlannedOrders[Order_Month])),"m月")&amp;"発注)")</f>
        <v/>
      </c>
      <c r="K961">
        <f>IF(SUMIFS(T_PlannedOrders[EffectiveQty],T_PlannedOrders[Part Name],$A951,T_PlannedOrders[WeekIndex],8)=0,"",SUMIFS(T_PlannedOrders[EffectiveQty],T_PlannedOrders[Part Name],$A951,T_PlannedOrders[WeekIndex],8)&amp;" ("&amp;TEXT(SUMPRODUCT(MAX((T_PlannedOrders[Part Name]=$A951)*(T_PlannedOrders[WeekIndex]=8)*(T_PlannedOrders[EffectiveQty]&gt;0)*T_PlannedOrders[Order_Month])),"m月")&amp;"発注)")</f>
        <v/>
      </c>
      <c r="L961">
        <f>IF(SUMIFS(T_PlannedOrders[EffectiveQty],T_PlannedOrders[Part Name],$A951,T_PlannedOrders[WeekIndex],9)=0,"",SUMIFS(T_PlannedOrders[EffectiveQty],T_PlannedOrders[Part Name],$A951,T_PlannedOrders[WeekIndex],9)&amp;" ("&amp;TEXT(SUMPRODUCT(MAX((T_PlannedOrders[Part Name]=$A951)*(T_PlannedOrders[WeekIndex]=9)*(T_PlannedOrders[EffectiveQty]&gt;0)*T_PlannedOrders[Order_Month])),"m月")&amp;"発注)")</f>
        <v/>
      </c>
      <c r="M961">
        <f>IF(SUMIFS(T_PlannedOrders[EffectiveQty],T_PlannedOrders[Part Name],$A951,T_PlannedOrders[WeekIndex],10)=0,"",SUMIFS(T_PlannedOrders[EffectiveQty],T_PlannedOrders[Part Name],$A951,T_PlannedOrders[WeekIndex],10)&amp;" ("&amp;TEXT(SUMPRODUCT(MAX((T_PlannedOrders[Part Name]=$A951)*(T_PlannedOrders[WeekIndex]=10)*(T_PlannedOrders[EffectiveQty]&gt;0)*T_PlannedOrders[Order_Month])),"m月")&amp;"発注)")</f>
        <v/>
      </c>
      <c r="N961">
        <f>IF(SUMIFS(T_PlannedOrders[EffectiveQty],T_PlannedOrders[Part Name],$A951,T_PlannedOrders[WeekIndex],11)=0,"",SUMIFS(T_PlannedOrders[EffectiveQty],T_PlannedOrders[Part Name],$A951,T_PlannedOrders[WeekIndex],11)&amp;" ("&amp;TEXT(SUMPRODUCT(MAX((T_PlannedOrders[Part Name]=$A951)*(T_PlannedOrders[WeekIndex]=11)*(T_PlannedOrders[EffectiveQty]&gt;0)*T_PlannedOrders[Order_Month])),"m月")&amp;"発注)")</f>
        <v/>
      </c>
      <c r="O961">
        <f>IF(SUMIFS(T_PlannedOrders[EffectiveQty],T_PlannedOrders[Part Name],$A951,T_PlannedOrders[WeekIndex],12)=0,"",SUMIFS(T_PlannedOrders[EffectiveQty],T_PlannedOrders[Part Name],$A951,T_PlannedOrders[WeekIndex],12)&amp;" ("&amp;TEXT(SUMPRODUCT(MAX((T_PlannedOrders[Part Name]=$A951)*(T_PlannedOrders[WeekIndex]=12)*(T_PlannedOrders[EffectiveQty]&gt;0)*T_PlannedOrders[Order_Month])),"m月")&amp;"発注)")</f>
        <v/>
      </c>
      <c r="P961">
        <f>IF(SUMIFS(T_PlannedOrders[EffectiveQty],T_PlannedOrders[Part Name],$A951,T_PlannedOrders[WeekIndex],13)=0,"",SUMIFS(T_PlannedOrders[EffectiveQty],T_PlannedOrders[Part Name],$A951,T_PlannedOrders[WeekIndex],13)&amp;" ("&amp;TEXT(SUMPRODUCT(MAX((T_PlannedOrders[Part Name]=$A951)*(T_PlannedOrders[WeekIndex]=13)*(T_PlannedOrders[EffectiveQty]&gt;0)*T_PlannedOrders[Order_Month])),"m月")&amp;"発注)")</f>
        <v/>
      </c>
      <c r="Q961">
        <f>IF(SUMIFS(T_PlannedOrders[EffectiveQty],T_PlannedOrders[Part Name],$A951,T_PlannedOrders[WeekIndex],14)=0,"",SUMIFS(T_PlannedOrders[EffectiveQty],T_PlannedOrders[Part Name],$A951,T_PlannedOrders[WeekIndex],14)&amp;" ("&amp;TEXT(SUMPRODUCT(MAX((T_PlannedOrders[Part Name]=$A951)*(T_PlannedOrders[WeekIndex]=14)*(T_PlannedOrders[EffectiveQty]&gt;0)*T_PlannedOrders[Order_Month])),"m月")&amp;"発注)")</f>
        <v/>
      </c>
      <c r="R961">
        <f>IF(SUMIFS(T_PlannedOrders[EffectiveQty],T_PlannedOrders[Part Name],$A951,T_PlannedOrders[WeekIndex],15)=0,"",SUMIFS(T_PlannedOrders[EffectiveQty],T_PlannedOrders[Part Name],$A951,T_PlannedOrders[WeekIndex],15)&amp;" ("&amp;TEXT(SUMPRODUCT(MAX((T_PlannedOrders[Part Name]=$A951)*(T_PlannedOrders[WeekIndex]=15)*(T_PlannedOrders[EffectiveQty]&gt;0)*T_PlannedOrders[Order_Month])),"m月")&amp;"発注)")</f>
        <v/>
      </c>
      <c r="S961">
        <f>IF(SUMIFS(T_PlannedOrders[EffectiveQty],T_PlannedOrders[Part Name],$A951,T_PlannedOrders[WeekIndex],16)=0,"",SUMIFS(T_PlannedOrders[EffectiveQty],T_PlannedOrders[Part Name],$A951,T_PlannedOrders[WeekIndex],16)&amp;" ("&amp;TEXT(SUMPRODUCT(MAX((T_PlannedOrders[Part Name]=$A951)*(T_PlannedOrders[WeekIndex]=16)*(T_PlannedOrders[EffectiveQty]&gt;0)*T_PlannedOrders[Order_Month])),"m月")&amp;"発注)")</f>
        <v/>
      </c>
      <c r="T961">
        <f>IF(SUMIFS(T_PlannedOrders[EffectiveQty],T_PlannedOrders[Part Name],$A951,T_PlannedOrders[WeekIndex],17)=0,"",SUMIFS(T_PlannedOrders[EffectiveQty],T_PlannedOrders[Part Name],$A951,T_PlannedOrders[WeekIndex],17)&amp;" ("&amp;TEXT(SUMPRODUCT(MAX((T_PlannedOrders[Part Name]=$A951)*(T_PlannedOrders[WeekIndex]=17)*(T_PlannedOrders[EffectiveQty]&gt;0)*T_PlannedOrders[Order_Month])),"m月")&amp;"発注)")</f>
        <v/>
      </c>
      <c r="U961">
        <f>IF(SUMIFS(T_PlannedOrders[EffectiveQty],T_PlannedOrders[Part Name],$A951,T_PlannedOrders[WeekIndex],18)=0,"",SUMIFS(T_PlannedOrders[EffectiveQty],T_PlannedOrders[Part Name],$A951,T_PlannedOrders[WeekIndex],18)&amp;" ("&amp;TEXT(SUMPRODUCT(MAX((T_PlannedOrders[Part Name]=$A951)*(T_PlannedOrders[WeekIndex]=18)*(T_PlannedOrders[EffectiveQty]&gt;0)*T_PlannedOrders[Order_Month])),"m月")&amp;"発注)")</f>
        <v/>
      </c>
      <c r="V961">
        <f>IF(SUMIFS(T_PlannedOrders[EffectiveQty],T_PlannedOrders[Part Name],$A951,T_PlannedOrders[WeekIndex],19)=0,"",SUMIFS(T_PlannedOrders[EffectiveQty],T_PlannedOrders[Part Name],$A951,T_PlannedOrders[WeekIndex],19)&amp;" ("&amp;TEXT(SUMPRODUCT(MAX((T_PlannedOrders[Part Name]=$A951)*(T_PlannedOrders[WeekIndex]=19)*(T_PlannedOrders[EffectiveQty]&gt;0)*T_PlannedOrders[Order_Month])),"m月")&amp;"発注)")</f>
        <v/>
      </c>
      <c r="W961">
        <f>IF(SUMIFS(T_PlannedOrders[EffectiveQty],T_PlannedOrders[Part Name],$A951,T_PlannedOrders[WeekIndex],20)=0,"",SUMIFS(T_PlannedOrders[EffectiveQty],T_PlannedOrders[Part Name],$A951,T_PlannedOrders[WeekIndex],20)&amp;" ("&amp;TEXT(SUMPRODUCT(MAX((T_PlannedOrders[Part Name]=$A951)*(T_PlannedOrders[WeekIndex]=20)*(T_PlannedOrders[EffectiveQty]&gt;0)*T_PlannedOrders[Order_Month])),"m月")&amp;"発注)")</f>
        <v/>
      </c>
      <c r="X961">
        <f>IF(SUMIFS(T_PlannedOrders[EffectiveQty],T_PlannedOrders[Part Name],$A951,T_PlannedOrders[WeekIndex],21)=0,"",SUMIFS(T_PlannedOrders[EffectiveQty],T_PlannedOrders[Part Name],$A951,T_PlannedOrders[WeekIndex],21)&amp;" ("&amp;TEXT(SUMPRODUCT(MAX((T_PlannedOrders[Part Name]=$A951)*(T_PlannedOrders[WeekIndex]=21)*(T_PlannedOrders[EffectiveQty]&gt;0)*T_PlannedOrders[Order_Month])),"m月")&amp;"発注)")</f>
        <v/>
      </c>
      <c r="Y961">
        <f>IF(SUMIFS(T_PlannedOrders[EffectiveQty],T_PlannedOrders[Part Name],$A951,T_PlannedOrders[WeekIndex],22)=0,"",SUMIFS(T_PlannedOrders[EffectiveQty],T_PlannedOrders[Part Name],$A951,T_PlannedOrders[WeekIndex],22)&amp;" ("&amp;TEXT(SUMPRODUCT(MAX((T_PlannedOrders[Part Name]=$A951)*(T_PlannedOrders[WeekIndex]=22)*(T_PlannedOrders[EffectiveQty]&gt;0)*T_PlannedOrders[Order_Month])),"m月")&amp;"発注)")</f>
        <v/>
      </c>
      <c r="Z961">
        <f>IF(SUMIFS(T_PlannedOrders[EffectiveQty],T_PlannedOrders[Part Name],$A951,T_PlannedOrders[WeekIndex],23)=0,"",SUMIFS(T_PlannedOrders[EffectiveQty],T_PlannedOrders[Part Name],$A951,T_PlannedOrders[WeekIndex],23)&amp;" ("&amp;TEXT(SUMPRODUCT(MAX((T_PlannedOrders[Part Name]=$A951)*(T_PlannedOrders[WeekIndex]=23)*(T_PlannedOrders[EffectiveQty]&gt;0)*T_PlannedOrders[Order_Month])),"m月")&amp;"発注)")</f>
        <v/>
      </c>
      <c r="AA961">
        <f>IF(SUMIFS(T_PlannedOrders[EffectiveQty],T_PlannedOrders[Part Name],$A951,T_PlannedOrders[WeekIndex],24)=0,"",SUMIFS(T_PlannedOrders[EffectiveQty],T_PlannedOrders[Part Name],$A951,T_PlannedOrders[WeekIndex],24)&amp;" ("&amp;TEXT(SUMPRODUCT(MAX((T_PlannedOrders[Part Name]=$A951)*(T_PlannedOrders[WeekIndex]=24)*(T_PlannedOrders[EffectiveQty]&gt;0)*T_PlannedOrders[Order_Month])),"m月")&amp;"発注)")</f>
        <v/>
      </c>
      <c r="AB961">
        <f>IF(SUMIFS(T_PlannedOrders[EffectiveQty],T_PlannedOrders[Part Name],$A951,T_PlannedOrders[WeekIndex],25)=0,"",SUMIFS(T_PlannedOrders[EffectiveQty],T_PlannedOrders[Part Name],$A951,T_PlannedOrders[WeekIndex],25)&amp;" ("&amp;TEXT(SUMPRODUCT(MAX((T_PlannedOrders[Part Name]=$A951)*(T_PlannedOrders[WeekIndex]=25)*(T_PlannedOrders[EffectiveQty]&gt;0)*T_PlannedOrders[Order_Month])),"m月")&amp;"発注)")</f>
        <v/>
      </c>
      <c r="AC961">
        <f>IF(SUMIFS(T_PlannedOrders[EffectiveQty],T_PlannedOrders[Part Name],$A951,T_PlannedOrders[WeekIndex],26)=0,"",SUMIFS(T_PlannedOrders[EffectiveQty],T_PlannedOrders[Part Name],$A951,T_PlannedOrders[WeekIndex],26)&amp;" ("&amp;TEXT(SUMPRODUCT(MAX((T_PlannedOrders[Part Name]=$A951)*(T_PlannedOrders[WeekIndex]=26)*(T_PlannedOrders[EffectiveQty]&gt;0)*T_PlannedOrders[Order_Month])),"m月")&amp;"発注)")</f>
        <v/>
      </c>
      <c r="AD961">
        <f>IF(SUMIFS(T_PlannedOrders[EffectiveQty],T_PlannedOrders[Part Name],$A951,T_PlannedOrders[WeekIndex],27)=0,"",SUMIFS(T_PlannedOrders[EffectiveQty],T_PlannedOrders[Part Name],$A951,T_PlannedOrders[WeekIndex],27)&amp;" ("&amp;TEXT(SUMPRODUCT(MAX((T_PlannedOrders[Part Name]=$A951)*(T_PlannedOrders[WeekIndex]=27)*(T_PlannedOrders[EffectiveQty]&gt;0)*T_PlannedOrders[Order_Month])),"m月")&amp;"発注)")</f>
        <v/>
      </c>
      <c r="AE961">
        <f>IF(SUMIFS(T_PlannedOrders[EffectiveQty],T_PlannedOrders[Part Name],$A951,T_PlannedOrders[WeekIndex],28)=0,"",SUMIFS(T_PlannedOrders[EffectiveQty],T_PlannedOrders[Part Name],$A951,T_PlannedOrders[WeekIndex],28)&amp;" ("&amp;TEXT(SUMPRODUCT(MAX((T_PlannedOrders[Part Name]=$A951)*(T_PlannedOrders[WeekIndex]=28)*(T_PlannedOrders[EffectiveQty]&gt;0)*T_PlannedOrders[Order_Month])),"m月")&amp;"発注)")</f>
        <v/>
      </c>
      <c r="AF961">
        <f>IF(SUMIFS(T_PlannedOrders[EffectiveQty],T_PlannedOrders[Part Name],$A951,T_PlannedOrders[WeekIndex],29)=0,"",SUMIFS(T_PlannedOrders[EffectiveQty],T_PlannedOrders[Part Name],$A951,T_PlannedOrders[WeekIndex],29)&amp;" ("&amp;TEXT(SUMPRODUCT(MAX((T_PlannedOrders[Part Name]=$A951)*(T_PlannedOrders[WeekIndex]=29)*(T_PlannedOrders[EffectiveQty]&gt;0)*T_PlannedOrders[Order_Month])),"m月")&amp;"発注)")</f>
        <v/>
      </c>
      <c r="AG961">
        <f>IF(SUMIFS(T_PlannedOrders[EffectiveQty],T_PlannedOrders[Part Name],$A951,T_PlannedOrders[WeekIndex],30)=0,"",SUMIFS(T_PlannedOrders[EffectiveQty],T_PlannedOrders[Part Name],$A951,T_PlannedOrders[WeekIndex],30)&amp;" ("&amp;TEXT(SUMPRODUCT(MAX((T_PlannedOrders[Part Name]=$A951)*(T_PlannedOrders[WeekIndex]=30)*(T_PlannedOrders[EffectiveQty]&gt;0)*T_PlannedOrders[Order_Month])),"m月")&amp;"発注)")</f>
        <v/>
      </c>
      <c r="AH961">
        <f>IF(SUMIFS(T_PlannedOrders[EffectiveQty],T_PlannedOrders[Part Name],$A951,T_PlannedOrders[WeekIndex],31)=0,"",SUMIFS(T_PlannedOrders[EffectiveQty],T_PlannedOrders[Part Name],$A951,T_PlannedOrders[WeekIndex],31)&amp;" ("&amp;TEXT(SUMPRODUCT(MAX((T_PlannedOrders[Part Name]=$A951)*(T_PlannedOrders[WeekIndex]=31)*(T_PlannedOrders[EffectiveQty]&gt;0)*T_PlannedOrders[Order_Month])),"m月")&amp;"発注)")</f>
        <v/>
      </c>
      <c r="AI961">
        <f>IF(SUMIFS(T_PlannedOrders[EffectiveQty],T_PlannedOrders[Part Name],$A951,T_PlannedOrders[WeekIndex],32)=0,"",SUMIFS(T_PlannedOrders[EffectiveQty],T_PlannedOrders[Part Name],$A951,T_PlannedOrders[WeekIndex],32)&amp;" ("&amp;TEXT(SUMPRODUCT(MAX((T_PlannedOrders[Part Name]=$A951)*(T_PlannedOrders[WeekIndex]=32)*(T_PlannedOrders[EffectiveQty]&gt;0)*T_PlannedOrders[Order_Month])),"m月")&amp;"発注)")</f>
        <v/>
      </c>
      <c r="AJ961">
        <f>IF(SUMIFS(T_PlannedOrders[EffectiveQty],T_PlannedOrders[Part Name],$A951,T_PlannedOrders[WeekIndex],33)=0,"",SUMIFS(T_PlannedOrders[EffectiveQty],T_PlannedOrders[Part Name],$A951,T_PlannedOrders[WeekIndex],33)&amp;" ("&amp;TEXT(SUMPRODUCT(MAX((T_PlannedOrders[Part Name]=$A951)*(T_PlannedOrders[WeekIndex]=33)*(T_PlannedOrders[EffectiveQty]&gt;0)*T_PlannedOrders[Order_Month])),"m月")&amp;"発注)")</f>
        <v/>
      </c>
      <c r="AK961">
        <f>IF(SUMIFS(T_PlannedOrders[EffectiveQty],T_PlannedOrders[Part Name],$A951,T_PlannedOrders[WeekIndex],34)=0,"",SUMIFS(T_PlannedOrders[EffectiveQty],T_PlannedOrders[Part Name],$A951,T_PlannedOrders[WeekIndex],34)&amp;" ("&amp;TEXT(SUMPRODUCT(MAX((T_PlannedOrders[Part Name]=$A951)*(T_PlannedOrders[WeekIndex]=34)*(T_PlannedOrders[EffectiveQty]&gt;0)*T_PlannedOrders[Order_Month])),"m月")&amp;"発注)")</f>
        <v/>
      </c>
      <c r="AL961">
        <f>IF(SUMIFS(T_PlannedOrders[EffectiveQty],T_PlannedOrders[Part Name],$A951,T_PlannedOrders[WeekIndex],35)=0,"",SUMIFS(T_PlannedOrders[EffectiveQty],T_PlannedOrders[Part Name],$A951,T_PlannedOrders[WeekIndex],35)&amp;" ("&amp;TEXT(SUMPRODUCT(MAX((T_PlannedOrders[Part Name]=$A951)*(T_PlannedOrders[WeekIndex]=35)*(T_PlannedOrders[EffectiveQty]&gt;0)*T_PlannedOrders[Order_Month])),"m月")&amp;"発注)")</f>
        <v/>
      </c>
      <c r="AM961">
        <f>IF(SUMIFS(T_PlannedOrders[EffectiveQty],T_PlannedOrders[Part Name],$A951,T_PlannedOrders[WeekIndex],36)=0,"",SUMIFS(T_PlannedOrders[EffectiveQty],T_PlannedOrders[Part Name],$A951,T_PlannedOrders[WeekIndex],36)&amp;" ("&amp;TEXT(SUMPRODUCT(MAX((T_PlannedOrders[Part Name]=$A951)*(T_PlannedOrders[WeekIndex]=36)*(T_PlannedOrders[EffectiveQty]&gt;0)*T_PlannedOrders[Order_Month])),"m月")&amp;"発注)")</f>
        <v/>
      </c>
      <c r="AN961">
        <f>IF(SUMIFS(T_PlannedOrders[EffectiveQty],T_PlannedOrders[Part Name],$A951,T_PlannedOrders[WeekIndex],37)=0,"",SUMIFS(T_PlannedOrders[EffectiveQty],T_PlannedOrders[Part Name],$A951,T_PlannedOrders[WeekIndex],37)&amp;" ("&amp;TEXT(SUMPRODUCT(MAX((T_PlannedOrders[Part Name]=$A951)*(T_PlannedOrders[WeekIndex]=37)*(T_PlannedOrders[EffectiveQty]&gt;0)*T_PlannedOrders[Order_Month])),"m月")&amp;"発注)")</f>
        <v/>
      </c>
      <c r="AO961">
        <f>IF(SUMIFS(T_PlannedOrders[EffectiveQty],T_PlannedOrders[Part Name],$A951,T_PlannedOrders[WeekIndex],38)=0,"",SUMIFS(T_PlannedOrders[EffectiveQty],T_PlannedOrders[Part Name],$A951,T_PlannedOrders[WeekIndex],38)&amp;" ("&amp;TEXT(SUMPRODUCT(MAX((T_PlannedOrders[Part Name]=$A951)*(T_PlannedOrders[WeekIndex]=38)*(T_PlannedOrders[EffectiveQty]&gt;0)*T_PlannedOrders[Order_Month])),"m月")&amp;"発注)")</f>
        <v/>
      </c>
      <c r="AP961">
        <f>IF(SUMIFS(T_PlannedOrders[EffectiveQty],T_PlannedOrders[Part Name],$A951,T_PlannedOrders[WeekIndex],39)=0,"",SUMIFS(T_PlannedOrders[EffectiveQty],T_PlannedOrders[Part Name],$A951,T_PlannedOrders[WeekIndex],39)&amp;" ("&amp;TEXT(SUMPRODUCT(MAX((T_PlannedOrders[Part Name]=$A951)*(T_PlannedOrders[WeekIndex]=39)*(T_PlannedOrders[EffectiveQty]&gt;0)*T_PlannedOrders[Order_Month])),"m月")&amp;"発注)")</f>
        <v/>
      </c>
      <c r="AQ961">
        <f>IF(SUMIFS(T_PlannedOrders[EffectiveQty],T_PlannedOrders[Part Name],$A951,T_PlannedOrders[WeekIndex],40)=0,"",SUMIFS(T_PlannedOrders[EffectiveQty],T_PlannedOrders[Part Name],$A951,T_PlannedOrders[WeekIndex],40)&amp;" ("&amp;TEXT(SUMPRODUCT(MAX((T_PlannedOrders[Part Name]=$A951)*(T_PlannedOrders[WeekIndex]=40)*(T_PlannedOrders[EffectiveQty]&gt;0)*T_PlannedOrders[Order_Month])),"m月")&amp;"発注)")</f>
        <v/>
      </c>
      <c r="AR961">
        <f>IF(SUMIFS(T_PlannedOrders[EffectiveQty],T_PlannedOrders[Part Name],$A951,T_PlannedOrders[WeekIndex],41)=0,"",SUMIFS(T_PlannedOrders[EffectiveQty],T_PlannedOrders[Part Name],$A951,T_PlannedOrders[WeekIndex],41)&amp;" ("&amp;TEXT(SUMPRODUCT(MAX((T_PlannedOrders[Part Name]=$A951)*(T_PlannedOrders[WeekIndex]=41)*(T_PlannedOrders[EffectiveQty]&gt;0)*T_PlannedOrders[Order_Month])),"m月")&amp;"発注)")</f>
        <v/>
      </c>
      <c r="AS961">
        <f>IF(SUMIFS(T_PlannedOrders[EffectiveQty],T_PlannedOrders[Part Name],$A951,T_PlannedOrders[WeekIndex],42)=0,"",SUMIFS(T_PlannedOrders[EffectiveQty],T_PlannedOrders[Part Name],$A951,T_PlannedOrders[WeekIndex],42)&amp;" ("&amp;TEXT(SUMPRODUCT(MAX((T_PlannedOrders[Part Name]=$A951)*(T_PlannedOrders[WeekIndex]=42)*(T_PlannedOrders[EffectiveQty]&gt;0)*T_PlannedOrders[Order_Month])),"m月")&amp;"発注)")</f>
        <v/>
      </c>
      <c r="AT961">
        <f>IF(SUMIFS(T_PlannedOrders[EffectiveQty],T_PlannedOrders[Part Name],$A951,T_PlannedOrders[WeekIndex],43)=0,"",SUMIFS(T_PlannedOrders[EffectiveQty],T_PlannedOrders[Part Name],$A951,T_PlannedOrders[WeekIndex],43)&amp;" ("&amp;TEXT(SUMPRODUCT(MAX((T_PlannedOrders[Part Name]=$A951)*(T_PlannedOrders[WeekIndex]=43)*(T_PlannedOrders[EffectiveQty]&gt;0)*T_PlannedOrders[Order_Month])),"m月")&amp;"発注)")</f>
        <v/>
      </c>
      <c r="AU961">
        <f>IF(SUMIFS(T_PlannedOrders[EffectiveQty],T_PlannedOrders[Part Name],$A951,T_PlannedOrders[WeekIndex],44)=0,"",SUMIFS(T_PlannedOrders[EffectiveQty],T_PlannedOrders[Part Name],$A951,T_PlannedOrders[WeekIndex],44)&amp;" ("&amp;TEXT(SUMPRODUCT(MAX((T_PlannedOrders[Part Name]=$A951)*(T_PlannedOrders[WeekIndex]=44)*(T_PlannedOrders[EffectiveQty]&gt;0)*T_PlannedOrders[Order_Month])),"m月")&amp;"発注)")</f>
        <v/>
      </c>
      <c r="AV961">
        <f>IF(SUMIFS(T_PlannedOrders[EffectiveQty],T_PlannedOrders[Part Name],$A951,T_PlannedOrders[WeekIndex],45)=0,"",SUMIFS(T_PlannedOrders[EffectiveQty],T_PlannedOrders[Part Name],$A951,T_PlannedOrders[WeekIndex],45)&amp;" ("&amp;TEXT(SUMPRODUCT(MAX((T_PlannedOrders[Part Name]=$A951)*(T_PlannedOrders[WeekIndex]=45)*(T_PlannedOrders[EffectiveQty]&gt;0)*T_PlannedOrders[Order_Month])),"m月")&amp;"発注)")</f>
        <v/>
      </c>
      <c r="AW961">
        <f>IF(SUMIFS(T_PlannedOrders[EffectiveQty],T_PlannedOrders[Part Name],$A951,T_PlannedOrders[WeekIndex],46)=0,"",SUMIFS(T_PlannedOrders[EffectiveQty],T_PlannedOrders[Part Name],$A951,T_PlannedOrders[WeekIndex],46)&amp;" ("&amp;TEXT(SUMPRODUCT(MAX((T_PlannedOrders[Part Name]=$A951)*(T_PlannedOrders[WeekIndex]=46)*(T_PlannedOrders[EffectiveQty]&gt;0)*T_PlannedOrders[Order_Month])),"m月")&amp;"発注)")</f>
        <v/>
      </c>
      <c r="AX961">
        <f>IF(SUMIFS(T_PlannedOrders[EffectiveQty],T_PlannedOrders[Part Name],$A951,T_PlannedOrders[WeekIndex],47)=0,"",SUMIFS(T_PlannedOrders[EffectiveQty],T_PlannedOrders[Part Name],$A951,T_PlannedOrders[WeekIndex],47)&amp;" ("&amp;TEXT(SUMPRODUCT(MAX((T_PlannedOrders[Part Name]=$A951)*(T_PlannedOrders[WeekIndex]=47)*(T_PlannedOrders[EffectiveQty]&gt;0)*T_PlannedOrders[Order_Month])),"m月")&amp;"発注)")</f>
        <v/>
      </c>
      <c r="AY961">
        <f>IF(SUMIFS(T_PlannedOrders[EffectiveQty],T_PlannedOrders[Part Name],$A951,T_PlannedOrders[WeekIndex],48)=0,"",SUMIFS(T_PlannedOrders[EffectiveQty],T_PlannedOrders[Part Name],$A951,T_PlannedOrders[WeekIndex],48)&amp;" ("&amp;TEXT(SUMPRODUCT(MAX((T_PlannedOrders[Part Name]=$A951)*(T_PlannedOrders[WeekIndex]=48)*(T_PlannedOrders[EffectiveQty]&gt;0)*T_PlannedOrders[Order_Month])),"m月")&amp;"発注)")</f>
        <v/>
      </c>
      <c r="AZ961">
        <f>IF(SUMIFS(T_PlannedOrders[EffectiveQty],T_PlannedOrders[Part Name],$A951,T_PlannedOrders[WeekIndex],49)=0,"",SUMIFS(T_PlannedOrders[EffectiveQty],T_PlannedOrders[Part Name],$A951,T_PlannedOrders[WeekIndex],49)&amp;" ("&amp;TEXT(SUMPRODUCT(MAX((T_PlannedOrders[Part Name]=$A951)*(T_PlannedOrders[WeekIndex]=49)*(T_PlannedOrders[EffectiveQty]&gt;0)*T_PlannedOrders[Order_Month])),"m月")&amp;"発注)")</f>
        <v/>
      </c>
      <c r="BA961">
        <f>IF(SUMIFS(T_PlannedOrders[EffectiveQty],T_PlannedOrders[Part Name],$A951,T_PlannedOrders[WeekIndex],50)=0,"",SUMIFS(T_PlannedOrders[EffectiveQty],T_PlannedOrders[Part Name],$A951,T_PlannedOrders[WeekIndex],50)&amp;" ("&amp;TEXT(SUMPRODUCT(MAX((T_PlannedOrders[Part Name]=$A951)*(T_PlannedOrders[WeekIndex]=50)*(T_PlannedOrders[EffectiveQty]&gt;0)*T_PlannedOrders[Order_Month])),"m月")&amp;"発注)")</f>
        <v/>
      </c>
      <c r="BB961">
        <f>IF(SUMIFS(T_PlannedOrders[EffectiveQty],T_PlannedOrders[Part Name],$A951,T_PlannedOrders[WeekIndex],51)=0,"",SUMIFS(T_PlannedOrders[EffectiveQty],T_PlannedOrders[Part Name],$A951,T_PlannedOrders[WeekIndex],51)&amp;" ("&amp;TEXT(SUMPRODUCT(MAX((T_PlannedOrders[Part Name]=$A951)*(T_PlannedOrders[WeekIndex]=51)*(T_PlannedOrders[EffectiveQty]&gt;0)*T_PlannedOrders[Order_Month])),"m月")&amp;"発注)")</f>
        <v/>
      </c>
      <c r="BC961">
        <f>IF(SUMIFS(T_PlannedOrders[EffectiveQty],T_PlannedOrders[Part Name],$A951,T_PlannedOrders[WeekIndex],52)=0,"",SUMIFS(T_PlannedOrders[EffectiveQty],T_PlannedOrders[Part Name],$A951,T_PlannedOrders[WeekIndex],52)&amp;" ("&amp;TEXT(SUMPRODUCT(MAX((T_PlannedOrders[Part Name]=$A951)*(T_PlannedOrders[WeekIndex]=52)*(T_PlannedOrders[EffectiveQty]&gt;0)*T_PlannedOrders[Order_Month])),"m月")&amp;"発注)")</f>
        <v/>
      </c>
      <c r="BD961">
        <f>IF(SUMIFS(T_PlannedOrders[EffectiveQty],T_PlannedOrders[Part Name],$A951,T_PlannedOrders[WeekIndex],53)=0,"",SUMIFS(T_PlannedOrders[EffectiveQty],T_PlannedOrders[Part Name],$A951,T_PlannedOrders[WeekIndex],53)&amp;" ("&amp;TEXT(SUMPRODUCT(MAX((T_PlannedOrders[Part Name]=$A951)*(T_PlannedOrders[WeekIndex]=53)*(T_PlannedOrders[EffectiveQty]&gt;0)*T_PlannedOrders[Order_Month])),"m月")&amp;"発注)")</f>
        <v/>
      </c>
      <c r="BE961">
        <f>IF(SUMIFS(T_PlannedOrders[EffectiveQty],T_PlannedOrders[Part Name],$A951,T_PlannedOrders[WeekIndex],54)=0,"",SUMIFS(T_PlannedOrders[EffectiveQty],T_PlannedOrders[Part Name],$A951,T_PlannedOrders[WeekIndex],54)&amp;" ("&amp;TEXT(SUMPRODUCT(MAX((T_PlannedOrders[Part Name]=$A951)*(T_PlannedOrders[WeekIndex]=54)*(T_PlannedOrders[EffectiveQty]&gt;0)*T_PlannedOrders[Order_Month])),"m月")&amp;"発注)")</f>
        <v/>
      </c>
      <c r="BF961">
        <f>IF(SUMIFS(T_PlannedOrders[EffectiveQty],T_PlannedOrders[Part Name],$A951,T_PlannedOrders[WeekIndex],55)=0,"",SUMIFS(T_PlannedOrders[EffectiveQty],T_PlannedOrders[Part Name],$A951,T_PlannedOrders[WeekIndex],55)&amp;" ("&amp;TEXT(SUMPRODUCT(MAX((T_PlannedOrders[Part Name]=$A951)*(T_PlannedOrders[WeekIndex]=55)*(T_PlannedOrders[EffectiveQty]&gt;0)*T_PlannedOrders[Order_Month])),"m月")&amp;"発注)")</f>
        <v/>
      </c>
      <c r="BG961">
        <f>IF(SUMIFS(T_PlannedOrders[EffectiveQty],T_PlannedOrders[Part Name],$A951,T_PlannedOrders[WeekIndex],56)=0,"",SUMIFS(T_PlannedOrders[EffectiveQty],T_PlannedOrders[Part Name],$A951,T_PlannedOrders[WeekIndex],56)&amp;" ("&amp;TEXT(SUMPRODUCT(MAX((T_PlannedOrders[Part Name]=$A951)*(T_PlannedOrders[WeekIndex]=56)*(T_PlannedOrders[EffectiveQty]&gt;0)*T_PlannedOrders[Order_Month])),"m月")&amp;"発注)")</f>
        <v/>
      </c>
      <c r="BH961">
        <f>IF(SUMIFS(T_PlannedOrders[EffectiveQty],T_PlannedOrders[Part Name],$A951,T_PlannedOrders[WeekIndex],57)=0,"",SUMIFS(T_PlannedOrders[EffectiveQty],T_PlannedOrders[Part Name],$A951,T_PlannedOrders[WeekIndex],57)&amp;" ("&amp;TEXT(SUMPRODUCT(MAX((T_PlannedOrders[Part Name]=$A951)*(T_PlannedOrders[WeekIndex]=57)*(T_PlannedOrders[EffectiveQty]&gt;0)*T_PlannedOrders[Order_Month])),"m月")&amp;"発注)")</f>
        <v/>
      </c>
      <c r="BI961">
        <f>IF(SUMIFS(T_PlannedOrders[EffectiveQty],T_PlannedOrders[Part Name],$A951,T_PlannedOrders[WeekIndex],58)=0,"",SUMIFS(T_PlannedOrders[EffectiveQty],T_PlannedOrders[Part Name],$A951,T_PlannedOrders[WeekIndex],58)&amp;" ("&amp;TEXT(SUMPRODUCT(MAX((T_PlannedOrders[Part Name]=$A951)*(T_PlannedOrders[WeekIndex]=58)*(T_PlannedOrders[EffectiveQty]&gt;0)*T_PlannedOrders[Order_Month])),"m月")&amp;"発注)")</f>
        <v/>
      </c>
      <c r="BJ961">
        <f>IF(SUMIFS(T_PlannedOrders[EffectiveQty],T_PlannedOrders[Part Name],$A951,T_PlannedOrders[WeekIndex],59)=0,"",SUMIFS(T_PlannedOrders[EffectiveQty],T_PlannedOrders[Part Name],$A951,T_PlannedOrders[WeekIndex],59)&amp;" ("&amp;TEXT(SUMPRODUCT(MAX((T_PlannedOrders[Part Name]=$A951)*(T_PlannedOrders[WeekIndex]=59)*(T_PlannedOrders[EffectiveQty]&gt;0)*T_PlannedOrders[Order_Month])),"m月")&amp;"発注)")</f>
        <v/>
      </c>
      <c r="BK961">
        <f>IF(SUMIFS(T_PlannedOrders[EffectiveQty],T_PlannedOrders[Part Name],$A951,T_PlannedOrders[WeekIndex],60)=0,"",SUMIFS(T_PlannedOrders[EffectiveQty],T_PlannedOrders[Part Name],$A951,T_PlannedOrders[WeekIndex],60)&amp;" ("&amp;TEXT(SUMPRODUCT(MAX((T_PlannedOrders[Part Name]=$A951)*(T_PlannedOrders[WeekIndex]=60)*(T_PlannedOrders[EffectiveQty]&gt;0)*T_PlannedOrders[Order_Month])),"m月")&amp;"発注)")</f>
        <v/>
      </c>
      <c r="BL961">
        <f>IF(SUMIFS(T_PlannedOrders[EffectiveQty],T_PlannedOrders[Part Name],$A951,T_PlannedOrders[WeekIndex],61)=0,"",SUMIFS(T_PlannedOrders[EffectiveQty],T_PlannedOrders[Part Name],$A951,T_PlannedOrders[WeekIndex],61)&amp;" ("&amp;TEXT(SUMPRODUCT(MAX((T_PlannedOrders[Part Name]=$A951)*(T_PlannedOrders[WeekIndex]=61)*(T_PlannedOrders[EffectiveQty]&gt;0)*T_PlannedOrders[Order_Month])),"m月")&amp;"発注)")</f>
        <v/>
      </c>
      <c r="BM961">
        <f>IF(SUMIFS(T_PlannedOrders[EffectiveQty],T_PlannedOrders[Part Name],$A951,T_PlannedOrders[WeekIndex],62)=0,"",SUMIFS(T_PlannedOrders[EffectiveQty],T_PlannedOrders[Part Name],$A951,T_PlannedOrders[WeekIndex],62)&amp;" ("&amp;TEXT(SUMPRODUCT(MAX((T_PlannedOrders[Part Name]=$A951)*(T_PlannedOrders[WeekIndex]=62)*(T_PlannedOrders[EffectiveQty]&gt;0)*T_PlannedOrders[Order_Month])),"m月")&amp;"発注)")</f>
        <v/>
      </c>
      <c r="BN961">
        <f>IF(SUMIFS(T_PlannedOrders[EffectiveQty],T_PlannedOrders[Part Name],$A951,T_PlannedOrders[WeekIndex],63)=0,"",SUMIFS(T_PlannedOrders[EffectiveQty],T_PlannedOrders[Part Name],$A951,T_PlannedOrders[WeekIndex],63)&amp;" ("&amp;TEXT(SUMPRODUCT(MAX((T_PlannedOrders[Part Name]=$A951)*(T_PlannedOrders[WeekIndex]=63)*(T_PlannedOrders[EffectiveQty]&gt;0)*T_PlannedOrders[Order_Month])),"m月")&amp;"発注)")</f>
        <v/>
      </c>
      <c r="BO961">
        <f>IF(SUMIFS(T_PlannedOrders[EffectiveQty],T_PlannedOrders[Part Name],$A951,T_PlannedOrders[WeekIndex],64)=0,"",SUMIFS(T_PlannedOrders[EffectiveQty],T_PlannedOrders[Part Name],$A951,T_PlannedOrders[WeekIndex],64)&amp;" ("&amp;TEXT(SUMPRODUCT(MAX((T_PlannedOrders[Part Name]=$A951)*(T_PlannedOrders[WeekIndex]=64)*(T_PlannedOrders[EffectiveQty]&gt;0)*T_PlannedOrders[Order_Month])),"m月")&amp;"発注)")</f>
        <v/>
      </c>
      <c r="BP961">
        <f>IF(SUMIFS(T_PlannedOrders[EffectiveQty],T_PlannedOrders[Part Name],$A951,T_PlannedOrders[WeekIndex],65)=0,"",SUMIFS(T_PlannedOrders[EffectiveQty],T_PlannedOrders[Part Name],$A951,T_PlannedOrders[WeekIndex],65)&amp;" ("&amp;TEXT(SUMPRODUCT(MAX((T_PlannedOrders[Part Name]=$A951)*(T_PlannedOrders[WeekIndex]=65)*(T_PlannedOrders[EffectiveQty]&gt;0)*T_PlannedOrders[Order_Month])),"m月")&amp;"発注)")</f>
        <v/>
      </c>
      <c r="BQ961">
        <f>IF(SUMIFS(T_PlannedOrders[EffectiveQty],T_PlannedOrders[Part Name],$A951,T_PlannedOrders[WeekIndex],66)=0,"",SUMIFS(T_PlannedOrders[EffectiveQty],T_PlannedOrders[Part Name],$A951,T_PlannedOrders[WeekIndex],66)&amp;" ("&amp;TEXT(SUMPRODUCT(MAX((T_PlannedOrders[Part Name]=$A951)*(T_PlannedOrders[WeekIndex]=66)*(T_PlannedOrders[EffectiveQty]&gt;0)*T_PlannedOrders[Order_Month])),"m月")&amp;"発注)")</f>
        <v/>
      </c>
      <c r="BR961">
        <f>IF(SUMIFS(T_PlannedOrders[EffectiveQty],T_PlannedOrders[Part Name],$A951,T_PlannedOrders[WeekIndex],67)=0,"",SUMIFS(T_PlannedOrders[EffectiveQty],T_PlannedOrders[Part Name],$A951,T_PlannedOrders[WeekIndex],67)&amp;" ("&amp;TEXT(SUMPRODUCT(MAX((T_PlannedOrders[Part Name]=$A951)*(T_PlannedOrders[WeekIndex]=67)*(T_PlannedOrders[EffectiveQty]&gt;0)*T_PlannedOrders[Order_Month])),"m月")&amp;"発注)")</f>
        <v/>
      </c>
      <c r="BS961">
        <f>IF(SUMIFS(T_PlannedOrders[EffectiveQty],T_PlannedOrders[Part Name],$A951,T_PlannedOrders[WeekIndex],68)=0,"",SUMIFS(T_PlannedOrders[EffectiveQty],T_PlannedOrders[Part Name],$A951,T_PlannedOrders[WeekIndex],68)&amp;" ("&amp;TEXT(SUMPRODUCT(MAX((T_PlannedOrders[Part Name]=$A951)*(T_PlannedOrders[WeekIndex]=68)*(T_PlannedOrders[EffectiveQty]&gt;0)*T_PlannedOrders[Order_Month])),"m月")&amp;"発注)")</f>
        <v/>
      </c>
      <c r="BT961">
        <f>IF(SUMIFS(T_PlannedOrders[EffectiveQty],T_PlannedOrders[Part Name],$A951,T_PlannedOrders[WeekIndex],69)=0,"",SUMIFS(T_PlannedOrders[EffectiveQty],T_PlannedOrders[Part Name],$A951,T_PlannedOrders[WeekIndex],69)&amp;" ("&amp;TEXT(SUMPRODUCT(MAX((T_PlannedOrders[Part Name]=$A951)*(T_PlannedOrders[WeekIndex]=69)*(T_PlannedOrders[EffectiveQty]&gt;0)*T_PlannedOrders[Order_Month])),"m月")&amp;"発注)")</f>
        <v/>
      </c>
      <c r="BU961">
        <f>IF(SUMIFS(T_PlannedOrders[EffectiveQty],T_PlannedOrders[Part Name],$A951,T_PlannedOrders[WeekIndex],70)=0,"",SUMIFS(T_PlannedOrders[EffectiveQty],T_PlannedOrders[Part Name],$A951,T_PlannedOrders[WeekIndex],70)&amp;" ("&amp;TEXT(SUMPRODUCT(MAX((T_PlannedOrders[Part Name]=$A951)*(T_PlannedOrders[WeekIndex]=70)*(T_PlannedOrders[EffectiveQty]&gt;0)*T_PlannedOrders[Order_Month])),"m月")&amp;"発注)")</f>
        <v/>
      </c>
      <c r="BV961">
        <f>IF(SUMIFS(T_PlannedOrders[EffectiveQty],T_PlannedOrders[Part Name],$A951,T_PlannedOrders[WeekIndex],71)=0,"",SUMIFS(T_PlannedOrders[EffectiveQty],T_PlannedOrders[Part Name],$A951,T_PlannedOrders[WeekIndex],71)&amp;" ("&amp;TEXT(SUMPRODUCT(MAX((T_PlannedOrders[Part Name]=$A951)*(T_PlannedOrders[WeekIndex]=71)*(T_PlannedOrders[EffectiveQty]&gt;0)*T_PlannedOrders[Order_Month])),"m月")&amp;"発注)")</f>
        <v/>
      </c>
      <c r="BW961">
        <f>IF(SUMIFS(T_PlannedOrders[EffectiveQty],T_PlannedOrders[Part Name],$A951,T_PlannedOrders[WeekIndex],72)=0,"",SUMIFS(T_PlannedOrders[EffectiveQty],T_PlannedOrders[Part Name],$A951,T_PlannedOrders[WeekIndex],72)&amp;" ("&amp;TEXT(SUMPRODUCT(MAX((T_PlannedOrders[Part Name]=$A951)*(T_PlannedOrders[WeekIndex]=72)*(T_PlannedOrders[EffectiveQty]&gt;0)*T_PlannedOrders[Order_Month])),"m月")&amp;"発注)")</f>
        <v/>
      </c>
      <c r="BX961">
        <f>IF(SUMIFS(T_PlannedOrders[EffectiveQty],T_PlannedOrders[Part Name],$A951,T_PlannedOrders[WeekIndex],73)=0,"",SUMIFS(T_PlannedOrders[EffectiveQty],T_PlannedOrders[Part Name],$A951,T_PlannedOrders[WeekIndex],73)&amp;" ("&amp;TEXT(SUMPRODUCT(MAX((T_PlannedOrders[Part Name]=$A951)*(T_PlannedOrders[WeekIndex]=73)*(T_PlannedOrders[EffectiveQty]&gt;0)*T_PlannedOrders[Order_Month])),"m月")&amp;"発注)")</f>
        <v/>
      </c>
      <c r="BY961">
        <f>IF(SUMIFS(T_PlannedOrders[EffectiveQty],T_PlannedOrders[Part Name],$A951,T_PlannedOrders[WeekIndex],74)=0,"",SUMIFS(T_PlannedOrders[EffectiveQty],T_PlannedOrders[Part Name],$A951,T_PlannedOrders[WeekIndex],74)&amp;" ("&amp;TEXT(SUMPRODUCT(MAX((T_PlannedOrders[Part Name]=$A951)*(T_PlannedOrders[WeekIndex]=74)*(T_PlannedOrders[EffectiveQty]&gt;0)*T_PlannedOrders[Order_Month])),"m月")&amp;"発注)")</f>
        <v/>
      </c>
      <c r="BZ961">
        <f>IF(SUMIFS(T_PlannedOrders[EffectiveQty],T_PlannedOrders[Part Name],$A951,T_PlannedOrders[WeekIndex],75)=0,"",SUMIFS(T_PlannedOrders[EffectiveQty],T_PlannedOrders[Part Name],$A951,T_PlannedOrders[WeekIndex],75)&amp;" ("&amp;TEXT(SUMPRODUCT(MAX((T_PlannedOrders[Part Name]=$A951)*(T_PlannedOrders[WeekIndex]=75)*(T_PlannedOrders[EffectiveQty]&gt;0)*T_PlannedOrders[Order_Month])),"m月")&amp;"発注)")</f>
        <v/>
      </c>
      <c r="CA961">
        <f>IF(SUMIFS(T_PlannedOrders[EffectiveQty],T_PlannedOrders[Part Name],$A951,T_PlannedOrders[WeekIndex],76)=0,"",SUMIFS(T_PlannedOrders[EffectiveQty],T_PlannedOrders[Part Name],$A951,T_PlannedOrders[WeekIndex],76)&amp;" ("&amp;TEXT(SUMPRODUCT(MAX((T_PlannedOrders[Part Name]=$A951)*(T_PlannedOrders[WeekIndex]=76)*(T_PlannedOrders[EffectiveQty]&gt;0)*T_PlannedOrders[Order_Month])),"m月")&amp;"発注)")</f>
        <v/>
      </c>
      <c r="CB961">
        <f>IF(SUMIFS(T_PlannedOrders[EffectiveQty],T_PlannedOrders[Part Name],$A951,T_PlannedOrders[WeekIndex],77)=0,"",SUMIFS(T_PlannedOrders[EffectiveQty],T_PlannedOrders[Part Name],$A951,T_PlannedOrders[WeekIndex],77)&amp;" ("&amp;TEXT(SUMPRODUCT(MAX((T_PlannedOrders[Part Name]=$A951)*(T_PlannedOrders[WeekIndex]=77)*(T_PlannedOrders[EffectiveQty]&gt;0)*T_PlannedOrders[Order_Month])),"m月")&amp;"発注)")</f>
        <v/>
      </c>
      <c r="CC961">
        <f>IF(SUMIFS(T_PlannedOrders[EffectiveQty],T_PlannedOrders[Part Name],$A951,T_PlannedOrders[WeekIndex],78)=0,"",SUMIFS(T_PlannedOrders[EffectiveQty],T_PlannedOrders[Part Name],$A951,T_PlannedOrders[WeekIndex],78)&amp;" ("&amp;TEXT(SUMPRODUCT(MAX((T_PlannedOrders[Part Name]=$A951)*(T_PlannedOrders[WeekIndex]=78)*(T_PlannedOrders[EffectiveQty]&gt;0)*T_PlannedOrders[Order_Month])),"m月")&amp;"発注)")</f>
        <v/>
      </c>
      <c r="CD961">
        <f>IF(SUMIFS(T_PlannedOrders[EffectiveQty],T_PlannedOrders[Part Name],$A951,T_PlannedOrders[WeekIndex],79)=0,"",SUMIFS(T_PlannedOrders[EffectiveQty],T_PlannedOrders[Part Name],$A951,T_PlannedOrders[WeekIndex],79)&amp;" ("&amp;TEXT(SUMPRODUCT(MAX((T_PlannedOrders[Part Name]=$A951)*(T_PlannedOrders[WeekIndex]=79)*(T_PlannedOrders[EffectiveQty]&gt;0)*T_PlannedOrders[Order_Month])),"m月")&amp;"発注)")</f>
        <v/>
      </c>
      <c r="CE961">
        <f>IF(SUMIFS(T_PlannedOrders[EffectiveQty],T_PlannedOrders[Part Name],$A951,T_PlannedOrders[WeekIndex],80)=0,"",SUMIFS(T_PlannedOrders[EffectiveQty],T_PlannedOrders[Part Name],$A951,T_PlannedOrders[WeekIndex],80)&amp;" ("&amp;TEXT(SUMPRODUCT(MAX((T_PlannedOrders[Part Name]=$A951)*(T_PlannedOrders[WeekIndex]=80)*(T_PlannedOrders[EffectiveQty]&gt;0)*T_PlannedOrders[Order_Month])),"m月")&amp;"発注)")</f>
        <v/>
      </c>
      <c r="CF961">
        <f>IF(SUMIFS(T_PlannedOrders[EffectiveQty],T_PlannedOrders[Part Name],$A951,T_PlannedOrders[WeekIndex],81)=0,"",SUMIFS(T_PlannedOrders[EffectiveQty],T_PlannedOrders[Part Name],$A951,T_PlannedOrders[WeekIndex],81)&amp;" ("&amp;TEXT(SUMPRODUCT(MAX((T_PlannedOrders[Part Name]=$A951)*(T_PlannedOrders[WeekIndex]=81)*(T_PlannedOrders[EffectiveQty]&gt;0)*T_PlannedOrders[Order_Month])),"m月")&amp;"発注)")</f>
        <v/>
      </c>
      <c r="CG961">
        <f>IF(SUMIFS(T_PlannedOrders[EffectiveQty],T_PlannedOrders[Part Name],$A951,T_PlannedOrders[WeekIndex],82)=0,"",SUMIFS(T_PlannedOrders[EffectiveQty],T_PlannedOrders[Part Name],$A951,T_PlannedOrders[WeekIndex],82)&amp;" ("&amp;TEXT(SUMPRODUCT(MAX((T_PlannedOrders[Part Name]=$A951)*(T_PlannedOrders[WeekIndex]=82)*(T_PlannedOrders[EffectiveQty]&gt;0)*T_PlannedOrders[Order_Month])),"m月")&amp;"発注)")</f>
        <v/>
      </c>
      <c r="CH961">
        <f>IF(SUMIFS(T_PlannedOrders[EffectiveQty],T_PlannedOrders[Part Name],$A951,T_PlannedOrders[WeekIndex],83)=0,"",SUMIFS(T_PlannedOrders[EffectiveQty],T_PlannedOrders[Part Name],$A951,T_PlannedOrders[WeekIndex],83)&amp;" ("&amp;TEXT(SUMPRODUCT(MAX((T_PlannedOrders[Part Name]=$A951)*(T_PlannedOrders[WeekIndex]=83)*(T_PlannedOrders[EffectiveQty]&gt;0)*T_PlannedOrders[Order_Month])),"m月")&amp;"発注)")</f>
        <v/>
      </c>
      <c r="CI961">
        <f>IF(SUMIFS(T_PlannedOrders[EffectiveQty],T_PlannedOrders[Part Name],$A951,T_PlannedOrders[WeekIndex],84)=0,"",SUMIFS(T_PlannedOrders[EffectiveQty],T_PlannedOrders[Part Name],$A951,T_PlannedOrders[WeekIndex],84)&amp;" ("&amp;TEXT(SUMPRODUCT(MAX((T_PlannedOrders[Part Name]=$A951)*(T_PlannedOrders[WeekIndex]=84)*(T_PlannedOrders[EffectiveQty]&gt;0)*T_PlannedOrders[Order_Month])),"m月")&amp;"発注)")</f>
        <v/>
      </c>
      <c r="CJ961">
        <f>IF(SUMIFS(T_PlannedOrders[EffectiveQty],T_PlannedOrders[Part Name],$A951,T_PlannedOrders[WeekIndex],85)=0,"",SUMIFS(T_PlannedOrders[EffectiveQty],T_PlannedOrders[Part Name],$A951,T_PlannedOrders[WeekIndex],85)&amp;" ("&amp;TEXT(SUMPRODUCT(MAX((T_PlannedOrders[Part Name]=$A951)*(T_PlannedOrders[WeekIndex]=85)*(T_PlannedOrders[EffectiveQty]&gt;0)*T_PlannedOrders[Order_Month])),"m月")&amp;"発注)")</f>
        <v/>
      </c>
      <c r="CK961">
        <f>IF(SUMIFS(T_PlannedOrders[EffectiveQty],T_PlannedOrders[Part Name],$A951,T_PlannedOrders[WeekIndex],86)=0,"",SUMIFS(T_PlannedOrders[EffectiveQty],T_PlannedOrders[Part Name],$A951,T_PlannedOrders[WeekIndex],86)&amp;" ("&amp;TEXT(SUMPRODUCT(MAX((T_PlannedOrders[Part Name]=$A951)*(T_PlannedOrders[WeekIndex]=86)*(T_PlannedOrders[EffectiveQty]&gt;0)*T_PlannedOrders[Order_Month])),"m月")&amp;"発注)")</f>
        <v/>
      </c>
      <c r="CL961">
        <f>IF(SUMIFS(T_PlannedOrders[EffectiveQty],T_PlannedOrders[Part Name],$A951,T_PlannedOrders[WeekIndex],87)=0,"",SUMIFS(T_PlannedOrders[EffectiveQty],T_PlannedOrders[Part Name],$A951,T_PlannedOrders[WeekIndex],87)&amp;" ("&amp;TEXT(SUMPRODUCT(MAX((T_PlannedOrders[Part Name]=$A951)*(T_PlannedOrders[WeekIndex]=87)*(T_PlannedOrders[EffectiveQty]&gt;0)*T_PlannedOrders[Order_Month])),"m月")&amp;"発注)")</f>
        <v/>
      </c>
      <c r="CM961">
        <f>IF(SUMIFS(T_PlannedOrders[EffectiveQty],T_PlannedOrders[Part Name],$A951,T_PlannedOrders[WeekIndex],88)=0,"",SUMIFS(T_PlannedOrders[EffectiveQty],T_PlannedOrders[Part Name],$A951,T_PlannedOrders[WeekIndex],88)&amp;" ("&amp;TEXT(SUMPRODUCT(MAX((T_PlannedOrders[Part Name]=$A951)*(T_PlannedOrders[WeekIndex]=88)*(T_PlannedOrders[EffectiveQty]&gt;0)*T_PlannedOrders[Order_Month])),"m月")&amp;"発注)")</f>
        <v/>
      </c>
      <c r="CN961">
        <f>IF(SUMIFS(T_PlannedOrders[EffectiveQty],T_PlannedOrders[Part Name],$A951,T_PlannedOrders[WeekIndex],89)=0,"",SUMIFS(T_PlannedOrders[EffectiveQty],T_PlannedOrders[Part Name],$A951,T_PlannedOrders[WeekIndex],89)&amp;" ("&amp;TEXT(SUMPRODUCT(MAX((T_PlannedOrders[Part Name]=$A951)*(T_PlannedOrders[WeekIndex]=89)*(T_PlannedOrders[EffectiveQty]&gt;0)*T_PlannedOrders[Order_Month])),"m月")&amp;"発注)")</f>
        <v/>
      </c>
      <c r="CO961">
        <f>IF(SUMIFS(T_PlannedOrders[EffectiveQty],T_PlannedOrders[Part Name],$A951,T_PlannedOrders[WeekIndex],90)=0,"",SUMIFS(T_PlannedOrders[EffectiveQty],T_PlannedOrders[Part Name],$A951,T_PlannedOrders[WeekIndex],90)&amp;" ("&amp;TEXT(SUMPRODUCT(MAX((T_PlannedOrders[Part Name]=$A951)*(T_PlannedOrders[WeekIndex]=90)*(T_PlannedOrders[EffectiveQty]&gt;0)*T_PlannedOrders[Order_Month])),"m月")&amp;"発注)")</f>
        <v/>
      </c>
      <c r="CP961">
        <f>IF(SUMIFS(T_PlannedOrders[EffectiveQty],T_PlannedOrders[Part Name],$A951,T_PlannedOrders[WeekIndex],91)=0,"",SUMIFS(T_PlannedOrders[EffectiveQty],T_PlannedOrders[Part Name],$A951,T_PlannedOrders[WeekIndex],91)&amp;" ("&amp;TEXT(SUMPRODUCT(MAX((T_PlannedOrders[Part Name]=$A951)*(T_PlannedOrders[WeekIndex]=91)*(T_PlannedOrders[EffectiveQty]&gt;0)*T_PlannedOrders[Order_Month])),"m月")&amp;"発注)")</f>
        <v/>
      </c>
      <c r="CQ961">
        <f>IF(SUMIFS(T_PlannedOrders[EffectiveQty],T_PlannedOrders[Part Name],$A951,T_PlannedOrders[WeekIndex],92)=0,"",SUMIFS(T_PlannedOrders[EffectiveQty],T_PlannedOrders[Part Name],$A951,T_PlannedOrders[WeekIndex],92)&amp;" ("&amp;TEXT(SUMPRODUCT(MAX((T_PlannedOrders[Part Name]=$A951)*(T_PlannedOrders[WeekIndex]=92)*(T_PlannedOrders[EffectiveQty]&gt;0)*T_PlannedOrders[Order_Month])),"m月")&amp;"発注)")</f>
        <v/>
      </c>
      <c r="CR961">
        <f>IF(SUMIFS(T_PlannedOrders[EffectiveQty],T_PlannedOrders[Part Name],$A951,T_PlannedOrders[WeekIndex],93)=0,"",SUMIFS(T_PlannedOrders[EffectiveQty],T_PlannedOrders[Part Name],$A951,T_PlannedOrders[WeekIndex],93)&amp;" ("&amp;TEXT(SUMPRODUCT(MAX((T_PlannedOrders[Part Name]=$A951)*(T_PlannedOrders[WeekIndex]=93)*(T_PlannedOrders[EffectiveQty]&gt;0)*T_PlannedOrders[Order_Month])),"m月")&amp;"発注)")</f>
        <v/>
      </c>
      <c r="CS961">
        <f>IF(SUMIFS(T_PlannedOrders[EffectiveQty],T_PlannedOrders[Part Name],$A951,T_PlannedOrders[WeekIndex],94)=0,"",SUMIFS(T_PlannedOrders[EffectiveQty],T_PlannedOrders[Part Name],$A951,T_PlannedOrders[WeekIndex],94)&amp;" ("&amp;TEXT(SUMPRODUCT(MAX((T_PlannedOrders[Part Name]=$A951)*(T_PlannedOrders[WeekIndex]=94)*(T_PlannedOrders[EffectiveQty]&gt;0)*T_PlannedOrders[Order_Month])),"m月")&amp;"発注)")</f>
        <v/>
      </c>
      <c r="CT961">
        <f>IF(SUMIFS(T_PlannedOrders[EffectiveQty],T_PlannedOrders[Part Name],$A951,T_PlannedOrders[WeekIndex],95)=0,"",SUMIFS(T_PlannedOrders[EffectiveQty],T_PlannedOrders[Part Name],$A951,T_PlannedOrders[WeekIndex],95)&amp;" ("&amp;TEXT(SUMPRODUCT(MAX((T_PlannedOrders[Part Name]=$A951)*(T_PlannedOrders[WeekIndex]=95)*(T_PlannedOrders[EffectiveQty]&gt;0)*T_PlannedOrders[Order_Month])),"m月")&amp;"発注)")</f>
        <v/>
      </c>
      <c r="CU961">
        <f>IF(SUMIFS(T_PlannedOrders[EffectiveQty],T_PlannedOrders[Part Name],$A951,T_PlannedOrders[WeekIndex],96)=0,"",SUMIFS(T_PlannedOrders[EffectiveQty],T_PlannedOrders[Part Name],$A951,T_PlannedOrders[WeekIndex],96)&amp;" ("&amp;TEXT(SUMPRODUCT(MAX((T_PlannedOrders[Part Name]=$A951)*(T_PlannedOrders[WeekIndex]=96)*(T_PlannedOrders[EffectiveQty]&gt;0)*T_PlannedOrders[Order_Month])),"m月")&amp;"発注)")</f>
        <v/>
      </c>
      <c r="CV961">
        <f>IF(SUMIFS(T_PlannedOrders[EffectiveQty],T_PlannedOrders[Part Name],$A951,T_PlannedOrders[WeekIndex],97)=0,"",SUMIFS(T_PlannedOrders[EffectiveQty],T_PlannedOrders[Part Name],$A951,T_PlannedOrders[WeekIndex],97)&amp;" ("&amp;TEXT(SUMPRODUCT(MAX((T_PlannedOrders[Part Name]=$A951)*(T_PlannedOrders[WeekIndex]=97)*(T_PlannedOrders[EffectiveQty]&gt;0)*T_PlannedOrders[Order_Month])),"m月")&amp;"発注)")</f>
        <v/>
      </c>
      <c r="CW961">
        <f>IF(SUMIFS(T_PlannedOrders[EffectiveQty],T_PlannedOrders[Part Name],$A951,T_PlannedOrders[WeekIndex],98)=0,"",SUMIFS(T_PlannedOrders[EffectiveQty],T_PlannedOrders[Part Name],$A951,T_PlannedOrders[WeekIndex],98)&amp;" ("&amp;TEXT(SUMPRODUCT(MAX((T_PlannedOrders[Part Name]=$A951)*(T_PlannedOrders[WeekIndex]=98)*(T_PlannedOrders[EffectiveQty]&gt;0)*T_PlannedOrders[Order_Month])),"m月")&amp;"発注)")</f>
        <v/>
      </c>
      <c r="CX961">
        <f>IF(SUMIFS(T_PlannedOrders[EffectiveQty],T_PlannedOrders[Part Name],$A951,T_PlannedOrders[WeekIndex],99)=0,"",SUMIFS(T_PlannedOrders[EffectiveQty],T_PlannedOrders[Part Name],$A951,T_PlannedOrders[WeekIndex],99)&amp;" ("&amp;TEXT(SUMPRODUCT(MAX((T_PlannedOrders[Part Name]=$A951)*(T_PlannedOrders[WeekIndex]=99)*(T_PlannedOrders[EffectiveQty]&gt;0)*T_PlannedOrders[Order_Month])),"m月")&amp;"発注)")</f>
        <v/>
      </c>
      <c r="CY961">
        <f>IF(SUMIFS(T_PlannedOrders[EffectiveQty],T_PlannedOrders[Part Name],$A951,T_PlannedOrders[WeekIndex],100)=0,"",SUMIFS(T_PlannedOrders[EffectiveQty],T_PlannedOrders[Part Name],$A951,T_PlannedOrders[WeekIndex],100)&amp;" ("&amp;TEXT(SUMPRODUCT(MAX((T_PlannedOrders[Part Name]=$A951)*(T_PlannedOrders[WeekIndex]=100)*(T_PlannedOrders[EffectiveQty]&gt;0)*T_PlannedOrders[Order_Month])),"m月")&amp;"発注)")</f>
        <v/>
      </c>
      <c r="CZ961">
        <f>IF(SUMIFS(T_PlannedOrders[EffectiveQty],T_PlannedOrders[Part Name],$A951,T_PlannedOrders[WeekIndex],101)=0,"",SUMIFS(T_PlannedOrders[EffectiveQty],T_PlannedOrders[Part Name],$A951,T_PlannedOrders[WeekIndex],101)&amp;" ("&amp;TEXT(SUMPRODUCT(MAX((T_PlannedOrders[Part Name]=$A951)*(T_PlannedOrders[WeekIndex]=101)*(T_PlannedOrders[EffectiveQty]&gt;0)*T_PlannedOrders[Order_Month])),"m月")&amp;"発注)")</f>
        <v/>
      </c>
      <c r="DA961">
        <f>IF(SUMIFS(T_PlannedOrders[EffectiveQty],T_PlannedOrders[Part Name],$A951,T_PlannedOrders[WeekIndex],102)=0,"",SUMIFS(T_PlannedOrders[EffectiveQty],T_PlannedOrders[Part Name],$A951,T_PlannedOrders[WeekIndex],102)&amp;" ("&amp;TEXT(SUMPRODUCT(MAX((T_PlannedOrders[Part Name]=$A951)*(T_PlannedOrders[WeekIndex]=102)*(T_PlannedOrders[EffectiveQty]&gt;0)*T_PlannedOrders[Order_Month])),"m月")&amp;"発注)")</f>
        <v/>
      </c>
      <c r="DB961">
        <f>IF(SUMIFS(T_PlannedOrders[EffectiveQty],T_PlannedOrders[Part Name],$A951,T_PlannedOrders[WeekIndex],103)=0,"",SUMIFS(T_PlannedOrders[EffectiveQty],T_PlannedOrders[Part Name],$A951,T_PlannedOrders[WeekIndex],103)&amp;" ("&amp;TEXT(SUMPRODUCT(MAX((T_PlannedOrders[Part Name]=$A951)*(T_PlannedOrders[WeekIndex]=103)*(T_PlannedOrders[EffectiveQty]&gt;0)*T_PlannedOrders[Order_Month])),"m月")&amp;"発注)")</f>
        <v/>
      </c>
      <c r="DC961">
        <f>IF(SUMIFS(T_PlannedOrders[EffectiveQty],T_PlannedOrders[Part Name],$A951,T_PlannedOrders[WeekIndex],104)=0,"",SUMIFS(T_PlannedOrders[EffectiveQty],T_PlannedOrders[Part Name],$A951,T_PlannedOrders[WeekIndex],104)&amp;" ("&amp;TEXT(SUMPRODUCT(MAX((T_PlannedOrders[Part Name]=$A951)*(T_PlannedOrders[WeekIndex]=104)*(T_PlannedOrders[EffectiveQty]&gt;0)*T_PlannedOrders[Order_Month])),"m月")&amp;"発注)")</f>
        <v/>
      </c>
    </row>
    <row r="962">
      <c r="B962" s="5" t="inlineStr">
        <is>
          <t>合計在庫(週末時点,kg)</t>
        </is>
      </c>
      <c r="D962">
        <f>'Grid_Stock'!B32</f>
        <v/>
      </c>
      <c r="E962">
        <f>'Grid_Stock'!C32</f>
        <v/>
      </c>
      <c r="F962">
        <f>'Grid_Stock'!D32</f>
        <v/>
      </c>
      <c r="G962">
        <f>'Grid_Stock'!E32</f>
        <v/>
      </c>
      <c r="H962">
        <f>'Grid_Stock'!F32</f>
        <v/>
      </c>
      <c r="I962">
        <f>'Grid_Stock'!G32</f>
        <v/>
      </c>
      <c r="J962">
        <f>'Grid_Stock'!H32</f>
        <v/>
      </c>
      <c r="K962">
        <f>'Grid_Stock'!I32</f>
        <v/>
      </c>
      <c r="L962">
        <f>'Grid_Stock'!J32</f>
        <v/>
      </c>
      <c r="M962">
        <f>'Grid_Stock'!K32</f>
        <v/>
      </c>
      <c r="N962">
        <f>'Grid_Stock'!L32</f>
        <v/>
      </c>
      <c r="O962">
        <f>'Grid_Stock'!M32</f>
        <v/>
      </c>
      <c r="P962">
        <f>'Grid_Stock'!N32</f>
        <v/>
      </c>
      <c r="Q962">
        <f>'Grid_Stock'!O32</f>
        <v/>
      </c>
      <c r="R962">
        <f>'Grid_Stock'!P32</f>
        <v/>
      </c>
      <c r="S962">
        <f>'Grid_Stock'!Q32</f>
        <v/>
      </c>
      <c r="T962">
        <f>'Grid_Stock'!R32</f>
        <v/>
      </c>
      <c r="U962">
        <f>'Grid_Stock'!S32</f>
        <v/>
      </c>
      <c r="V962">
        <f>'Grid_Stock'!T32</f>
        <v/>
      </c>
      <c r="W962">
        <f>'Grid_Stock'!U32</f>
        <v/>
      </c>
      <c r="X962">
        <f>'Grid_Stock'!V32</f>
        <v/>
      </c>
      <c r="Y962">
        <f>'Grid_Stock'!W32</f>
        <v/>
      </c>
      <c r="Z962">
        <f>'Grid_Stock'!X32</f>
        <v/>
      </c>
      <c r="AA962">
        <f>'Grid_Stock'!Y32</f>
        <v/>
      </c>
      <c r="AB962">
        <f>'Grid_Stock'!Z32</f>
        <v/>
      </c>
      <c r="AC962">
        <f>'Grid_Stock'!AA32</f>
        <v/>
      </c>
      <c r="AD962">
        <f>'Grid_Stock'!AB32</f>
        <v/>
      </c>
      <c r="AE962">
        <f>'Grid_Stock'!AC32</f>
        <v/>
      </c>
      <c r="AF962">
        <f>'Grid_Stock'!AD32</f>
        <v/>
      </c>
      <c r="AG962">
        <f>'Grid_Stock'!AE32</f>
        <v/>
      </c>
      <c r="AH962">
        <f>'Grid_Stock'!AF32</f>
        <v/>
      </c>
      <c r="AI962">
        <f>'Grid_Stock'!AG32</f>
        <v/>
      </c>
      <c r="AJ962">
        <f>'Grid_Stock'!AH32</f>
        <v/>
      </c>
      <c r="AK962">
        <f>'Grid_Stock'!AI32</f>
        <v/>
      </c>
      <c r="AL962">
        <f>'Grid_Stock'!AJ32</f>
        <v/>
      </c>
      <c r="AM962">
        <f>'Grid_Stock'!AK32</f>
        <v/>
      </c>
      <c r="AN962">
        <f>'Grid_Stock'!AL32</f>
        <v/>
      </c>
      <c r="AO962">
        <f>'Grid_Stock'!AM32</f>
        <v/>
      </c>
      <c r="AP962">
        <f>'Grid_Stock'!AN32</f>
        <v/>
      </c>
      <c r="AQ962">
        <f>'Grid_Stock'!AO32</f>
        <v/>
      </c>
      <c r="AR962">
        <f>'Grid_Stock'!AP32</f>
        <v/>
      </c>
      <c r="AS962">
        <f>'Grid_Stock'!AQ32</f>
        <v/>
      </c>
      <c r="AT962">
        <f>'Grid_Stock'!AR32</f>
        <v/>
      </c>
      <c r="AU962">
        <f>'Grid_Stock'!AS32</f>
        <v/>
      </c>
      <c r="AV962">
        <f>'Grid_Stock'!AT32</f>
        <v/>
      </c>
      <c r="AW962">
        <f>'Grid_Stock'!AU32</f>
        <v/>
      </c>
      <c r="AX962">
        <f>'Grid_Stock'!AV32</f>
        <v/>
      </c>
      <c r="AY962">
        <f>'Grid_Stock'!AW32</f>
        <v/>
      </c>
      <c r="AZ962">
        <f>'Grid_Stock'!AX32</f>
        <v/>
      </c>
      <c r="BA962">
        <f>'Grid_Stock'!AY32</f>
        <v/>
      </c>
      <c r="BB962">
        <f>'Grid_Stock'!AZ32</f>
        <v/>
      </c>
      <c r="BC962">
        <f>'Grid_Stock'!BA32</f>
        <v/>
      </c>
      <c r="BD962">
        <f>'Grid_Stock'!BB32</f>
        <v/>
      </c>
      <c r="BE962">
        <f>'Grid_Stock'!BC32</f>
        <v/>
      </c>
      <c r="BF962">
        <f>'Grid_Stock'!BD32</f>
        <v/>
      </c>
      <c r="BG962">
        <f>'Grid_Stock'!BE32</f>
        <v/>
      </c>
      <c r="BH962">
        <f>'Grid_Stock'!BF32</f>
        <v/>
      </c>
      <c r="BI962">
        <f>'Grid_Stock'!BG32</f>
        <v/>
      </c>
      <c r="BJ962">
        <f>'Grid_Stock'!BH32</f>
        <v/>
      </c>
      <c r="BK962">
        <f>'Grid_Stock'!BI32</f>
        <v/>
      </c>
      <c r="BL962">
        <f>'Grid_Stock'!BJ32</f>
        <v/>
      </c>
      <c r="BM962">
        <f>'Grid_Stock'!BK32</f>
        <v/>
      </c>
      <c r="BN962">
        <f>'Grid_Stock'!BL32</f>
        <v/>
      </c>
      <c r="BO962">
        <f>'Grid_Stock'!BM32</f>
        <v/>
      </c>
      <c r="BP962">
        <f>'Grid_Stock'!BN32</f>
        <v/>
      </c>
      <c r="BQ962">
        <f>'Grid_Stock'!BO32</f>
        <v/>
      </c>
      <c r="BR962">
        <f>'Grid_Stock'!BP32</f>
        <v/>
      </c>
      <c r="BS962">
        <f>'Grid_Stock'!BQ32</f>
        <v/>
      </c>
      <c r="BT962">
        <f>'Grid_Stock'!BR32</f>
        <v/>
      </c>
      <c r="BU962">
        <f>'Grid_Stock'!BS32</f>
        <v/>
      </c>
      <c r="BV962">
        <f>'Grid_Stock'!BT32</f>
        <v/>
      </c>
      <c r="BW962">
        <f>'Grid_Stock'!BU32</f>
        <v/>
      </c>
      <c r="BX962">
        <f>'Grid_Stock'!BV32</f>
        <v/>
      </c>
      <c r="BY962">
        <f>'Grid_Stock'!BW32</f>
        <v/>
      </c>
      <c r="BZ962">
        <f>'Grid_Stock'!BX32</f>
        <v/>
      </c>
      <c r="CA962">
        <f>'Grid_Stock'!BY32</f>
        <v/>
      </c>
      <c r="CB962">
        <f>'Grid_Stock'!BZ32</f>
        <v/>
      </c>
      <c r="CC962">
        <f>'Grid_Stock'!CA32</f>
        <v/>
      </c>
      <c r="CD962">
        <f>'Grid_Stock'!CB32</f>
        <v/>
      </c>
      <c r="CE962">
        <f>'Grid_Stock'!CC32</f>
        <v/>
      </c>
      <c r="CF962">
        <f>'Grid_Stock'!CD32</f>
        <v/>
      </c>
      <c r="CG962">
        <f>'Grid_Stock'!CE32</f>
        <v/>
      </c>
      <c r="CH962">
        <f>'Grid_Stock'!CF32</f>
        <v/>
      </c>
      <c r="CI962">
        <f>'Grid_Stock'!CG32</f>
        <v/>
      </c>
      <c r="CJ962">
        <f>'Grid_Stock'!CH32</f>
        <v/>
      </c>
      <c r="CK962">
        <f>'Grid_Stock'!CI32</f>
        <v/>
      </c>
      <c r="CL962">
        <f>'Grid_Stock'!CJ32</f>
        <v/>
      </c>
      <c r="CM962">
        <f>'Grid_Stock'!CK32</f>
        <v/>
      </c>
      <c r="CN962">
        <f>'Grid_Stock'!CL32</f>
        <v/>
      </c>
      <c r="CO962">
        <f>'Grid_Stock'!CM32</f>
        <v/>
      </c>
      <c r="CP962">
        <f>'Grid_Stock'!CN32</f>
        <v/>
      </c>
      <c r="CQ962">
        <f>'Grid_Stock'!CO32</f>
        <v/>
      </c>
      <c r="CR962">
        <f>'Grid_Stock'!CP32</f>
        <v/>
      </c>
      <c r="CS962">
        <f>'Grid_Stock'!CQ32</f>
        <v/>
      </c>
      <c r="CT962">
        <f>'Grid_Stock'!CR32</f>
        <v/>
      </c>
      <c r="CU962">
        <f>'Grid_Stock'!CS32</f>
        <v/>
      </c>
      <c r="CV962">
        <f>'Grid_Stock'!CT32</f>
        <v/>
      </c>
      <c r="CW962">
        <f>'Grid_Stock'!CU32</f>
        <v/>
      </c>
      <c r="CX962">
        <f>'Grid_Stock'!CV32</f>
        <v/>
      </c>
      <c r="CY962">
        <f>'Grid_Stock'!CW32</f>
        <v/>
      </c>
      <c r="CZ962">
        <f>'Grid_Stock'!CX32</f>
        <v/>
      </c>
      <c r="DA962">
        <f>'Grid_Stock'!CY32</f>
        <v/>
      </c>
      <c r="DB962">
        <f>'Grid_Stock'!CZ32</f>
        <v/>
      </c>
      <c r="DC962">
        <f>'Grid_Stock'!DA32</f>
        <v/>
      </c>
    </row>
    <row r="963">
      <c r="B963" s="23" t="inlineStr">
        <is>
          <t>（発注の目安はDashboardの基準在庫[下限/上限]と色分けを参照）</t>
        </is>
      </c>
    </row>
    <row r="965">
      <c r="A965" s="21" t="inlineStr">
        <is>
          <t>CHEM-1580</t>
        </is>
      </c>
      <c r="B965" s="21" t="inlineStr">
        <is>
          <t>Barium Acetate</t>
        </is>
      </c>
      <c r="C965" s="22" t="n"/>
      <c r="D965" s="21" t="n"/>
      <c r="E965" s="21" t="n"/>
      <c r="F965" s="21" t="n"/>
      <c r="G965" s="21" t="n"/>
      <c r="H965" s="2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  <c r="AA965" s="21" t="n"/>
      <c r="AB965" s="21" t="n"/>
      <c r="AC965" s="21" t="n"/>
      <c r="AD965" s="21" t="n"/>
      <c r="AE965" s="21" t="n"/>
      <c r="AF965" s="21" t="n"/>
      <c r="AG965" s="21" t="n"/>
      <c r="AH965" s="21" t="n"/>
      <c r="AI965" s="21" t="n"/>
      <c r="AJ965" s="21" t="n"/>
      <c r="AK965" s="21" t="n"/>
      <c r="AL965" s="21" t="n"/>
      <c r="AM965" s="21" t="n"/>
      <c r="AN965" s="21" t="n"/>
      <c r="AO965" s="21" t="n"/>
      <c r="AP965" s="21" t="n"/>
      <c r="AQ965" s="21" t="n"/>
      <c r="AR965" s="21" t="n"/>
      <c r="AS965" s="21" t="n"/>
      <c r="AT965" s="21" t="n"/>
      <c r="AU965" s="21" t="n"/>
      <c r="AV965" s="21" t="n"/>
      <c r="AW965" s="21" t="n"/>
      <c r="AX965" s="21" t="n"/>
      <c r="AY965" s="21" t="n"/>
      <c r="AZ965" s="21" t="n"/>
      <c r="BA965" s="21" t="n"/>
      <c r="BB965" s="21" t="n"/>
      <c r="BC965" s="21" t="n"/>
      <c r="BD965" s="21" t="n"/>
      <c r="BE965" s="21" t="n"/>
      <c r="BF965" s="21" t="n"/>
      <c r="BG965" s="21" t="n"/>
      <c r="BH965" s="21" t="n"/>
      <c r="BI965" s="21" t="n"/>
      <c r="BJ965" s="21" t="n"/>
      <c r="BK965" s="21" t="n"/>
      <c r="BL965" s="21" t="n"/>
      <c r="BM965" s="21" t="n"/>
      <c r="BN965" s="21" t="n"/>
      <c r="BO965" s="21" t="n"/>
      <c r="BP965" s="21" t="n"/>
      <c r="BQ965" s="21" t="n"/>
      <c r="BR965" s="21" t="n"/>
      <c r="BS965" s="21" t="n"/>
      <c r="BT965" s="21" t="n"/>
      <c r="BU965" s="21" t="n"/>
      <c r="BV965" s="21" t="n"/>
      <c r="BW965" s="21" t="n"/>
      <c r="BX965" s="21" t="n"/>
      <c r="BY965" s="21" t="n"/>
      <c r="BZ965" s="21" t="n"/>
      <c r="CA965" s="21" t="n"/>
      <c r="CB965" s="21" t="n"/>
      <c r="CC965" s="21" t="n"/>
      <c r="CD965" s="21" t="n"/>
      <c r="CE965" s="21" t="n"/>
      <c r="CF965" s="21" t="n"/>
      <c r="CG965" s="21" t="n"/>
      <c r="CH965" s="21" t="n"/>
      <c r="CI965" s="21" t="n"/>
      <c r="CJ965" s="21" t="n"/>
      <c r="CK965" s="21" t="n"/>
      <c r="CL965" s="21" t="n"/>
      <c r="CM965" s="21" t="n"/>
      <c r="CN965" s="21" t="n"/>
      <c r="CO965" s="21" t="n"/>
      <c r="CP965" s="21" t="n"/>
      <c r="CQ965" s="21" t="n"/>
      <c r="CR965" s="21" t="n"/>
      <c r="CS965" s="21" t="n"/>
      <c r="CT965" s="21" t="n"/>
      <c r="CU965" s="21" t="n"/>
      <c r="CV965" s="21" t="n"/>
      <c r="CW965" s="21" t="n"/>
      <c r="CX965" s="21" t="n"/>
      <c r="CY965" s="21" t="n"/>
      <c r="CZ965" s="21" t="n"/>
      <c r="DA965" s="21" t="n"/>
      <c r="DB965" s="21" t="n"/>
      <c r="DC965" s="21" t="n"/>
    </row>
    <row r="966">
      <c r="B966" t="inlineStr">
        <is>
          <t>TSP-360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Name],$A965)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TSP-367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Name],$A965)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TSP-544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Name],$A965)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TSP-710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Name],$A965)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s="5" t="inlineStr">
        <is>
          <t>合計使用量(kg)/週</t>
        </is>
      </c>
      <c r="D974">
        <f>'Grid_Requirement'!B6</f>
        <v/>
      </c>
      <c r="E974">
        <f>'Grid_Requirement'!C6</f>
        <v/>
      </c>
      <c r="F974">
        <f>'Grid_Requirement'!D6</f>
        <v/>
      </c>
      <c r="G974">
        <f>'Grid_Requirement'!E6</f>
        <v/>
      </c>
      <c r="H974">
        <f>'Grid_Requirement'!F6</f>
        <v/>
      </c>
      <c r="I974">
        <f>'Grid_Requirement'!G6</f>
        <v/>
      </c>
      <c r="J974">
        <f>'Grid_Requirement'!H6</f>
        <v/>
      </c>
      <c r="K974">
        <f>'Grid_Requirement'!I6</f>
        <v/>
      </c>
      <c r="L974">
        <f>'Grid_Requirement'!J6</f>
        <v/>
      </c>
      <c r="M974">
        <f>'Grid_Requirement'!K6</f>
        <v/>
      </c>
      <c r="N974">
        <f>'Grid_Requirement'!L6</f>
        <v/>
      </c>
      <c r="O974">
        <f>'Grid_Requirement'!M6</f>
        <v/>
      </c>
      <c r="P974">
        <f>'Grid_Requirement'!N6</f>
        <v/>
      </c>
      <c r="Q974">
        <f>'Grid_Requirement'!O6</f>
        <v/>
      </c>
      <c r="R974">
        <f>'Grid_Requirement'!P6</f>
        <v/>
      </c>
      <c r="S974">
        <f>'Grid_Requirement'!Q6</f>
        <v/>
      </c>
      <c r="T974">
        <f>'Grid_Requirement'!R6</f>
        <v/>
      </c>
      <c r="U974">
        <f>'Grid_Requirement'!S6</f>
        <v/>
      </c>
      <c r="V974">
        <f>'Grid_Requirement'!T6</f>
        <v/>
      </c>
      <c r="W974">
        <f>'Grid_Requirement'!U6</f>
        <v/>
      </c>
      <c r="X974">
        <f>'Grid_Requirement'!V6</f>
        <v/>
      </c>
      <c r="Y974">
        <f>'Grid_Requirement'!W6</f>
        <v/>
      </c>
      <c r="Z974">
        <f>'Grid_Requirement'!X6</f>
        <v/>
      </c>
      <c r="AA974">
        <f>'Grid_Requirement'!Y6</f>
        <v/>
      </c>
      <c r="AB974">
        <f>'Grid_Requirement'!Z6</f>
        <v/>
      </c>
      <c r="AC974">
        <f>'Grid_Requirement'!AA6</f>
        <v/>
      </c>
      <c r="AD974">
        <f>'Grid_Requirement'!AB6</f>
        <v/>
      </c>
      <c r="AE974">
        <f>'Grid_Requirement'!AC6</f>
        <v/>
      </c>
      <c r="AF974">
        <f>'Grid_Requirement'!AD6</f>
        <v/>
      </c>
      <c r="AG974">
        <f>'Grid_Requirement'!AE6</f>
        <v/>
      </c>
      <c r="AH974">
        <f>'Grid_Requirement'!AF6</f>
        <v/>
      </c>
      <c r="AI974">
        <f>'Grid_Requirement'!AG6</f>
        <v/>
      </c>
      <c r="AJ974">
        <f>'Grid_Requirement'!AH6</f>
        <v/>
      </c>
      <c r="AK974">
        <f>'Grid_Requirement'!AI6</f>
        <v/>
      </c>
      <c r="AL974">
        <f>'Grid_Requirement'!AJ6</f>
        <v/>
      </c>
      <c r="AM974">
        <f>'Grid_Requirement'!AK6</f>
        <v/>
      </c>
      <c r="AN974">
        <f>'Grid_Requirement'!AL6</f>
        <v/>
      </c>
      <c r="AO974">
        <f>'Grid_Requirement'!AM6</f>
        <v/>
      </c>
      <c r="AP974">
        <f>'Grid_Requirement'!AN6</f>
        <v/>
      </c>
      <c r="AQ974">
        <f>'Grid_Requirement'!AO6</f>
        <v/>
      </c>
      <c r="AR974">
        <f>'Grid_Requirement'!AP6</f>
        <v/>
      </c>
      <c r="AS974">
        <f>'Grid_Requirement'!AQ6</f>
        <v/>
      </c>
      <c r="AT974">
        <f>'Grid_Requirement'!AR6</f>
        <v/>
      </c>
      <c r="AU974">
        <f>'Grid_Requirement'!AS6</f>
        <v/>
      </c>
      <c r="AV974">
        <f>'Grid_Requirement'!AT6</f>
        <v/>
      </c>
      <c r="AW974">
        <f>'Grid_Requirement'!AU6</f>
        <v/>
      </c>
      <c r="AX974">
        <f>'Grid_Requirement'!AV6</f>
        <v/>
      </c>
      <c r="AY974">
        <f>'Grid_Requirement'!AW6</f>
        <v/>
      </c>
      <c r="AZ974">
        <f>'Grid_Requirement'!AX6</f>
        <v/>
      </c>
      <c r="BA974">
        <f>'Grid_Requirement'!AY6</f>
        <v/>
      </c>
      <c r="BB974">
        <f>'Grid_Requirement'!AZ6</f>
        <v/>
      </c>
      <c r="BC974">
        <f>'Grid_Requirement'!BA6</f>
        <v/>
      </c>
      <c r="BD974">
        <f>'Grid_Requirement'!BB6</f>
        <v/>
      </c>
      <c r="BE974">
        <f>'Grid_Requirement'!BC6</f>
        <v/>
      </c>
      <c r="BF974">
        <f>'Grid_Requirement'!BD6</f>
        <v/>
      </c>
      <c r="BG974">
        <f>'Grid_Requirement'!BE6</f>
        <v/>
      </c>
      <c r="BH974">
        <f>'Grid_Requirement'!BF6</f>
        <v/>
      </c>
      <c r="BI974">
        <f>'Grid_Requirement'!BG6</f>
        <v/>
      </c>
      <c r="BJ974">
        <f>'Grid_Requirement'!BH6</f>
        <v/>
      </c>
      <c r="BK974">
        <f>'Grid_Requirement'!BI6</f>
        <v/>
      </c>
      <c r="BL974">
        <f>'Grid_Requirement'!BJ6</f>
        <v/>
      </c>
      <c r="BM974">
        <f>'Grid_Requirement'!BK6</f>
        <v/>
      </c>
      <c r="BN974">
        <f>'Grid_Requirement'!BL6</f>
        <v/>
      </c>
      <c r="BO974">
        <f>'Grid_Requirement'!BM6</f>
        <v/>
      </c>
      <c r="BP974">
        <f>'Grid_Requirement'!BN6</f>
        <v/>
      </c>
      <c r="BQ974">
        <f>'Grid_Requirement'!BO6</f>
        <v/>
      </c>
      <c r="BR974">
        <f>'Grid_Requirement'!BP6</f>
        <v/>
      </c>
      <c r="BS974">
        <f>'Grid_Requirement'!BQ6</f>
        <v/>
      </c>
      <c r="BT974">
        <f>'Grid_Requirement'!BR6</f>
        <v/>
      </c>
      <c r="BU974">
        <f>'Grid_Requirement'!BS6</f>
        <v/>
      </c>
      <c r="BV974">
        <f>'Grid_Requirement'!BT6</f>
        <v/>
      </c>
      <c r="BW974">
        <f>'Grid_Requirement'!BU6</f>
        <v/>
      </c>
      <c r="BX974">
        <f>'Grid_Requirement'!BV6</f>
        <v/>
      </c>
      <c r="BY974">
        <f>'Grid_Requirement'!BW6</f>
        <v/>
      </c>
      <c r="BZ974">
        <f>'Grid_Requirement'!BX6</f>
        <v/>
      </c>
      <c r="CA974">
        <f>'Grid_Requirement'!BY6</f>
        <v/>
      </c>
      <c r="CB974">
        <f>'Grid_Requirement'!BZ6</f>
        <v/>
      </c>
      <c r="CC974">
        <f>'Grid_Requirement'!CA6</f>
        <v/>
      </c>
      <c r="CD974">
        <f>'Grid_Requirement'!CB6</f>
        <v/>
      </c>
      <c r="CE974">
        <f>'Grid_Requirement'!CC6</f>
        <v/>
      </c>
      <c r="CF974">
        <f>'Grid_Requirement'!CD6</f>
        <v/>
      </c>
      <c r="CG974">
        <f>'Grid_Requirement'!CE6</f>
        <v/>
      </c>
      <c r="CH974">
        <f>'Grid_Requirement'!CF6</f>
        <v/>
      </c>
      <c r="CI974">
        <f>'Grid_Requirement'!CG6</f>
        <v/>
      </c>
      <c r="CJ974">
        <f>'Grid_Requirement'!CH6</f>
        <v/>
      </c>
      <c r="CK974">
        <f>'Grid_Requirement'!CI6</f>
        <v/>
      </c>
      <c r="CL974">
        <f>'Grid_Requirement'!CJ6</f>
        <v/>
      </c>
      <c r="CM974">
        <f>'Grid_Requirement'!CK6</f>
        <v/>
      </c>
      <c r="CN974">
        <f>'Grid_Requirement'!CL6</f>
        <v/>
      </c>
      <c r="CO974">
        <f>'Grid_Requirement'!CM6</f>
        <v/>
      </c>
      <c r="CP974">
        <f>'Grid_Requirement'!CN6</f>
        <v/>
      </c>
      <c r="CQ974">
        <f>'Grid_Requirement'!CO6</f>
        <v/>
      </c>
      <c r="CR974">
        <f>'Grid_Requirement'!CP6</f>
        <v/>
      </c>
      <c r="CS974">
        <f>'Grid_Requirement'!CQ6</f>
        <v/>
      </c>
      <c r="CT974">
        <f>'Grid_Requirement'!CR6</f>
        <v/>
      </c>
      <c r="CU974">
        <f>'Grid_Requirement'!CS6</f>
        <v/>
      </c>
      <c r="CV974">
        <f>'Grid_Requirement'!CT6</f>
        <v/>
      </c>
      <c r="CW974">
        <f>'Grid_Requirement'!CU6</f>
        <v/>
      </c>
      <c r="CX974">
        <f>'Grid_Requirement'!CV6</f>
        <v/>
      </c>
      <c r="CY974">
        <f>'Grid_Requirement'!CW6</f>
        <v/>
      </c>
      <c r="CZ974">
        <f>'Grid_Requirement'!CX6</f>
        <v/>
      </c>
      <c r="DA974">
        <f>'Grid_Requirement'!CY6</f>
        <v/>
      </c>
      <c r="DB974">
        <f>'Grid_Requirement'!CZ6</f>
        <v/>
      </c>
      <c r="DC974">
        <f>'Grid_Requirement'!DA6</f>
        <v/>
      </c>
    </row>
    <row r="975">
      <c r="B975" t="inlineStr">
        <is>
          <t>TTAF在庫(実績,kg)</t>
        </is>
      </c>
      <c r="D975">
        <f>'T_TTAFStock'!B10</f>
        <v/>
      </c>
      <c r="E975">
        <f>'T_TTAFStock'!C10</f>
        <v/>
      </c>
      <c r="F975">
        <f>'T_TTAFStock'!D10</f>
        <v/>
      </c>
      <c r="G975">
        <f>'T_TTAFStock'!E10</f>
        <v/>
      </c>
      <c r="H975">
        <f>'T_TTAFStock'!F10</f>
        <v/>
      </c>
      <c r="I975">
        <f>'T_TTAFStock'!G10</f>
        <v/>
      </c>
      <c r="J975">
        <f>'T_TTAFStock'!H10</f>
        <v/>
      </c>
      <c r="K975">
        <f>'T_TTAFStock'!I10</f>
        <v/>
      </c>
      <c r="L975">
        <f>'T_TTAFStock'!J10</f>
        <v/>
      </c>
      <c r="M975">
        <f>'T_TTAFStock'!K10</f>
        <v/>
      </c>
      <c r="N975">
        <f>'T_TTAFStock'!L10</f>
        <v/>
      </c>
      <c r="O975">
        <f>'T_TTAFStock'!M10</f>
        <v/>
      </c>
      <c r="P975">
        <f>'T_TTAFStock'!N10</f>
        <v/>
      </c>
      <c r="Q975">
        <f>'T_TTAFStock'!O10</f>
        <v/>
      </c>
      <c r="R975">
        <f>'T_TTAFStock'!P10</f>
        <v/>
      </c>
      <c r="S975">
        <f>'T_TTAFStock'!Q10</f>
        <v/>
      </c>
      <c r="T975">
        <f>'T_TTAFStock'!R10</f>
        <v/>
      </c>
      <c r="U975">
        <f>'T_TTAFStock'!S10</f>
        <v/>
      </c>
      <c r="V975">
        <f>'T_TTAFStock'!T10</f>
        <v/>
      </c>
      <c r="W975">
        <f>'T_TTAFStock'!U10</f>
        <v/>
      </c>
      <c r="X975">
        <f>'T_TTAFStock'!V10</f>
        <v/>
      </c>
      <c r="Y975">
        <f>'T_TTAFStock'!W10</f>
        <v/>
      </c>
      <c r="Z975">
        <f>'T_TTAFStock'!X10</f>
        <v/>
      </c>
      <c r="AA975">
        <f>'T_TTAFStock'!Y10</f>
        <v/>
      </c>
      <c r="AB975">
        <f>'T_TTAFStock'!Z10</f>
        <v/>
      </c>
      <c r="AC975">
        <f>'T_TTAFStock'!AA10</f>
        <v/>
      </c>
      <c r="AD975">
        <f>'T_TTAFStock'!AB10</f>
        <v/>
      </c>
      <c r="AE975">
        <f>'T_TTAFStock'!AC10</f>
        <v/>
      </c>
      <c r="AF975">
        <f>'T_TTAFStock'!AD10</f>
        <v/>
      </c>
      <c r="AG975">
        <f>'T_TTAFStock'!AE10</f>
        <v/>
      </c>
      <c r="AH975">
        <f>'T_TTAFStock'!AF10</f>
        <v/>
      </c>
      <c r="AI975">
        <f>'T_TTAFStock'!AG10</f>
        <v/>
      </c>
      <c r="AJ975">
        <f>'T_TTAFStock'!AH10</f>
        <v/>
      </c>
      <c r="AK975">
        <f>'T_TTAFStock'!AI10</f>
        <v/>
      </c>
      <c r="AL975">
        <f>'T_TTAFStock'!AJ10</f>
        <v/>
      </c>
      <c r="AM975">
        <f>'T_TTAFStock'!AK10</f>
        <v/>
      </c>
      <c r="AN975">
        <f>'T_TTAFStock'!AL10</f>
        <v/>
      </c>
      <c r="AO975">
        <f>'T_TTAFStock'!AM10</f>
        <v/>
      </c>
      <c r="AP975">
        <f>'T_TTAFStock'!AN10</f>
        <v/>
      </c>
      <c r="AQ975">
        <f>'T_TTAFStock'!AO10</f>
        <v/>
      </c>
      <c r="AR975">
        <f>'T_TTAFStock'!AP10</f>
        <v/>
      </c>
      <c r="AS975">
        <f>'T_TTAFStock'!AQ10</f>
        <v/>
      </c>
      <c r="AT975">
        <f>'T_TTAFStock'!AR10</f>
        <v/>
      </c>
      <c r="AU975">
        <f>'T_TTAFStock'!AS10</f>
        <v/>
      </c>
      <c r="AV975">
        <f>'T_TTAFStock'!AT10</f>
        <v/>
      </c>
      <c r="AW975">
        <f>'T_TTAFStock'!AU10</f>
        <v/>
      </c>
      <c r="AX975">
        <f>'T_TTAFStock'!AV10</f>
        <v/>
      </c>
      <c r="AY975">
        <f>'T_TTAFStock'!AW10</f>
        <v/>
      </c>
      <c r="AZ975">
        <f>'T_TTAFStock'!AX10</f>
        <v/>
      </c>
      <c r="BA975">
        <f>'T_TTAFStock'!AY10</f>
        <v/>
      </c>
      <c r="BB975">
        <f>'T_TTAFStock'!AZ10</f>
        <v/>
      </c>
      <c r="BC975">
        <f>'T_TTAFStock'!BA10</f>
        <v/>
      </c>
      <c r="BD975">
        <f>'T_TTAFStock'!BB10</f>
        <v/>
      </c>
      <c r="BE975">
        <f>'T_TTAFStock'!BC10</f>
        <v/>
      </c>
      <c r="BF975">
        <f>'T_TTAFStock'!BD10</f>
        <v/>
      </c>
      <c r="BG975">
        <f>'T_TTAFStock'!BE10</f>
        <v/>
      </c>
      <c r="BH975">
        <f>'T_TTAFStock'!BF10</f>
        <v/>
      </c>
      <c r="BI975">
        <f>'T_TTAFStock'!BG10</f>
        <v/>
      </c>
      <c r="BJ975">
        <f>'T_TTAFStock'!BH10</f>
        <v/>
      </c>
      <c r="BK975">
        <f>'T_TTAFStock'!BI10</f>
        <v/>
      </c>
      <c r="BL975">
        <f>'T_TTAFStock'!BJ10</f>
        <v/>
      </c>
      <c r="BM975">
        <f>'T_TTAFStock'!BK10</f>
        <v/>
      </c>
      <c r="BN975">
        <f>'T_TTAFStock'!BL10</f>
        <v/>
      </c>
      <c r="BO975">
        <f>'T_TTAFStock'!BM10</f>
        <v/>
      </c>
      <c r="BP975">
        <f>'T_TTAFStock'!BN10</f>
        <v/>
      </c>
      <c r="BQ975">
        <f>'T_TTAFStock'!BO10</f>
        <v/>
      </c>
      <c r="BR975">
        <f>'T_TTAFStock'!BP10</f>
        <v/>
      </c>
      <c r="BS975">
        <f>'T_TTAFStock'!BQ10</f>
        <v/>
      </c>
      <c r="BT975">
        <f>'T_TTAFStock'!BR10</f>
        <v/>
      </c>
      <c r="BU975">
        <f>'T_TTAFStock'!BS10</f>
        <v/>
      </c>
      <c r="BV975">
        <f>'T_TTAFStock'!BT10</f>
        <v/>
      </c>
      <c r="BW975">
        <f>'T_TTAFStock'!BU10</f>
        <v/>
      </c>
      <c r="BX975">
        <f>'T_TTAFStock'!BV10</f>
        <v/>
      </c>
      <c r="BY975">
        <f>'T_TTAFStock'!BW10</f>
        <v/>
      </c>
      <c r="BZ975">
        <f>'T_TTAFStock'!BX10</f>
        <v/>
      </c>
      <c r="CA975">
        <f>'T_TTAFStock'!BY10</f>
        <v/>
      </c>
      <c r="CB975">
        <f>'T_TTAFStock'!BZ10</f>
        <v/>
      </c>
      <c r="CC975">
        <f>'T_TTAFStock'!CA10</f>
        <v/>
      </c>
      <c r="CD975">
        <f>'T_TTAFStock'!CB10</f>
        <v/>
      </c>
      <c r="CE975">
        <f>'T_TTAFStock'!CC10</f>
        <v/>
      </c>
      <c r="CF975">
        <f>'T_TTAFStock'!CD10</f>
        <v/>
      </c>
      <c r="CG975">
        <f>'T_TTAFStock'!CE10</f>
        <v/>
      </c>
      <c r="CH975">
        <f>'T_TTAFStock'!CF10</f>
        <v/>
      </c>
      <c r="CI975">
        <f>'T_TTAFStock'!CG10</f>
        <v/>
      </c>
      <c r="CJ975">
        <f>'T_TTAFStock'!CH10</f>
        <v/>
      </c>
      <c r="CK975">
        <f>'T_TTAFStock'!CI10</f>
        <v/>
      </c>
      <c r="CL975">
        <f>'T_TTAFStock'!CJ10</f>
        <v/>
      </c>
      <c r="CM975">
        <f>'T_TTAFStock'!CK10</f>
        <v/>
      </c>
      <c r="CN975">
        <f>'T_TTAFStock'!CL10</f>
        <v/>
      </c>
      <c r="CO975">
        <f>'T_TTAFStock'!CM10</f>
        <v/>
      </c>
      <c r="CP975">
        <f>'T_TTAFStock'!CN10</f>
        <v/>
      </c>
      <c r="CQ975">
        <f>'T_TTAFStock'!CO10</f>
        <v/>
      </c>
      <c r="CR975">
        <f>'T_TTAFStock'!CP10</f>
        <v/>
      </c>
      <c r="CS975">
        <f>'T_TTAFStock'!CQ10</f>
        <v/>
      </c>
      <c r="CT975">
        <f>'T_TTAFStock'!CR10</f>
        <v/>
      </c>
      <c r="CU975">
        <f>'T_TTAFStock'!CS10</f>
        <v/>
      </c>
      <c r="CV975">
        <f>'T_TTAFStock'!CT10</f>
        <v/>
      </c>
      <c r="CW975">
        <f>'T_TTAFStock'!CU10</f>
        <v/>
      </c>
      <c r="CX975">
        <f>'T_TTAFStock'!CV10</f>
        <v/>
      </c>
      <c r="CY975">
        <f>'T_TTAFStock'!CW10</f>
        <v/>
      </c>
      <c r="CZ975">
        <f>'T_TTAFStock'!CX10</f>
        <v/>
      </c>
      <c r="DA975">
        <f>'T_TTAFStock'!CY10</f>
        <v/>
      </c>
      <c r="DB975">
        <f>'T_TTAFStock'!CZ10</f>
        <v/>
      </c>
      <c r="DC975">
        <f>'T_TTAFStock'!DA10</f>
        <v/>
      </c>
    </row>
    <row r="976">
      <c r="B976" t="inlineStr">
        <is>
          <t>自社在庫(実績,kg)</t>
        </is>
      </c>
      <c r="D976">
        <f>'T_SelfStock'!B10</f>
        <v/>
      </c>
      <c r="E976">
        <f>'T_SelfStock'!C10</f>
        <v/>
      </c>
      <c r="F976">
        <f>'T_SelfStock'!D10</f>
        <v/>
      </c>
      <c r="G976">
        <f>'T_SelfStock'!E10</f>
        <v/>
      </c>
      <c r="H976">
        <f>'T_SelfStock'!F10</f>
        <v/>
      </c>
      <c r="I976">
        <f>'T_SelfStock'!G10</f>
        <v/>
      </c>
      <c r="J976">
        <f>'T_SelfStock'!H10</f>
        <v/>
      </c>
      <c r="K976">
        <f>'T_SelfStock'!I10</f>
        <v/>
      </c>
      <c r="L976">
        <f>'T_SelfStock'!J10</f>
        <v/>
      </c>
      <c r="M976">
        <f>'T_SelfStock'!K10</f>
        <v/>
      </c>
      <c r="N976">
        <f>'T_SelfStock'!L10</f>
        <v/>
      </c>
      <c r="O976">
        <f>'T_SelfStock'!M10</f>
        <v/>
      </c>
      <c r="P976">
        <f>'T_SelfStock'!N10</f>
        <v/>
      </c>
      <c r="Q976">
        <f>'T_SelfStock'!O10</f>
        <v/>
      </c>
      <c r="R976">
        <f>'T_SelfStock'!P10</f>
        <v/>
      </c>
      <c r="S976">
        <f>'T_SelfStock'!Q10</f>
        <v/>
      </c>
      <c r="T976">
        <f>'T_SelfStock'!R10</f>
        <v/>
      </c>
      <c r="U976">
        <f>'T_SelfStock'!S10</f>
        <v/>
      </c>
      <c r="V976">
        <f>'T_SelfStock'!T10</f>
        <v/>
      </c>
      <c r="W976">
        <f>'T_SelfStock'!U10</f>
        <v/>
      </c>
      <c r="X976">
        <f>'T_SelfStock'!V10</f>
        <v/>
      </c>
      <c r="Y976">
        <f>'T_SelfStock'!W10</f>
        <v/>
      </c>
      <c r="Z976">
        <f>'T_SelfStock'!X10</f>
        <v/>
      </c>
      <c r="AA976">
        <f>'T_SelfStock'!Y10</f>
        <v/>
      </c>
      <c r="AB976">
        <f>'T_SelfStock'!Z10</f>
        <v/>
      </c>
      <c r="AC976">
        <f>'T_SelfStock'!AA10</f>
        <v/>
      </c>
      <c r="AD976">
        <f>'T_SelfStock'!AB10</f>
        <v/>
      </c>
      <c r="AE976">
        <f>'T_SelfStock'!AC10</f>
        <v/>
      </c>
      <c r="AF976">
        <f>'T_SelfStock'!AD10</f>
        <v/>
      </c>
      <c r="AG976">
        <f>'T_SelfStock'!AE10</f>
        <v/>
      </c>
      <c r="AH976">
        <f>'T_SelfStock'!AF10</f>
        <v/>
      </c>
      <c r="AI976">
        <f>'T_SelfStock'!AG10</f>
        <v/>
      </c>
      <c r="AJ976">
        <f>'T_SelfStock'!AH10</f>
        <v/>
      </c>
      <c r="AK976">
        <f>'T_SelfStock'!AI10</f>
        <v/>
      </c>
      <c r="AL976">
        <f>'T_SelfStock'!AJ10</f>
        <v/>
      </c>
      <c r="AM976">
        <f>'T_SelfStock'!AK10</f>
        <v/>
      </c>
      <c r="AN976">
        <f>'T_SelfStock'!AL10</f>
        <v/>
      </c>
      <c r="AO976">
        <f>'T_SelfStock'!AM10</f>
        <v/>
      </c>
      <c r="AP976">
        <f>'T_SelfStock'!AN10</f>
        <v/>
      </c>
      <c r="AQ976">
        <f>'T_SelfStock'!AO10</f>
        <v/>
      </c>
      <c r="AR976">
        <f>'T_SelfStock'!AP10</f>
        <v/>
      </c>
      <c r="AS976">
        <f>'T_SelfStock'!AQ10</f>
        <v/>
      </c>
      <c r="AT976">
        <f>'T_SelfStock'!AR10</f>
        <v/>
      </c>
      <c r="AU976">
        <f>'T_SelfStock'!AS10</f>
        <v/>
      </c>
      <c r="AV976">
        <f>'T_SelfStock'!AT10</f>
        <v/>
      </c>
      <c r="AW976">
        <f>'T_SelfStock'!AU10</f>
        <v/>
      </c>
      <c r="AX976">
        <f>'T_SelfStock'!AV10</f>
        <v/>
      </c>
      <c r="AY976">
        <f>'T_SelfStock'!AW10</f>
        <v/>
      </c>
      <c r="AZ976">
        <f>'T_SelfStock'!AX10</f>
        <v/>
      </c>
      <c r="BA976">
        <f>'T_SelfStock'!AY10</f>
        <v/>
      </c>
      <c r="BB976">
        <f>'T_SelfStock'!AZ10</f>
        <v/>
      </c>
      <c r="BC976">
        <f>'T_SelfStock'!BA10</f>
        <v/>
      </c>
      <c r="BD976">
        <f>'T_SelfStock'!BB10</f>
        <v/>
      </c>
      <c r="BE976">
        <f>'T_SelfStock'!BC10</f>
        <v/>
      </c>
      <c r="BF976">
        <f>'T_SelfStock'!BD10</f>
        <v/>
      </c>
      <c r="BG976">
        <f>'T_SelfStock'!BE10</f>
        <v/>
      </c>
      <c r="BH976">
        <f>'T_SelfStock'!BF10</f>
        <v/>
      </c>
      <c r="BI976">
        <f>'T_SelfStock'!BG10</f>
        <v/>
      </c>
      <c r="BJ976">
        <f>'T_SelfStock'!BH10</f>
        <v/>
      </c>
      <c r="BK976">
        <f>'T_SelfStock'!BI10</f>
        <v/>
      </c>
      <c r="BL976">
        <f>'T_SelfStock'!BJ10</f>
        <v/>
      </c>
      <c r="BM976">
        <f>'T_SelfStock'!BK10</f>
        <v/>
      </c>
      <c r="BN976">
        <f>'T_SelfStock'!BL10</f>
        <v/>
      </c>
      <c r="BO976">
        <f>'T_SelfStock'!BM10</f>
        <v/>
      </c>
      <c r="BP976">
        <f>'T_SelfStock'!BN10</f>
        <v/>
      </c>
      <c r="BQ976">
        <f>'T_SelfStock'!BO10</f>
        <v/>
      </c>
      <c r="BR976">
        <f>'T_SelfStock'!BP10</f>
        <v/>
      </c>
      <c r="BS976">
        <f>'T_SelfStock'!BQ10</f>
        <v/>
      </c>
      <c r="BT976">
        <f>'T_SelfStock'!BR10</f>
        <v/>
      </c>
      <c r="BU976">
        <f>'T_SelfStock'!BS10</f>
        <v/>
      </c>
      <c r="BV976">
        <f>'T_SelfStock'!BT10</f>
        <v/>
      </c>
      <c r="BW976">
        <f>'T_SelfStock'!BU10</f>
        <v/>
      </c>
      <c r="BX976">
        <f>'T_SelfStock'!BV10</f>
        <v/>
      </c>
      <c r="BY976">
        <f>'T_SelfStock'!BW10</f>
        <v/>
      </c>
      <c r="BZ976">
        <f>'T_SelfStock'!BX10</f>
        <v/>
      </c>
      <c r="CA976">
        <f>'T_SelfStock'!BY10</f>
        <v/>
      </c>
      <c r="CB976">
        <f>'T_SelfStock'!BZ10</f>
        <v/>
      </c>
      <c r="CC976">
        <f>'T_SelfStock'!CA10</f>
        <v/>
      </c>
      <c r="CD976">
        <f>'T_SelfStock'!CB10</f>
        <v/>
      </c>
      <c r="CE976">
        <f>'T_SelfStock'!CC10</f>
        <v/>
      </c>
      <c r="CF976">
        <f>'T_SelfStock'!CD10</f>
        <v/>
      </c>
      <c r="CG976">
        <f>'T_SelfStock'!CE10</f>
        <v/>
      </c>
      <c r="CH976">
        <f>'T_SelfStock'!CF10</f>
        <v/>
      </c>
      <c r="CI976">
        <f>'T_SelfStock'!CG10</f>
        <v/>
      </c>
      <c r="CJ976">
        <f>'T_SelfStock'!CH10</f>
        <v/>
      </c>
      <c r="CK976">
        <f>'T_SelfStock'!CI10</f>
        <v/>
      </c>
      <c r="CL976">
        <f>'T_SelfStock'!CJ10</f>
        <v/>
      </c>
      <c r="CM976">
        <f>'T_SelfStock'!CK10</f>
        <v/>
      </c>
      <c r="CN976">
        <f>'T_SelfStock'!CL10</f>
        <v/>
      </c>
      <c r="CO976">
        <f>'T_SelfStock'!CM10</f>
        <v/>
      </c>
      <c r="CP976">
        <f>'T_SelfStock'!CN10</f>
        <v/>
      </c>
      <c r="CQ976">
        <f>'T_SelfStock'!CO10</f>
        <v/>
      </c>
      <c r="CR976">
        <f>'T_SelfStock'!CP10</f>
        <v/>
      </c>
      <c r="CS976">
        <f>'T_SelfStock'!CQ10</f>
        <v/>
      </c>
      <c r="CT976">
        <f>'T_SelfStock'!CR10</f>
        <v/>
      </c>
      <c r="CU976">
        <f>'T_SelfStock'!CS10</f>
        <v/>
      </c>
      <c r="CV976">
        <f>'T_SelfStock'!CT10</f>
        <v/>
      </c>
      <c r="CW976">
        <f>'T_SelfStock'!CU10</f>
        <v/>
      </c>
      <c r="CX976">
        <f>'T_SelfStock'!CV10</f>
        <v/>
      </c>
      <c r="CY976">
        <f>'T_SelfStock'!CW10</f>
        <v/>
      </c>
      <c r="CZ976">
        <f>'T_SelfStock'!CX10</f>
        <v/>
      </c>
      <c r="DA976">
        <f>'T_SelfStock'!CY10</f>
        <v/>
      </c>
      <c r="DB976">
        <f>'T_SelfStock'!CZ10</f>
        <v/>
      </c>
      <c r="DC976">
        <f>'T_SelfStock'!DA10</f>
        <v/>
      </c>
    </row>
    <row r="977">
      <c r="B977" t="inlineStr">
        <is>
          <t>Order(発注予定,kg)</t>
        </is>
      </c>
      <c r="D977">
        <f>IF(SUMIFS(T_PlannedOrders[EffectiveQty],T_PlannedOrders[Part Name],$A965,T_PlannedOrders[WeekIndex],1)=0,"",SUMIFS(T_PlannedOrders[EffectiveQty],T_PlannedOrders[Part Name],$A965,T_PlannedOrders[WeekIndex],1)&amp;" ("&amp;TEXT(SUMPRODUCT(MAX((T_PlannedOrders[Part Name]=$A965)*(T_PlannedOrders[WeekIndex]=1)*(T_PlannedOrders[EffectiveQty]&gt;0)*T_PlannedOrders[Order_Month])),"m月")&amp;"発注)")</f>
        <v/>
      </c>
      <c r="E977">
        <f>IF(SUMIFS(T_PlannedOrders[EffectiveQty],T_PlannedOrders[Part Name],$A965,T_PlannedOrders[WeekIndex],2)=0,"",SUMIFS(T_PlannedOrders[EffectiveQty],T_PlannedOrders[Part Name],$A965,T_PlannedOrders[WeekIndex],2)&amp;" ("&amp;TEXT(SUMPRODUCT(MAX((T_PlannedOrders[Part Name]=$A965)*(T_PlannedOrders[WeekIndex]=2)*(T_PlannedOrders[EffectiveQty]&gt;0)*T_PlannedOrders[Order_Month])),"m月")&amp;"発注)")</f>
        <v/>
      </c>
      <c r="F977">
        <f>IF(SUMIFS(T_PlannedOrders[EffectiveQty],T_PlannedOrders[Part Name],$A965,T_PlannedOrders[WeekIndex],3)=0,"",SUMIFS(T_PlannedOrders[EffectiveQty],T_PlannedOrders[Part Name],$A965,T_PlannedOrders[WeekIndex],3)&amp;" ("&amp;TEXT(SUMPRODUCT(MAX((T_PlannedOrders[Part Name]=$A965)*(T_PlannedOrders[WeekIndex]=3)*(T_PlannedOrders[EffectiveQty]&gt;0)*T_PlannedOrders[Order_Month])),"m月")&amp;"発注)")</f>
        <v/>
      </c>
      <c r="G977">
        <f>IF(SUMIFS(T_PlannedOrders[EffectiveQty],T_PlannedOrders[Part Name],$A965,T_PlannedOrders[WeekIndex],4)=0,"",SUMIFS(T_PlannedOrders[EffectiveQty],T_PlannedOrders[Part Name],$A965,T_PlannedOrders[WeekIndex],4)&amp;" ("&amp;TEXT(SUMPRODUCT(MAX((T_PlannedOrders[Part Name]=$A965)*(T_PlannedOrders[WeekIndex]=4)*(T_PlannedOrders[EffectiveQty]&gt;0)*T_PlannedOrders[Order_Month])),"m月")&amp;"発注)")</f>
        <v/>
      </c>
      <c r="H977">
        <f>IF(SUMIFS(T_PlannedOrders[EffectiveQty],T_PlannedOrders[Part Name],$A965,T_PlannedOrders[WeekIndex],5)=0,"",SUMIFS(T_PlannedOrders[EffectiveQty],T_PlannedOrders[Part Name],$A965,T_PlannedOrders[WeekIndex],5)&amp;" ("&amp;TEXT(SUMPRODUCT(MAX((T_PlannedOrders[Part Name]=$A965)*(T_PlannedOrders[WeekIndex]=5)*(T_PlannedOrders[EffectiveQty]&gt;0)*T_PlannedOrders[Order_Month])),"m月")&amp;"発注)")</f>
        <v/>
      </c>
      <c r="I977">
        <f>IF(SUMIFS(T_PlannedOrders[EffectiveQty],T_PlannedOrders[Part Name],$A965,T_PlannedOrders[WeekIndex],6)=0,"",SUMIFS(T_PlannedOrders[EffectiveQty],T_PlannedOrders[Part Name],$A965,T_PlannedOrders[WeekIndex],6)&amp;" ("&amp;TEXT(SUMPRODUCT(MAX((T_PlannedOrders[Part Name]=$A965)*(T_PlannedOrders[WeekIndex]=6)*(T_PlannedOrders[EffectiveQty]&gt;0)*T_PlannedOrders[Order_Month])),"m月")&amp;"発注)")</f>
        <v/>
      </c>
      <c r="J977">
        <f>IF(SUMIFS(T_PlannedOrders[EffectiveQty],T_PlannedOrders[Part Name],$A965,T_PlannedOrders[WeekIndex],7)=0,"",SUMIFS(T_PlannedOrders[EffectiveQty],T_PlannedOrders[Part Name],$A965,T_PlannedOrders[WeekIndex],7)&amp;" ("&amp;TEXT(SUMPRODUCT(MAX((T_PlannedOrders[Part Name]=$A965)*(T_PlannedOrders[WeekIndex]=7)*(T_PlannedOrders[EffectiveQty]&gt;0)*T_PlannedOrders[Order_Month])),"m月")&amp;"発注)")</f>
        <v/>
      </c>
      <c r="K977">
        <f>IF(SUMIFS(T_PlannedOrders[EffectiveQty],T_PlannedOrders[Part Name],$A965,T_PlannedOrders[WeekIndex],8)=0,"",SUMIFS(T_PlannedOrders[EffectiveQty],T_PlannedOrders[Part Name],$A965,T_PlannedOrders[WeekIndex],8)&amp;" ("&amp;TEXT(SUMPRODUCT(MAX((T_PlannedOrders[Part Name]=$A965)*(T_PlannedOrders[WeekIndex]=8)*(T_PlannedOrders[EffectiveQty]&gt;0)*T_PlannedOrders[Order_Month])),"m月")&amp;"発注)")</f>
        <v/>
      </c>
      <c r="L977">
        <f>IF(SUMIFS(T_PlannedOrders[EffectiveQty],T_PlannedOrders[Part Name],$A965,T_PlannedOrders[WeekIndex],9)=0,"",SUMIFS(T_PlannedOrders[EffectiveQty],T_PlannedOrders[Part Name],$A965,T_PlannedOrders[WeekIndex],9)&amp;" ("&amp;TEXT(SUMPRODUCT(MAX((T_PlannedOrders[Part Name]=$A965)*(T_PlannedOrders[WeekIndex]=9)*(T_PlannedOrders[EffectiveQty]&gt;0)*T_PlannedOrders[Order_Month])),"m月")&amp;"発注)")</f>
        <v/>
      </c>
      <c r="M977">
        <f>IF(SUMIFS(T_PlannedOrders[EffectiveQty],T_PlannedOrders[Part Name],$A965,T_PlannedOrders[WeekIndex],10)=0,"",SUMIFS(T_PlannedOrders[EffectiveQty],T_PlannedOrders[Part Name],$A965,T_PlannedOrders[WeekIndex],10)&amp;" ("&amp;TEXT(SUMPRODUCT(MAX((T_PlannedOrders[Part Name]=$A965)*(T_PlannedOrders[WeekIndex]=10)*(T_PlannedOrders[EffectiveQty]&gt;0)*T_PlannedOrders[Order_Month])),"m月")&amp;"発注)")</f>
        <v/>
      </c>
      <c r="N977">
        <f>IF(SUMIFS(T_PlannedOrders[EffectiveQty],T_PlannedOrders[Part Name],$A965,T_PlannedOrders[WeekIndex],11)=0,"",SUMIFS(T_PlannedOrders[EffectiveQty],T_PlannedOrders[Part Name],$A965,T_PlannedOrders[WeekIndex],11)&amp;" ("&amp;TEXT(SUMPRODUCT(MAX((T_PlannedOrders[Part Name]=$A965)*(T_PlannedOrders[WeekIndex]=11)*(T_PlannedOrders[EffectiveQty]&gt;0)*T_PlannedOrders[Order_Month])),"m月")&amp;"発注)")</f>
        <v/>
      </c>
      <c r="O977">
        <f>IF(SUMIFS(T_PlannedOrders[EffectiveQty],T_PlannedOrders[Part Name],$A965,T_PlannedOrders[WeekIndex],12)=0,"",SUMIFS(T_PlannedOrders[EffectiveQty],T_PlannedOrders[Part Name],$A965,T_PlannedOrders[WeekIndex],12)&amp;" ("&amp;TEXT(SUMPRODUCT(MAX((T_PlannedOrders[Part Name]=$A965)*(T_PlannedOrders[WeekIndex]=12)*(T_PlannedOrders[EffectiveQty]&gt;0)*T_PlannedOrders[Order_Month])),"m月")&amp;"発注)")</f>
        <v/>
      </c>
      <c r="P977">
        <f>IF(SUMIFS(T_PlannedOrders[EffectiveQty],T_PlannedOrders[Part Name],$A965,T_PlannedOrders[WeekIndex],13)=0,"",SUMIFS(T_PlannedOrders[EffectiveQty],T_PlannedOrders[Part Name],$A965,T_PlannedOrders[WeekIndex],13)&amp;" ("&amp;TEXT(SUMPRODUCT(MAX((T_PlannedOrders[Part Name]=$A965)*(T_PlannedOrders[WeekIndex]=13)*(T_PlannedOrders[EffectiveQty]&gt;0)*T_PlannedOrders[Order_Month])),"m月")&amp;"発注)")</f>
        <v/>
      </c>
      <c r="Q977">
        <f>IF(SUMIFS(T_PlannedOrders[EffectiveQty],T_PlannedOrders[Part Name],$A965,T_PlannedOrders[WeekIndex],14)=0,"",SUMIFS(T_PlannedOrders[EffectiveQty],T_PlannedOrders[Part Name],$A965,T_PlannedOrders[WeekIndex],14)&amp;" ("&amp;TEXT(SUMPRODUCT(MAX((T_PlannedOrders[Part Name]=$A965)*(T_PlannedOrders[WeekIndex]=14)*(T_PlannedOrders[EffectiveQty]&gt;0)*T_PlannedOrders[Order_Month])),"m月")&amp;"発注)")</f>
        <v/>
      </c>
      <c r="R977">
        <f>IF(SUMIFS(T_PlannedOrders[EffectiveQty],T_PlannedOrders[Part Name],$A965,T_PlannedOrders[WeekIndex],15)=0,"",SUMIFS(T_PlannedOrders[EffectiveQty],T_PlannedOrders[Part Name],$A965,T_PlannedOrders[WeekIndex],15)&amp;" ("&amp;TEXT(SUMPRODUCT(MAX((T_PlannedOrders[Part Name]=$A965)*(T_PlannedOrders[WeekIndex]=15)*(T_PlannedOrders[EffectiveQty]&gt;0)*T_PlannedOrders[Order_Month])),"m月")&amp;"発注)")</f>
        <v/>
      </c>
      <c r="S977">
        <f>IF(SUMIFS(T_PlannedOrders[EffectiveQty],T_PlannedOrders[Part Name],$A965,T_PlannedOrders[WeekIndex],16)=0,"",SUMIFS(T_PlannedOrders[EffectiveQty],T_PlannedOrders[Part Name],$A965,T_PlannedOrders[WeekIndex],16)&amp;" ("&amp;TEXT(SUMPRODUCT(MAX((T_PlannedOrders[Part Name]=$A965)*(T_PlannedOrders[WeekIndex]=16)*(T_PlannedOrders[EffectiveQty]&gt;0)*T_PlannedOrders[Order_Month])),"m月")&amp;"発注)")</f>
        <v/>
      </c>
      <c r="T977">
        <f>IF(SUMIFS(T_PlannedOrders[EffectiveQty],T_PlannedOrders[Part Name],$A965,T_PlannedOrders[WeekIndex],17)=0,"",SUMIFS(T_PlannedOrders[EffectiveQty],T_PlannedOrders[Part Name],$A965,T_PlannedOrders[WeekIndex],17)&amp;" ("&amp;TEXT(SUMPRODUCT(MAX((T_PlannedOrders[Part Name]=$A965)*(T_PlannedOrders[WeekIndex]=17)*(T_PlannedOrders[EffectiveQty]&gt;0)*T_PlannedOrders[Order_Month])),"m月")&amp;"発注)")</f>
        <v/>
      </c>
      <c r="U977">
        <f>IF(SUMIFS(T_PlannedOrders[EffectiveQty],T_PlannedOrders[Part Name],$A965,T_PlannedOrders[WeekIndex],18)=0,"",SUMIFS(T_PlannedOrders[EffectiveQty],T_PlannedOrders[Part Name],$A965,T_PlannedOrders[WeekIndex],18)&amp;" ("&amp;TEXT(SUMPRODUCT(MAX((T_PlannedOrders[Part Name]=$A965)*(T_PlannedOrders[WeekIndex]=18)*(T_PlannedOrders[EffectiveQty]&gt;0)*T_PlannedOrders[Order_Month])),"m月")&amp;"発注)")</f>
        <v/>
      </c>
      <c r="V977">
        <f>IF(SUMIFS(T_PlannedOrders[EffectiveQty],T_PlannedOrders[Part Name],$A965,T_PlannedOrders[WeekIndex],19)=0,"",SUMIFS(T_PlannedOrders[EffectiveQty],T_PlannedOrders[Part Name],$A965,T_PlannedOrders[WeekIndex],19)&amp;" ("&amp;TEXT(SUMPRODUCT(MAX((T_PlannedOrders[Part Name]=$A965)*(T_PlannedOrders[WeekIndex]=19)*(T_PlannedOrders[EffectiveQty]&gt;0)*T_PlannedOrders[Order_Month])),"m月")&amp;"発注)")</f>
        <v/>
      </c>
      <c r="W977">
        <f>IF(SUMIFS(T_PlannedOrders[EffectiveQty],T_PlannedOrders[Part Name],$A965,T_PlannedOrders[WeekIndex],20)=0,"",SUMIFS(T_PlannedOrders[EffectiveQty],T_PlannedOrders[Part Name],$A965,T_PlannedOrders[WeekIndex],20)&amp;" ("&amp;TEXT(SUMPRODUCT(MAX((T_PlannedOrders[Part Name]=$A965)*(T_PlannedOrders[WeekIndex]=20)*(T_PlannedOrders[EffectiveQty]&gt;0)*T_PlannedOrders[Order_Month])),"m月")&amp;"発注)")</f>
        <v/>
      </c>
      <c r="X977">
        <f>IF(SUMIFS(T_PlannedOrders[EffectiveQty],T_PlannedOrders[Part Name],$A965,T_PlannedOrders[WeekIndex],21)=0,"",SUMIFS(T_PlannedOrders[EffectiveQty],T_PlannedOrders[Part Name],$A965,T_PlannedOrders[WeekIndex],21)&amp;" ("&amp;TEXT(SUMPRODUCT(MAX((T_PlannedOrders[Part Name]=$A965)*(T_PlannedOrders[WeekIndex]=21)*(T_PlannedOrders[EffectiveQty]&gt;0)*T_PlannedOrders[Order_Month])),"m月")&amp;"発注)")</f>
        <v/>
      </c>
      <c r="Y977">
        <f>IF(SUMIFS(T_PlannedOrders[EffectiveQty],T_PlannedOrders[Part Name],$A965,T_PlannedOrders[WeekIndex],22)=0,"",SUMIFS(T_PlannedOrders[EffectiveQty],T_PlannedOrders[Part Name],$A965,T_PlannedOrders[WeekIndex],22)&amp;" ("&amp;TEXT(SUMPRODUCT(MAX((T_PlannedOrders[Part Name]=$A965)*(T_PlannedOrders[WeekIndex]=22)*(T_PlannedOrders[EffectiveQty]&gt;0)*T_PlannedOrders[Order_Month])),"m月")&amp;"発注)")</f>
        <v/>
      </c>
      <c r="Z977">
        <f>IF(SUMIFS(T_PlannedOrders[EffectiveQty],T_PlannedOrders[Part Name],$A965,T_PlannedOrders[WeekIndex],23)=0,"",SUMIFS(T_PlannedOrders[EffectiveQty],T_PlannedOrders[Part Name],$A965,T_PlannedOrders[WeekIndex],23)&amp;" ("&amp;TEXT(SUMPRODUCT(MAX((T_PlannedOrders[Part Name]=$A965)*(T_PlannedOrders[WeekIndex]=23)*(T_PlannedOrders[EffectiveQty]&gt;0)*T_PlannedOrders[Order_Month])),"m月")&amp;"発注)")</f>
        <v/>
      </c>
      <c r="AA977">
        <f>IF(SUMIFS(T_PlannedOrders[EffectiveQty],T_PlannedOrders[Part Name],$A965,T_PlannedOrders[WeekIndex],24)=0,"",SUMIFS(T_PlannedOrders[EffectiveQty],T_PlannedOrders[Part Name],$A965,T_PlannedOrders[WeekIndex],24)&amp;" ("&amp;TEXT(SUMPRODUCT(MAX((T_PlannedOrders[Part Name]=$A965)*(T_PlannedOrders[WeekIndex]=24)*(T_PlannedOrders[EffectiveQty]&gt;0)*T_PlannedOrders[Order_Month])),"m月")&amp;"発注)")</f>
        <v/>
      </c>
      <c r="AB977">
        <f>IF(SUMIFS(T_PlannedOrders[EffectiveQty],T_PlannedOrders[Part Name],$A965,T_PlannedOrders[WeekIndex],25)=0,"",SUMIFS(T_PlannedOrders[EffectiveQty],T_PlannedOrders[Part Name],$A965,T_PlannedOrders[WeekIndex],25)&amp;" ("&amp;TEXT(SUMPRODUCT(MAX((T_PlannedOrders[Part Name]=$A965)*(T_PlannedOrders[WeekIndex]=25)*(T_PlannedOrders[EffectiveQty]&gt;0)*T_PlannedOrders[Order_Month])),"m月")&amp;"発注)")</f>
        <v/>
      </c>
      <c r="AC977">
        <f>IF(SUMIFS(T_PlannedOrders[EffectiveQty],T_PlannedOrders[Part Name],$A965,T_PlannedOrders[WeekIndex],26)=0,"",SUMIFS(T_PlannedOrders[EffectiveQty],T_PlannedOrders[Part Name],$A965,T_PlannedOrders[WeekIndex],26)&amp;" ("&amp;TEXT(SUMPRODUCT(MAX((T_PlannedOrders[Part Name]=$A965)*(T_PlannedOrders[WeekIndex]=26)*(T_PlannedOrders[EffectiveQty]&gt;0)*T_PlannedOrders[Order_Month])),"m月")&amp;"発注)")</f>
        <v/>
      </c>
      <c r="AD977">
        <f>IF(SUMIFS(T_PlannedOrders[EffectiveQty],T_PlannedOrders[Part Name],$A965,T_PlannedOrders[WeekIndex],27)=0,"",SUMIFS(T_PlannedOrders[EffectiveQty],T_PlannedOrders[Part Name],$A965,T_PlannedOrders[WeekIndex],27)&amp;" ("&amp;TEXT(SUMPRODUCT(MAX((T_PlannedOrders[Part Name]=$A965)*(T_PlannedOrders[WeekIndex]=27)*(T_PlannedOrders[EffectiveQty]&gt;0)*T_PlannedOrders[Order_Month])),"m月")&amp;"発注)")</f>
        <v/>
      </c>
      <c r="AE977">
        <f>IF(SUMIFS(T_PlannedOrders[EffectiveQty],T_PlannedOrders[Part Name],$A965,T_PlannedOrders[WeekIndex],28)=0,"",SUMIFS(T_PlannedOrders[EffectiveQty],T_PlannedOrders[Part Name],$A965,T_PlannedOrders[WeekIndex],28)&amp;" ("&amp;TEXT(SUMPRODUCT(MAX((T_PlannedOrders[Part Name]=$A965)*(T_PlannedOrders[WeekIndex]=28)*(T_PlannedOrders[EffectiveQty]&gt;0)*T_PlannedOrders[Order_Month])),"m月")&amp;"発注)")</f>
        <v/>
      </c>
      <c r="AF977">
        <f>IF(SUMIFS(T_PlannedOrders[EffectiveQty],T_PlannedOrders[Part Name],$A965,T_PlannedOrders[WeekIndex],29)=0,"",SUMIFS(T_PlannedOrders[EffectiveQty],T_PlannedOrders[Part Name],$A965,T_PlannedOrders[WeekIndex],29)&amp;" ("&amp;TEXT(SUMPRODUCT(MAX((T_PlannedOrders[Part Name]=$A965)*(T_PlannedOrders[WeekIndex]=29)*(T_PlannedOrders[EffectiveQty]&gt;0)*T_PlannedOrders[Order_Month])),"m月")&amp;"発注)")</f>
        <v/>
      </c>
      <c r="AG977">
        <f>IF(SUMIFS(T_PlannedOrders[EffectiveQty],T_PlannedOrders[Part Name],$A965,T_PlannedOrders[WeekIndex],30)=0,"",SUMIFS(T_PlannedOrders[EffectiveQty],T_PlannedOrders[Part Name],$A965,T_PlannedOrders[WeekIndex],30)&amp;" ("&amp;TEXT(SUMPRODUCT(MAX((T_PlannedOrders[Part Name]=$A965)*(T_PlannedOrders[WeekIndex]=30)*(T_PlannedOrders[EffectiveQty]&gt;0)*T_PlannedOrders[Order_Month])),"m月")&amp;"発注)")</f>
        <v/>
      </c>
      <c r="AH977">
        <f>IF(SUMIFS(T_PlannedOrders[EffectiveQty],T_PlannedOrders[Part Name],$A965,T_PlannedOrders[WeekIndex],31)=0,"",SUMIFS(T_PlannedOrders[EffectiveQty],T_PlannedOrders[Part Name],$A965,T_PlannedOrders[WeekIndex],31)&amp;" ("&amp;TEXT(SUMPRODUCT(MAX((T_PlannedOrders[Part Name]=$A965)*(T_PlannedOrders[WeekIndex]=31)*(T_PlannedOrders[EffectiveQty]&gt;0)*T_PlannedOrders[Order_Month])),"m月")&amp;"発注)")</f>
        <v/>
      </c>
      <c r="AI977">
        <f>IF(SUMIFS(T_PlannedOrders[EffectiveQty],T_PlannedOrders[Part Name],$A965,T_PlannedOrders[WeekIndex],32)=0,"",SUMIFS(T_PlannedOrders[EffectiveQty],T_PlannedOrders[Part Name],$A965,T_PlannedOrders[WeekIndex],32)&amp;" ("&amp;TEXT(SUMPRODUCT(MAX((T_PlannedOrders[Part Name]=$A965)*(T_PlannedOrders[WeekIndex]=32)*(T_PlannedOrders[EffectiveQty]&gt;0)*T_PlannedOrders[Order_Month])),"m月")&amp;"発注)")</f>
        <v/>
      </c>
      <c r="AJ977">
        <f>IF(SUMIFS(T_PlannedOrders[EffectiveQty],T_PlannedOrders[Part Name],$A965,T_PlannedOrders[WeekIndex],33)=0,"",SUMIFS(T_PlannedOrders[EffectiveQty],T_PlannedOrders[Part Name],$A965,T_PlannedOrders[WeekIndex],33)&amp;" ("&amp;TEXT(SUMPRODUCT(MAX((T_PlannedOrders[Part Name]=$A965)*(T_PlannedOrders[WeekIndex]=33)*(T_PlannedOrders[EffectiveQty]&gt;0)*T_PlannedOrders[Order_Month])),"m月")&amp;"発注)")</f>
        <v/>
      </c>
      <c r="AK977">
        <f>IF(SUMIFS(T_PlannedOrders[EffectiveQty],T_PlannedOrders[Part Name],$A965,T_PlannedOrders[WeekIndex],34)=0,"",SUMIFS(T_PlannedOrders[EffectiveQty],T_PlannedOrders[Part Name],$A965,T_PlannedOrders[WeekIndex],34)&amp;" ("&amp;TEXT(SUMPRODUCT(MAX((T_PlannedOrders[Part Name]=$A965)*(T_PlannedOrders[WeekIndex]=34)*(T_PlannedOrders[EffectiveQty]&gt;0)*T_PlannedOrders[Order_Month])),"m月")&amp;"発注)")</f>
        <v/>
      </c>
      <c r="AL977">
        <f>IF(SUMIFS(T_PlannedOrders[EffectiveQty],T_PlannedOrders[Part Name],$A965,T_PlannedOrders[WeekIndex],35)=0,"",SUMIFS(T_PlannedOrders[EffectiveQty],T_PlannedOrders[Part Name],$A965,T_PlannedOrders[WeekIndex],35)&amp;" ("&amp;TEXT(SUMPRODUCT(MAX((T_PlannedOrders[Part Name]=$A965)*(T_PlannedOrders[WeekIndex]=35)*(T_PlannedOrders[EffectiveQty]&gt;0)*T_PlannedOrders[Order_Month])),"m月")&amp;"発注)")</f>
        <v/>
      </c>
      <c r="AM977">
        <f>IF(SUMIFS(T_PlannedOrders[EffectiveQty],T_PlannedOrders[Part Name],$A965,T_PlannedOrders[WeekIndex],36)=0,"",SUMIFS(T_PlannedOrders[EffectiveQty],T_PlannedOrders[Part Name],$A965,T_PlannedOrders[WeekIndex],36)&amp;" ("&amp;TEXT(SUMPRODUCT(MAX((T_PlannedOrders[Part Name]=$A965)*(T_PlannedOrders[WeekIndex]=36)*(T_PlannedOrders[EffectiveQty]&gt;0)*T_PlannedOrders[Order_Month])),"m月")&amp;"発注)")</f>
        <v/>
      </c>
      <c r="AN977">
        <f>IF(SUMIFS(T_PlannedOrders[EffectiveQty],T_PlannedOrders[Part Name],$A965,T_PlannedOrders[WeekIndex],37)=0,"",SUMIFS(T_PlannedOrders[EffectiveQty],T_PlannedOrders[Part Name],$A965,T_PlannedOrders[WeekIndex],37)&amp;" ("&amp;TEXT(SUMPRODUCT(MAX((T_PlannedOrders[Part Name]=$A965)*(T_PlannedOrders[WeekIndex]=37)*(T_PlannedOrders[EffectiveQty]&gt;0)*T_PlannedOrders[Order_Month])),"m月")&amp;"発注)")</f>
        <v/>
      </c>
      <c r="AO977">
        <f>IF(SUMIFS(T_PlannedOrders[EffectiveQty],T_PlannedOrders[Part Name],$A965,T_PlannedOrders[WeekIndex],38)=0,"",SUMIFS(T_PlannedOrders[EffectiveQty],T_PlannedOrders[Part Name],$A965,T_PlannedOrders[WeekIndex],38)&amp;" ("&amp;TEXT(SUMPRODUCT(MAX((T_PlannedOrders[Part Name]=$A965)*(T_PlannedOrders[WeekIndex]=38)*(T_PlannedOrders[EffectiveQty]&gt;0)*T_PlannedOrders[Order_Month])),"m月")&amp;"発注)")</f>
        <v/>
      </c>
      <c r="AP977">
        <f>IF(SUMIFS(T_PlannedOrders[EffectiveQty],T_PlannedOrders[Part Name],$A965,T_PlannedOrders[WeekIndex],39)=0,"",SUMIFS(T_PlannedOrders[EffectiveQty],T_PlannedOrders[Part Name],$A965,T_PlannedOrders[WeekIndex],39)&amp;" ("&amp;TEXT(SUMPRODUCT(MAX((T_PlannedOrders[Part Name]=$A965)*(T_PlannedOrders[WeekIndex]=39)*(T_PlannedOrders[EffectiveQty]&gt;0)*T_PlannedOrders[Order_Month])),"m月")&amp;"発注)")</f>
        <v/>
      </c>
      <c r="AQ977">
        <f>IF(SUMIFS(T_PlannedOrders[EffectiveQty],T_PlannedOrders[Part Name],$A965,T_PlannedOrders[WeekIndex],40)=0,"",SUMIFS(T_PlannedOrders[EffectiveQty],T_PlannedOrders[Part Name],$A965,T_PlannedOrders[WeekIndex],40)&amp;" ("&amp;TEXT(SUMPRODUCT(MAX((T_PlannedOrders[Part Name]=$A965)*(T_PlannedOrders[WeekIndex]=40)*(T_PlannedOrders[EffectiveQty]&gt;0)*T_PlannedOrders[Order_Month])),"m月")&amp;"発注)")</f>
        <v/>
      </c>
      <c r="AR977">
        <f>IF(SUMIFS(T_PlannedOrders[EffectiveQty],T_PlannedOrders[Part Name],$A965,T_PlannedOrders[WeekIndex],41)=0,"",SUMIFS(T_PlannedOrders[EffectiveQty],T_PlannedOrders[Part Name],$A965,T_PlannedOrders[WeekIndex],41)&amp;" ("&amp;TEXT(SUMPRODUCT(MAX((T_PlannedOrders[Part Name]=$A965)*(T_PlannedOrders[WeekIndex]=41)*(T_PlannedOrders[EffectiveQty]&gt;0)*T_PlannedOrders[Order_Month])),"m月")&amp;"発注)")</f>
        <v/>
      </c>
      <c r="AS977">
        <f>IF(SUMIFS(T_PlannedOrders[EffectiveQty],T_PlannedOrders[Part Name],$A965,T_PlannedOrders[WeekIndex],42)=0,"",SUMIFS(T_PlannedOrders[EffectiveQty],T_PlannedOrders[Part Name],$A965,T_PlannedOrders[WeekIndex],42)&amp;" ("&amp;TEXT(SUMPRODUCT(MAX((T_PlannedOrders[Part Name]=$A965)*(T_PlannedOrders[WeekIndex]=42)*(T_PlannedOrders[EffectiveQty]&gt;0)*T_PlannedOrders[Order_Month])),"m月")&amp;"発注)")</f>
        <v/>
      </c>
      <c r="AT977">
        <f>IF(SUMIFS(T_PlannedOrders[EffectiveQty],T_PlannedOrders[Part Name],$A965,T_PlannedOrders[WeekIndex],43)=0,"",SUMIFS(T_PlannedOrders[EffectiveQty],T_PlannedOrders[Part Name],$A965,T_PlannedOrders[WeekIndex],43)&amp;" ("&amp;TEXT(SUMPRODUCT(MAX((T_PlannedOrders[Part Name]=$A965)*(T_PlannedOrders[WeekIndex]=43)*(T_PlannedOrders[EffectiveQty]&gt;0)*T_PlannedOrders[Order_Month])),"m月")&amp;"発注)")</f>
        <v/>
      </c>
      <c r="AU977">
        <f>IF(SUMIFS(T_PlannedOrders[EffectiveQty],T_PlannedOrders[Part Name],$A965,T_PlannedOrders[WeekIndex],44)=0,"",SUMIFS(T_PlannedOrders[EffectiveQty],T_PlannedOrders[Part Name],$A965,T_PlannedOrders[WeekIndex],44)&amp;" ("&amp;TEXT(SUMPRODUCT(MAX((T_PlannedOrders[Part Name]=$A965)*(T_PlannedOrders[WeekIndex]=44)*(T_PlannedOrders[EffectiveQty]&gt;0)*T_PlannedOrders[Order_Month])),"m月")&amp;"発注)")</f>
        <v/>
      </c>
      <c r="AV977">
        <f>IF(SUMIFS(T_PlannedOrders[EffectiveQty],T_PlannedOrders[Part Name],$A965,T_PlannedOrders[WeekIndex],45)=0,"",SUMIFS(T_PlannedOrders[EffectiveQty],T_PlannedOrders[Part Name],$A965,T_PlannedOrders[WeekIndex],45)&amp;" ("&amp;TEXT(SUMPRODUCT(MAX((T_PlannedOrders[Part Name]=$A965)*(T_PlannedOrders[WeekIndex]=45)*(T_PlannedOrders[EffectiveQty]&gt;0)*T_PlannedOrders[Order_Month])),"m月")&amp;"発注)")</f>
        <v/>
      </c>
      <c r="AW977">
        <f>IF(SUMIFS(T_PlannedOrders[EffectiveQty],T_PlannedOrders[Part Name],$A965,T_PlannedOrders[WeekIndex],46)=0,"",SUMIFS(T_PlannedOrders[EffectiveQty],T_PlannedOrders[Part Name],$A965,T_PlannedOrders[WeekIndex],46)&amp;" ("&amp;TEXT(SUMPRODUCT(MAX((T_PlannedOrders[Part Name]=$A965)*(T_PlannedOrders[WeekIndex]=46)*(T_PlannedOrders[EffectiveQty]&gt;0)*T_PlannedOrders[Order_Month])),"m月")&amp;"発注)")</f>
        <v/>
      </c>
      <c r="AX977">
        <f>IF(SUMIFS(T_PlannedOrders[EffectiveQty],T_PlannedOrders[Part Name],$A965,T_PlannedOrders[WeekIndex],47)=0,"",SUMIFS(T_PlannedOrders[EffectiveQty],T_PlannedOrders[Part Name],$A965,T_PlannedOrders[WeekIndex],47)&amp;" ("&amp;TEXT(SUMPRODUCT(MAX((T_PlannedOrders[Part Name]=$A965)*(T_PlannedOrders[WeekIndex]=47)*(T_PlannedOrders[EffectiveQty]&gt;0)*T_PlannedOrders[Order_Month])),"m月")&amp;"発注)")</f>
        <v/>
      </c>
      <c r="AY977">
        <f>IF(SUMIFS(T_PlannedOrders[EffectiveQty],T_PlannedOrders[Part Name],$A965,T_PlannedOrders[WeekIndex],48)=0,"",SUMIFS(T_PlannedOrders[EffectiveQty],T_PlannedOrders[Part Name],$A965,T_PlannedOrders[WeekIndex],48)&amp;" ("&amp;TEXT(SUMPRODUCT(MAX((T_PlannedOrders[Part Name]=$A965)*(T_PlannedOrders[WeekIndex]=48)*(T_PlannedOrders[EffectiveQty]&gt;0)*T_PlannedOrders[Order_Month])),"m月")&amp;"発注)")</f>
        <v/>
      </c>
      <c r="AZ977">
        <f>IF(SUMIFS(T_PlannedOrders[EffectiveQty],T_PlannedOrders[Part Name],$A965,T_PlannedOrders[WeekIndex],49)=0,"",SUMIFS(T_PlannedOrders[EffectiveQty],T_PlannedOrders[Part Name],$A965,T_PlannedOrders[WeekIndex],49)&amp;" ("&amp;TEXT(SUMPRODUCT(MAX((T_PlannedOrders[Part Name]=$A965)*(T_PlannedOrders[WeekIndex]=49)*(T_PlannedOrders[EffectiveQty]&gt;0)*T_PlannedOrders[Order_Month])),"m月")&amp;"発注)")</f>
        <v/>
      </c>
      <c r="BA977">
        <f>IF(SUMIFS(T_PlannedOrders[EffectiveQty],T_PlannedOrders[Part Name],$A965,T_PlannedOrders[WeekIndex],50)=0,"",SUMIFS(T_PlannedOrders[EffectiveQty],T_PlannedOrders[Part Name],$A965,T_PlannedOrders[WeekIndex],50)&amp;" ("&amp;TEXT(SUMPRODUCT(MAX((T_PlannedOrders[Part Name]=$A965)*(T_PlannedOrders[WeekIndex]=50)*(T_PlannedOrders[EffectiveQty]&gt;0)*T_PlannedOrders[Order_Month])),"m月")&amp;"発注)")</f>
        <v/>
      </c>
      <c r="BB977">
        <f>IF(SUMIFS(T_PlannedOrders[EffectiveQty],T_PlannedOrders[Part Name],$A965,T_PlannedOrders[WeekIndex],51)=0,"",SUMIFS(T_PlannedOrders[EffectiveQty],T_PlannedOrders[Part Name],$A965,T_PlannedOrders[WeekIndex],51)&amp;" ("&amp;TEXT(SUMPRODUCT(MAX((T_PlannedOrders[Part Name]=$A965)*(T_PlannedOrders[WeekIndex]=51)*(T_PlannedOrders[EffectiveQty]&gt;0)*T_PlannedOrders[Order_Month])),"m月")&amp;"発注)")</f>
        <v/>
      </c>
      <c r="BC977">
        <f>IF(SUMIFS(T_PlannedOrders[EffectiveQty],T_PlannedOrders[Part Name],$A965,T_PlannedOrders[WeekIndex],52)=0,"",SUMIFS(T_PlannedOrders[EffectiveQty],T_PlannedOrders[Part Name],$A965,T_PlannedOrders[WeekIndex],52)&amp;" ("&amp;TEXT(SUMPRODUCT(MAX((T_PlannedOrders[Part Name]=$A965)*(T_PlannedOrders[WeekIndex]=52)*(T_PlannedOrders[EffectiveQty]&gt;0)*T_PlannedOrders[Order_Month])),"m月")&amp;"発注)")</f>
        <v/>
      </c>
      <c r="BD977">
        <f>IF(SUMIFS(T_PlannedOrders[EffectiveQty],T_PlannedOrders[Part Name],$A965,T_PlannedOrders[WeekIndex],53)=0,"",SUMIFS(T_PlannedOrders[EffectiveQty],T_PlannedOrders[Part Name],$A965,T_PlannedOrders[WeekIndex],53)&amp;" ("&amp;TEXT(SUMPRODUCT(MAX((T_PlannedOrders[Part Name]=$A965)*(T_PlannedOrders[WeekIndex]=53)*(T_PlannedOrders[EffectiveQty]&gt;0)*T_PlannedOrders[Order_Month])),"m月")&amp;"発注)")</f>
        <v/>
      </c>
      <c r="BE977">
        <f>IF(SUMIFS(T_PlannedOrders[EffectiveQty],T_PlannedOrders[Part Name],$A965,T_PlannedOrders[WeekIndex],54)=0,"",SUMIFS(T_PlannedOrders[EffectiveQty],T_PlannedOrders[Part Name],$A965,T_PlannedOrders[WeekIndex],54)&amp;" ("&amp;TEXT(SUMPRODUCT(MAX((T_PlannedOrders[Part Name]=$A965)*(T_PlannedOrders[WeekIndex]=54)*(T_PlannedOrders[EffectiveQty]&gt;0)*T_PlannedOrders[Order_Month])),"m月")&amp;"発注)")</f>
        <v/>
      </c>
      <c r="BF977">
        <f>IF(SUMIFS(T_PlannedOrders[EffectiveQty],T_PlannedOrders[Part Name],$A965,T_PlannedOrders[WeekIndex],55)=0,"",SUMIFS(T_PlannedOrders[EffectiveQty],T_PlannedOrders[Part Name],$A965,T_PlannedOrders[WeekIndex],55)&amp;" ("&amp;TEXT(SUMPRODUCT(MAX((T_PlannedOrders[Part Name]=$A965)*(T_PlannedOrders[WeekIndex]=55)*(T_PlannedOrders[EffectiveQty]&gt;0)*T_PlannedOrders[Order_Month])),"m月")&amp;"発注)")</f>
        <v/>
      </c>
      <c r="BG977">
        <f>IF(SUMIFS(T_PlannedOrders[EffectiveQty],T_PlannedOrders[Part Name],$A965,T_PlannedOrders[WeekIndex],56)=0,"",SUMIFS(T_PlannedOrders[EffectiveQty],T_PlannedOrders[Part Name],$A965,T_PlannedOrders[WeekIndex],56)&amp;" ("&amp;TEXT(SUMPRODUCT(MAX((T_PlannedOrders[Part Name]=$A965)*(T_PlannedOrders[WeekIndex]=56)*(T_PlannedOrders[EffectiveQty]&gt;0)*T_PlannedOrders[Order_Month])),"m月")&amp;"発注)")</f>
        <v/>
      </c>
      <c r="BH977">
        <f>IF(SUMIFS(T_PlannedOrders[EffectiveQty],T_PlannedOrders[Part Name],$A965,T_PlannedOrders[WeekIndex],57)=0,"",SUMIFS(T_PlannedOrders[EffectiveQty],T_PlannedOrders[Part Name],$A965,T_PlannedOrders[WeekIndex],57)&amp;" ("&amp;TEXT(SUMPRODUCT(MAX((T_PlannedOrders[Part Name]=$A965)*(T_PlannedOrders[WeekIndex]=57)*(T_PlannedOrders[EffectiveQty]&gt;0)*T_PlannedOrders[Order_Month])),"m月")&amp;"発注)")</f>
        <v/>
      </c>
      <c r="BI977">
        <f>IF(SUMIFS(T_PlannedOrders[EffectiveQty],T_PlannedOrders[Part Name],$A965,T_PlannedOrders[WeekIndex],58)=0,"",SUMIFS(T_PlannedOrders[EffectiveQty],T_PlannedOrders[Part Name],$A965,T_PlannedOrders[WeekIndex],58)&amp;" ("&amp;TEXT(SUMPRODUCT(MAX((T_PlannedOrders[Part Name]=$A965)*(T_PlannedOrders[WeekIndex]=58)*(T_PlannedOrders[EffectiveQty]&gt;0)*T_PlannedOrders[Order_Month])),"m月")&amp;"発注)")</f>
        <v/>
      </c>
      <c r="BJ977">
        <f>IF(SUMIFS(T_PlannedOrders[EffectiveQty],T_PlannedOrders[Part Name],$A965,T_PlannedOrders[WeekIndex],59)=0,"",SUMIFS(T_PlannedOrders[EffectiveQty],T_PlannedOrders[Part Name],$A965,T_PlannedOrders[WeekIndex],59)&amp;" ("&amp;TEXT(SUMPRODUCT(MAX((T_PlannedOrders[Part Name]=$A965)*(T_PlannedOrders[WeekIndex]=59)*(T_PlannedOrders[EffectiveQty]&gt;0)*T_PlannedOrders[Order_Month])),"m月")&amp;"発注)")</f>
        <v/>
      </c>
      <c r="BK977">
        <f>IF(SUMIFS(T_PlannedOrders[EffectiveQty],T_PlannedOrders[Part Name],$A965,T_PlannedOrders[WeekIndex],60)=0,"",SUMIFS(T_PlannedOrders[EffectiveQty],T_PlannedOrders[Part Name],$A965,T_PlannedOrders[WeekIndex],60)&amp;" ("&amp;TEXT(SUMPRODUCT(MAX((T_PlannedOrders[Part Name]=$A965)*(T_PlannedOrders[WeekIndex]=60)*(T_PlannedOrders[EffectiveQty]&gt;0)*T_PlannedOrders[Order_Month])),"m月")&amp;"発注)")</f>
        <v/>
      </c>
      <c r="BL977">
        <f>IF(SUMIFS(T_PlannedOrders[EffectiveQty],T_PlannedOrders[Part Name],$A965,T_PlannedOrders[WeekIndex],61)=0,"",SUMIFS(T_PlannedOrders[EffectiveQty],T_PlannedOrders[Part Name],$A965,T_PlannedOrders[WeekIndex],61)&amp;" ("&amp;TEXT(SUMPRODUCT(MAX((T_PlannedOrders[Part Name]=$A965)*(T_PlannedOrders[WeekIndex]=61)*(T_PlannedOrders[EffectiveQty]&gt;0)*T_PlannedOrders[Order_Month])),"m月")&amp;"発注)")</f>
        <v/>
      </c>
      <c r="BM977">
        <f>IF(SUMIFS(T_PlannedOrders[EffectiveQty],T_PlannedOrders[Part Name],$A965,T_PlannedOrders[WeekIndex],62)=0,"",SUMIFS(T_PlannedOrders[EffectiveQty],T_PlannedOrders[Part Name],$A965,T_PlannedOrders[WeekIndex],62)&amp;" ("&amp;TEXT(SUMPRODUCT(MAX((T_PlannedOrders[Part Name]=$A965)*(T_PlannedOrders[WeekIndex]=62)*(T_PlannedOrders[EffectiveQty]&gt;0)*T_PlannedOrders[Order_Month])),"m月")&amp;"発注)")</f>
        <v/>
      </c>
      <c r="BN977">
        <f>IF(SUMIFS(T_PlannedOrders[EffectiveQty],T_PlannedOrders[Part Name],$A965,T_PlannedOrders[WeekIndex],63)=0,"",SUMIFS(T_PlannedOrders[EffectiveQty],T_PlannedOrders[Part Name],$A965,T_PlannedOrders[WeekIndex],63)&amp;" ("&amp;TEXT(SUMPRODUCT(MAX((T_PlannedOrders[Part Name]=$A965)*(T_PlannedOrders[WeekIndex]=63)*(T_PlannedOrders[EffectiveQty]&gt;0)*T_PlannedOrders[Order_Month])),"m月")&amp;"発注)")</f>
        <v/>
      </c>
      <c r="BO977">
        <f>IF(SUMIFS(T_PlannedOrders[EffectiveQty],T_PlannedOrders[Part Name],$A965,T_PlannedOrders[WeekIndex],64)=0,"",SUMIFS(T_PlannedOrders[EffectiveQty],T_PlannedOrders[Part Name],$A965,T_PlannedOrders[WeekIndex],64)&amp;" ("&amp;TEXT(SUMPRODUCT(MAX((T_PlannedOrders[Part Name]=$A965)*(T_PlannedOrders[WeekIndex]=64)*(T_PlannedOrders[EffectiveQty]&gt;0)*T_PlannedOrders[Order_Month])),"m月")&amp;"発注)")</f>
        <v/>
      </c>
      <c r="BP977">
        <f>IF(SUMIFS(T_PlannedOrders[EffectiveQty],T_PlannedOrders[Part Name],$A965,T_PlannedOrders[WeekIndex],65)=0,"",SUMIFS(T_PlannedOrders[EffectiveQty],T_PlannedOrders[Part Name],$A965,T_PlannedOrders[WeekIndex],65)&amp;" ("&amp;TEXT(SUMPRODUCT(MAX((T_PlannedOrders[Part Name]=$A965)*(T_PlannedOrders[WeekIndex]=65)*(T_PlannedOrders[EffectiveQty]&gt;0)*T_PlannedOrders[Order_Month])),"m月")&amp;"発注)")</f>
        <v/>
      </c>
      <c r="BQ977">
        <f>IF(SUMIFS(T_PlannedOrders[EffectiveQty],T_PlannedOrders[Part Name],$A965,T_PlannedOrders[WeekIndex],66)=0,"",SUMIFS(T_PlannedOrders[EffectiveQty],T_PlannedOrders[Part Name],$A965,T_PlannedOrders[WeekIndex],66)&amp;" ("&amp;TEXT(SUMPRODUCT(MAX((T_PlannedOrders[Part Name]=$A965)*(T_PlannedOrders[WeekIndex]=66)*(T_PlannedOrders[EffectiveQty]&gt;0)*T_PlannedOrders[Order_Month])),"m月")&amp;"発注)")</f>
        <v/>
      </c>
      <c r="BR977">
        <f>IF(SUMIFS(T_PlannedOrders[EffectiveQty],T_PlannedOrders[Part Name],$A965,T_PlannedOrders[WeekIndex],67)=0,"",SUMIFS(T_PlannedOrders[EffectiveQty],T_PlannedOrders[Part Name],$A965,T_PlannedOrders[WeekIndex],67)&amp;" ("&amp;TEXT(SUMPRODUCT(MAX((T_PlannedOrders[Part Name]=$A965)*(T_PlannedOrders[WeekIndex]=67)*(T_PlannedOrders[EffectiveQty]&gt;0)*T_PlannedOrders[Order_Month])),"m月")&amp;"発注)")</f>
        <v/>
      </c>
      <c r="BS977">
        <f>IF(SUMIFS(T_PlannedOrders[EffectiveQty],T_PlannedOrders[Part Name],$A965,T_PlannedOrders[WeekIndex],68)=0,"",SUMIFS(T_PlannedOrders[EffectiveQty],T_PlannedOrders[Part Name],$A965,T_PlannedOrders[WeekIndex],68)&amp;" ("&amp;TEXT(SUMPRODUCT(MAX((T_PlannedOrders[Part Name]=$A965)*(T_PlannedOrders[WeekIndex]=68)*(T_PlannedOrders[EffectiveQty]&gt;0)*T_PlannedOrders[Order_Month])),"m月")&amp;"発注)")</f>
        <v/>
      </c>
      <c r="BT977">
        <f>IF(SUMIFS(T_PlannedOrders[EffectiveQty],T_PlannedOrders[Part Name],$A965,T_PlannedOrders[WeekIndex],69)=0,"",SUMIFS(T_PlannedOrders[EffectiveQty],T_PlannedOrders[Part Name],$A965,T_PlannedOrders[WeekIndex],69)&amp;" ("&amp;TEXT(SUMPRODUCT(MAX((T_PlannedOrders[Part Name]=$A965)*(T_PlannedOrders[WeekIndex]=69)*(T_PlannedOrders[EffectiveQty]&gt;0)*T_PlannedOrders[Order_Month])),"m月")&amp;"発注)")</f>
        <v/>
      </c>
      <c r="BU977">
        <f>IF(SUMIFS(T_PlannedOrders[EffectiveQty],T_PlannedOrders[Part Name],$A965,T_PlannedOrders[WeekIndex],70)=0,"",SUMIFS(T_PlannedOrders[EffectiveQty],T_PlannedOrders[Part Name],$A965,T_PlannedOrders[WeekIndex],70)&amp;" ("&amp;TEXT(SUMPRODUCT(MAX((T_PlannedOrders[Part Name]=$A965)*(T_PlannedOrders[WeekIndex]=70)*(T_PlannedOrders[EffectiveQty]&gt;0)*T_PlannedOrders[Order_Month])),"m月")&amp;"発注)")</f>
        <v/>
      </c>
      <c r="BV977">
        <f>IF(SUMIFS(T_PlannedOrders[EffectiveQty],T_PlannedOrders[Part Name],$A965,T_PlannedOrders[WeekIndex],71)=0,"",SUMIFS(T_PlannedOrders[EffectiveQty],T_PlannedOrders[Part Name],$A965,T_PlannedOrders[WeekIndex],71)&amp;" ("&amp;TEXT(SUMPRODUCT(MAX((T_PlannedOrders[Part Name]=$A965)*(T_PlannedOrders[WeekIndex]=71)*(T_PlannedOrders[EffectiveQty]&gt;0)*T_PlannedOrders[Order_Month])),"m月")&amp;"発注)")</f>
        <v/>
      </c>
      <c r="BW977">
        <f>IF(SUMIFS(T_PlannedOrders[EffectiveQty],T_PlannedOrders[Part Name],$A965,T_PlannedOrders[WeekIndex],72)=0,"",SUMIFS(T_PlannedOrders[EffectiveQty],T_PlannedOrders[Part Name],$A965,T_PlannedOrders[WeekIndex],72)&amp;" ("&amp;TEXT(SUMPRODUCT(MAX((T_PlannedOrders[Part Name]=$A965)*(T_PlannedOrders[WeekIndex]=72)*(T_PlannedOrders[EffectiveQty]&gt;0)*T_PlannedOrders[Order_Month])),"m月")&amp;"発注)")</f>
        <v/>
      </c>
      <c r="BX977">
        <f>IF(SUMIFS(T_PlannedOrders[EffectiveQty],T_PlannedOrders[Part Name],$A965,T_PlannedOrders[WeekIndex],73)=0,"",SUMIFS(T_PlannedOrders[EffectiveQty],T_PlannedOrders[Part Name],$A965,T_PlannedOrders[WeekIndex],73)&amp;" ("&amp;TEXT(SUMPRODUCT(MAX((T_PlannedOrders[Part Name]=$A965)*(T_PlannedOrders[WeekIndex]=73)*(T_PlannedOrders[EffectiveQty]&gt;0)*T_PlannedOrders[Order_Month])),"m月")&amp;"発注)")</f>
        <v/>
      </c>
      <c r="BY977">
        <f>IF(SUMIFS(T_PlannedOrders[EffectiveQty],T_PlannedOrders[Part Name],$A965,T_PlannedOrders[WeekIndex],74)=0,"",SUMIFS(T_PlannedOrders[EffectiveQty],T_PlannedOrders[Part Name],$A965,T_PlannedOrders[WeekIndex],74)&amp;" ("&amp;TEXT(SUMPRODUCT(MAX((T_PlannedOrders[Part Name]=$A965)*(T_PlannedOrders[WeekIndex]=74)*(T_PlannedOrders[EffectiveQty]&gt;0)*T_PlannedOrders[Order_Month])),"m月")&amp;"発注)")</f>
        <v/>
      </c>
      <c r="BZ977">
        <f>IF(SUMIFS(T_PlannedOrders[EffectiveQty],T_PlannedOrders[Part Name],$A965,T_PlannedOrders[WeekIndex],75)=0,"",SUMIFS(T_PlannedOrders[EffectiveQty],T_PlannedOrders[Part Name],$A965,T_PlannedOrders[WeekIndex],75)&amp;" ("&amp;TEXT(SUMPRODUCT(MAX((T_PlannedOrders[Part Name]=$A965)*(T_PlannedOrders[WeekIndex]=75)*(T_PlannedOrders[EffectiveQty]&gt;0)*T_PlannedOrders[Order_Month])),"m月")&amp;"発注)")</f>
        <v/>
      </c>
      <c r="CA977">
        <f>IF(SUMIFS(T_PlannedOrders[EffectiveQty],T_PlannedOrders[Part Name],$A965,T_PlannedOrders[WeekIndex],76)=0,"",SUMIFS(T_PlannedOrders[EffectiveQty],T_PlannedOrders[Part Name],$A965,T_PlannedOrders[WeekIndex],76)&amp;" ("&amp;TEXT(SUMPRODUCT(MAX((T_PlannedOrders[Part Name]=$A965)*(T_PlannedOrders[WeekIndex]=76)*(T_PlannedOrders[EffectiveQty]&gt;0)*T_PlannedOrders[Order_Month])),"m月")&amp;"発注)")</f>
        <v/>
      </c>
      <c r="CB977">
        <f>IF(SUMIFS(T_PlannedOrders[EffectiveQty],T_PlannedOrders[Part Name],$A965,T_PlannedOrders[WeekIndex],77)=0,"",SUMIFS(T_PlannedOrders[EffectiveQty],T_PlannedOrders[Part Name],$A965,T_PlannedOrders[WeekIndex],77)&amp;" ("&amp;TEXT(SUMPRODUCT(MAX((T_PlannedOrders[Part Name]=$A965)*(T_PlannedOrders[WeekIndex]=77)*(T_PlannedOrders[EffectiveQty]&gt;0)*T_PlannedOrders[Order_Month])),"m月")&amp;"発注)")</f>
        <v/>
      </c>
      <c r="CC977">
        <f>IF(SUMIFS(T_PlannedOrders[EffectiveQty],T_PlannedOrders[Part Name],$A965,T_PlannedOrders[WeekIndex],78)=0,"",SUMIFS(T_PlannedOrders[EffectiveQty],T_PlannedOrders[Part Name],$A965,T_PlannedOrders[WeekIndex],78)&amp;" ("&amp;TEXT(SUMPRODUCT(MAX((T_PlannedOrders[Part Name]=$A965)*(T_PlannedOrders[WeekIndex]=78)*(T_PlannedOrders[EffectiveQty]&gt;0)*T_PlannedOrders[Order_Month])),"m月")&amp;"発注)")</f>
        <v/>
      </c>
      <c r="CD977">
        <f>IF(SUMIFS(T_PlannedOrders[EffectiveQty],T_PlannedOrders[Part Name],$A965,T_PlannedOrders[WeekIndex],79)=0,"",SUMIFS(T_PlannedOrders[EffectiveQty],T_PlannedOrders[Part Name],$A965,T_PlannedOrders[WeekIndex],79)&amp;" ("&amp;TEXT(SUMPRODUCT(MAX((T_PlannedOrders[Part Name]=$A965)*(T_PlannedOrders[WeekIndex]=79)*(T_PlannedOrders[EffectiveQty]&gt;0)*T_PlannedOrders[Order_Month])),"m月")&amp;"発注)")</f>
        <v/>
      </c>
      <c r="CE977">
        <f>IF(SUMIFS(T_PlannedOrders[EffectiveQty],T_PlannedOrders[Part Name],$A965,T_PlannedOrders[WeekIndex],80)=0,"",SUMIFS(T_PlannedOrders[EffectiveQty],T_PlannedOrders[Part Name],$A965,T_PlannedOrders[WeekIndex],80)&amp;" ("&amp;TEXT(SUMPRODUCT(MAX((T_PlannedOrders[Part Name]=$A965)*(T_PlannedOrders[WeekIndex]=80)*(T_PlannedOrders[EffectiveQty]&gt;0)*T_PlannedOrders[Order_Month])),"m月")&amp;"発注)")</f>
        <v/>
      </c>
      <c r="CF977">
        <f>IF(SUMIFS(T_PlannedOrders[EffectiveQty],T_PlannedOrders[Part Name],$A965,T_PlannedOrders[WeekIndex],81)=0,"",SUMIFS(T_PlannedOrders[EffectiveQty],T_PlannedOrders[Part Name],$A965,T_PlannedOrders[WeekIndex],81)&amp;" ("&amp;TEXT(SUMPRODUCT(MAX((T_PlannedOrders[Part Name]=$A965)*(T_PlannedOrders[WeekIndex]=81)*(T_PlannedOrders[EffectiveQty]&gt;0)*T_PlannedOrders[Order_Month])),"m月")&amp;"発注)")</f>
        <v/>
      </c>
      <c r="CG977">
        <f>IF(SUMIFS(T_PlannedOrders[EffectiveQty],T_PlannedOrders[Part Name],$A965,T_PlannedOrders[WeekIndex],82)=0,"",SUMIFS(T_PlannedOrders[EffectiveQty],T_PlannedOrders[Part Name],$A965,T_PlannedOrders[WeekIndex],82)&amp;" ("&amp;TEXT(SUMPRODUCT(MAX((T_PlannedOrders[Part Name]=$A965)*(T_PlannedOrders[WeekIndex]=82)*(T_PlannedOrders[EffectiveQty]&gt;0)*T_PlannedOrders[Order_Month])),"m月")&amp;"発注)")</f>
        <v/>
      </c>
      <c r="CH977">
        <f>IF(SUMIFS(T_PlannedOrders[EffectiveQty],T_PlannedOrders[Part Name],$A965,T_PlannedOrders[WeekIndex],83)=0,"",SUMIFS(T_PlannedOrders[EffectiveQty],T_PlannedOrders[Part Name],$A965,T_PlannedOrders[WeekIndex],83)&amp;" ("&amp;TEXT(SUMPRODUCT(MAX((T_PlannedOrders[Part Name]=$A965)*(T_PlannedOrders[WeekIndex]=83)*(T_PlannedOrders[EffectiveQty]&gt;0)*T_PlannedOrders[Order_Month])),"m月")&amp;"発注)")</f>
        <v/>
      </c>
      <c r="CI977">
        <f>IF(SUMIFS(T_PlannedOrders[EffectiveQty],T_PlannedOrders[Part Name],$A965,T_PlannedOrders[WeekIndex],84)=0,"",SUMIFS(T_PlannedOrders[EffectiveQty],T_PlannedOrders[Part Name],$A965,T_PlannedOrders[WeekIndex],84)&amp;" ("&amp;TEXT(SUMPRODUCT(MAX((T_PlannedOrders[Part Name]=$A965)*(T_PlannedOrders[WeekIndex]=84)*(T_PlannedOrders[EffectiveQty]&gt;0)*T_PlannedOrders[Order_Month])),"m月")&amp;"発注)")</f>
        <v/>
      </c>
      <c r="CJ977">
        <f>IF(SUMIFS(T_PlannedOrders[EffectiveQty],T_PlannedOrders[Part Name],$A965,T_PlannedOrders[WeekIndex],85)=0,"",SUMIFS(T_PlannedOrders[EffectiveQty],T_PlannedOrders[Part Name],$A965,T_PlannedOrders[WeekIndex],85)&amp;" ("&amp;TEXT(SUMPRODUCT(MAX((T_PlannedOrders[Part Name]=$A965)*(T_PlannedOrders[WeekIndex]=85)*(T_PlannedOrders[EffectiveQty]&gt;0)*T_PlannedOrders[Order_Month])),"m月")&amp;"発注)")</f>
        <v/>
      </c>
      <c r="CK977">
        <f>IF(SUMIFS(T_PlannedOrders[EffectiveQty],T_PlannedOrders[Part Name],$A965,T_PlannedOrders[WeekIndex],86)=0,"",SUMIFS(T_PlannedOrders[EffectiveQty],T_PlannedOrders[Part Name],$A965,T_PlannedOrders[WeekIndex],86)&amp;" ("&amp;TEXT(SUMPRODUCT(MAX((T_PlannedOrders[Part Name]=$A965)*(T_PlannedOrders[WeekIndex]=86)*(T_PlannedOrders[EffectiveQty]&gt;0)*T_PlannedOrders[Order_Month])),"m月")&amp;"発注)")</f>
        <v/>
      </c>
      <c r="CL977">
        <f>IF(SUMIFS(T_PlannedOrders[EffectiveQty],T_PlannedOrders[Part Name],$A965,T_PlannedOrders[WeekIndex],87)=0,"",SUMIFS(T_PlannedOrders[EffectiveQty],T_PlannedOrders[Part Name],$A965,T_PlannedOrders[WeekIndex],87)&amp;" ("&amp;TEXT(SUMPRODUCT(MAX((T_PlannedOrders[Part Name]=$A965)*(T_PlannedOrders[WeekIndex]=87)*(T_PlannedOrders[EffectiveQty]&gt;0)*T_PlannedOrders[Order_Month])),"m月")&amp;"発注)")</f>
        <v/>
      </c>
      <c r="CM977">
        <f>IF(SUMIFS(T_PlannedOrders[EffectiveQty],T_PlannedOrders[Part Name],$A965,T_PlannedOrders[WeekIndex],88)=0,"",SUMIFS(T_PlannedOrders[EffectiveQty],T_PlannedOrders[Part Name],$A965,T_PlannedOrders[WeekIndex],88)&amp;" ("&amp;TEXT(SUMPRODUCT(MAX((T_PlannedOrders[Part Name]=$A965)*(T_PlannedOrders[WeekIndex]=88)*(T_PlannedOrders[EffectiveQty]&gt;0)*T_PlannedOrders[Order_Month])),"m月")&amp;"発注)")</f>
        <v/>
      </c>
      <c r="CN977">
        <f>IF(SUMIFS(T_PlannedOrders[EffectiveQty],T_PlannedOrders[Part Name],$A965,T_PlannedOrders[WeekIndex],89)=0,"",SUMIFS(T_PlannedOrders[EffectiveQty],T_PlannedOrders[Part Name],$A965,T_PlannedOrders[WeekIndex],89)&amp;" ("&amp;TEXT(SUMPRODUCT(MAX((T_PlannedOrders[Part Name]=$A965)*(T_PlannedOrders[WeekIndex]=89)*(T_PlannedOrders[EffectiveQty]&gt;0)*T_PlannedOrders[Order_Month])),"m月")&amp;"発注)")</f>
        <v/>
      </c>
      <c r="CO977">
        <f>IF(SUMIFS(T_PlannedOrders[EffectiveQty],T_PlannedOrders[Part Name],$A965,T_PlannedOrders[WeekIndex],90)=0,"",SUMIFS(T_PlannedOrders[EffectiveQty],T_PlannedOrders[Part Name],$A965,T_PlannedOrders[WeekIndex],90)&amp;" ("&amp;TEXT(SUMPRODUCT(MAX((T_PlannedOrders[Part Name]=$A965)*(T_PlannedOrders[WeekIndex]=90)*(T_PlannedOrders[EffectiveQty]&gt;0)*T_PlannedOrders[Order_Month])),"m月")&amp;"発注)")</f>
        <v/>
      </c>
      <c r="CP977">
        <f>IF(SUMIFS(T_PlannedOrders[EffectiveQty],T_PlannedOrders[Part Name],$A965,T_PlannedOrders[WeekIndex],91)=0,"",SUMIFS(T_PlannedOrders[EffectiveQty],T_PlannedOrders[Part Name],$A965,T_PlannedOrders[WeekIndex],91)&amp;" ("&amp;TEXT(SUMPRODUCT(MAX((T_PlannedOrders[Part Name]=$A965)*(T_PlannedOrders[WeekIndex]=91)*(T_PlannedOrders[EffectiveQty]&gt;0)*T_PlannedOrders[Order_Month])),"m月")&amp;"発注)")</f>
        <v/>
      </c>
      <c r="CQ977">
        <f>IF(SUMIFS(T_PlannedOrders[EffectiveQty],T_PlannedOrders[Part Name],$A965,T_PlannedOrders[WeekIndex],92)=0,"",SUMIFS(T_PlannedOrders[EffectiveQty],T_PlannedOrders[Part Name],$A965,T_PlannedOrders[WeekIndex],92)&amp;" ("&amp;TEXT(SUMPRODUCT(MAX((T_PlannedOrders[Part Name]=$A965)*(T_PlannedOrders[WeekIndex]=92)*(T_PlannedOrders[EffectiveQty]&gt;0)*T_PlannedOrders[Order_Month])),"m月")&amp;"発注)")</f>
        <v/>
      </c>
      <c r="CR977">
        <f>IF(SUMIFS(T_PlannedOrders[EffectiveQty],T_PlannedOrders[Part Name],$A965,T_PlannedOrders[WeekIndex],93)=0,"",SUMIFS(T_PlannedOrders[EffectiveQty],T_PlannedOrders[Part Name],$A965,T_PlannedOrders[WeekIndex],93)&amp;" ("&amp;TEXT(SUMPRODUCT(MAX((T_PlannedOrders[Part Name]=$A965)*(T_PlannedOrders[WeekIndex]=93)*(T_PlannedOrders[EffectiveQty]&gt;0)*T_PlannedOrders[Order_Month])),"m月")&amp;"発注)")</f>
        <v/>
      </c>
      <c r="CS977">
        <f>IF(SUMIFS(T_PlannedOrders[EffectiveQty],T_PlannedOrders[Part Name],$A965,T_PlannedOrders[WeekIndex],94)=0,"",SUMIFS(T_PlannedOrders[EffectiveQty],T_PlannedOrders[Part Name],$A965,T_PlannedOrders[WeekIndex],94)&amp;" ("&amp;TEXT(SUMPRODUCT(MAX((T_PlannedOrders[Part Name]=$A965)*(T_PlannedOrders[WeekIndex]=94)*(T_PlannedOrders[EffectiveQty]&gt;0)*T_PlannedOrders[Order_Month])),"m月")&amp;"発注)")</f>
        <v/>
      </c>
      <c r="CT977">
        <f>IF(SUMIFS(T_PlannedOrders[EffectiveQty],T_PlannedOrders[Part Name],$A965,T_PlannedOrders[WeekIndex],95)=0,"",SUMIFS(T_PlannedOrders[EffectiveQty],T_PlannedOrders[Part Name],$A965,T_PlannedOrders[WeekIndex],95)&amp;" ("&amp;TEXT(SUMPRODUCT(MAX((T_PlannedOrders[Part Name]=$A965)*(T_PlannedOrders[WeekIndex]=95)*(T_PlannedOrders[EffectiveQty]&gt;0)*T_PlannedOrders[Order_Month])),"m月")&amp;"発注)")</f>
        <v/>
      </c>
      <c r="CU977">
        <f>IF(SUMIFS(T_PlannedOrders[EffectiveQty],T_PlannedOrders[Part Name],$A965,T_PlannedOrders[WeekIndex],96)=0,"",SUMIFS(T_PlannedOrders[EffectiveQty],T_PlannedOrders[Part Name],$A965,T_PlannedOrders[WeekIndex],96)&amp;" ("&amp;TEXT(SUMPRODUCT(MAX((T_PlannedOrders[Part Name]=$A965)*(T_PlannedOrders[WeekIndex]=96)*(T_PlannedOrders[EffectiveQty]&gt;0)*T_PlannedOrders[Order_Month])),"m月")&amp;"発注)")</f>
        <v/>
      </c>
      <c r="CV977">
        <f>IF(SUMIFS(T_PlannedOrders[EffectiveQty],T_PlannedOrders[Part Name],$A965,T_PlannedOrders[WeekIndex],97)=0,"",SUMIFS(T_PlannedOrders[EffectiveQty],T_PlannedOrders[Part Name],$A965,T_PlannedOrders[WeekIndex],97)&amp;" ("&amp;TEXT(SUMPRODUCT(MAX((T_PlannedOrders[Part Name]=$A965)*(T_PlannedOrders[WeekIndex]=97)*(T_PlannedOrders[EffectiveQty]&gt;0)*T_PlannedOrders[Order_Month])),"m月")&amp;"発注)")</f>
        <v/>
      </c>
      <c r="CW977">
        <f>IF(SUMIFS(T_PlannedOrders[EffectiveQty],T_PlannedOrders[Part Name],$A965,T_PlannedOrders[WeekIndex],98)=0,"",SUMIFS(T_PlannedOrders[EffectiveQty],T_PlannedOrders[Part Name],$A965,T_PlannedOrders[WeekIndex],98)&amp;" ("&amp;TEXT(SUMPRODUCT(MAX((T_PlannedOrders[Part Name]=$A965)*(T_PlannedOrders[WeekIndex]=98)*(T_PlannedOrders[EffectiveQty]&gt;0)*T_PlannedOrders[Order_Month])),"m月")&amp;"発注)")</f>
        <v/>
      </c>
      <c r="CX977">
        <f>IF(SUMIFS(T_PlannedOrders[EffectiveQty],T_PlannedOrders[Part Name],$A965,T_PlannedOrders[WeekIndex],99)=0,"",SUMIFS(T_PlannedOrders[EffectiveQty],T_PlannedOrders[Part Name],$A965,T_PlannedOrders[WeekIndex],99)&amp;" ("&amp;TEXT(SUMPRODUCT(MAX((T_PlannedOrders[Part Name]=$A965)*(T_PlannedOrders[WeekIndex]=99)*(T_PlannedOrders[EffectiveQty]&gt;0)*T_PlannedOrders[Order_Month])),"m月")&amp;"発注)")</f>
        <v/>
      </c>
      <c r="CY977">
        <f>IF(SUMIFS(T_PlannedOrders[EffectiveQty],T_PlannedOrders[Part Name],$A965,T_PlannedOrders[WeekIndex],100)=0,"",SUMIFS(T_PlannedOrders[EffectiveQty],T_PlannedOrders[Part Name],$A965,T_PlannedOrders[WeekIndex],100)&amp;" ("&amp;TEXT(SUMPRODUCT(MAX((T_PlannedOrders[Part Name]=$A965)*(T_PlannedOrders[WeekIndex]=100)*(T_PlannedOrders[EffectiveQty]&gt;0)*T_PlannedOrders[Order_Month])),"m月")&amp;"発注)")</f>
        <v/>
      </c>
      <c r="CZ977">
        <f>IF(SUMIFS(T_PlannedOrders[EffectiveQty],T_PlannedOrders[Part Name],$A965,T_PlannedOrders[WeekIndex],101)=0,"",SUMIFS(T_PlannedOrders[EffectiveQty],T_PlannedOrders[Part Name],$A965,T_PlannedOrders[WeekIndex],101)&amp;" ("&amp;TEXT(SUMPRODUCT(MAX((T_PlannedOrders[Part Name]=$A965)*(T_PlannedOrders[WeekIndex]=101)*(T_PlannedOrders[EffectiveQty]&gt;0)*T_PlannedOrders[Order_Month])),"m月")&amp;"発注)")</f>
        <v/>
      </c>
      <c r="DA977">
        <f>IF(SUMIFS(T_PlannedOrders[EffectiveQty],T_PlannedOrders[Part Name],$A965,T_PlannedOrders[WeekIndex],102)=0,"",SUMIFS(T_PlannedOrders[EffectiveQty],T_PlannedOrders[Part Name],$A965,T_PlannedOrders[WeekIndex],102)&amp;" ("&amp;TEXT(SUMPRODUCT(MAX((T_PlannedOrders[Part Name]=$A965)*(T_PlannedOrders[WeekIndex]=102)*(T_PlannedOrders[EffectiveQty]&gt;0)*T_PlannedOrders[Order_Month])),"m月")&amp;"発注)")</f>
        <v/>
      </c>
      <c r="DB977">
        <f>IF(SUMIFS(T_PlannedOrders[EffectiveQty],T_PlannedOrders[Part Name],$A965,T_PlannedOrders[WeekIndex],103)=0,"",SUMIFS(T_PlannedOrders[EffectiveQty],T_PlannedOrders[Part Name],$A965,T_PlannedOrders[WeekIndex],103)&amp;" ("&amp;TEXT(SUMPRODUCT(MAX((T_PlannedOrders[Part Name]=$A965)*(T_PlannedOrders[WeekIndex]=103)*(T_PlannedOrders[EffectiveQty]&gt;0)*T_PlannedOrders[Order_Month])),"m月")&amp;"発注)")</f>
        <v/>
      </c>
      <c r="DC977">
        <f>IF(SUMIFS(T_PlannedOrders[EffectiveQty],T_PlannedOrders[Part Name],$A965,T_PlannedOrders[WeekIndex],104)=0,"",SUMIFS(T_PlannedOrders[EffectiveQty],T_PlannedOrders[Part Name],$A965,T_PlannedOrders[WeekIndex],104)&amp;" ("&amp;TEXT(SUMPRODUCT(MAX((T_PlannedOrders[Part Name]=$A965)*(T_PlannedOrders[WeekIndex]=104)*(T_PlannedOrders[EffectiveQty]&gt;0)*T_PlannedOrders[Order_Month])),"m月")&amp;"発注)")</f>
        <v/>
      </c>
    </row>
    <row r="978">
      <c r="B978" s="5" t="inlineStr">
        <is>
          <t>合計在庫(週末時点,kg)</t>
        </is>
      </c>
      <c r="D978">
        <f>'Grid_Stock'!B6</f>
        <v/>
      </c>
      <c r="E978">
        <f>'Grid_Stock'!C6</f>
        <v/>
      </c>
      <c r="F978">
        <f>'Grid_Stock'!D6</f>
        <v/>
      </c>
      <c r="G978">
        <f>'Grid_Stock'!E6</f>
        <v/>
      </c>
      <c r="H978">
        <f>'Grid_Stock'!F6</f>
        <v/>
      </c>
      <c r="I978">
        <f>'Grid_Stock'!G6</f>
        <v/>
      </c>
      <c r="J978">
        <f>'Grid_Stock'!H6</f>
        <v/>
      </c>
      <c r="K978">
        <f>'Grid_Stock'!I6</f>
        <v/>
      </c>
      <c r="L978">
        <f>'Grid_Stock'!J6</f>
        <v/>
      </c>
      <c r="M978">
        <f>'Grid_Stock'!K6</f>
        <v/>
      </c>
      <c r="N978">
        <f>'Grid_Stock'!L6</f>
        <v/>
      </c>
      <c r="O978">
        <f>'Grid_Stock'!M6</f>
        <v/>
      </c>
      <c r="P978">
        <f>'Grid_Stock'!N6</f>
        <v/>
      </c>
      <c r="Q978">
        <f>'Grid_Stock'!O6</f>
        <v/>
      </c>
      <c r="R978">
        <f>'Grid_Stock'!P6</f>
        <v/>
      </c>
      <c r="S978">
        <f>'Grid_Stock'!Q6</f>
        <v/>
      </c>
      <c r="T978">
        <f>'Grid_Stock'!R6</f>
        <v/>
      </c>
      <c r="U978">
        <f>'Grid_Stock'!S6</f>
        <v/>
      </c>
      <c r="V978">
        <f>'Grid_Stock'!T6</f>
        <v/>
      </c>
      <c r="W978">
        <f>'Grid_Stock'!U6</f>
        <v/>
      </c>
      <c r="X978">
        <f>'Grid_Stock'!V6</f>
        <v/>
      </c>
      <c r="Y978">
        <f>'Grid_Stock'!W6</f>
        <v/>
      </c>
      <c r="Z978">
        <f>'Grid_Stock'!X6</f>
        <v/>
      </c>
      <c r="AA978">
        <f>'Grid_Stock'!Y6</f>
        <v/>
      </c>
      <c r="AB978">
        <f>'Grid_Stock'!Z6</f>
        <v/>
      </c>
      <c r="AC978">
        <f>'Grid_Stock'!AA6</f>
        <v/>
      </c>
      <c r="AD978">
        <f>'Grid_Stock'!AB6</f>
        <v/>
      </c>
      <c r="AE978">
        <f>'Grid_Stock'!AC6</f>
        <v/>
      </c>
      <c r="AF978">
        <f>'Grid_Stock'!AD6</f>
        <v/>
      </c>
      <c r="AG978">
        <f>'Grid_Stock'!AE6</f>
        <v/>
      </c>
      <c r="AH978">
        <f>'Grid_Stock'!AF6</f>
        <v/>
      </c>
      <c r="AI978">
        <f>'Grid_Stock'!AG6</f>
        <v/>
      </c>
      <c r="AJ978">
        <f>'Grid_Stock'!AH6</f>
        <v/>
      </c>
      <c r="AK978">
        <f>'Grid_Stock'!AI6</f>
        <v/>
      </c>
      <c r="AL978">
        <f>'Grid_Stock'!AJ6</f>
        <v/>
      </c>
      <c r="AM978">
        <f>'Grid_Stock'!AK6</f>
        <v/>
      </c>
      <c r="AN978">
        <f>'Grid_Stock'!AL6</f>
        <v/>
      </c>
      <c r="AO978">
        <f>'Grid_Stock'!AM6</f>
        <v/>
      </c>
      <c r="AP978">
        <f>'Grid_Stock'!AN6</f>
        <v/>
      </c>
      <c r="AQ978">
        <f>'Grid_Stock'!AO6</f>
        <v/>
      </c>
      <c r="AR978">
        <f>'Grid_Stock'!AP6</f>
        <v/>
      </c>
      <c r="AS978">
        <f>'Grid_Stock'!AQ6</f>
        <v/>
      </c>
      <c r="AT978">
        <f>'Grid_Stock'!AR6</f>
        <v/>
      </c>
      <c r="AU978">
        <f>'Grid_Stock'!AS6</f>
        <v/>
      </c>
      <c r="AV978">
        <f>'Grid_Stock'!AT6</f>
        <v/>
      </c>
      <c r="AW978">
        <f>'Grid_Stock'!AU6</f>
        <v/>
      </c>
      <c r="AX978">
        <f>'Grid_Stock'!AV6</f>
        <v/>
      </c>
      <c r="AY978">
        <f>'Grid_Stock'!AW6</f>
        <v/>
      </c>
      <c r="AZ978">
        <f>'Grid_Stock'!AX6</f>
        <v/>
      </c>
      <c r="BA978">
        <f>'Grid_Stock'!AY6</f>
        <v/>
      </c>
      <c r="BB978">
        <f>'Grid_Stock'!AZ6</f>
        <v/>
      </c>
      <c r="BC978">
        <f>'Grid_Stock'!BA6</f>
        <v/>
      </c>
      <c r="BD978">
        <f>'Grid_Stock'!BB6</f>
        <v/>
      </c>
      <c r="BE978">
        <f>'Grid_Stock'!BC6</f>
        <v/>
      </c>
      <c r="BF978">
        <f>'Grid_Stock'!BD6</f>
        <v/>
      </c>
      <c r="BG978">
        <f>'Grid_Stock'!BE6</f>
        <v/>
      </c>
      <c r="BH978">
        <f>'Grid_Stock'!BF6</f>
        <v/>
      </c>
      <c r="BI978">
        <f>'Grid_Stock'!BG6</f>
        <v/>
      </c>
      <c r="BJ978">
        <f>'Grid_Stock'!BH6</f>
        <v/>
      </c>
      <c r="BK978">
        <f>'Grid_Stock'!BI6</f>
        <v/>
      </c>
      <c r="BL978">
        <f>'Grid_Stock'!BJ6</f>
        <v/>
      </c>
      <c r="BM978">
        <f>'Grid_Stock'!BK6</f>
        <v/>
      </c>
      <c r="BN978">
        <f>'Grid_Stock'!BL6</f>
        <v/>
      </c>
      <c r="BO978">
        <f>'Grid_Stock'!BM6</f>
        <v/>
      </c>
      <c r="BP978">
        <f>'Grid_Stock'!BN6</f>
        <v/>
      </c>
      <c r="BQ978">
        <f>'Grid_Stock'!BO6</f>
        <v/>
      </c>
      <c r="BR978">
        <f>'Grid_Stock'!BP6</f>
        <v/>
      </c>
      <c r="BS978">
        <f>'Grid_Stock'!BQ6</f>
        <v/>
      </c>
      <c r="BT978">
        <f>'Grid_Stock'!BR6</f>
        <v/>
      </c>
      <c r="BU978">
        <f>'Grid_Stock'!BS6</f>
        <v/>
      </c>
      <c r="BV978">
        <f>'Grid_Stock'!BT6</f>
        <v/>
      </c>
      <c r="BW978">
        <f>'Grid_Stock'!BU6</f>
        <v/>
      </c>
      <c r="BX978">
        <f>'Grid_Stock'!BV6</f>
        <v/>
      </c>
      <c r="BY978">
        <f>'Grid_Stock'!BW6</f>
        <v/>
      </c>
      <c r="BZ978">
        <f>'Grid_Stock'!BX6</f>
        <v/>
      </c>
      <c r="CA978">
        <f>'Grid_Stock'!BY6</f>
        <v/>
      </c>
      <c r="CB978">
        <f>'Grid_Stock'!BZ6</f>
        <v/>
      </c>
      <c r="CC978">
        <f>'Grid_Stock'!CA6</f>
        <v/>
      </c>
      <c r="CD978">
        <f>'Grid_Stock'!CB6</f>
        <v/>
      </c>
      <c r="CE978">
        <f>'Grid_Stock'!CC6</f>
        <v/>
      </c>
      <c r="CF978">
        <f>'Grid_Stock'!CD6</f>
        <v/>
      </c>
      <c r="CG978">
        <f>'Grid_Stock'!CE6</f>
        <v/>
      </c>
      <c r="CH978">
        <f>'Grid_Stock'!CF6</f>
        <v/>
      </c>
      <c r="CI978">
        <f>'Grid_Stock'!CG6</f>
        <v/>
      </c>
      <c r="CJ978">
        <f>'Grid_Stock'!CH6</f>
        <v/>
      </c>
      <c r="CK978">
        <f>'Grid_Stock'!CI6</f>
        <v/>
      </c>
      <c r="CL978">
        <f>'Grid_Stock'!CJ6</f>
        <v/>
      </c>
      <c r="CM978">
        <f>'Grid_Stock'!CK6</f>
        <v/>
      </c>
      <c r="CN978">
        <f>'Grid_Stock'!CL6</f>
        <v/>
      </c>
      <c r="CO978">
        <f>'Grid_Stock'!CM6</f>
        <v/>
      </c>
      <c r="CP978">
        <f>'Grid_Stock'!CN6</f>
        <v/>
      </c>
      <c r="CQ978">
        <f>'Grid_Stock'!CO6</f>
        <v/>
      </c>
      <c r="CR978">
        <f>'Grid_Stock'!CP6</f>
        <v/>
      </c>
      <c r="CS978">
        <f>'Grid_Stock'!CQ6</f>
        <v/>
      </c>
      <c r="CT978">
        <f>'Grid_Stock'!CR6</f>
        <v/>
      </c>
      <c r="CU978">
        <f>'Grid_Stock'!CS6</f>
        <v/>
      </c>
      <c r="CV978">
        <f>'Grid_Stock'!CT6</f>
        <v/>
      </c>
      <c r="CW978">
        <f>'Grid_Stock'!CU6</f>
        <v/>
      </c>
      <c r="CX978">
        <f>'Grid_Stock'!CV6</f>
        <v/>
      </c>
      <c r="CY978">
        <f>'Grid_Stock'!CW6</f>
        <v/>
      </c>
      <c r="CZ978">
        <f>'Grid_Stock'!CX6</f>
        <v/>
      </c>
      <c r="DA978">
        <f>'Grid_Stock'!CY6</f>
        <v/>
      </c>
      <c r="DB978">
        <f>'Grid_Stock'!CZ6</f>
        <v/>
      </c>
      <c r="DC978">
        <f>'Grid_Stock'!DA6</f>
        <v/>
      </c>
    </row>
    <row r="979">
      <c r="B979" s="23" t="inlineStr">
        <is>
          <t>（発注の目安はDashboardの基準在庫[下限/上限]と色分けを参照）</t>
        </is>
      </c>
    </row>
    <row r="981">
      <c r="A981" s="21" t="inlineStr">
        <is>
          <t>CHEM-1550</t>
        </is>
      </c>
      <c r="B981" s="21" t="inlineStr">
        <is>
          <t>CHUPOL CC-6</t>
        </is>
      </c>
      <c r="C981" s="22" t="n"/>
      <c r="D981" s="21" t="n"/>
      <c r="E981" s="21" t="n"/>
      <c r="F981" s="21" t="n"/>
      <c r="G981" s="21" t="n"/>
      <c r="H981" s="2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  <c r="AA981" s="21" t="n"/>
      <c r="AB981" s="21" t="n"/>
      <c r="AC981" s="21" t="n"/>
      <c r="AD981" s="21" t="n"/>
      <c r="AE981" s="21" t="n"/>
      <c r="AF981" s="21" t="n"/>
      <c r="AG981" s="21" t="n"/>
      <c r="AH981" s="21" t="n"/>
      <c r="AI981" s="21" t="n"/>
      <c r="AJ981" s="21" t="n"/>
      <c r="AK981" s="21" t="n"/>
      <c r="AL981" s="21" t="n"/>
      <c r="AM981" s="21" t="n"/>
      <c r="AN981" s="21" t="n"/>
      <c r="AO981" s="21" t="n"/>
      <c r="AP981" s="21" t="n"/>
      <c r="AQ981" s="21" t="n"/>
      <c r="AR981" s="21" t="n"/>
      <c r="AS981" s="21" t="n"/>
      <c r="AT981" s="21" t="n"/>
      <c r="AU981" s="21" t="n"/>
      <c r="AV981" s="21" t="n"/>
      <c r="AW981" s="21" t="n"/>
      <c r="AX981" s="21" t="n"/>
      <c r="AY981" s="21" t="n"/>
      <c r="AZ981" s="21" t="n"/>
      <c r="BA981" s="21" t="n"/>
      <c r="BB981" s="21" t="n"/>
      <c r="BC981" s="21" t="n"/>
      <c r="BD981" s="21" t="n"/>
      <c r="BE981" s="21" t="n"/>
      <c r="BF981" s="21" t="n"/>
      <c r="BG981" s="21" t="n"/>
      <c r="BH981" s="21" t="n"/>
      <c r="BI981" s="21" t="n"/>
      <c r="BJ981" s="21" t="n"/>
      <c r="BK981" s="21" t="n"/>
      <c r="BL981" s="21" t="n"/>
      <c r="BM981" s="21" t="n"/>
      <c r="BN981" s="21" t="n"/>
      <c r="BO981" s="21" t="n"/>
      <c r="BP981" s="21" t="n"/>
      <c r="BQ981" s="21" t="n"/>
      <c r="BR981" s="21" t="n"/>
      <c r="BS981" s="21" t="n"/>
      <c r="BT981" s="21" t="n"/>
      <c r="BU981" s="21" t="n"/>
      <c r="BV981" s="21" t="n"/>
      <c r="BW981" s="21" t="n"/>
      <c r="BX981" s="21" t="n"/>
      <c r="BY981" s="21" t="n"/>
      <c r="BZ981" s="21" t="n"/>
      <c r="CA981" s="21" t="n"/>
      <c r="CB981" s="21" t="n"/>
      <c r="CC981" s="21" t="n"/>
      <c r="CD981" s="21" t="n"/>
      <c r="CE981" s="21" t="n"/>
      <c r="CF981" s="21" t="n"/>
      <c r="CG981" s="21" t="n"/>
      <c r="CH981" s="21" t="n"/>
      <c r="CI981" s="21" t="n"/>
      <c r="CJ981" s="21" t="n"/>
      <c r="CK981" s="21" t="n"/>
      <c r="CL981" s="21" t="n"/>
      <c r="CM981" s="21" t="n"/>
      <c r="CN981" s="21" t="n"/>
      <c r="CO981" s="21" t="n"/>
      <c r="CP981" s="21" t="n"/>
      <c r="CQ981" s="21" t="n"/>
      <c r="CR981" s="21" t="n"/>
      <c r="CS981" s="21" t="n"/>
      <c r="CT981" s="21" t="n"/>
      <c r="CU981" s="21" t="n"/>
      <c r="CV981" s="21" t="n"/>
      <c r="CW981" s="21" t="n"/>
      <c r="CX981" s="21" t="n"/>
      <c r="CY981" s="21" t="n"/>
      <c r="CZ981" s="21" t="n"/>
      <c r="DA981" s="21" t="n"/>
      <c r="DB981" s="21" t="n"/>
      <c r="DC981" s="21" t="n"/>
    </row>
    <row r="982">
      <c r="B982" t="inlineStr">
        <is>
          <t>TSP-402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Name],$A981)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TSP-403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Name],$A981)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TSP-404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Name],$A981)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TSP-405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Name],$A981)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s="5" t="inlineStr">
        <is>
          <t>合計使用量(kg)/週</t>
        </is>
      </c>
      <c r="D990">
        <f>'Grid_Requirement'!B10</f>
        <v/>
      </c>
      <c r="E990">
        <f>'Grid_Requirement'!C10</f>
        <v/>
      </c>
      <c r="F990">
        <f>'Grid_Requirement'!D10</f>
        <v/>
      </c>
      <c r="G990">
        <f>'Grid_Requirement'!E10</f>
        <v/>
      </c>
      <c r="H990">
        <f>'Grid_Requirement'!F10</f>
        <v/>
      </c>
      <c r="I990">
        <f>'Grid_Requirement'!G10</f>
        <v/>
      </c>
      <c r="J990">
        <f>'Grid_Requirement'!H10</f>
        <v/>
      </c>
      <c r="K990">
        <f>'Grid_Requirement'!I10</f>
        <v/>
      </c>
      <c r="L990">
        <f>'Grid_Requirement'!J10</f>
        <v/>
      </c>
      <c r="M990">
        <f>'Grid_Requirement'!K10</f>
        <v/>
      </c>
      <c r="N990">
        <f>'Grid_Requirement'!L10</f>
        <v/>
      </c>
      <c r="O990">
        <f>'Grid_Requirement'!M10</f>
        <v/>
      </c>
      <c r="P990">
        <f>'Grid_Requirement'!N10</f>
        <v/>
      </c>
      <c r="Q990">
        <f>'Grid_Requirement'!O10</f>
        <v/>
      </c>
      <c r="R990">
        <f>'Grid_Requirement'!P10</f>
        <v/>
      </c>
      <c r="S990">
        <f>'Grid_Requirement'!Q10</f>
        <v/>
      </c>
      <c r="T990">
        <f>'Grid_Requirement'!R10</f>
        <v/>
      </c>
      <c r="U990">
        <f>'Grid_Requirement'!S10</f>
        <v/>
      </c>
      <c r="V990">
        <f>'Grid_Requirement'!T10</f>
        <v/>
      </c>
      <c r="W990">
        <f>'Grid_Requirement'!U10</f>
        <v/>
      </c>
      <c r="X990">
        <f>'Grid_Requirement'!V10</f>
        <v/>
      </c>
      <c r="Y990">
        <f>'Grid_Requirement'!W10</f>
        <v/>
      </c>
      <c r="Z990">
        <f>'Grid_Requirement'!X10</f>
        <v/>
      </c>
      <c r="AA990">
        <f>'Grid_Requirement'!Y10</f>
        <v/>
      </c>
      <c r="AB990">
        <f>'Grid_Requirement'!Z10</f>
        <v/>
      </c>
      <c r="AC990">
        <f>'Grid_Requirement'!AA10</f>
        <v/>
      </c>
      <c r="AD990">
        <f>'Grid_Requirement'!AB10</f>
        <v/>
      </c>
      <c r="AE990">
        <f>'Grid_Requirement'!AC10</f>
        <v/>
      </c>
      <c r="AF990">
        <f>'Grid_Requirement'!AD10</f>
        <v/>
      </c>
      <c r="AG990">
        <f>'Grid_Requirement'!AE10</f>
        <v/>
      </c>
      <c r="AH990">
        <f>'Grid_Requirement'!AF10</f>
        <v/>
      </c>
      <c r="AI990">
        <f>'Grid_Requirement'!AG10</f>
        <v/>
      </c>
      <c r="AJ990">
        <f>'Grid_Requirement'!AH10</f>
        <v/>
      </c>
      <c r="AK990">
        <f>'Grid_Requirement'!AI10</f>
        <v/>
      </c>
      <c r="AL990">
        <f>'Grid_Requirement'!AJ10</f>
        <v/>
      </c>
      <c r="AM990">
        <f>'Grid_Requirement'!AK10</f>
        <v/>
      </c>
      <c r="AN990">
        <f>'Grid_Requirement'!AL10</f>
        <v/>
      </c>
      <c r="AO990">
        <f>'Grid_Requirement'!AM10</f>
        <v/>
      </c>
      <c r="AP990">
        <f>'Grid_Requirement'!AN10</f>
        <v/>
      </c>
      <c r="AQ990">
        <f>'Grid_Requirement'!AO10</f>
        <v/>
      </c>
      <c r="AR990">
        <f>'Grid_Requirement'!AP10</f>
        <v/>
      </c>
      <c r="AS990">
        <f>'Grid_Requirement'!AQ10</f>
        <v/>
      </c>
      <c r="AT990">
        <f>'Grid_Requirement'!AR10</f>
        <v/>
      </c>
      <c r="AU990">
        <f>'Grid_Requirement'!AS10</f>
        <v/>
      </c>
      <c r="AV990">
        <f>'Grid_Requirement'!AT10</f>
        <v/>
      </c>
      <c r="AW990">
        <f>'Grid_Requirement'!AU10</f>
        <v/>
      </c>
      <c r="AX990">
        <f>'Grid_Requirement'!AV10</f>
        <v/>
      </c>
      <c r="AY990">
        <f>'Grid_Requirement'!AW10</f>
        <v/>
      </c>
      <c r="AZ990">
        <f>'Grid_Requirement'!AX10</f>
        <v/>
      </c>
      <c r="BA990">
        <f>'Grid_Requirement'!AY10</f>
        <v/>
      </c>
      <c r="BB990">
        <f>'Grid_Requirement'!AZ10</f>
        <v/>
      </c>
      <c r="BC990">
        <f>'Grid_Requirement'!BA10</f>
        <v/>
      </c>
      <c r="BD990">
        <f>'Grid_Requirement'!BB10</f>
        <v/>
      </c>
      <c r="BE990">
        <f>'Grid_Requirement'!BC10</f>
        <v/>
      </c>
      <c r="BF990">
        <f>'Grid_Requirement'!BD10</f>
        <v/>
      </c>
      <c r="BG990">
        <f>'Grid_Requirement'!BE10</f>
        <v/>
      </c>
      <c r="BH990">
        <f>'Grid_Requirement'!BF10</f>
        <v/>
      </c>
      <c r="BI990">
        <f>'Grid_Requirement'!BG10</f>
        <v/>
      </c>
      <c r="BJ990">
        <f>'Grid_Requirement'!BH10</f>
        <v/>
      </c>
      <c r="BK990">
        <f>'Grid_Requirement'!BI10</f>
        <v/>
      </c>
      <c r="BL990">
        <f>'Grid_Requirement'!BJ10</f>
        <v/>
      </c>
      <c r="BM990">
        <f>'Grid_Requirement'!BK10</f>
        <v/>
      </c>
      <c r="BN990">
        <f>'Grid_Requirement'!BL10</f>
        <v/>
      </c>
      <c r="BO990">
        <f>'Grid_Requirement'!BM10</f>
        <v/>
      </c>
      <c r="BP990">
        <f>'Grid_Requirement'!BN10</f>
        <v/>
      </c>
      <c r="BQ990">
        <f>'Grid_Requirement'!BO10</f>
        <v/>
      </c>
      <c r="BR990">
        <f>'Grid_Requirement'!BP10</f>
        <v/>
      </c>
      <c r="BS990">
        <f>'Grid_Requirement'!BQ10</f>
        <v/>
      </c>
      <c r="BT990">
        <f>'Grid_Requirement'!BR10</f>
        <v/>
      </c>
      <c r="BU990">
        <f>'Grid_Requirement'!BS10</f>
        <v/>
      </c>
      <c r="BV990">
        <f>'Grid_Requirement'!BT10</f>
        <v/>
      </c>
      <c r="BW990">
        <f>'Grid_Requirement'!BU10</f>
        <v/>
      </c>
      <c r="BX990">
        <f>'Grid_Requirement'!BV10</f>
        <v/>
      </c>
      <c r="BY990">
        <f>'Grid_Requirement'!BW10</f>
        <v/>
      </c>
      <c r="BZ990">
        <f>'Grid_Requirement'!BX10</f>
        <v/>
      </c>
      <c r="CA990">
        <f>'Grid_Requirement'!BY10</f>
        <v/>
      </c>
      <c r="CB990">
        <f>'Grid_Requirement'!BZ10</f>
        <v/>
      </c>
      <c r="CC990">
        <f>'Grid_Requirement'!CA10</f>
        <v/>
      </c>
      <c r="CD990">
        <f>'Grid_Requirement'!CB10</f>
        <v/>
      </c>
      <c r="CE990">
        <f>'Grid_Requirement'!CC10</f>
        <v/>
      </c>
      <c r="CF990">
        <f>'Grid_Requirement'!CD10</f>
        <v/>
      </c>
      <c r="CG990">
        <f>'Grid_Requirement'!CE10</f>
        <v/>
      </c>
      <c r="CH990">
        <f>'Grid_Requirement'!CF10</f>
        <v/>
      </c>
      <c r="CI990">
        <f>'Grid_Requirement'!CG10</f>
        <v/>
      </c>
      <c r="CJ990">
        <f>'Grid_Requirement'!CH10</f>
        <v/>
      </c>
      <c r="CK990">
        <f>'Grid_Requirement'!CI10</f>
        <v/>
      </c>
      <c r="CL990">
        <f>'Grid_Requirement'!CJ10</f>
        <v/>
      </c>
      <c r="CM990">
        <f>'Grid_Requirement'!CK10</f>
        <v/>
      </c>
      <c r="CN990">
        <f>'Grid_Requirement'!CL10</f>
        <v/>
      </c>
      <c r="CO990">
        <f>'Grid_Requirement'!CM10</f>
        <v/>
      </c>
      <c r="CP990">
        <f>'Grid_Requirement'!CN10</f>
        <v/>
      </c>
      <c r="CQ990">
        <f>'Grid_Requirement'!CO10</f>
        <v/>
      </c>
      <c r="CR990">
        <f>'Grid_Requirement'!CP10</f>
        <v/>
      </c>
      <c r="CS990">
        <f>'Grid_Requirement'!CQ10</f>
        <v/>
      </c>
      <c r="CT990">
        <f>'Grid_Requirement'!CR10</f>
        <v/>
      </c>
      <c r="CU990">
        <f>'Grid_Requirement'!CS10</f>
        <v/>
      </c>
      <c r="CV990">
        <f>'Grid_Requirement'!CT10</f>
        <v/>
      </c>
      <c r="CW990">
        <f>'Grid_Requirement'!CU10</f>
        <v/>
      </c>
      <c r="CX990">
        <f>'Grid_Requirement'!CV10</f>
        <v/>
      </c>
      <c r="CY990">
        <f>'Grid_Requirement'!CW10</f>
        <v/>
      </c>
      <c r="CZ990">
        <f>'Grid_Requirement'!CX10</f>
        <v/>
      </c>
      <c r="DA990">
        <f>'Grid_Requirement'!CY10</f>
        <v/>
      </c>
      <c r="DB990">
        <f>'Grid_Requirement'!CZ10</f>
        <v/>
      </c>
      <c r="DC990">
        <f>'Grid_Requirement'!DA10</f>
        <v/>
      </c>
    </row>
    <row r="991">
      <c r="B991" t="inlineStr">
        <is>
          <t>TTAF在庫(実績,kg)</t>
        </is>
      </c>
      <c r="D991">
        <f>'T_TTAFStock'!B14</f>
        <v/>
      </c>
      <c r="E991">
        <f>'T_TTAFStock'!C14</f>
        <v/>
      </c>
      <c r="F991">
        <f>'T_TTAFStock'!D14</f>
        <v/>
      </c>
      <c r="G991">
        <f>'T_TTAFStock'!E14</f>
        <v/>
      </c>
      <c r="H991">
        <f>'T_TTAFStock'!F14</f>
        <v/>
      </c>
      <c r="I991">
        <f>'T_TTAFStock'!G14</f>
        <v/>
      </c>
      <c r="J991">
        <f>'T_TTAFStock'!H14</f>
        <v/>
      </c>
      <c r="K991">
        <f>'T_TTAFStock'!I14</f>
        <v/>
      </c>
      <c r="L991">
        <f>'T_TTAFStock'!J14</f>
        <v/>
      </c>
      <c r="M991">
        <f>'T_TTAFStock'!K14</f>
        <v/>
      </c>
      <c r="N991">
        <f>'T_TTAFStock'!L14</f>
        <v/>
      </c>
      <c r="O991">
        <f>'T_TTAFStock'!M14</f>
        <v/>
      </c>
      <c r="P991">
        <f>'T_TTAFStock'!N14</f>
        <v/>
      </c>
      <c r="Q991">
        <f>'T_TTAFStock'!O14</f>
        <v/>
      </c>
      <c r="R991">
        <f>'T_TTAFStock'!P14</f>
        <v/>
      </c>
      <c r="S991">
        <f>'T_TTAFStock'!Q14</f>
        <v/>
      </c>
      <c r="T991">
        <f>'T_TTAFStock'!R14</f>
        <v/>
      </c>
      <c r="U991">
        <f>'T_TTAFStock'!S14</f>
        <v/>
      </c>
      <c r="V991">
        <f>'T_TTAFStock'!T14</f>
        <v/>
      </c>
      <c r="W991">
        <f>'T_TTAFStock'!U14</f>
        <v/>
      </c>
      <c r="X991">
        <f>'T_TTAFStock'!V14</f>
        <v/>
      </c>
      <c r="Y991">
        <f>'T_TTAFStock'!W14</f>
        <v/>
      </c>
      <c r="Z991">
        <f>'T_TTAFStock'!X14</f>
        <v/>
      </c>
      <c r="AA991">
        <f>'T_TTAFStock'!Y14</f>
        <v/>
      </c>
      <c r="AB991">
        <f>'T_TTAFStock'!Z14</f>
        <v/>
      </c>
      <c r="AC991">
        <f>'T_TTAFStock'!AA14</f>
        <v/>
      </c>
      <c r="AD991">
        <f>'T_TTAFStock'!AB14</f>
        <v/>
      </c>
      <c r="AE991">
        <f>'T_TTAFStock'!AC14</f>
        <v/>
      </c>
      <c r="AF991">
        <f>'T_TTAFStock'!AD14</f>
        <v/>
      </c>
      <c r="AG991">
        <f>'T_TTAFStock'!AE14</f>
        <v/>
      </c>
      <c r="AH991">
        <f>'T_TTAFStock'!AF14</f>
        <v/>
      </c>
      <c r="AI991">
        <f>'T_TTAFStock'!AG14</f>
        <v/>
      </c>
      <c r="AJ991">
        <f>'T_TTAFStock'!AH14</f>
        <v/>
      </c>
      <c r="AK991">
        <f>'T_TTAFStock'!AI14</f>
        <v/>
      </c>
      <c r="AL991">
        <f>'T_TTAFStock'!AJ14</f>
        <v/>
      </c>
      <c r="AM991">
        <f>'T_TTAFStock'!AK14</f>
        <v/>
      </c>
      <c r="AN991">
        <f>'T_TTAFStock'!AL14</f>
        <v/>
      </c>
      <c r="AO991">
        <f>'T_TTAFStock'!AM14</f>
        <v/>
      </c>
      <c r="AP991">
        <f>'T_TTAFStock'!AN14</f>
        <v/>
      </c>
      <c r="AQ991">
        <f>'T_TTAFStock'!AO14</f>
        <v/>
      </c>
      <c r="AR991">
        <f>'T_TTAFStock'!AP14</f>
        <v/>
      </c>
      <c r="AS991">
        <f>'T_TTAFStock'!AQ14</f>
        <v/>
      </c>
      <c r="AT991">
        <f>'T_TTAFStock'!AR14</f>
        <v/>
      </c>
      <c r="AU991">
        <f>'T_TTAFStock'!AS14</f>
        <v/>
      </c>
      <c r="AV991">
        <f>'T_TTAFStock'!AT14</f>
        <v/>
      </c>
      <c r="AW991">
        <f>'T_TTAFStock'!AU14</f>
        <v/>
      </c>
      <c r="AX991">
        <f>'T_TTAFStock'!AV14</f>
        <v/>
      </c>
      <c r="AY991">
        <f>'T_TTAFStock'!AW14</f>
        <v/>
      </c>
      <c r="AZ991">
        <f>'T_TTAFStock'!AX14</f>
        <v/>
      </c>
      <c r="BA991">
        <f>'T_TTAFStock'!AY14</f>
        <v/>
      </c>
      <c r="BB991">
        <f>'T_TTAFStock'!AZ14</f>
        <v/>
      </c>
      <c r="BC991">
        <f>'T_TTAFStock'!BA14</f>
        <v/>
      </c>
      <c r="BD991">
        <f>'T_TTAFStock'!BB14</f>
        <v/>
      </c>
      <c r="BE991">
        <f>'T_TTAFStock'!BC14</f>
        <v/>
      </c>
      <c r="BF991">
        <f>'T_TTAFStock'!BD14</f>
        <v/>
      </c>
      <c r="BG991">
        <f>'T_TTAFStock'!BE14</f>
        <v/>
      </c>
      <c r="BH991">
        <f>'T_TTAFStock'!BF14</f>
        <v/>
      </c>
      <c r="BI991">
        <f>'T_TTAFStock'!BG14</f>
        <v/>
      </c>
      <c r="BJ991">
        <f>'T_TTAFStock'!BH14</f>
        <v/>
      </c>
      <c r="BK991">
        <f>'T_TTAFStock'!BI14</f>
        <v/>
      </c>
      <c r="BL991">
        <f>'T_TTAFStock'!BJ14</f>
        <v/>
      </c>
      <c r="BM991">
        <f>'T_TTAFStock'!BK14</f>
        <v/>
      </c>
      <c r="BN991">
        <f>'T_TTAFStock'!BL14</f>
        <v/>
      </c>
      <c r="BO991">
        <f>'T_TTAFStock'!BM14</f>
        <v/>
      </c>
      <c r="BP991">
        <f>'T_TTAFStock'!BN14</f>
        <v/>
      </c>
      <c r="BQ991">
        <f>'T_TTAFStock'!BO14</f>
        <v/>
      </c>
      <c r="BR991">
        <f>'T_TTAFStock'!BP14</f>
        <v/>
      </c>
      <c r="BS991">
        <f>'T_TTAFStock'!BQ14</f>
        <v/>
      </c>
      <c r="BT991">
        <f>'T_TTAFStock'!BR14</f>
        <v/>
      </c>
      <c r="BU991">
        <f>'T_TTAFStock'!BS14</f>
        <v/>
      </c>
      <c r="BV991">
        <f>'T_TTAFStock'!BT14</f>
        <v/>
      </c>
      <c r="BW991">
        <f>'T_TTAFStock'!BU14</f>
        <v/>
      </c>
      <c r="BX991">
        <f>'T_TTAFStock'!BV14</f>
        <v/>
      </c>
      <c r="BY991">
        <f>'T_TTAFStock'!BW14</f>
        <v/>
      </c>
      <c r="BZ991">
        <f>'T_TTAFStock'!BX14</f>
        <v/>
      </c>
      <c r="CA991">
        <f>'T_TTAFStock'!BY14</f>
        <v/>
      </c>
      <c r="CB991">
        <f>'T_TTAFStock'!BZ14</f>
        <v/>
      </c>
      <c r="CC991">
        <f>'T_TTAFStock'!CA14</f>
        <v/>
      </c>
      <c r="CD991">
        <f>'T_TTAFStock'!CB14</f>
        <v/>
      </c>
      <c r="CE991">
        <f>'T_TTAFStock'!CC14</f>
        <v/>
      </c>
      <c r="CF991">
        <f>'T_TTAFStock'!CD14</f>
        <v/>
      </c>
      <c r="CG991">
        <f>'T_TTAFStock'!CE14</f>
        <v/>
      </c>
      <c r="CH991">
        <f>'T_TTAFStock'!CF14</f>
        <v/>
      </c>
      <c r="CI991">
        <f>'T_TTAFStock'!CG14</f>
        <v/>
      </c>
      <c r="CJ991">
        <f>'T_TTAFStock'!CH14</f>
        <v/>
      </c>
      <c r="CK991">
        <f>'T_TTAFStock'!CI14</f>
        <v/>
      </c>
      <c r="CL991">
        <f>'T_TTAFStock'!CJ14</f>
        <v/>
      </c>
      <c r="CM991">
        <f>'T_TTAFStock'!CK14</f>
        <v/>
      </c>
      <c r="CN991">
        <f>'T_TTAFStock'!CL14</f>
        <v/>
      </c>
      <c r="CO991">
        <f>'T_TTAFStock'!CM14</f>
        <v/>
      </c>
      <c r="CP991">
        <f>'T_TTAFStock'!CN14</f>
        <v/>
      </c>
      <c r="CQ991">
        <f>'T_TTAFStock'!CO14</f>
        <v/>
      </c>
      <c r="CR991">
        <f>'T_TTAFStock'!CP14</f>
        <v/>
      </c>
      <c r="CS991">
        <f>'T_TTAFStock'!CQ14</f>
        <v/>
      </c>
      <c r="CT991">
        <f>'T_TTAFStock'!CR14</f>
        <v/>
      </c>
      <c r="CU991">
        <f>'T_TTAFStock'!CS14</f>
        <v/>
      </c>
      <c r="CV991">
        <f>'T_TTAFStock'!CT14</f>
        <v/>
      </c>
      <c r="CW991">
        <f>'T_TTAFStock'!CU14</f>
        <v/>
      </c>
      <c r="CX991">
        <f>'T_TTAFStock'!CV14</f>
        <v/>
      </c>
      <c r="CY991">
        <f>'T_TTAFStock'!CW14</f>
        <v/>
      </c>
      <c r="CZ991">
        <f>'T_TTAFStock'!CX14</f>
        <v/>
      </c>
      <c r="DA991">
        <f>'T_TTAFStock'!CY14</f>
        <v/>
      </c>
      <c r="DB991">
        <f>'T_TTAFStock'!CZ14</f>
        <v/>
      </c>
      <c r="DC991">
        <f>'T_TTAFStock'!DA14</f>
        <v/>
      </c>
    </row>
    <row r="992">
      <c r="B992" t="inlineStr">
        <is>
          <t>自社在庫(実績,kg)</t>
        </is>
      </c>
      <c r="D992">
        <f>'T_SelfStock'!B14</f>
        <v/>
      </c>
      <c r="E992">
        <f>'T_SelfStock'!C14</f>
        <v/>
      </c>
      <c r="F992">
        <f>'T_SelfStock'!D14</f>
        <v/>
      </c>
      <c r="G992">
        <f>'T_SelfStock'!E14</f>
        <v/>
      </c>
      <c r="H992">
        <f>'T_SelfStock'!F14</f>
        <v/>
      </c>
      <c r="I992">
        <f>'T_SelfStock'!G14</f>
        <v/>
      </c>
      <c r="J992">
        <f>'T_SelfStock'!H14</f>
        <v/>
      </c>
      <c r="K992">
        <f>'T_SelfStock'!I14</f>
        <v/>
      </c>
      <c r="L992">
        <f>'T_SelfStock'!J14</f>
        <v/>
      </c>
      <c r="M992">
        <f>'T_SelfStock'!K14</f>
        <v/>
      </c>
      <c r="N992">
        <f>'T_SelfStock'!L14</f>
        <v/>
      </c>
      <c r="O992">
        <f>'T_SelfStock'!M14</f>
        <v/>
      </c>
      <c r="P992">
        <f>'T_SelfStock'!N14</f>
        <v/>
      </c>
      <c r="Q992">
        <f>'T_SelfStock'!O14</f>
        <v/>
      </c>
      <c r="R992">
        <f>'T_SelfStock'!P14</f>
        <v/>
      </c>
      <c r="S992">
        <f>'T_SelfStock'!Q14</f>
        <v/>
      </c>
      <c r="T992">
        <f>'T_SelfStock'!R14</f>
        <v/>
      </c>
      <c r="U992">
        <f>'T_SelfStock'!S14</f>
        <v/>
      </c>
      <c r="V992">
        <f>'T_SelfStock'!T14</f>
        <v/>
      </c>
      <c r="W992">
        <f>'T_SelfStock'!U14</f>
        <v/>
      </c>
      <c r="X992">
        <f>'T_SelfStock'!V14</f>
        <v/>
      </c>
      <c r="Y992">
        <f>'T_SelfStock'!W14</f>
        <v/>
      </c>
      <c r="Z992">
        <f>'T_SelfStock'!X14</f>
        <v/>
      </c>
      <c r="AA992">
        <f>'T_SelfStock'!Y14</f>
        <v/>
      </c>
      <c r="AB992">
        <f>'T_SelfStock'!Z14</f>
        <v/>
      </c>
      <c r="AC992">
        <f>'T_SelfStock'!AA14</f>
        <v/>
      </c>
      <c r="AD992">
        <f>'T_SelfStock'!AB14</f>
        <v/>
      </c>
      <c r="AE992">
        <f>'T_SelfStock'!AC14</f>
        <v/>
      </c>
      <c r="AF992">
        <f>'T_SelfStock'!AD14</f>
        <v/>
      </c>
      <c r="AG992">
        <f>'T_SelfStock'!AE14</f>
        <v/>
      </c>
      <c r="AH992">
        <f>'T_SelfStock'!AF14</f>
        <v/>
      </c>
      <c r="AI992">
        <f>'T_SelfStock'!AG14</f>
        <v/>
      </c>
      <c r="AJ992">
        <f>'T_SelfStock'!AH14</f>
        <v/>
      </c>
      <c r="AK992">
        <f>'T_SelfStock'!AI14</f>
        <v/>
      </c>
      <c r="AL992">
        <f>'T_SelfStock'!AJ14</f>
        <v/>
      </c>
      <c r="AM992">
        <f>'T_SelfStock'!AK14</f>
        <v/>
      </c>
      <c r="AN992">
        <f>'T_SelfStock'!AL14</f>
        <v/>
      </c>
      <c r="AO992">
        <f>'T_SelfStock'!AM14</f>
        <v/>
      </c>
      <c r="AP992">
        <f>'T_SelfStock'!AN14</f>
        <v/>
      </c>
      <c r="AQ992">
        <f>'T_SelfStock'!AO14</f>
        <v/>
      </c>
      <c r="AR992">
        <f>'T_SelfStock'!AP14</f>
        <v/>
      </c>
      <c r="AS992">
        <f>'T_SelfStock'!AQ14</f>
        <v/>
      </c>
      <c r="AT992">
        <f>'T_SelfStock'!AR14</f>
        <v/>
      </c>
      <c r="AU992">
        <f>'T_SelfStock'!AS14</f>
        <v/>
      </c>
      <c r="AV992">
        <f>'T_SelfStock'!AT14</f>
        <v/>
      </c>
      <c r="AW992">
        <f>'T_SelfStock'!AU14</f>
        <v/>
      </c>
      <c r="AX992">
        <f>'T_SelfStock'!AV14</f>
        <v/>
      </c>
      <c r="AY992">
        <f>'T_SelfStock'!AW14</f>
        <v/>
      </c>
      <c r="AZ992">
        <f>'T_SelfStock'!AX14</f>
        <v/>
      </c>
      <c r="BA992">
        <f>'T_SelfStock'!AY14</f>
        <v/>
      </c>
      <c r="BB992">
        <f>'T_SelfStock'!AZ14</f>
        <v/>
      </c>
      <c r="BC992">
        <f>'T_SelfStock'!BA14</f>
        <v/>
      </c>
      <c r="BD992">
        <f>'T_SelfStock'!BB14</f>
        <v/>
      </c>
      <c r="BE992">
        <f>'T_SelfStock'!BC14</f>
        <v/>
      </c>
      <c r="BF992">
        <f>'T_SelfStock'!BD14</f>
        <v/>
      </c>
      <c r="BG992">
        <f>'T_SelfStock'!BE14</f>
        <v/>
      </c>
      <c r="BH992">
        <f>'T_SelfStock'!BF14</f>
        <v/>
      </c>
      <c r="BI992">
        <f>'T_SelfStock'!BG14</f>
        <v/>
      </c>
      <c r="BJ992">
        <f>'T_SelfStock'!BH14</f>
        <v/>
      </c>
      <c r="BK992">
        <f>'T_SelfStock'!BI14</f>
        <v/>
      </c>
      <c r="BL992">
        <f>'T_SelfStock'!BJ14</f>
        <v/>
      </c>
      <c r="BM992">
        <f>'T_SelfStock'!BK14</f>
        <v/>
      </c>
      <c r="BN992">
        <f>'T_SelfStock'!BL14</f>
        <v/>
      </c>
      <c r="BO992">
        <f>'T_SelfStock'!BM14</f>
        <v/>
      </c>
      <c r="BP992">
        <f>'T_SelfStock'!BN14</f>
        <v/>
      </c>
      <c r="BQ992">
        <f>'T_SelfStock'!BO14</f>
        <v/>
      </c>
      <c r="BR992">
        <f>'T_SelfStock'!BP14</f>
        <v/>
      </c>
      <c r="BS992">
        <f>'T_SelfStock'!BQ14</f>
        <v/>
      </c>
      <c r="BT992">
        <f>'T_SelfStock'!BR14</f>
        <v/>
      </c>
      <c r="BU992">
        <f>'T_SelfStock'!BS14</f>
        <v/>
      </c>
      <c r="BV992">
        <f>'T_SelfStock'!BT14</f>
        <v/>
      </c>
      <c r="BW992">
        <f>'T_SelfStock'!BU14</f>
        <v/>
      </c>
      <c r="BX992">
        <f>'T_SelfStock'!BV14</f>
        <v/>
      </c>
      <c r="BY992">
        <f>'T_SelfStock'!BW14</f>
        <v/>
      </c>
      <c r="BZ992">
        <f>'T_SelfStock'!BX14</f>
        <v/>
      </c>
      <c r="CA992">
        <f>'T_SelfStock'!BY14</f>
        <v/>
      </c>
      <c r="CB992">
        <f>'T_SelfStock'!BZ14</f>
        <v/>
      </c>
      <c r="CC992">
        <f>'T_SelfStock'!CA14</f>
        <v/>
      </c>
      <c r="CD992">
        <f>'T_SelfStock'!CB14</f>
        <v/>
      </c>
      <c r="CE992">
        <f>'T_SelfStock'!CC14</f>
        <v/>
      </c>
      <c r="CF992">
        <f>'T_SelfStock'!CD14</f>
        <v/>
      </c>
      <c r="CG992">
        <f>'T_SelfStock'!CE14</f>
        <v/>
      </c>
      <c r="CH992">
        <f>'T_SelfStock'!CF14</f>
        <v/>
      </c>
      <c r="CI992">
        <f>'T_SelfStock'!CG14</f>
        <v/>
      </c>
      <c r="CJ992">
        <f>'T_SelfStock'!CH14</f>
        <v/>
      </c>
      <c r="CK992">
        <f>'T_SelfStock'!CI14</f>
        <v/>
      </c>
      <c r="CL992">
        <f>'T_SelfStock'!CJ14</f>
        <v/>
      </c>
      <c r="CM992">
        <f>'T_SelfStock'!CK14</f>
        <v/>
      </c>
      <c r="CN992">
        <f>'T_SelfStock'!CL14</f>
        <v/>
      </c>
      <c r="CO992">
        <f>'T_SelfStock'!CM14</f>
        <v/>
      </c>
      <c r="CP992">
        <f>'T_SelfStock'!CN14</f>
        <v/>
      </c>
      <c r="CQ992">
        <f>'T_SelfStock'!CO14</f>
        <v/>
      </c>
      <c r="CR992">
        <f>'T_SelfStock'!CP14</f>
        <v/>
      </c>
      <c r="CS992">
        <f>'T_SelfStock'!CQ14</f>
        <v/>
      </c>
      <c r="CT992">
        <f>'T_SelfStock'!CR14</f>
        <v/>
      </c>
      <c r="CU992">
        <f>'T_SelfStock'!CS14</f>
        <v/>
      </c>
      <c r="CV992">
        <f>'T_SelfStock'!CT14</f>
        <v/>
      </c>
      <c r="CW992">
        <f>'T_SelfStock'!CU14</f>
        <v/>
      </c>
      <c r="CX992">
        <f>'T_SelfStock'!CV14</f>
        <v/>
      </c>
      <c r="CY992">
        <f>'T_SelfStock'!CW14</f>
        <v/>
      </c>
      <c r="CZ992">
        <f>'T_SelfStock'!CX14</f>
        <v/>
      </c>
      <c r="DA992">
        <f>'T_SelfStock'!CY14</f>
        <v/>
      </c>
      <c r="DB992">
        <f>'T_SelfStock'!CZ14</f>
        <v/>
      </c>
      <c r="DC992">
        <f>'T_SelfStock'!DA14</f>
        <v/>
      </c>
    </row>
    <row r="993">
      <c r="B993" t="inlineStr">
        <is>
          <t>Order(発注予定,kg)</t>
        </is>
      </c>
      <c r="D993">
        <f>IF(SUMIFS(T_PlannedOrders[EffectiveQty],T_PlannedOrders[Part Name],$A981,T_PlannedOrders[WeekIndex],1)=0,"",SUMIFS(T_PlannedOrders[EffectiveQty],T_PlannedOrders[Part Name],$A981,T_PlannedOrders[WeekIndex],1)&amp;" ("&amp;TEXT(SUMPRODUCT(MAX((T_PlannedOrders[Part Name]=$A981)*(T_PlannedOrders[WeekIndex]=1)*(T_PlannedOrders[EffectiveQty]&gt;0)*T_PlannedOrders[Order_Month])),"m月")&amp;"発注)")</f>
        <v/>
      </c>
      <c r="E993">
        <f>IF(SUMIFS(T_PlannedOrders[EffectiveQty],T_PlannedOrders[Part Name],$A981,T_PlannedOrders[WeekIndex],2)=0,"",SUMIFS(T_PlannedOrders[EffectiveQty],T_PlannedOrders[Part Name],$A981,T_PlannedOrders[WeekIndex],2)&amp;" ("&amp;TEXT(SUMPRODUCT(MAX((T_PlannedOrders[Part Name]=$A981)*(T_PlannedOrders[WeekIndex]=2)*(T_PlannedOrders[EffectiveQty]&gt;0)*T_PlannedOrders[Order_Month])),"m月")&amp;"発注)")</f>
        <v/>
      </c>
      <c r="F993">
        <f>IF(SUMIFS(T_PlannedOrders[EffectiveQty],T_PlannedOrders[Part Name],$A981,T_PlannedOrders[WeekIndex],3)=0,"",SUMIFS(T_PlannedOrders[EffectiveQty],T_PlannedOrders[Part Name],$A981,T_PlannedOrders[WeekIndex],3)&amp;" ("&amp;TEXT(SUMPRODUCT(MAX((T_PlannedOrders[Part Name]=$A981)*(T_PlannedOrders[WeekIndex]=3)*(T_PlannedOrders[EffectiveQty]&gt;0)*T_PlannedOrders[Order_Month])),"m月")&amp;"発注)")</f>
        <v/>
      </c>
      <c r="G993">
        <f>IF(SUMIFS(T_PlannedOrders[EffectiveQty],T_PlannedOrders[Part Name],$A981,T_PlannedOrders[WeekIndex],4)=0,"",SUMIFS(T_PlannedOrders[EffectiveQty],T_PlannedOrders[Part Name],$A981,T_PlannedOrders[WeekIndex],4)&amp;" ("&amp;TEXT(SUMPRODUCT(MAX((T_PlannedOrders[Part Name]=$A981)*(T_PlannedOrders[WeekIndex]=4)*(T_PlannedOrders[EffectiveQty]&gt;0)*T_PlannedOrders[Order_Month])),"m月")&amp;"発注)")</f>
        <v/>
      </c>
      <c r="H993">
        <f>IF(SUMIFS(T_PlannedOrders[EffectiveQty],T_PlannedOrders[Part Name],$A981,T_PlannedOrders[WeekIndex],5)=0,"",SUMIFS(T_PlannedOrders[EffectiveQty],T_PlannedOrders[Part Name],$A981,T_PlannedOrders[WeekIndex],5)&amp;" ("&amp;TEXT(SUMPRODUCT(MAX((T_PlannedOrders[Part Name]=$A981)*(T_PlannedOrders[WeekIndex]=5)*(T_PlannedOrders[EffectiveQty]&gt;0)*T_PlannedOrders[Order_Month])),"m月")&amp;"発注)")</f>
        <v/>
      </c>
      <c r="I993">
        <f>IF(SUMIFS(T_PlannedOrders[EffectiveQty],T_PlannedOrders[Part Name],$A981,T_PlannedOrders[WeekIndex],6)=0,"",SUMIFS(T_PlannedOrders[EffectiveQty],T_PlannedOrders[Part Name],$A981,T_PlannedOrders[WeekIndex],6)&amp;" ("&amp;TEXT(SUMPRODUCT(MAX((T_PlannedOrders[Part Name]=$A981)*(T_PlannedOrders[WeekIndex]=6)*(T_PlannedOrders[EffectiveQty]&gt;0)*T_PlannedOrders[Order_Month])),"m月")&amp;"発注)")</f>
        <v/>
      </c>
      <c r="J993">
        <f>IF(SUMIFS(T_PlannedOrders[EffectiveQty],T_PlannedOrders[Part Name],$A981,T_PlannedOrders[WeekIndex],7)=0,"",SUMIFS(T_PlannedOrders[EffectiveQty],T_PlannedOrders[Part Name],$A981,T_PlannedOrders[WeekIndex],7)&amp;" ("&amp;TEXT(SUMPRODUCT(MAX((T_PlannedOrders[Part Name]=$A981)*(T_PlannedOrders[WeekIndex]=7)*(T_PlannedOrders[EffectiveQty]&gt;0)*T_PlannedOrders[Order_Month])),"m月")&amp;"発注)")</f>
        <v/>
      </c>
      <c r="K993">
        <f>IF(SUMIFS(T_PlannedOrders[EffectiveQty],T_PlannedOrders[Part Name],$A981,T_PlannedOrders[WeekIndex],8)=0,"",SUMIFS(T_PlannedOrders[EffectiveQty],T_PlannedOrders[Part Name],$A981,T_PlannedOrders[WeekIndex],8)&amp;" ("&amp;TEXT(SUMPRODUCT(MAX((T_PlannedOrders[Part Name]=$A981)*(T_PlannedOrders[WeekIndex]=8)*(T_PlannedOrders[EffectiveQty]&gt;0)*T_PlannedOrders[Order_Month])),"m月")&amp;"発注)")</f>
        <v/>
      </c>
      <c r="L993">
        <f>IF(SUMIFS(T_PlannedOrders[EffectiveQty],T_PlannedOrders[Part Name],$A981,T_PlannedOrders[WeekIndex],9)=0,"",SUMIFS(T_PlannedOrders[EffectiveQty],T_PlannedOrders[Part Name],$A981,T_PlannedOrders[WeekIndex],9)&amp;" ("&amp;TEXT(SUMPRODUCT(MAX((T_PlannedOrders[Part Name]=$A981)*(T_PlannedOrders[WeekIndex]=9)*(T_PlannedOrders[EffectiveQty]&gt;0)*T_PlannedOrders[Order_Month])),"m月")&amp;"発注)")</f>
        <v/>
      </c>
      <c r="M993">
        <f>IF(SUMIFS(T_PlannedOrders[EffectiveQty],T_PlannedOrders[Part Name],$A981,T_PlannedOrders[WeekIndex],10)=0,"",SUMIFS(T_PlannedOrders[EffectiveQty],T_PlannedOrders[Part Name],$A981,T_PlannedOrders[WeekIndex],10)&amp;" ("&amp;TEXT(SUMPRODUCT(MAX((T_PlannedOrders[Part Name]=$A981)*(T_PlannedOrders[WeekIndex]=10)*(T_PlannedOrders[EffectiveQty]&gt;0)*T_PlannedOrders[Order_Month])),"m月")&amp;"発注)")</f>
        <v/>
      </c>
      <c r="N993">
        <f>IF(SUMIFS(T_PlannedOrders[EffectiveQty],T_PlannedOrders[Part Name],$A981,T_PlannedOrders[WeekIndex],11)=0,"",SUMIFS(T_PlannedOrders[EffectiveQty],T_PlannedOrders[Part Name],$A981,T_PlannedOrders[WeekIndex],11)&amp;" ("&amp;TEXT(SUMPRODUCT(MAX((T_PlannedOrders[Part Name]=$A981)*(T_PlannedOrders[WeekIndex]=11)*(T_PlannedOrders[EffectiveQty]&gt;0)*T_PlannedOrders[Order_Month])),"m月")&amp;"発注)")</f>
        <v/>
      </c>
      <c r="O993">
        <f>IF(SUMIFS(T_PlannedOrders[EffectiveQty],T_PlannedOrders[Part Name],$A981,T_PlannedOrders[WeekIndex],12)=0,"",SUMIFS(T_PlannedOrders[EffectiveQty],T_PlannedOrders[Part Name],$A981,T_PlannedOrders[WeekIndex],12)&amp;" ("&amp;TEXT(SUMPRODUCT(MAX((T_PlannedOrders[Part Name]=$A981)*(T_PlannedOrders[WeekIndex]=12)*(T_PlannedOrders[EffectiveQty]&gt;0)*T_PlannedOrders[Order_Month])),"m月")&amp;"発注)")</f>
        <v/>
      </c>
      <c r="P993">
        <f>IF(SUMIFS(T_PlannedOrders[EffectiveQty],T_PlannedOrders[Part Name],$A981,T_PlannedOrders[WeekIndex],13)=0,"",SUMIFS(T_PlannedOrders[EffectiveQty],T_PlannedOrders[Part Name],$A981,T_PlannedOrders[WeekIndex],13)&amp;" ("&amp;TEXT(SUMPRODUCT(MAX((T_PlannedOrders[Part Name]=$A981)*(T_PlannedOrders[WeekIndex]=13)*(T_PlannedOrders[EffectiveQty]&gt;0)*T_PlannedOrders[Order_Month])),"m月")&amp;"発注)")</f>
        <v/>
      </c>
      <c r="Q993">
        <f>IF(SUMIFS(T_PlannedOrders[EffectiveQty],T_PlannedOrders[Part Name],$A981,T_PlannedOrders[WeekIndex],14)=0,"",SUMIFS(T_PlannedOrders[EffectiveQty],T_PlannedOrders[Part Name],$A981,T_PlannedOrders[WeekIndex],14)&amp;" ("&amp;TEXT(SUMPRODUCT(MAX((T_PlannedOrders[Part Name]=$A981)*(T_PlannedOrders[WeekIndex]=14)*(T_PlannedOrders[EffectiveQty]&gt;0)*T_PlannedOrders[Order_Month])),"m月")&amp;"発注)")</f>
        <v/>
      </c>
      <c r="R993">
        <f>IF(SUMIFS(T_PlannedOrders[EffectiveQty],T_PlannedOrders[Part Name],$A981,T_PlannedOrders[WeekIndex],15)=0,"",SUMIFS(T_PlannedOrders[EffectiveQty],T_PlannedOrders[Part Name],$A981,T_PlannedOrders[WeekIndex],15)&amp;" ("&amp;TEXT(SUMPRODUCT(MAX((T_PlannedOrders[Part Name]=$A981)*(T_PlannedOrders[WeekIndex]=15)*(T_PlannedOrders[EffectiveQty]&gt;0)*T_PlannedOrders[Order_Month])),"m月")&amp;"発注)")</f>
        <v/>
      </c>
      <c r="S993">
        <f>IF(SUMIFS(T_PlannedOrders[EffectiveQty],T_PlannedOrders[Part Name],$A981,T_PlannedOrders[WeekIndex],16)=0,"",SUMIFS(T_PlannedOrders[EffectiveQty],T_PlannedOrders[Part Name],$A981,T_PlannedOrders[WeekIndex],16)&amp;" ("&amp;TEXT(SUMPRODUCT(MAX((T_PlannedOrders[Part Name]=$A981)*(T_PlannedOrders[WeekIndex]=16)*(T_PlannedOrders[EffectiveQty]&gt;0)*T_PlannedOrders[Order_Month])),"m月")&amp;"発注)")</f>
        <v/>
      </c>
      <c r="T993">
        <f>IF(SUMIFS(T_PlannedOrders[EffectiveQty],T_PlannedOrders[Part Name],$A981,T_PlannedOrders[WeekIndex],17)=0,"",SUMIFS(T_PlannedOrders[EffectiveQty],T_PlannedOrders[Part Name],$A981,T_PlannedOrders[WeekIndex],17)&amp;" ("&amp;TEXT(SUMPRODUCT(MAX((T_PlannedOrders[Part Name]=$A981)*(T_PlannedOrders[WeekIndex]=17)*(T_PlannedOrders[EffectiveQty]&gt;0)*T_PlannedOrders[Order_Month])),"m月")&amp;"発注)")</f>
        <v/>
      </c>
      <c r="U993">
        <f>IF(SUMIFS(T_PlannedOrders[EffectiveQty],T_PlannedOrders[Part Name],$A981,T_PlannedOrders[WeekIndex],18)=0,"",SUMIFS(T_PlannedOrders[EffectiveQty],T_PlannedOrders[Part Name],$A981,T_PlannedOrders[WeekIndex],18)&amp;" ("&amp;TEXT(SUMPRODUCT(MAX((T_PlannedOrders[Part Name]=$A981)*(T_PlannedOrders[WeekIndex]=18)*(T_PlannedOrders[EffectiveQty]&gt;0)*T_PlannedOrders[Order_Month])),"m月")&amp;"発注)")</f>
        <v/>
      </c>
      <c r="V993">
        <f>IF(SUMIFS(T_PlannedOrders[EffectiveQty],T_PlannedOrders[Part Name],$A981,T_PlannedOrders[WeekIndex],19)=0,"",SUMIFS(T_PlannedOrders[EffectiveQty],T_PlannedOrders[Part Name],$A981,T_PlannedOrders[WeekIndex],19)&amp;" ("&amp;TEXT(SUMPRODUCT(MAX((T_PlannedOrders[Part Name]=$A981)*(T_PlannedOrders[WeekIndex]=19)*(T_PlannedOrders[EffectiveQty]&gt;0)*T_PlannedOrders[Order_Month])),"m月")&amp;"発注)")</f>
        <v/>
      </c>
      <c r="W993">
        <f>IF(SUMIFS(T_PlannedOrders[EffectiveQty],T_PlannedOrders[Part Name],$A981,T_PlannedOrders[WeekIndex],20)=0,"",SUMIFS(T_PlannedOrders[EffectiveQty],T_PlannedOrders[Part Name],$A981,T_PlannedOrders[WeekIndex],20)&amp;" ("&amp;TEXT(SUMPRODUCT(MAX((T_PlannedOrders[Part Name]=$A981)*(T_PlannedOrders[WeekIndex]=20)*(T_PlannedOrders[EffectiveQty]&gt;0)*T_PlannedOrders[Order_Month])),"m月")&amp;"発注)")</f>
        <v/>
      </c>
      <c r="X993">
        <f>IF(SUMIFS(T_PlannedOrders[EffectiveQty],T_PlannedOrders[Part Name],$A981,T_PlannedOrders[WeekIndex],21)=0,"",SUMIFS(T_PlannedOrders[EffectiveQty],T_PlannedOrders[Part Name],$A981,T_PlannedOrders[WeekIndex],21)&amp;" ("&amp;TEXT(SUMPRODUCT(MAX((T_PlannedOrders[Part Name]=$A981)*(T_PlannedOrders[WeekIndex]=21)*(T_PlannedOrders[EffectiveQty]&gt;0)*T_PlannedOrders[Order_Month])),"m月")&amp;"発注)")</f>
        <v/>
      </c>
      <c r="Y993">
        <f>IF(SUMIFS(T_PlannedOrders[EffectiveQty],T_PlannedOrders[Part Name],$A981,T_PlannedOrders[WeekIndex],22)=0,"",SUMIFS(T_PlannedOrders[EffectiveQty],T_PlannedOrders[Part Name],$A981,T_PlannedOrders[WeekIndex],22)&amp;" ("&amp;TEXT(SUMPRODUCT(MAX((T_PlannedOrders[Part Name]=$A981)*(T_PlannedOrders[WeekIndex]=22)*(T_PlannedOrders[EffectiveQty]&gt;0)*T_PlannedOrders[Order_Month])),"m月")&amp;"発注)")</f>
        <v/>
      </c>
      <c r="Z993">
        <f>IF(SUMIFS(T_PlannedOrders[EffectiveQty],T_PlannedOrders[Part Name],$A981,T_PlannedOrders[WeekIndex],23)=0,"",SUMIFS(T_PlannedOrders[EffectiveQty],T_PlannedOrders[Part Name],$A981,T_PlannedOrders[WeekIndex],23)&amp;" ("&amp;TEXT(SUMPRODUCT(MAX((T_PlannedOrders[Part Name]=$A981)*(T_PlannedOrders[WeekIndex]=23)*(T_PlannedOrders[EffectiveQty]&gt;0)*T_PlannedOrders[Order_Month])),"m月")&amp;"発注)")</f>
        <v/>
      </c>
      <c r="AA993">
        <f>IF(SUMIFS(T_PlannedOrders[EffectiveQty],T_PlannedOrders[Part Name],$A981,T_PlannedOrders[WeekIndex],24)=0,"",SUMIFS(T_PlannedOrders[EffectiveQty],T_PlannedOrders[Part Name],$A981,T_PlannedOrders[WeekIndex],24)&amp;" ("&amp;TEXT(SUMPRODUCT(MAX((T_PlannedOrders[Part Name]=$A981)*(T_PlannedOrders[WeekIndex]=24)*(T_PlannedOrders[EffectiveQty]&gt;0)*T_PlannedOrders[Order_Month])),"m月")&amp;"発注)")</f>
        <v/>
      </c>
      <c r="AB993">
        <f>IF(SUMIFS(T_PlannedOrders[EffectiveQty],T_PlannedOrders[Part Name],$A981,T_PlannedOrders[WeekIndex],25)=0,"",SUMIFS(T_PlannedOrders[EffectiveQty],T_PlannedOrders[Part Name],$A981,T_PlannedOrders[WeekIndex],25)&amp;" ("&amp;TEXT(SUMPRODUCT(MAX((T_PlannedOrders[Part Name]=$A981)*(T_PlannedOrders[WeekIndex]=25)*(T_PlannedOrders[EffectiveQty]&gt;0)*T_PlannedOrders[Order_Month])),"m月")&amp;"発注)")</f>
        <v/>
      </c>
      <c r="AC993">
        <f>IF(SUMIFS(T_PlannedOrders[EffectiveQty],T_PlannedOrders[Part Name],$A981,T_PlannedOrders[WeekIndex],26)=0,"",SUMIFS(T_PlannedOrders[EffectiveQty],T_PlannedOrders[Part Name],$A981,T_PlannedOrders[WeekIndex],26)&amp;" ("&amp;TEXT(SUMPRODUCT(MAX((T_PlannedOrders[Part Name]=$A981)*(T_PlannedOrders[WeekIndex]=26)*(T_PlannedOrders[EffectiveQty]&gt;0)*T_PlannedOrders[Order_Month])),"m月")&amp;"発注)")</f>
        <v/>
      </c>
      <c r="AD993">
        <f>IF(SUMIFS(T_PlannedOrders[EffectiveQty],T_PlannedOrders[Part Name],$A981,T_PlannedOrders[WeekIndex],27)=0,"",SUMIFS(T_PlannedOrders[EffectiveQty],T_PlannedOrders[Part Name],$A981,T_PlannedOrders[WeekIndex],27)&amp;" ("&amp;TEXT(SUMPRODUCT(MAX((T_PlannedOrders[Part Name]=$A981)*(T_PlannedOrders[WeekIndex]=27)*(T_PlannedOrders[EffectiveQty]&gt;0)*T_PlannedOrders[Order_Month])),"m月")&amp;"発注)")</f>
        <v/>
      </c>
      <c r="AE993">
        <f>IF(SUMIFS(T_PlannedOrders[EffectiveQty],T_PlannedOrders[Part Name],$A981,T_PlannedOrders[WeekIndex],28)=0,"",SUMIFS(T_PlannedOrders[EffectiveQty],T_PlannedOrders[Part Name],$A981,T_PlannedOrders[WeekIndex],28)&amp;" ("&amp;TEXT(SUMPRODUCT(MAX((T_PlannedOrders[Part Name]=$A981)*(T_PlannedOrders[WeekIndex]=28)*(T_PlannedOrders[EffectiveQty]&gt;0)*T_PlannedOrders[Order_Month])),"m月")&amp;"発注)")</f>
        <v/>
      </c>
      <c r="AF993">
        <f>IF(SUMIFS(T_PlannedOrders[EffectiveQty],T_PlannedOrders[Part Name],$A981,T_PlannedOrders[WeekIndex],29)=0,"",SUMIFS(T_PlannedOrders[EffectiveQty],T_PlannedOrders[Part Name],$A981,T_PlannedOrders[WeekIndex],29)&amp;" ("&amp;TEXT(SUMPRODUCT(MAX((T_PlannedOrders[Part Name]=$A981)*(T_PlannedOrders[WeekIndex]=29)*(T_PlannedOrders[EffectiveQty]&gt;0)*T_PlannedOrders[Order_Month])),"m月")&amp;"発注)")</f>
        <v/>
      </c>
      <c r="AG993">
        <f>IF(SUMIFS(T_PlannedOrders[EffectiveQty],T_PlannedOrders[Part Name],$A981,T_PlannedOrders[WeekIndex],30)=0,"",SUMIFS(T_PlannedOrders[EffectiveQty],T_PlannedOrders[Part Name],$A981,T_PlannedOrders[WeekIndex],30)&amp;" ("&amp;TEXT(SUMPRODUCT(MAX((T_PlannedOrders[Part Name]=$A981)*(T_PlannedOrders[WeekIndex]=30)*(T_PlannedOrders[EffectiveQty]&gt;0)*T_PlannedOrders[Order_Month])),"m月")&amp;"発注)")</f>
        <v/>
      </c>
      <c r="AH993">
        <f>IF(SUMIFS(T_PlannedOrders[EffectiveQty],T_PlannedOrders[Part Name],$A981,T_PlannedOrders[WeekIndex],31)=0,"",SUMIFS(T_PlannedOrders[EffectiveQty],T_PlannedOrders[Part Name],$A981,T_PlannedOrders[WeekIndex],31)&amp;" ("&amp;TEXT(SUMPRODUCT(MAX((T_PlannedOrders[Part Name]=$A981)*(T_PlannedOrders[WeekIndex]=31)*(T_PlannedOrders[EffectiveQty]&gt;0)*T_PlannedOrders[Order_Month])),"m月")&amp;"発注)")</f>
        <v/>
      </c>
      <c r="AI993">
        <f>IF(SUMIFS(T_PlannedOrders[EffectiveQty],T_PlannedOrders[Part Name],$A981,T_PlannedOrders[WeekIndex],32)=0,"",SUMIFS(T_PlannedOrders[EffectiveQty],T_PlannedOrders[Part Name],$A981,T_PlannedOrders[WeekIndex],32)&amp;" ("&amp;TEXT(SUMPRODUCT(MAX((T_PlannedOrders[Part Name]=$A981)*(T_PlannedOrders[WeekIndex]=32)*(T_PlannedOrders[EffectiveQty]&gt;0)*T_PlannedOrders[Order_Month])),"m月")&amp;"発注)")</f>
        <v/>
      </c>
      <c r="AJ993">
        <f>IF(SUMIFS(T_PlannedOrders[EffectiveQty],T_PlannedOrders[Part Name],$A981,T_PlannedOrders[WeekIndex],33)=0,"",SUMIFS(T_PlannedOrders[EffectiveQty],T_PlannedOrders[Part Name],$A981,T_PlannedOrders[WeekIndex],33)&amp;" ("&amp;TEXT(SUMPRODUCT(MAX((T_PlannedOrders[Part Name]=$A981)*(T_PlannedOrders[WeekIndex]=33)*(T_PlannedOrders[EffectiveQty]&gt;0)*T_PlannedOrders[Order_Month])),"m月")&amp;"発注)")</f>
        <v/>
      </c>
      <c r="AK993">
        <f>IF(SUMIFS(T_PlannedOrders[EffectiveQty],T_PlannedOrders[Part Name],$A981,T_PlannedOrders[WeekIndex],34)=0,"",SUMIFS(T_PlannedOrders[EffectiveQty],T_PlannedOrders[Part Name],$A981,T_PlannedOrders[WeekIndex],34)&amp;" ("&amp;TEXT(SUMPRODUCT(MAX((T_PlannedOrders[Part Name]=$A981)*(T_PlannedOrders[WeekIndex]=34)*(T_PlannedOrders[EffectiveQty]&gt;0)*T_PlannedOrders[Order_Month])),"m月")&amp;"発注)")</f>
        <v/>
      </c>
      <c r="AL993">
        <f>IF(SUMIFS(T_PlannedOrders[EffectiveQty],T_PlannedOrders[Part Name],$A981,T_PlannedOrders[WeekIndex],35)=0,"",SUMIFS(T_PlannedOrders[EffectiveQty],T_PlannedOrders[Part Name],$A981,T_PlannedOrders[WeekIndex],35)&amp;" ("&amp;TEXT(SUMPRODUCT(MAX((T_PlannedOrders[Part Name]=$A981)*(T_PlannedOrders[WeekIndex]=35)*(T_PlannedOrders[EffectiveQty]&gt;0)*T_PlannedOrders[Order_Month])),"m月")&amp;"発注)")</f>
        <v/>
      </c>
      <c r="AM993">
        <f>IF(SUMIFS(T_PlannedOrders[EffectiveQty],T_PlannedOrders[Part Name],$A981,T_PlannedOrders[WeekIndex],36)=0,"",SUMIFS(T_PlannedOrders[EffectiveQty],T_PlannedOrders[Part Name],$A981,T_PlannedOrders[WeekIndex],36)&amp;" ("&amp;TEXT(SUMPRODUCT(MAX((T_PlannedOrders[Part Name]=$A981)*(T_PlannedOrders[WeekIndex]=36)*(T_PlannedOrders[EffectiveQty]&gt;0)*T_PlannedOrders[Order_Month])),"m月")&amp;"発注)")</f>
        <v/>
      </c>
      <c r="AN993">
        <f>IF(SUMIFS(T_PlannedOrders[EffectiveQty],T_PlannedOrders[Part Name],$A981,T_PlannedOrders[WeekIndex],37)=0,"",SUMIFS(T_PlannedOrders[EffectiveQty],T_PlannedOrders[Part Name],$A981,T_PlannedOrders[WeekIndex],37)&amp;" ("&amp;TEXT(SUMPRODUCT(MAX((T_PlannedOrders[Part Name]=$A981)*(T_PlannedOrders[WeekIndex]=37)*(T_PlannedOrders[EffectiveQty]&gt;0)*T_PlannedOrders[Order_Month])),"m月")&amp;"発注)")</f>
        <v/>
      </c>
      <c r="AO993">
        <f>IF(SUMIFS(T_PlannedOrders[EffectiveQty],T_PlannedOrders[Part Name],$A981,T_PlannedOrders[WeekIndex],38)=0,"",SUMIFS(T_PlannedOrders[EffectiveQty],T_PlannedOrders[Part Name],$A981,T_PlannedOrders[WeekIndex],38)&amp;" ("&amp;TEXT(SUMPRODUCT(MAX((T_PlannedOrders[Part Name]=$A981)*(T_PlannedOrders[WeekIndex]=38)*(T_PlannedOrders[EffectiveQty]&gt;0)*T_PlannedOrders[Order_Month])),"m月")&amp;"発注)")</f>
        <v/>
      </c>
      <c r="AP993">
        <f>IF(SUMIFS(T_PlannedOrders[EffectiveQty],T_PlannedOrders[Part Name],$A981,T_PlannedOrders[WeekIndex],39)=0,"",SUMIFS(T_PlannedOrders[EffectiveQty],T_PlannedOrders[Part Name],$A981,T_PlannedOrders[WeekIndex],39)&amp;" ("&amp;TEXT(SUMPRODUCT(MAX((T_PlannedOrders[Part Name]=$A981)*(T_PlannedOrders[WeekIndex]=39)*(T_PlannedOrders[EffectiveQty]&gt;0)*T_PlannedOrders[Order_Month])),"m月")&amp;"発注)")</f>
        <v/>
      </c>
      <c r="AQ993">
        <f>IF(SUMIFS(T_PlannedOrders[EffectiveQty],T_PlannedOrders[Part Name],$A981,T_PlannedOrders[WeekIndex],40)=0,"",SUMIFS(T_PlannedOrders[EffectiveQty],T_PlannedOrders[Part Name],$A981,T_PlannedOrders[WeekIndex],40)&amp;" ("&amp;TEXT(SUMPRODUCT(MAX((T_PlannedOrders[Part Name]=$A981)*(T_PlannedOrders[WeekIndex]=40)*(T_PlannedOrders[EffectiveQty]&gt;0)*T_PlannedOrders[Order_Month])),"m月")&amp;"発注)")</f>
        <v/>
      </c>
      <c r="AR993">
        <f>IF(SUMIFS(T_PlannedOrders[EffectiveQty],T_PlannedOrders[Part Name],$A981,T_PlannedOrders[WeekIndex],41)=0,"",SUMIFS(T_PlannedOrders[EffectiveQty],T_PlannedOrders[Part Name],$A981,T_PlannedOrders[WeekIndex],41)&amp;" ("&amp;TEXT(SUMPRODUCT(MAX((T_PlannedOrders[Part Name]=$A981)*(T_PlannedOrders[WeekIndex]=41)*(T_PlannedOrders[EffectiveQty]&gt;0)*T_PlannedOrders[Order_Month])),"m月")&amp;"発注)")</f>
        <v/>
      </c>
      <c r="AS993">
        <f>IF(SUMIFS(T_PlannedOrders[EffectiveQty],T_PlannedOrders[Part Name],$A981,T_PlannedOrders[WeekIndex],42)=0,"",SUMIFS(T_PlannedOrders[EffectiveQty],T_PlannedOrders[Part Name],$A981,T_PlannedOrders[WeekIndex],42)&amp;" ("&amp;TEXT(SUMPRODUCT(MAX((T_PlannedOrders[Part Name]=$A981)*(T_PlannedOrders[WeekIndex]=42)*(T_PlannedOrders[EffectiveQty]&gt;0)*T_PlannedOrders[Order_Month])),"m月")&amp;"発注)")</f>
        <v/>
      </c>
      <c r="AT993">
        <f>IF(SUMIFS(T_PlannedOrders[EffectiveQty],T_PlannedOrders[Part Name],$A981,T_PlannedOrders[WeekIndex],43)=0,"",SUMIFS(T_PlannedOrders[EffectiveQty],T_PlannedOrders[Part Name],$A981,T_PlannedOrders[WeekIndex],43)&amp;" ("&amp;TEXT(SUMPRODUCT(MAX((T_PlannedOrders[Part Name]=$A981)*(T_PlannedOrders[WeekIndex]=43)*(T_PlannedOrders[EffectiveQty]&gt;0)*T_PlannedOrders[Order_Month])),"m月")&amp;"発注)")</f>
        <v/>
      </c>
      <c r="AU993">
        <f>IF(SUMIFS(T_PlannedOrders[EffectiveQty],T_PlannedOrders[Part Name],$A981,T_PlannedOrders[WeekIndex],44)=0,"",SUMIFS(T_PlannedOrders[EffectiveQty],T_PlannedOrders[Part Name],$A981,T_PlannedOrders[WeekIndex],44)&amp;" ("&amp;TEXT(SUMPRODUCT(MAX((T_PlannedOrders[Part Name]=$A981)*(T_PlannedOrders[WeekIndex]=44)*(T_PlannedOrders[EffectiveQty]&gt;0)*T_PlannedOrders[Order_Month])),"m月")&amp;"発注)")</f>
        <v/>
      </c>
      <c r="AV993">
        <f>IF(SUMIFS(T_PlannedOrders[EffectiveQty],T_PlannedOrders[Part Name],$A981,T_PlannedOrders[WeekIndex],45)=0,"",SUMIFS(T_PlannedOrders[EffectiveQty],T_PlannedOrders[Part Name],$A981,T_PlannedOrders[WeekIndex],45)&amp;" ("&amp;TEXT(SUMPRODUCT(MAX((T_PlannedOrders[Part Name]=$A981)*(T_PlannedOrders[WeekIndex]=45)*(T_PlannedOrders[EffectiveQty]&gt;0)*T_PlannedOrders[Order_Month])),"m月")&amp;"発注)")</f>
        <v/>
      </c>
      <c r="AW993">
        <f>IF(SUMIFS(T_PlannedOrders[EffectiveQty],T_PlannedOrders[Part Name],$A981,T_PlannedOrders[WeekIndex],46)=0,"",SUMIFS(T_PlannedOrders[EffectiveQty],T_PlannedOrders[Part Name],$A981,T_PlannedOrders[WeekIndex],46)&amp;" ("&amp;TEXT(SUMPRODUCT(MAX((T_PlannedOrders[Part Name]=$A981)*(T_PlannedOrders[WeekIndex]=46)*(T_PlannedOrders[EffectiveQty]&gt;0)*T_PlannedOrders[Order_Month])),"m月")&amp;"発注)")</f>
        <v/>
      </c>
      <c r="AX993">
        <f>IF(SUMIFS(T_PlannedOrders[EffectiveQty],T_PlannedOrders[Part Name],$A981,T_PlannedOrders[WeekIndex],47)=0,"",SUMIFS(T_PlannedOrders[EffectiveQty],T_PlannedOrders[Part Name],$A981,T_PlannedOrders[WeekIndex],47)&amp;" ("&amp;TEXT(SUMPRODUCT(MAX((T_PlannedOrders[Part Name]=$A981)*(T_PlannedOrders[WeekIndex]=47)*(T_PlannedOrders[EffectiveQty]&gt;0)*T_PlannedOrders[Order_Month])),"m月")&amp;"発注)")</f>
        <v/>
      </c>
      <c r="AY993">
        <f>IF(SUMIFS(T_PlannedOrders[EffectiveQty],T_PlannedOrders[Part Name],$A981,T_PlannedOrders[WeekIndex],48)=0,"",SUMIFS(T_PlannedOrders[EffectiveQty],T_PlannedOrders[Part Name],$A981,T_PlannedOrders[WeekIndex],48)&amp;" ("&amp;TEXT(SUMPRODUCT(MAX((T_PlannedOrders[Part Name]=$A981)*(T_PlannedOrders[WeekIndex]=48)*(T_PlannedOrders[EffectiveQty]&gt;0)*T_PlannedOrders[Order_Month])),"m月")&amp;"発注)")</f>
        <v/>
      </c>
      <c r="AZ993">
        <f>IF(SUMIFS(T_PlannedOrders[EffectiveQty],T_PlannedOrders[Part Name],$A981,T_PlannedOrders[WeekIndex],49)=0,"",SUMIFS(T_PlannedOrders[EffectiveQty],T_PlannedOrders[Part Name],$A981,T_PlannedOrders[WeekIndex],49)&amp;" ("&amp;TEXT(SUMPRODUCT(MAX((T_PlannedOrders[Part Name]=$A981)*(T_PlannedOrders[WeekIndex]=49)*(T_PlannedOrders[EffectiveQty]&gt;0)*T_PlannedOrders[Order_Month])),"m月")&amp;"発注)")</f>
        <v/>
      </c>
      <c r="BA993">
        <f>IF(SUMIFS(T_PlannedOrders[EffectiveQty],T_PlannedOrders[Part Name],$A981,T_PlannedOrders[WeekIndex],50)=0,"",SUMIFS(T_PlannedOrders[EffectiveQty],T_PlannedOrders[Part Name],$A981,T_PlannedOrders[WeekIndex],50)&amp;" ("&amp;TEXT(SUMPRODUCT(MAX((T_PlannedOrders[Part Name]=$A981)*(T_PlannedOrders[WeekIndex]=50)*(T_PlannedOrders[EffectiveQty]&gt;0)*T_PlannedOrders[Order_Month])),"m月")&amp;"発注)")</f>
        <v/>
      </c>
      <c r="BB993">
        <f>IF(SUMIFS(T_PlannedOrders[EffectiveQty],T_PlannedOrders[Part Name],$A981,T_PlannedOrders[WeekIndex],51)=0,"",SUMIFS(T_PlannedOrders[EffectiveQty],T_PlannedOrders[Part Name],$A981,T_PlannedOrders[WeekIndex],51)&amp;" ("&amp;TEXT(SUMPRODUCT(MAX((T_PlannedOrders[Part Name]=$A981)*(T_PlannedOrders[WeekIndex]=51)*(T_PlannedOrders[EffectiveQty]&gt;0)*T_PlannedOrders[Order_Month])),"m月")&amp;"発注)")</f>
        <v/>
      </c>
      <c r="BC993">
        <f>IF(SUMIFS(T_PlannedOrders[EffectiveQty],T_PlannedOrders[Part Name],$A981,T_PlannedOrders[WeekIndex],52)=0,"",SUMIFS(T_PlannedOrders[EffectiveQty],T_PlannedOrders[Part Name],$A981,T_PlannedOrders[WeekIndex],52)&amp;" ("&amp;TEXT(SUMPRODUCT(MAX((T_PlannedOrders[Part Name]=$A981)*(T_PlannedOrders[WeekIndex]=52)*(T_PlannedOrders[EffectiveQty]&gt;0)*T_PlannedOrders[Order_Month])),"m月")&amp;"発注)")</f>
        <v/>
      </c>
      <c r="BD993">
        <f>IF(SUMIFS(T_PlannedOrders[EffectiveQty],T_PlannedOrders[Part Name],$A981,T_PlannedOrders[WeekIndex],53)=0,"",SUMIFS(T_PlannedOrders[EffectiveQty],T_PlannedOrders[Part Name],$A981,T_PlannedOrders[WeekIndex],53)&amp;" ("&amp;TEXT(SUMPRODUCT(MAX((T_PlannedOrders[Part Name]=$A981)*(T_PlannedOrders[WeekIndex]=53)*(T_PlannedOrders[EffectiveQty]&gt;0)*T_PlannedOrders[Order_Month])),"m月")&amp;"発注)")</f>
        <v/>
      </c>
      <c r="BE993">
        <f>IF(SUMIFS(T_PlannedOrders[EffectiveQty],T_PlannedOrders[Part Name],$A981,T_PlannedOrders[WeekIndex],54)=0,"",SUMIFS(T_PlannedOrders[EffectiveQty],T_PlannedOrders[Part Name],$A981,T_PlannedOrders[WeekIndex],54)&amp;" ("&amp;TEXT(SUMPRODUCT(MAX((T_PlannedOrders[Part Name]=$A981)*(T_PlannedOrders[WeekIndex]=54)*(T_PlannedOrders[EffectiveQty]&gt;0)*T_PlannedOrders[Order_Month])),"m月")&amp;"発注)")</f>
        <v/>
      </c>
      <c r="BF993">
        <f>IF(SUMIFS(T_PlannedOrders[EffectiveQty],T_PlannedOrders[Part Name],$A981,T_PlannedOrders[WeekIndex],55)=0,"",SUMIFS(T_PlannedOrders[EffectiveQty],T_PlannedOrders[Part Name],$A981,T_PlannedOrders[WeekIndex],55)&amp;" ("&amp;TEXT(SUMPRODUCT(MAX((T_PlannedOrders[Part Name]=$A981)*(T_PlannedOrders[WeekIndex]=55)*(T_PlannedOrders[EffectiveQty]&gt;0)*T_PlannedOrders[Order_Month])),"m月")&amp;"発注)")</f>
        <v/>
      </c>
      <c r="BG993">
        <f>IF(SUMIFS(T_PlannedOrders[EffectiveQty],T_PlannedOrders[Part Name],$A981,T_PlannedOrders[WeekIndex],56)=0,"",SUMIFS(T_PlannedOrders[EffectiveQty],T_PlannedOrders[Part Name],$A981,T_PlannedOrders[WeekIndex],56)&amp;" ("&amp;TEXT(SUMPRODUCT(MAX((T_PlannedOrders[Part Name]=$A981)*(T_PlannedOrders[WeekIndex]=56)*(T_PlannedOrders[EffectiveQty]&gt;0)*T_PlannedOrders[Order_Month])),"m月")&amp;"発注)")</f>
        <v/>
      </c>
      <c r="BH993">
        <f>IF(SUMIFS(T_PlannedOrders[EffectiveQty],T_PlannedOrders[Part Name],$A981,T_PlannedOrders[WeekIndex],57)=0,"",SUMIFS(T_PlannedOrders[EffectiveQty],T_PlannedOrders[Part Name],$A981,T_PlannedOrders[WeekIndex],57)&amp;" ("&amp;TEXT(SUMPRODUCT(MAX((T_PlannedOrders[Part Name]=$A981)*(T_PlannedOrders[WeekIndex]=57)*(T_PlannedOrders[EffectiveQty]&gt;0)*T_PlannedOrders[Order_Month])),"m月")&amp;"発注)")</f>
        <v/>
      </c>
      <c r="BI993">
        <f>IF(SUMIFS(T_PlannedOrders[EffectiveQty],T_PlannedOrders[Part Name],$A981,T_PlannedOrders[WeekIndex],58)=0,"",SUMIFS(T_PlannedOrders[EffectiveQty],T_PlannedOrders[Part Name],$A981,T_PlannedOrders[WeekIndex],58)&amp;" ("&amp;TEXT(SUMPRODUCT(MAX((T_PlannedOrders[Part Name]=$A981)*(T_PlannedOrders[WeekIndex]=58)*(T_PlannedOrders[EffectiveQty]&gt;0)*T_PlannedOrders[Order_Month])),"m月")&amp;"発注)")</f>
        <v/>
      </c>
      <c r="BJ993">
        <f>IF(SUMIFS(T_PlannedOrders[EffectiveQty],T_PlannedOrders[Part Name],$A981,T_PlannedOrders[WeekIndex],59)=0,"",SUMIFS(T_PlannedOrders[EffectiveQty],T_PlannedOrders[Part Name],$A981,T_PlannedOrders[WeekIndex],59)&amp;" ("&amp;TEXT(SUMPRODUCT(MAX((T_PlannedOrders[Part Name]=$A981)*(T_PlannedOrders[WeekIndex]=59)*(T_PlannedOrders[EffectiveQty]&gt;0)*T_PlannedOrders[Order_Month])),"m月")&amp;"発注)")</f>
        <v/>
      </c>
      <c r="BK993">
        <f>IF(SUMIFS(T_PlannedOrders[EffectiveQty],T_PlannedOrders[Part Name],$A981,T_PlannedOrders[WeekIndex],60)=0,"",SUMIFS(T_PlannedOrders[EffectiveQty],T_PlannedOrders[Part Name],$A981,T_PlannedOrders[WeekIndex],60)&amp;" ("&amp;TEXT(SUMPRODUCT(MAX((T_PlannedOrders[Part Name]=$A981)*(T_PlannedOrders[WeekIndex]=60)*(T_PlannedOrders[EffectiveQty]&gt;0)*T_PlannedOrders[Order_Month])),"m月")&amp;"発注)")</f>
        <v/>
      </c>
      <c r="BL993">
        <f>IF(SUMIFS(T_PlannedOrders[EffectiveQty],T_PlannedOrders[Part Name],$A981,T_PlannedOrders[WeekIndex],61)=0,"",SUMIFS(T_PlannedOrders[EffectiveQty],T_PlannedOrders[Part Name],$A981,T_PlannedOrders[WeekIndex],61)&amp;" ("&amp;TEXT(SUMPRODUCT(MAX((T_PlannedOrders[Part Name]=$A981)*(T_PlannedOrders[WeekIndex]=61)*(T_PlannedOrders[EffectiveQty]&gt;0)*T_PlannedOrders[Order_Month])),"m月")&amp;"発注)")</f>
        <v/>
      </c>
      <c r="BM993">
        <f>IF(SUMIFS(T_PlannedOrders[EffectiveQty],T_PlannedOrders[Part Name],$A981,T_PlannedOrders[WeekIndex],62)=0,"",SUMIFS(T_PlannedOrders[EffectiveQty],T_PlannedOrders[Part Name],$A981,T_PlannedOrders[WeekIndex],62)&amp;" ("&amp;TEXT(SUMPRODUCT(MAX((T_PlannedOrders[Part Name]=$A981)*(T_PlannedOrders[WeekIndex]=62)*(T_PlannedOrders[EffectiveQty]&gt;0)*T_PlannedOrders[Order_Month])),"m月")&amp;"発注)")</f>
        <v/>
      </c>
      <c r="BN993">
        <f>IF(SUMIFS(T_PlannedOrders[EffectiveQty],T_PlannedOrders[Part Name],$A981,T_PlannedOrders[WeekIndex],63)=0,"",SUMIFS(T_PlannedOrders[EffectiveQty],T_PlannedOrders[Part Name],$A981,T_PlannedOrders[WeekIndex],63)&amp;" ("&amp;TEXT(SUMPRODUCT(MAX((T_PlannedOrders[Part Name]=$A981)*(T_PlannedOrders[WeekIndex]=63)*(T_PlannedOrders[EffectiveQty]&gt;0)*T_PlannedOrders[Order_Month])),"m月")&amp;"発注)")</f>
        <v/>
      </c>
      <c r="BO993">
        <f>IF(SUMIFS(T_PlannedOrders[EffectiveQty],T_PlannedOrders[Part Name],$A981,T_PlannedOrders[WeekIndex],64)=0,"",SUMIFS(T_PlannedOrders[EffectiveQty],T_PlannedOrders[Part Name],$A981,T_PlannedOrders[WeekIndex],64)&amp;" ("&amp;TEXT(SUMPRODUCT(MAX((T_PlannedOrders[Part Name]=$A981)*(T_PlannedOrders[WeekIndex]=64)*(T_PlannedOrders[EffectiveQty]&gt;0)*T_PlannedOrders[Order_Month])),"m月")&amp;"発注)")</f>
        <v/>
      </c>
      <c r="BP993">
        <f>IF(SUMIFS(T_PlannedOrders[EffectiveQty],T_PlannedOrders[Part Name],$A981,T_PlannedOrders[WeekIndex],65)=0,"",SUMIFS(T_PlannedOrders[EffectiveQty],T_PlannedOrders[Part Name],$A981,T_PlannedOrders[WeekIndex],65)&amp;" ("&amp;TEXT(SUMPRODUCT(MAX((T_PlannedOrders[Part Name]=$A981)*(T_PlannedOrders[WeekIndex]=65)*(T_PlannedOrders[EffectiveQty]&gt;0)*T_PlannedOrders[Order_Month])),"m月")&amp;"発注)")</f>
        <v/>
      </c>
      <c r="BQ993">
        <f>IF(SUMIFS(T_PlannedOrders[EffectiveQty],T_PlannedOrders[Part Name],$A981,T_PlannedOrders[WeekIndex],66)=0,"",SUMIFS(T_PlannedOrders[EffectiveQty],T_PlannedOrders[Part Name],$A981,T_PlannedOrders[WeekIndex],66)&amp;" ("&amp;TEXT(SUMPRODUCT(MAX((T_PlannedOrders[Part Name]=$A981)*(T_PlannedOrders[WeekIndex]=66)*(T_PlannedOrders[EffectiveQty]&gt;0)*T_PlannedOrders[Order_Month])),"m月")&amp;"発注)")</f>
        <v/>
      </c>
      <c r="BR993">
        <f>IF(SUMIFS(T_PlannedOrders[EffectiveQty],T_PlannedOrders[Part Name],$A981,T_PlannedOrders[WeekIndex],67)=0,"",SUMIFS(T_PlannedOrders[EffectiveQty],T_PlannedOrders[Part Name],$A981,T_PlannedOrders[WeekIndex],67)&amp;" ("&amp;TEXT(SUMPRODUCT(MAX((T_PlannedOrders[Part Name]=$A981)*(T_PlannedOrders[WeekIndex]=67)*(T_PlannedOrders[EffectiveQty]&gt;0)*T_PlannedOrders[Order_Month])),"m月")&amp;"発注)")</f>
        <v/>
      </c>
      <c r="BS993">
        <f>IF(SUMIFS(T_PlannedOrders[EffectiveQty],T_PlannedOrders[Part Name],$A981,T_PlannedOrders[WeekIndex],68)=0,"",SUMIFS(T_PlannedOrders[EffectiveQty],T_PlannedOrders[Part Name],$A981,T_PlannedOrders[WeekIndex],68)&amp;" ("&amp;TEXT(SUMPRODUCT(MAX((T_PlannedOrders[Part Name]=$A981)*(T_PlannedOrders[WeekIndex]=68)*(T_PlannedOrders[EffectiveQty]&gt;0)*T_PlannedOrders[Order_Month])),"m月")&amp;"発注)")</f>
        <v/>
      </c>
      <c r="BT993">
        <f>IF(SUMIFS(T_PlannedOrders[EffectiveQty],T_PlannedOrders[Part Name],$A981,T_PlannedOrders[WeekIndex],69)=0,"",SUMIFS(T_PlannedOrders[EffectiveQty],T_PlannedOrders[Part Name],$A981,T_PlannedOrders[WeekIndex],69)&amp;" ("&amp;TEXT(SUMPRODUCT(MAX((T_PlannedOrders[Part Name]=$A981)*(T_PlannedOrders[WeekIndex]=69)*(T_PlannedOrders[EffectiveQty]&gt;0)*T_PlannedOrders[Order_Month])),"m月")&amp;"発注)")</f>
        <v/>
      </c>
      <c r="BU993">
        <f>IF(SUMIFS(T_PlannedOrders[EffectiveQty],T_PlannedOrders[Part Name],$A981,T_PlannedOrders[WeekIndex],70)=0,"",SUMIFS(T_PlannedOrders[EffectiveQty],T_PlannedOrders[Part Name],$A981,T_PlannedOrders[WeekIndex],70)&amp;" ("&amp;TEXT(SUMPRODUCT(MAX((T_PlannedOrders[Part Name]=$A981)*(T_PlannedOrders[WeekIndex]=70)*(T_PlannedOrders[EffectiveQty]&gt;0)*T_PlannedOrders[Order_Month])),"m月")&amp;"発注)")</f>
        <v/>
      </c>
      <c r="BV993">
        <f>IF(SUMIFS(T_PlannedOrders[EffectiveQty],T_PlannedOrders[Part Name],$A981,T_PlannedOrders[WeekIndex],71)=0,"",SUMIFS(T_PlannedOrders[EffectiveQty],T_PlannedOrders[Part Name],$A981,T_PlannedOrders[WeekIndex],71)&amp;" ("&amp;TEXT(SUMPRODUCT(MAX((T_PlannedOrders[Part Name]=$A981)*(T_PlannedOrders[WeekIndex]=71)*(T_PlannedOrders[EffectiveQty]&gt;0)*T_PlannedOrders[Order_Month])),"m月")&amp;"発注)")</f>
        <v/>
      </c>
      <c r="BW993">
        <f>IF(SUMIFS(T_PlannedOrders[EffectiveQty],T_PlannedOrders[Part Name],$A981,T_PlannedOrders[WeekIndex],72)=0,"",SUMIFS(T_PlannedOrders[EffectiveQty],T_PlannedOrders[Part Name],$A981,T_PlannedOrders[WeekIndex],72)&amp;" ("&amp;TEXT(SUMPRODUCT(MAX((T_PlannedOrders[Part Name]=$A981)*(T_PlannedOrders[WeekIndex]=72)*(T_PlannedOrders[EffectiveQty]&gt;0)*T_PlannedOrders[Order_Month])),"m月")&amp;"発注)")</f>
        <v/>
      </c>
      <c r="BX993">
        <f>IF(SUMIFS(T_PlannedOrders[EffectiveQty],T_PlannedOrders[Part Name],$A981,T_PlannedOrders[WeekIndex],73)=0,"",SUMIFS(T_PlannedOrders[EffectiveQty],T_PlannedOrders[Part Name],$A981,T_PlannedOrders[WeekIndex],73)&amp;" ("&amp;TEXT(SUMPRODUCT(MAX((T_PlannedOrders[Part Name]=$A981)*(T_PlannedOrders[WeekIndex]=73)*(T_PlannedOrders[EffectiveQty]&gt;0)*T_PlannedOrders[Order_Month])),"m月")&amp;"発注)")</f>
        <v/>
      </c>
      <c r="BY993">
        <f>IF(SUMIFS(T_PlannedOrders[EffectiveQty],T_PlannedOrders[Part Name],$A981,T_PlannedOrders[WeekIndex],74)=0,"",SUMIFS(T_PlannedOrders[EffectiveQty],T_PlannedOrders[Part Name],$A981,T_PlannedOrders[WeekIndex],74)&amp;" ("&amp;TEXT(SUMPRODUCT(MAX((T_PlannedOrders[Part Name]=$A981)*(T_PlannedOrders[WeekIndex]=74)*(T_PlannedOrders[EffectiveQty]&gt;0)*T_PlannedOrders[Order_Month])),"m月")&amp;"発注)")</f>
        <v/>
      </c>
      <c r="BZ993">
        <f>IF(SUMIFS(T_PlannedOrders[EffectiveQty],T_PlannedOrders[Part Name],$A981,T_PlannedOrders[WeekIndex],75)=0,"",SUMIFS(T_PlannedOrders[EffectiveQty],T_PlannedOrders[Part Name],$A981,T_PlannedOrders[WeekIndex],75)&amp;" ("&amp;TEXT(SUMPRODUCT(MAX((T_PlannedOrders[Part Name]=$A981)*(T_PlannedOrders[WeekIndex]=75)*(T_PlannedOrders[EffectiveQty]&gt;0)*T_PlannedOrders[Order_Month])),"m月")&amp;"発注)")</f>
        <v/>
      </c>
      <c r="CA993">
        <f>IF(SUMIFS(T_PlannedOrders[EffectiveQty],T_PlannedOrders[Part Name],$A981,T_PlannedOrders[WeekIndex],76)=0,"",SUMIFS(T_PlannedOrders[EffectiveQty],T_PlannedOrders[Part Name],$A981,T_PlannedOrders[WeekIndex],76)&amp;" ("&amp;TEXT(SUMPRODUCT(MAX((T_PlannedOrders[Part Name]=$A981)*(T_PlannedOrders[WeekIndex]=76)*(T_PlannedOrders[EffectiveQty]&gt;0)*T_PlannedOrders[Order_Month])),"m月")&amp;"発注)")</f>
        <v/>
      </c>
      <c r="CB993">
        <f>IF(SUMIFS(T_PlannedOrders[EffectiveQty],T_PlannedOrders[Part Name],$A981,T_PlannedOrders[WeekIndex],77)=0,"",SUMIFS(T_PlannedOrders[EffectiveQty],T_PlannedOrders[Part Name],$A981,T_PlannedOrders[WeekIndex],77)&amp;" ("&amp;TEXT(SUMPRODUCT(MAX((T_PlannedOrders[Part Name]=$A981)*(T_PlannedOrders[WeekIndex]=77)*(T_PlannedOrders[EffectiveQty]&gt;0)*T_PlannedOrders[Order_Month])),"m月")&amp;"発注)")</f>
        <v/>
      </c>
      <c r="CC993">
        <f>IF(SUMIFS(T_PlannedOrders[EffectiveQty],T_PlannedOrders[Part Name],$A981,T_PlannedOrders[WeekIndex],78)=0,"",SUMIFS(T_PlannedOrders[EffectiveQty],T_PlannedOrders[Part Name],$A981,T_PlannedOrders[WeekIndex],78)&amp;" ("&amp;TEXT(SUMPRODUCT(MAX((T_PlannedOrders[Part Name]=$A981)*(T_PlannedOrders[WeekIndex]=78)*(T_PlannedOrders[EffectiveQty]&gt;0)*T_PlannedOrders[Order_Month])),"m月")&amp;"発注)")</f>
        <v/>
      </c>
      <c r="CD993">
        <f>IF(SUMIFS(T_PlannedOrders[EffectiveQty],T_PlannedOrders[Part Name],$A981,T_PlannedOrders[WeekIndex],79)=0,"",SUMIFS(T_PlannedOrders[EffectiveQty],T_PlannedOrders[Part Name],$A981,T_PlannedOrders[WeekIndex],79)&amp;" ("&amp;TEXT(SUMPRODUCT(MAX((T_PlannedOrders[Part Name]=$A981)*(T_PlannedOrders[WeekIndex]=79)*(T_PlannedOrders[EffectiveQty]&gt;0)*T_PlannedOrders[Order_Month])),"m月")&amp;"発注)")</f>
        <v/>
      </c>
      <c r="CE993">
        <f>IF(SUMIFS(T_PlannedOrders[EffectiveQty],T_PlannedOrders[Part Name],$A981,T_PlannedOrders[WeekIndex],80)=0,"",SUMIFS(T_PlannedOrders[EffectiveQty],T_PlannedOrders[Part Name],$A981,T_PlannedOrders[WeekIndex],80)&amp;" ("&amp;TEXT(SUMPRODUCT(MAX((T_PlannedOrders[Part Name]=$A981)*(T_PlannedOrders[WeekIndex]=80)*(T_PlannedOrders[EffectiveQty]&gt;0)*T_PlannedOrders[Order_Month])),"m月")&amp;"発注)")</f>
        <v/>
      </c>
      <c r="CF993">
        <f>IF(SUMIFS(T_PlannedOrders[EffectiveQty],T_PlannedOrders[Part Name],$A981,T_PlannedOrders[WeekIndex],81)=0,"",SUMIFS(T_PlannedOrders[EffectiveQty],T_PlannedOrders[Part Name],$A981,T_PlannedOrders[WeekIndex],81)&amp;" ("&amp;TEXT(SUMPRODUCT(MAX((T_PlannedOrders[Part Name]=$A981)*(T_PlannedOrders[WeekIndex]=81)*(T_PlannedOrders[EffectiveQty]&gt;0)*T_PlannedOrders[Order_Month])),"m月")&amp;"発注)")</f>
        <v/>
      </c>
      <c r="CG993">
        <f>IF(SUMIFS(T_PlannedOrders[EffectiveQty],T_PlannedOrders[Part Name],$A981,T_PlannedOrders[WeekIndex],82)=0,"",SUMIFS(T_PlannedOrders[EffectiveQty],T_PlannedOrders[Part Name],$A981,T_PlannedOrders[WeekIndex],82)&amp;" ("&amp;TEXT(SUMPRODUCT(MAX((T_PlannedOrders[Part Name]=$A981)*(T_PlannedOrders[WeekIndex]=82)*(T_PlannedOrders[EffectiveQty]&gt;0)*T_PlannedOrders[Order_Month])),"m月")&amp;"発注)")</f>
        <v/>
      </c>
      <c r="CH993">
        <f>IF(SUMIFS(T_PlannedOrders[EffectiveQty],T_PlannedOrders[Part Name],$A981,T_PlannedOrders[WeekIndex],83)=0,"",SUMIFS(T_PlannedOrders[EffectiveQty],T_PlannedOrders[Part Name],$A981,T_PlannedOrders[WeekIndex],83)&amp;" ("&amp;TEXT(SUMPRODUCT(MAX((T_PlannedOrders[Part Name]=$A981)*(T_PlannedOrders[WeekIndex]=83)*(T_PlannedOrders[EffectiveQty]&gt;0)*T_PlannedOrders[Order_Month])),"m月")&amp;"発注)")</f>
        <v/>
      </c>
      <c r="CI993">
        <f>IF(SUMIFS(T_PlannedOrders[EffectiveQty],T_PlannedOrders[Part Name],$A981,T_PlannedOrders[WeekIndex],84)=0,"",SUMIFS(T_PlannedOrders[EffectiveQty],T_PlannedOrders[Part Name],$A981,T_PlannedOrders[WeekIndex],84)&amp;" ("&amp;TEXT(SUMPRODUCT(MAX((T_PlannedOrders[Part Name]=$A981)*(T_PlannedOrders[WeekIndex]=84)*(T_PlannedOrders[EffectiveQty]&gt;0)*T_PlannedOrders[Order_Month])),"m月")&amp;"発注)")</f>
        <v/>
      </c>
      <c r="CJ993">
        <f>IF(SUMIFS(T_PlannedOrders[EffectiveQty],T_PlannedOrders[Part Name],$A981,T_PlannedOrders[WeekIndex],85)=0,"",SUMIFS(T_PlannedOrders[EffectiveQty],T_PlannedOrders[Part Name],$A981,T_PlannedOrders[WeekIndex],85)&amp;" ("&amp;TEXT(SUMPRODUCT(MAX((T_PlannedOrders[Part Name]=$A981)*(T_PlannedOrders[WeekIndex]=85)*(T_PlannedOrders[EffectiveQty]&gt;0)*T_PlannedOrders[Order_Month])),"m月")&amp;"発注)")</f>
        <v/>
      </c>
      <c r="CK993">
        <f>IF(SUMIFS(T_PlannedOrders[EffectiveQty],T_PlannedOrders[Part Name],$A981,T_PlannedOrders[WeekIndex],86)=0,"",SUMIFS(T_PlannedOrders[EffectiveQty],T_PlannedOrders[Part Name],$A981,T_PlannedOrders[WeekIndex],86)&amp;" ("&amp;TEXT(SUMPRODUCT(MAX((T_PlannedOrders[Part Name]=$A981)*(T_PlannedOrders[WeekIndex]=86)*(T_PlannedOrders[EffectiveQty]&gt;0)*T_PlannedOrders[Order_Month])),"m月")&amp;"発注)")</f>
        <v/>
      </c>
      <c r="CL993">
        <f>IF(SUMIFS(T_PlannedOrders[EffectiveQty],T_PlannedOrders[Part Name],$A981,T_PlannedOrders[WeekIndex],87)=0,"",SUMIFS(T_PlannedOrders[EffectiveQty],T_PlannedOrders[Part Name],$A981,T_PlannedOrders[WeekIndex],87)&amp;" ("&amp;TEXT(SUMPRODUCT(MAX((T_PlannedOrders[Part Name]=$A981)*(T_PlannedOrders[WeekIndex]=87)*(T_PlannedOrders[EffectiveQty]&gt;0)*T_PlannedOrders[Order_Month])),"m月")&amp;"発注)")</f>
        <v/>
      </c>
      <c r="CM993">
        <f>IF(SUMIFS(T_PlannedOrders[EffectiveQty],T_PlannedOrders[Part Name],$A981,T_PlannedOrders[WeekIndex],88)=0,"",SUMIFS(T_PlannedOrders[EffectiveQty],T_PlannedOrders[Part Name],$A981,T_PlannedOrders[WeekIndex],88)&amp;" ("&amp;TEXT(SUMPRODUCT(MAX((T_PlannedOrders[Part Name]=$A981)*(T_PlannedOrders[WeekIndex]=88)*(T_PlannedOrders[EffectiveQty]&gt;0)*T_PlannedOrders[Order_Month])),"m月")&amp;"発注)")</f>
        <v/>
      </c>
      <c r="CN993">
        <f>IF(SUMIFS(T_PlannedOrders[EffectiveQty],T_PlannedOrders[Part Name],$A981,T_PlannedOrders[WeekIndex],89)=0,"",SUMIFS(T_PlannedOrders[EffectiveQty],T_PlannedOrders[Part Name],$A981,T_PlannedOrders[WeekIndex],89)&amp;" ("&amp;TEXT(SUMPRODUCT(MAX((T_PlannedOrders[Part Name]=$A981)*(T_PlannedOrders[WeekIndex]=89)*(T_PlannedOrders[EffectiveQty]&gt;0)*T_PlannedOrders[Order_Month])),"m月")&amp;"発注)")</f>
        <v/>
      </c>
      <c r="CO993">
        <f>IF(SUMIFS(T_PlannedOrders[EffectiveQty],T_PlannedOrders[Part Name],$A981,T_PlannedOrders[WeekIndex],90)=0,"",SUMIFS(T_PlannedOrders[EffectiveQty],T_PlannedOrders[Part Name],$A981,T_PlannedOrders[WeekIndex],90)&amp;" ("&amp;TEXT(SUMPRODUCT(MAX((T_PlannedOrders[Part Name]=$A981)*(T_PlannedOrders[WeekIndex]=90)*(T_PlannedOrders[EffectiveQty]&gt;0)*T_PlannedOrders[Order_Month])),"m月")&amp;"発注)")</f>
        <v/>
      </c>
      <c r="CP993">
        <f>IF(SUMIFS(T_PlannedOrders[EffectiveQty],T_PlannedOrders[Part Name],$A981,T_PlannedOrders[WeekIndex],91)=0,"",SUMIFS(T_PlannedOrders[EffectiveQty],T_PlannedOrders[Part Name],$A981,T_PlannedOrders[WeekIndex],91)&amp;" ("&amp;TEXT(SUMPRODUCT(MAX((T_PlannedOrders[Part Name]=$A981)*(T_PlannedOrders[WeekIndex]=91)*(T_PlannedOrders[EffectiveQty]&gt;0)*T_PlannedOrders[Order_Month])),"m月")&amp;"発注)")</f>
        <v/>
      </c>
      <c r="CQ993">
        <f>IF(SUMIFS(T_PlannedOrders[EffectiveQty],T_PlannedOrders[Part Name],$A981,T_PlannedOrders[WeekIndex],92)=0,"",SUMIFS(T_PlannedOrders[EffectiveQty],T_PlannedOrders[Part Name],$A981,T_PlannedOrders[WeekIndex],92)&amp;" ("&amp;TEXT(SUMPRODUCT(MAX((T_PlannedOrders[Part Name]=$A981)*(T_PlannedOrders[WeekIndex]=92)*(T_PlannedOrders[EffectiveQty]&gt;0)*T_PlannedOrders[Order_Month])),"m月")&amp;"発注)")</f>
        <v/>
      </c>
      <c r="CR993">
        <f>IF(SUMIFS(T_PlannedOrders[EffectiveQty],T_PlannedOrders[Part Name],$A981,T_PlannedOrders[WeekIndex],93)=0,"",SUMIFS(T_PlannedOrders[EffectiveQty],T_PlannedOrders[Part Name],$A981,T_PlannedOrders[WeekIndex],93)&amp;" ("&amp;TEXT(SUMPRODUCT(MAX((T_PlannedOrders[Part Name]=$A981)*(T_PlannedOrders[WeekIndex]=93)*(T_PlannedOrders[EffectiveQty]&gt;0)*T_PlannedOrders[Order_Month])),"m月")&amp;"発注)")</f>
        <v/>
      </c>
      <c r="CS993">
        <f>IF(SUMIFS(T_PlannedOrders[EffectiveQty],T_PlannedOrders[Part Name],$A981,T_PlannedOrders[WeekIndex],94)=0,"",SUMIFS(T_PlannedOrders[EffectiveQty],T_PlannedOrders[Part Name],$A981,T_PlannedOrders[WeekIndex],94)&amp;" ("&amp;TEXT(SUMPRODUCT(MAX((T_PlannedOrders[Part Name]=$A981)*(T_PlannedOrders[WeekIndex]=94)*(T_PlannedOrders[EffectiveQty]&gt;0)*T_PlannedOrders[Order_Month])),"m月")&amp;"発注)")</f>
        <v/>
      </c>
      <c r="CT993">
        <f>IF(SUMIFS(T_PlannedOrders[EffectiveQty],T_PlannedOrders[Part Name],$A981,T_PlannedOrders[WeekIndex],95)=0,"",SUMIFS(T_PlannedOrders[EffectiveQty],T_PlannedOrders[Part Name],$A981,T_PlannedOrders[WeekIndex],95)&amp;" ("&amp;TEXT(SUMPRODUCT(MAX((T_PlannedOrders[Part Name]=$A981)*(T_PlannedOrders[WeekIndex]=95)*(T_PlannedOrders[EffectiveQty]&gt;0)*T_PlannedOrders[Order_Month])),"m月")&amp;"発注)")</f>
        <v/>
      </c>
      <c r="CU993">
        <f>IF(SUMIFS(T_PlannedOrders[EffectiveQty],T_PlannedOrders[Part Name],$A981,T_PlannedOrders[WeekIndex],96)=0,"",SUMIFS(T_PlannedOrders[EffectiveQty],T_PlannedOrders[Part Name],$A981,T_PlannedOrders[WeekIndex],96)&amp;" ("&amp;TEXT(SUMPRODUCT(MAX((T_PlannedOrders[Part Name]=$A981)*(T_PlannedOrders[WeekIndex]=96)*(T_PlannedOrders[EffectiveQty]&gt;0)*T_PlannedOrders[Order_Month])),"m月")&amp;"発注)")</f>
        <v/>
      </c>
      <c r="CV993">
        <f>IF(SUMIFS(T_PlannedOrders[EffectiveQty],T_PlannedOrders[Part Name],$A981,T_PlannedOrders[WeekIndex],97)=0,"",SUMIFS(T_PlannedOrders[EffectiveQty],T_PlannedOrders[Part Name],$A981,T_PlannedOrders[WeekIndex],97)&amp;" ("&amp;TEXT(SUMPRODUCT(MAX((T_PlannedOrders[Part Name]=$A981)*(T_PlannedOrders[WeekIndex]=97)*(T_PlannedOrders[EffectiveQty]&gt;0)*T_PlannedOrders[Order_Month])),"m月")&amp;"発注)")</f>
        <v/>
      </c>
      <c r="CW993">
        <f>IF(SUMIFS(T_PlannedOrders[EffectiveQty],T_PlannedOrders[Part Name],$A981,T_PlannedOrders[WeekIndex],98)=0,"",SUMIFS(T_PlannedOrders[EffectiveQty],T_PlannedOrders[Part Name],$A981,T_PlannedOrders[WeekIndex],98)&amp;" ("&amp;TEXT(SUMPRODUCT(MAX((T_PlannedOrders[Part Name]=$A981)*(T_PlannedOrders[WeekIndex]=98)*(T_PlannedOrders[EffectiveQty]&gt;0)*T_PlannedOrders[Order_Month])),"m月")&amp;"発注)")</f>
        <v/>
      </c>
      <c r="CX993">
        <f>IF(SUMIFS(T_PlannedOrders[EffectiveQty],T_PlannedOrders[Part Name],$A981,T_PlannedOrders[WeekIndex],99)=0,"",SUMIFS(T_PlannedOrders[EffectiveQty],T_PlannedOrders[Part Name],$A981,T_PlannedOrders[WeekIndex],99)&amp;" ("&amp;TEXT(SUMPRODUCT(MAX((T_PlannedOrders[Part Name]=$A981)*(T_PlannedOrders[WeekIndex]=99)*(T_PlannedOrders[EffectiveQty]&gt;0)*T_PlannedOrders[Order_Month])),"m月")&amp;"発注)")</f>
        <v/>
      </c>
      <c r="CY993">
        <f>IF(SUMIFS(T_PlannedOrders[EffectiveQty],T_PlannedOrders[Part Name],$A981,T_PlannedOrders[WeekIndex],100)=0,"",SUMIFS(T_PlannedOrders[EffectiveQty],T_PlannedOrders[Part Name],$A981,T_PlannedOrders[WeekIndex],100)&amp;" ("&amp;TEXT(SUMPRODUCT(MAX((T_PlannedOrders[Part Name]=$A981)*(T_PlannedOrders[WeekIndex]=100)*(T_PlannedOrders[EffectiveQty]&gt;0)*T_PlannedOrders[Order_Month])),"m月")&amp;"発注)")</f>
        <v/>
      </c>
      <c r="CZ993">
        <f>IF(SUMIFS(T_PlannedOrders[EffectiveQty],T_PlannedOrders[Part Name],$A981,T_PlannedOrders[WeekIndex],101)=0,"",SUMIFS(T_PlannedOrders[EffectiveQty],T_PlannedOrders[Part Name],$A981,T_PlannedOrders[WeekIndex],101)&amp;" ("&amp;TEXT(SUMPRODUCT(MAX((T_PlannedOrders[Part Name]=$A981)*(T_PlannedOrders[WeekIndex]=101)*(T_PlannedOrders[EffectiveQty]&gt;0)*T_PlannedOrders[Order_Month])),"m月")&amp;"発注)")</f>
        <v/>
      </c>
      <c r="DA993">
        <f>IF(SUMIFS(T_PlannedOrders[EffectiveQty],T_PlannedOrders[Part Name],$A981,T_PlannedOrders[WeekIndex],102)=0,"",SUMIFS(T_PlannedOrders[EffectiveQty],T_PlannedOrders[Part Name],$A981,T_PlannedOrders[WeekIndex],102)&amp;" ("&amp;TEXT(SUMPRODUCT(MAX((T_PlannedOrders[Part Name]=$A981)*(T_PlannedOrders[WeekIndex]=102)*(T_PlannedOrders[EffectiveQty]&gt;0)*T_PlannedOrders[Order_Month])),"m月")&amp;"発注)")</f>
        <v/>
      </c>
      <c r="DB993">
        <f>IF(SUMIFS(T_PlannedOrders[EffectiveQty],T_PlannedOrders[Part Name],$A981,T_PlannedOrders[WeekIndex],103)=0,"",SUMIFS(T_PlannedOrders[EffectiveQty],T_PlannedOrders[Part Name],$A981,T_PlannedOrders[WeekIndex],103)&amp;" ("&amp;TEXT(SUMPRODUCT(MAX((T_PlannedOrders[Part Name]=$A981)*(T_PlannedOrders[WeekIndex]=103)*(T_PlannedOrders[EffectiveQty]&gt;0)*T_PlannedOrders[Order_Month])),"m月")&amp;"発注)")</f>
        <v/>
      </c>
      <c r="DC993">
        <f>IF(SUMIFS(T_PlannedOrders[EffectiveQty],T_PlannedOrders[Part Name],$A981,T_PlannedOrders[WeekIndex],104)=0,"",SUMIFS(T_PlannedOrders[EffectiveQty],T_PlannedOrders[Part Name],$A981,T_PlannedOrders[WeekIndex],104)&amp;" ("&amp;TEXT(SUMPRODUCT(MAX((T_PlannedOrders[Part Name]=$A981)*(T_PlannedOrders[WeekIndex]=104)*(T_PlannedOrders[EffectiveQty]&gt;0)*T_PlannedOrders[Order_Month])),"m月")&amp;"発注)")</f>
        <v/>
      </c>
    </row>
    <row r="994">
      <c r="B994" s="5" t="inlineStr">
        <is>
          <t>合計在庫(週末時点,kg)</t>
        </is>
      </c>
      <c r="D994">
        <f>'Grid_Stock'!B10</f>
        <v/>
      </c>
      <c r="E994">
        <f>'Grid_Stock'!C10</f>
        <v/>
      </c>
      <c r="F994">
        <f>'Grid_Stock'!D10</f>
        <v/>
      </c>
      <c r="G994">
        <f>'Grid_Stock'!E10</f>
        <v/>
      </c>
      <c r="H994">
        <f>'Grid_Stock'!F10</f>
        <v/>
      </c>
      <c r="I994">
        <f>'Grid_Stock'!G10</f>
        <v/>
      </c>
      <c r="J994">
        <f>'Grid_Stock'!H10</f>
        <v/>
      </c>
      <c r="K994">
        <f>'Grid_Stock'!I10</f>
        <v/>
      </c>
      <c r="L994">
        <f>'Grid_Stock'!J10</f>
        <v/>
      </c>
      <c r="M994">
        <f>'Grid_Stock'!K10</f>
        <v/>
      </c>
      <c r="N994">
        <f>'Grid_Stock'!L10</f>
        <v/>
      </c>
      <c r="O994">
        <f>'Grid_Stock'!M10</f>
        <v/>
      </c>
      <c r="P994">
        <f>'Grid_Stock'!N10</f>
        <v/>
      </c>
      <c r="Q994">
        <f>'Grid_Stock'!O10</f>
        <v/>
      </c>
      <c r="R994">
        <f>'Grid_Stock'!P10</f>
        <v/>
      </c>
      <c r="S994">
        <f>'Grid_Stock'!Q10</f>
        <v/>
      </c>
      <c r="T994">
        <f>'Grid_Stock'!R10</f>
        <v/>
      </c>
      <c r="U994">
        <f>'Grid_Stock'!S10</f>
        <v/>
      </c>
      <c r="V994">
        <f>'Grid_Stock'!T10</f>
        <v/>
      </c>
      <c r="W994">
        <f>'Grid_Stock'!U10</f>
        <v/>
      </c>
      <c r="X994">
        <f>'Grid_Stock'!V10</f>
        <v/>
      </c>
      <c r="Y994">
        <f>'Grid_Stock'!W10</f>
        <v/>
      </c>
      <c r="Z994">
        <f>'Grid_Stock'!X10</f>
        <v/>
      </c>
      <c r="AA994">
        <f>'Grid_Stock'!Y10</f>
        <v/>
      </c>
      <c r="AB994">
        <f>'Grid_Stock'!Z10</f>
        <v/>
      </c>
      <c r="AC994">
        <f>'Grid_Stock'!AA10</f>
        <v/>
      </c>
      <c r="AD994">
        <f>'Grid_Stock'!AB10</f>
        <v/>
      </c>
      <c r="AE994">
        <f>'Grid_Stock'!AC10</f>
        <v/>
      </c>
      <c r="AF994">
        <f>'Grid_Stock'!AD10</f>
        <v/>
      </c>
      <c r="AG994">
        <f>'Grid_Stock'!AE10</f>
        <v/>
      </c>
      <c r="AH994">
        <f>'Grid_Stock'!AF10</f>
        <v/>
      </c>
      <c r="AI994">
        <f>'Grid_Stock'!AG10</f>
        <v/>
      </c>
      <c r="AJ994">
        <f>'Grid_Stock'!AH10</f>
        <v/>
      </c>
      <c r="AK994">
        <f>'Grid_Stock'!AI10</f>
        <v/>
      </c>
      <c r="AL994">
        <f>'Grid_Stock'!AJ10</f>
        <v/>
      </c>
      <c r="AM994">
        <f>'Grid_Stock'!AK10</f>
        <v/>
      </c>
      <c r="AN994">
        <f>'Grid_Stock'!AL10</f>
        <v/>
      </c>
      <c r="AO994">
        <f>'Grid_Stock'!AM10</f>
        <v/>
      </c>
      <c r="AP994">
        <f>'Grid_Stock'!AN10</f>
        <v/>
      </c>
      <c r="AQ994">
        <f>'Grid_Stock'!AO10</f>
        <v/>
      </c>
      <c r="AR994">
        <f>'Grid_Stock'!AP10</f>
        <v/>
      </c>
      <c r="AS994">
        <f>'Grid_Stock'!AQ10</f>
        <v/>
      </c>
      <c r="AT994">
        <f>'Grid_Stock'!AR10</f>
        <v/>
      </c>
      <c r="AU994">
        <f>'Grid_Stock'!AS10</f>
        <v/>
      </c>
      <c r="AV994">
        <f>'Grid_Stock'!AT10</f>
        <v/>
      </c>
      <c r="AW994">
        <f>'Grid_Stock'!AU10</f>
        <v/>
      </c>
      <c r="AX994">
        <f>'Grid_Stock'!AV10</f>
        <v/>
      </c>
      <c r="AY994">
        <f>'Grid_Stock'!AW10</f>
        <v/>
      </c>
      <c r="AZ994">
        <f>'Grid_Stock'!AX10</f>
        <v/>
      </c>
      <c r="BA994">
        <f>'Grid_Stock'!AY10</f>
        <v/>
      </c>
      <c r="BB994">
        <f>'Grid_Stock'!AZ10</f>
        <v/>
      </c>
      <c r="BC994">
        <f>'Grid_Stock'!BA10</f>
        <v/>
      </c>
      <c r="BD994">
        <f>'Grid_Stock'!BB10</f>
        <v/>
      </c>
      <c r="BE994">
        <f>'Grid_Stock'!BC10</f>
        <v/>
      </c>
      <c r="BF994">
        <f>'Grid_Stock'!BD10</f>
        <v/>
      </c>
      <c r="BG994">
        <f>'Grid_Stock'!BE10</f>
        <v/>
      </c>
      <c r="BH994">
        <f>'Grid_Stock'!BF10</f>
        <v/>
      </c>
      <c r="BI994">
        <f>'Grid_Stock'!BG10</f>
        <v/>
      </c>
      <c r="BJ994">
        <f>'Grid_Stock'!BH10</f>
        <v/>
      </c>
      <c r="BK994">
        <f>'Grid_Stock'!BI10</f>
        <v/>
      </c>
      <c r="BL994">
        <f>'Grid_Stock'!BJ10</f>
        <v/>
      </c>
      <c r="BM994">
        <f>'Grid_Stock'!BK10</f>
        <v/>
      </c>
      <c r="BN994">
        <f>'Grid_Stock'!BL10</f>
        <v/>
      </c>
      <c r="BO994">
        <f>'Grid_Stock'!BM10</f>
        <v/>
      </c>
      <c r="BP994">
        <f>'Grid_Stock'!BN10</f>
        <v/>
      </c>
      <c r="BQ994">
        <f>'Grid_Stock'!BO10</f>
        <v/>
      </c>
      <c r="BR994">
        <f>'Grid_Stock'!BP10</f>
        <v/>
      </c>
      <c r="BS994">
        <f>'Grid_Stock'!BQ10</f>
        <v/>
      </c>
      <c r="BT994">
        <f>'Grid_Stock'!BR10</f>
        <v/>
      </c>
      <c r="BU994">
        <f>'Grid_Stock'!BS10</f>
        <v/>
      </c>
      <c r="BV994">
        <f>'Grid_Stock'!BT10</f>
        <v/>
      </c>
      <c r="BW994">
        <f>'Grid_Stock'!BU10</f>
        <v/>
      </c>
      <c r="BX994">
        <f>'Grid_Stock'!BV10</f>
        <v/>
      </c>
      <c r="BY994">
        <f>'Grid_Stock'!BW10</f>
        <v/>
      </c>
      <c r="BZ994">
        <f>'Grid_Stock'!BX10</f>
        <v/>
      </c>
      <c r="CA994">
        <f>'Grid_Stock'!BY10</f>
        <v/>
      </c>
      <c r="CB994">
        <f>'Grid_Stock'!BZ10</f>
        <v/>
      </c>
      <c r="CC994">
        <f>'Grid_Stock'!CA10</f>
        <v/>
      </c>
      <c r="CD994">
        <f>'Grid_Stock'!CB10</f>
        <v/>
      </c>
      <c r="CE994">
        <f>'Grid_Stock'!CC10</f>
        <v/>
      </c>
      <c r="CF994">
        <f>'Grid_Stock'!CD10</f>
        <v/>
      </c>
      <c r="CG994">
        <f>'Grid_Stock'!CE10</f>
        <v/>
      </c>
      <c r="CH994">
        <f>'Grid_Stock'!CF10</f>
        <v/>
      </c>
      <c r="CI994">
        <f>'Grid_Stock'!CG10</f>
        <v/>
      </c>
      <c r="CJ994">
        <f>'Grid_Stock'!CH10</f>
        <v/>
      </c>
      <c r="CK994">
        <f>'Grid_Stock'!CI10</f>
        <v/>
      </c>
      <c r="CL994">
        <f>'Grid_Stock'!CJ10</f>
        <v/>
      </c>
      <c r="CM994">
        <f>'Grid_Stock'!CK10</f>
        <v/>
      </c>
      <c r="CN994">
        <f>'Grid_Stock'!CL10</f>
        <v/>
      </c>
      <c r="CO994">
        <f>'Grid_Stock'!CM10</f>
        <v/>
      </c>
      <c r="CP994">
        <f>'Grid_Stock'!CN10</f>
        <v/>
      </c>
      <c r="CQ994">
        <f>'Grid_Stock'!CO10</f>
        <v/>
      </c>
      <c r="CR994">
        <f>'Grid_Stock'!CP10</f>
        <v/>
      </c>
      <c r="CS994">
        <f>'Grid_Stock'!CQ10</f>
        <v/>
      </c>
      <c r="CT994">
        <f>'Grid_Stock'!CR10</f>
        <v/>
      </c>
      <c r="CU994">
        <f>'Grid_Stock'!CS10</f>
        <v/>
      </c>
      <c r="CV994">
        <f>'Grid_Stock'!CT10</f>
        <v/>
      </c>
      <c r="CW994">
        <f>'Grid_Stock'!CU10</f>
        <v/>
      </c>
      <c r="CX994">
        <f>'Grid_Stock'!CV10</f>
        <v/>
      </c>
      <c r="CY994">
        <f>'Grid_Stock'!CW10</f>
        <v/>
      </c>
      <c r="CZ994">
        <f>'Grid_Stock'!CX10</f>
        <v/>
      </c>
      <c r="DA994">
        <f>'Grid_Stock'!CY10</f>
        <v/>
      </c>
      <c r="DB994">
        <f>'Grid_Stock'!CZ10</f>
        <v/>
      </c>
      <c r="DC994">
        <f>'Grid_Stock'!DA10</f>
        <v/>
      </c>
    </row>
    <row r="995">
      <c r="B995" s="23" t="inlineStr">
        <is>
          <t>（発注の目安はDashboardの基準在庫[下限/上限]と色分けを参照）</t>
        </is>
      </c>
    </row>
    <row r="997">
      <c r="A997" s="21" t="inlineStr">
        <is>
          <t>CHEM-1690</t>
        </is>
      </c>
      <c r="B997" s="21" t="inlineStr">
        <is>
          <t>TPZ 560</t>
        </is>
      </c>
      <c r="C997" s="22" t="n"/>
      <c r="D997" s="21" t="n"/>
      <c r="E997" s="21" t="n"/>
      <c r="F997" s="21" t="n"/>
      <c r="G997" s="21" t="n"/>
      <c r="H997" s="2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  <c r="AA997" s="21" t="n"/>
      <c r="AB997" s="21" t="n"/>
      <c r="AC997" s="21" t="n"/>
      <c r="AD997" s="21" t="n"/>
      <c r="AE997" s="21" t="n"/>
      <c r="AF997" s="21" t="n"/>
      <c r="AG997" s="21" t="n"/>
      <c r="AH997" s="21" t="n"/>
      <c r="AI997" s="21" t="n"/>
      <c r="AJ997" s="21" t="n"/>
      <c r="AK997" s="21" t="n"/>
      <c r="AL997" s="21" t="n"/>
      <c r="AM997" s="21" t="n"/>
      <c r="AN997" s="21" t="n"/>
      <c r="AO997" s="21" t="n"/>
      <c r="AP997" s="21" t="n"/>
      <c r="AQ997" s="21" t="n"/>
      <c r="AR997" s="21" t="n"/>
      <c r="AS997" s="21" t="n"/>
      <c r="AT997" s="21" t="n"/>
      <c r="AU997" s="21" t="n"/>
      <c r="AV997" s="21" t="n"/>
      <c r="AW997" s="21" t="n"/>
      <c r="AX997" s="21" t="n"/>
      <c r="AY997" s="21" t="n"/>
      <c r="AZ997" s="21" t="n"/>
      <c r="BA997" s="21" t="n"/>
      <c r="BB997" s="21" t="n"/>
      <c r="BC997" s="21" t="n"/>
      <c r="BD997" s="21" t="n"/>
      <c r="BE997" s="21" t="n"/>
      <c r="BF997" s="21" t="n"/>
      <c r="BG997" s="21" t="n"/>
      <c r="BH997" s="21" t="n"/>
      <c r="BI997" s="21" t="n"/>
      <c r="BJ997" s="21" t="n"/>
      <c r="BK997" s="21" t="n"/>
      <c r="BL997" s="21" t="n"/>
      <c r="BM997" s="21" t="n"/>
      <c r="BN997" s="21" t="n"/>
      <c r="BO997" s="21" t="n"/>
      <c r="BP997" s="21" t="n"/>
      <c r="BQ997" s="21" t="n"/>
      <c r="BR997" s="21" t="n"/>
      <c r="BS997" s="21" t="n"/>
      <c r="BT997" s="21" t="n"/>
      <c r="BU997" s="21" t="n"/>
      <c r="BV997" s="21" t="n"/>
      <c r="BW997" s="21" t="n"/>
      <c r="BX997" s="21" t="n"/>
      <c r="BY997" s="21" t="n"/>
      <c r="BZ997" s="21" t="n"/>
      <c r="CA997" s="21" t="n"/>
      <c r="CB997" s="21" t="n"/>
      <c r="CC997" s="21" t="n"/>
      <c r="CD997" s="21" t="n"/>
      <c r="CE997" s="21" t="n"/>
      <c r="CF997" s="21" t="n"/>
      <c r="CG997" s="21" t="n"/>
      <c r="CH997" s="21" t="n"/>
      <c r="CI997" s="21" t="n"/>
      <c r="CJ997" s="21" t="n"/>
      <c r="CK997" s="21" t="n"/>
      <c r="CL997" s="21" t="n"/>
      <c r="CM997" s="21" t="n"/>
      <c r="CN997" s="21" t="n"/>
      <c r="CO997" s="21" t="n"/>
      <c r="CP997" s="21" t="n"/>
      <c r="CQ997" s="21" t="n"/>
      <c r="CR997" s="21" t="n"/>
      <c r="CS997" s="21" t="n"/>
      <c r="CT997" s="21" t="n"/>
      <c r="CU997" s="21" t="n"/>
      <c r="CV997" s="21" t="n"/>
      <c r="CW997" s="21" t="n"/>
      <c r="CX997" s="21" t="n"/>
      <c r="CY997" s="21" t="n"/>
      <c r="CZ997" s="21" t="n"/>
      <c r="DA997" s="21" t="n"/>
      <c r="DB997" s="21" t="n"/>
      <c r="DC997" s="21" t="n"/>
    </row>
    <row r="998">
      <c r="B998" t="inlineStr">
        <is>
          <t>TSP-618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Name],$A997)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TSP-903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Name],$A997)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TSP-966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Name],$A997)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s="5" t="inlineStr">
        <is>
          <t>合計使用量(kg)/週</t>
        </is>
      </c>
      <c r="D1004">
        <f>'Grid_Requirement'!B33</f>
        <v/>
      </c>
      <c r="E1004">
        <f>'Grid_Requirement'!C33</f>
        <v/>
      </c>
      <c r="F1004">
        <f>'Grid_Requirement'!D33</f>
        <v/>
      </c>
      <c r="G1004">
        <f>'Grid_Requirement'!E33</f>
        <v/>
      </c>
      <c r="H1004">
        <f>'Grid_Requirement'!F33</f>
        <v/>
      </c>
      <c r="I1004">
        <f>'Grid_Requirement'!G33</f>
        <v/>
      </c>
      <c r="J1004">
        <f>'Grid_Requirement'!H33</f>
        <v/>
      </c>
      <c r="K1004">
        <f>'Grid_Requirement'!I33</f>
        <v/>
      </c>
      <c r="L1004">
        <f>'Grid_Requirement'!J33</f>
        <v/>
      </c>
      <c r="M1004">
        <f>'Grid_Requirement'!K33</f>
        <v/>
      </c>
      <c r="N1004">
        <f>'Grid_Requirement'!L33</f>
        <v/>
      </c>
      <c r="O1004">
        <f>'Grid_Requirement'!M33</f>
        <v/>
      </c>
      <c r="P1004">
        <f>'Grid_Requirement'!N33</f>
        <v/>
      </c>
      <c r="Q1004">
        <f>'Grid_Requirement'!O33</f>
        <v/>
      </c>
      <c r="R1004">
        <f>'Grid_Requirement'!P33</f>
        <v/>
      </c>
      <c r="S1004">
        <f>'Grid_Requirement'!Q33</f>
        <v/>
      </c>
      <c r="T1004">
        <f>'Grid_Requirement'!R33</f>
        <v/>
      </c>
      <c r="U1004">
        <f>'Grid_Requirement'!S33</f>
        <v/>
      </c>
      <c r="V1004">
        <f>'Grid_Requirement'!T33</f>
        <v/>
      </c>
      <c r="W1004">
        <f>'Grid_Requirement'!U33</f>
        <v/>
      </c>
      <c r="X1004">
        <f>'Grid_Requirement'!V33</f>
        <v/>
      </c>
      <c r="Y1004">
        <f>'Grid_Requirement'!W33</f>
        <v/>
      </c>
      <c r="Z1004">
        <f>'Grid_Requirement'!X33</f>
        <v/>
      </c>
      <c r="AA1004">
        <f>'Grid_Requirement'!Y33</f>
        <v/>
      </c>
      <c r="AB1004">
        <f>'Grid_Requirement'!Z33</f>
        <v/>
      </c>
      <c r="AC1004">
        <f>'Grid_Requirement'!AA33</f>
        <v/>
      </c>
      <c r="AD1004">
        <f>'Grid_Requirement'!AB33</f>
        <v/>
      </c>
      <c r="AE1004">
        <f>'Grid_Requirement'!AC33</f>
        <v/>
      </c>
      <c r="AF1004">
        <f>'Grid_Requirement'!AD33</f>
        <v/>
      </c>
      <c r="AG1004">
        <f>'Grid_Requirement'!AE33</f>
        <v/>
      </c>
      <c r="AH1004">
        <f>'Grid_Requirement'!AF33</f>
        <v/>
      </c>
      <c r="AI1004">
        <f>'Grid_Requirement'!AG33</f>
        <v/>
      </c>
      <c r="AJ1004">
        <f>'Grid_Requirement'!AH33</f>
        <v/>
      </c>
      <c r="AK1004">
        <f>'Grid_Requirement'!AI33</f>
        <v/>
      </c>
      <c r="AL1004">
        <f>'Grid_Requirement'!AJ33</f>
        <v/>
      </c>
      <c r="AM1004">
        <f>'Grid_Requirement'!AK33</f>
        <v/>
      </c>
      <c r="AN1004">
        <f>'Grid_Requirement'!AL33</f>
        <v/>
      </c>
      <c r="AO1004">
        <f>'Grid_Requirement'!AM33</f>
        <v/>
      </c>
      <c r="AP1004">
        <f>'Grid_Requirement'!AN33</f>
        <v/>
      </c>
      <c r="AQ1004">
        <f>'Grid_Requirement'!AO33</f>
        <v/>
      </c>
      <c r="AR1004">
        <f>'Grid_Requirement'!AP33</f>
        <v/>
      </c>
      <c r="AS1004">
        <f>'Grid_Requirement'!AQ33</f>
        <v/>
      </c>
      <c r="AT1004">
        <f>'Grid_Requirement'!AR33</f>
        <v/>
      </c>
      <c r="AU1004">
        <f>'Grid_Requirement'!AS33</f>
        <v/>
      </c>
      <c r="AV1004">
        <f>'Grid_Requirement'!AT33</f>
        <v/>
      </c>
      <c r="AW1004">
        <f>'Grid_Requirement'!AU33</f>
        <v/>
      </c>
      <c r="AX1004">
        <f>'Grid_Requirement'!AV33</f>
        <v/>
      </c>
      <c r="AY1004">
        <f>'Grid_Requirement'!AW33</f>
        <v/>
      </c>
      <c r="AZ1004">
        <f>'Grid_Requirement'!AX33</f>
        <v/>
      </c>
      <c r="BA1004">
        <f>'Grid_Requirement'!AY33</f>
        <v/>
      </c>
      <c r="BB1004">
        <f>'Grid_Requirement'!AZ33</f>
        <v/>
      </c>
      <c r="BC1004">
        <f>'Grid_Requirement'!BA33</f>
        <v/>
      </c>
      <c r="BD1004">
        <f>'Grid_Requirement'!BB33</f>
        <v/>
      </c>
      <c r="BE1004">
        <f>'Grid_Requirement'!BC33</f>
        <v/>
      </c>
      <c r="BF1004">
        <f>'Grid_Requirement'!BD33</f>
        <v/>
      </c>
      <c r="BG1004">
        <f>'Grid_Requirement'!BE33</f>
        <v/>
      </c>
      <c r="BH1004">
        <f>'Grid_Requirement'!BF33</f>
        <v/>
      </c>
      <c r="BI1004">
        <f>'Grid_Requirement'!BG33</f>
        <v/>
      </c>
      <c r="BJ1004">
        <f>'Grid_Requirement'!BH33</f>
        <v/>
      </c>
      <c r="BK1004">
        <f>'Grid_Requirement'!BI33</f>
        <v/>
      </c>
      <c r="BL1004">
        <f>'Grid_Requirement'!BJ33</f>
        <v/>
      </c>
      <c r="BM1004">
        <f>'Grid_Requirement'!BK33</f>
        <v/>
      </c>
      <c r="BN1004">
        <f>'Grid_Requirement'!BL33</f>
        <v/>
      </c>
      <c r="BO1004">
        <f>'Grid_Requirement'!BM33</f>
        <v/>
      </c>
      <c r="BP1004">
        <f>'Grid_Requirement'!BN33</f>
        <v/>
      </c>
      <c r="BQ1004">
        <f>'Grid_Requirement'!BO33</f>
        <v/>
      </c>
      <c r="BR1004">
        <f>'Grid_Requirement'!BP33</f>
        <v/>
      </c>
      <c r="BS1004">
        <f>'Grid_Requirement'!BQ33</f>
        <v/>
      </c>
      <c r="BT1004">
        <f>'Grid_Requirement'!BR33</f>
        <v/>
      </c>
      <c r="BU1004">
        <f>'Grid_Requirement'!BS33</f>
        <v/>
      </c>
      <c r="BV1004">
        <f>'Grid_Requirement'!BT33</f>
        <v/>
      </c>
      <c r="BW1004">
        <f>'Grid_Requirement'!BU33</f>
        <v/>
      </c>
      <c r="BX1004">
        <f>'Grid_Requirement'!BV33</f>
        <v/>
      </c>
      <c r="BY1004">
        <f>'Grid_Requirement'!BW33</f>
        <v/>
      </c>
      <c r="BZ1004">
        <f>'Grid_Requirement'!BX33</f>
        <v/>
      </c>
      <c r="CA1004">
        <f>'Grid_Requirement'!BY33</f>
        <v/>
      </c>
      <c r="CB1004">
        <f>'Grid_Requirement'!BZ33</f>
        <v/>
      </c>
      <c r="CC1004">
        <f>'Grid_Requirement'!CA33</f>
        <v/>
      </c>
      <c r="CD1004">
        <f>'Grid_Requirement'!CB33</f>
        <v/>
      </c>
      <c r="CE1004">
        <f>'Grid_Requirement'!CC33</f>
        <v/>
      </c>
      <c r="CF1004">
        <f>'Grid_Requirement'!CD33</f>
        <v/>
      </c>
      <c r="CG1004">
        <f>'Grid_Requirement'!CE33</f>
        <v/>
      </c>
      <c r="CH1004">
        <f>'Grid_Requirement'!CF33</f>
        <v/>
      </c>
      <c r="CI1004">
        <f>'Grid_Requirement'!CG33</f>
        <v/>
      </c>
      <c r="CJ1004">
        <f>'Grid_Requirement'!CH33</f>
        <v/>
      </c>
      <c r="CK1004">
        <f>'Grid_Requirement'!CI33</f>
        <v/>
      </c>
      <c r="CL1004">
        <f>'Grid_Requirement'!CJ33</f>
        <v/>
      </c>
      <c r="CM1004">
        <f>'Grid_Requirement'!CK33</f>
        <v/>
      </c>
      <c r="CN1004">
        <f>'Grid_Requirement'!CL33</f>
        <v/>
      </c>
      <c r="CO1004">
        <f>'Grid_Requirement'!CM33</f>
        <v/>
      </c>
      <c r="CP1004">
        <f>'Grid_Requirement'!CN33</f>
        <v/>
      </c>
      <c r="CQ1004">
        <f>'Grid_Requirement'!CO33</f>
        <v/>
      </c>
      <c r="CR1004">
        <f>'Grid_Requirement'!CP33</f>
        <v/>
      </c>
      <c r="CS1004">
        <f>'Grid_Requirement'!CQ33</f>
        <v/>
      </c>
      <c r="CT1004">
        <f>'Grid_Requirement'!CR33</f>
        <v/>
      </c>
      <c r="CU1004">
        <f>'Grid_Requirement'!CS33</f>
        <v/>
      </c>
      <c r="CV1004">
        <f>'Grid_Requirement'!CT33</f>
        <v/>
      </c>
      <c r="CW1004">
        <f>'Grid_Requirement'!CU33</f>
        <v/>
      </c>
      <c r="CX1004">
        <f>'Grid_Requirement'!CV33</f>
        <v/>
      </c>
      <c r="CY1004">
        <f>'Grid_Requirement'!CW33</f>
        <v/>
      </c>
      <c r="CZ1004">
        <f>'Grid_Requirement'!CX33</f>
        <v/>
      </c>
      <c r="DA1004">
        <f>'Grid_Requirement'!CY33</f>
        <v/>
      </c>
      <c r="DB1004">
        <f>'Grid_Requirement'!CZ33</f>
        <v/>
      </c>
      <c r="DC1004">
        <f>'Grid_Requirement'!DA33</f>
        <v/>
      </c>
    </row>
    <row r="1005">
      <c r="B1005" t="inlineStr">
        <is>
          <t>TTAF在庫(実績,kg)</t>
        </is>
      </c>
      <c r="D1005">
        <f>'T_TTAFStock'!B37</f>
        <v/>
      </c>
      <c r="E1005">
        <f>'T_TTAFStock'!C37</f>
        <v/>
      </c>
      <c r="F1005">
        <f>'T_TTAFStock'!D37</f>
        <v/>
      </c>
      <c r="G1005">
        <f>'T_TTAFStock'!E37</f>
        <v/>
      </c>
      <c r="H1005">
        <f>'T_TTAFStock'!F37</f>
        <v/>
      </c>
      <c r="I1005">
        <f>'T_TTAFStock'!G37</f>
        <v/>
      </c>
      <c r="J1005">
        <f>'T_TTAFStock'!H37</f>
        <v/>
      </c>
      <c r="K1005">
        <f>'T_TTAFStock'!I37</f>
        <v/>
      </c>
      <c r="L1005">
        <f>'T_TTAFStock'!J37</f>
        <v/>
      </c>
      <c r="M1005">
        <f>'T_TTAFStock'!K37</f>
        <v/>
      </c>
      <c r="N1005">
        <f>'T_TTAFStock'!L37</f>
        <v/>
      </c>
      <c r="O1005">
        <f>'T_TTAFStock'!M37</f>
        <v/>
      </c>
      <c r="P1005">
        <f>'T_TTAFStock'!N37</f>
        <v/>
      </c>
      <c r="Q1005">
        <f>'T_TTAFStock'!O37</f>
        <v/>
      </c>
      <c r="R1005">
        <f>'T_TTAFStock'!P37</f>
        <v/>
      </c>
      <c r="S1005">
        <f>'T_TTAFStock'!Q37</f>
        <v/>
      </c>
      <c r="T1005">
        <f>'T_TTAFStock'!R37</f>
        <v/>
      </c>
      <c r="U1005">
        <f>'T_TTAFStock'!S37</f>
        <v/>
      </c>
      <c r="V1005">
        <f>'T_TTAFStock'!T37</f>
        <v/>
      </c>
      <c r="W1005">
        <f>'T_TTAFStock'!U37</f>
        <v/>
      </c>
      <c r="X1005">
        <f>'T_TTAFStock'!V37</f>
        <v/>
      </c>
      <c r="Y1005">
        <f>'T_TTAFStock'!W37</f>
        <v/>
      </c>
      <c r="Z1005">
        <f>'T_TTAFStock'!X37</f>
        <v/>
      </c>
      <c r="AA1005">
        <f>'T_TTAFStock'!Y37</f>
        <v/>
      </c>
      <c r="AB1005">
        <f>'T_TTAFStock'!Z37</f>
        <v/>
      </c>
      <c r="AC1005">
        <f>'T_TTAFStock'!AA37</f>
        <v/>
      </c>
      <c r="AD1005">
        <f>'T_TTAFStock'!AB37</f>
        <v/>
      </c>
      <c r="AE1005">
        <f>'T_TTAFStock'!AC37</f>
        <v/>
      </c>
      <c r="AF1005">
        <f>'T_TTAFStock'!AD37</f>
        <v/>
      </c>
      <c r="AG1005">
        <f>'T_TTAFStock'!AE37</f>
        <v/>
      </c>
      <c r="AH1005">
        <f>'T_TTAFStock'!AF37</f>
        <v/>
      </c>
      <c r="AI1005">
        <f>'T_TTAFStock'!AG37</f>
        <v/>
      </c>
      <c r="AJ1005">
        <f>'T_TTAFStock'!AH37</f>
        <v/>
      </c>
      <c r="AK1005">
        <f>'T_TTAFStock'!AI37</f>
        <v/>
      </c>
      <c r="AL1005">
        <f>'T_TTAFStock'!AJ37</f>
        <v/>
      </c>
      <c r="AM1005">
        <f>'T_TTAFStock'!AK37</f>
        <v/>
      </c>
      <c r="AN1005">
        <f>'T_TTAFStock'!AL37</f>
        <v/>
      </c>
      <c r="AO1005">
        <f>'T_TTAFStock'!AM37</f>
        <v/>
      </c>
      <c r="AP1005">
        <f>'T_TTAFStock'!AN37</f>
        <v/>
      </c>
      <c r="AQ1005">
        <f>'T_TTAFStock'!AO37</f>
        <v/>
      </c>
      <c r="AR1005">
        <f>'T_TTAFStock'!AP37</f>
        <v/>
      </c>
      <c r="AS1005">
        <f>'T_TTAFStock'!AQ37</f>
        <v/>
      </c>
      <c r="AT1005">
        <f>'T_TTAFStock'!AR37</f>
        <v/>
      </c>
      <c r="AU1005">
        <f>'T_TTAFStock'!AS37</f>
        <v/>
      </c>
      <c r="AV1005">
        <f>'T_TTAFStock'!AT37</f>
        <v/>
      </c>
      <c r="AW1005">
        <f>'T_TTAFStock'!AU37</f>
        <v/>
      </c>
      <c r="AX1005">
        <f>'T_TTAFStock'!AV37</f>
        <v/>
      </c>
      <c r="AY1005">
        <f>'T_TTAFStock'!AW37</f>
        <v/>
      </c>
      <c r="AZ1005">
        <f>'T_TTAFStock'!AX37</f>
        <v/>
      </c>
      <c r="BA1005">
        <f>'T_TTAFStock'!AY37</f>
        <v/>
      </c>
      <c r="BB1005">
        <f>'T_TTAFStock'!AZ37</f>
        <v/>
      </c>
      <c r="BC1005">
        <f>'T_TTAFStock'!BA37</f>
        <v/>
      </c>
      <c r="BD1005">
        <f>'T_TTAFStock'!BB37</f>
        <v/>
      </c>
      <c r="BE1005">
        <f>'T_TTAFStock'!BC37</f>
        <v/>
      </c>
      <c r="BF1005">
        <f>'T_TTAFStock'!BD37</f>
        <v/>
      </c>
      <c r="BG1005">
        <f>'T_TTAFStock'!BE37</f>
        <v/>
      </c>
      <c r="BH1005">
        <f>'T_TTAFStock'!BF37</f>
        <v/>
      </c>
      <c r="BI1005">
        <f>'T_TTAFStock'!BG37</f>
        <v/>
      </c>
      <c r="BJ1005">
        <f>'T_TTAFStock'!BH37</f>
        <v/>
      </c>
      <c r="BK1005">
        <f>'T_TTAFStock'!BI37</f>
        <v/>
      </c>
      <c r="BL1005">
        <f>'T_TTAFStock'!BJ37</f>
        <v/>
      </c>
      <c r="BM1005">
        <f>'T_TTAFStock'!BK37</f>
        <v/>
      </c>
      <c r="BN1005">
        <f>'T_TTAFStock'!BL37</f>
        <v/>
      </c>
      <c r="BO1005">
        <f>'T_TTAFStock'!BM37</f>
        <v/>
      </c>
      <c r="BP1005">
        <f>'T_TTAFStock'!BN37</f>
        <v/>
      </c>
      <c r="BQ1005">
        <f>'T_TTAFStock'!BO37</f>
        <v/>
      </c>
      <c r="BR1005">
        <f>'T_TTAFStock'!BP37</f>
        <v/>
      </c>
      <c r="BS1005">
        <f>'T_TTAFStock'!BQ37</f>
        <v/>
      </c>
      <c r="BT1005">
        <f>'T_TTAFStock'!BR37</f>
        <v/>
      </c>
      <c r="BU1005">
        <f>'T_TTAFStock'!BS37</f>
        <v/>
      </c>
      <c r="BV1005">
        <f>'T_TTAFStock'!BT37</f>
        <v/>
      </c>
      <c r="BW1005">
        <f>'T_TTAFStock'!BU37</f>
        <v/>
      </c>
      <c r="BX1005">
        <f>'T_TTAFStock'!BV37</f>
        <v/>
      </c>
      <c r="BY1005">
        <f>'T_TTAFStock'!BW37</f>
        <v/>
      </c>
      <c r="BZ1005">
        <f>'T_TTAFStock'!BX37</f>
        <v/>
      </c>
      <c r="CA1005">
        <f>'T_TTAFStock'!BY37</f>
        <v/>
      </c>
      <c r="CB1005">
        <f>'T_TTAFStock'!BZ37</f>
        <v/>
      </c>
      <c r="CC1005">
        <f>'T_TTAFStock'!CA37</f>
        <v/>
      </c>
      <c r="CD1005">
        <f>'T_TTAFStock'!CB37</f>
        <v/>
      </c>
      <c r="CE1005">
        <f>'T_TTAFStock'!CC37</f>
        <v/>
      </c>
      <c r="CF1005">
        <f>'T_TTAFStock'!CD37</f>
        <v/>
      </c>
      <c r="CG1005">
        <f>'T_TTAFStock'!CE37</f>
        <v/>
      </c>
      <c r="CH1005">
        <f>'T_TTAFStock'!CF37</f>
        <v/>
      </c>
      <c r="CI1005">
        <f>'T_TTAFStock'!CG37</f>
        <v/>
      </c>
      <c r="CJ1005">
        <f>'T_TTAFStock'!CH37</f>
        <v/>
      </c>
      <c r="CK1005">
        <f>'T_TTAFStock'!CI37</f>
        <v/>
      </c>
      <c r="CL1005">
        <f>'T_TTAFStock'!CJ37</f>
        <v/>
      </c>
      <c r="CM1005">
        <f>'T_TTAFStock'!CK37</f>
        <v/>
      </c>
      <c r="CN1005">
        <f>'T_TTAFStock'!CL37</f>
        <v/>
      </c>
      <c r="CO1005">
        <f>'T_TTAFStock'!CM37</f>
        <v/>
      </c>
      <c r="CP1005">
        <f>'T_TTAFStock'!CN37</f>
        <v/>
      </c>
      <c r="CQ1005">
        <f>'T_TTAFStock'!CO37</f>
        <v/>
      </c>
      <c r="CR1005">
        <f>'T_TTAFStock'!CP37</f>
        <v/>
      </c>
      <c r="CS1005">
        <f>'T_TTAFStock'!CQ37</f>
        <v/>
      </c>
      <c r="CT1005">
        <f>'T_TTAFStock'!CR37</f>
        <v/>
      </c>
      <c r="CU1005">
        <f>'T_TTAFStock'!CS37</f>
        <v/>
      </c>
      <c r="CV1005">
        <f>'T_TTAFStock'!CT37</f>
        <v/>
      </c>
      <c r="CW1005">
        <f>'T_TTAFStock'!CU37</f>
        <v/>
      </c>
      <c r="CX1005">
        <f>'T_TTAFStock'!CV37</f>
        <v/>
      </c>
      <c r="CY1005">
        <f>'T_TTAFStock'!CW37</f>
        <v/>
      </c>
      <c r="CZ1005">
        <f>'T_TTAFStock'!CX37</f>
        <v/>
      </c>
      <c r="DA1005">
        <f>'T_TTAFStock'!CY37</f>
        <v/>
      </c>
      <c r="DB1005">
        <f>'T_TTAFStock'!CZ37</f>
        <v/>
      </c>
      <c r="DC1005">
        <f>'T_TTAFStock'!DA37</f>
        <v/>
      </c>
    </row>
    <row r="1006">
      <c r="B1006" t="inlineStr">
        <is>
          <t>自社在庫(実績,kg)</t>
        </is>
      </c>
      <c r="D1006">
        <f>'T_SelfStock'!B37</f>
        <v/>
      </c>
      <c r="E1006">
        <f>'T_SelfStock'!C37</f>
        <v/>
      </c>
      <c r="F1006">
        <f>'T_SelfStock'!D37</f>
        <v/>
      </c>
      <c r="G1006">
        <f>'T_SelfStock'!E37</f>
        <v/>
      </c>
      <c r="H1006">
        <f>'T_SelfStock'!F37</f>
        <v/>
      </c>
      <c r="I1006">
        <f>'T_SelfStock'!G37</f>
        <v/>
      </c>
      <c r="J1006">
        <f>'T_SelfStock'!H37</f>
        <v/>
      </c>
      <c r="K1006">
        <f>'T_SelfStock'!I37</f>
        <v/>
      </c>
      <c r="L1006">
        <f>'T_SelfStock'!J37</f>
        <v/>
      </c>
      <c r="M1006">
        <f>'T_SelfStock'!K37</f>
        <v/>
      </c>
      <c r="N1006">
        <f>'T_SelfStock'!L37</f>
        <v/>
      </c>
      <c r="O1006">
        <f>'T_SelfStock'!M37</f>
        <v/>
      </c>
      <c r="P1006">
        <f>'T_SelfStock'!N37</f>
        <v/>
      </c>
      <c r="Q1006">
        <f>'T_SelfStock'!O37</f>
        <v/>
      </c>
      <c r="R1006">
        <f>'T_SelfStock'!P37</f>
        <v/>
      </c>
      <c r="S1006">
        <f>'T_SelfStock'!Q37</f>
        <v/>
      </c>
      <c r="T1006">
        <f>'T_SelfStock'!R37</f>
        <v/>
      </c>
      <c r="U1006">
        <f>'T_SelfStock'!S37</f>
        <v/>
      </c>
      <c r="V1006">
        <f>'T_SelfStock'!T37</f>
        <v/>
      </c>
      <c r="W1006">
        <f>'T_SelfStock'!U37</f>
        <v/>
      </c>
      <c r="X1006">
        <f>'T_SelfStock'!V37</f>
        <v/>
      </c>
      <c r="Y1006">
        <f>'T_SelfStock'!W37</f>
        <v/>
      </c>
      <c r="Z1006">
        <f>'T_SelfStock'!X37</f>
        <v/>
      </c>
      <c r="AA1006">
        <f>'T_SelfStock'!Y37</f>
        <v/>
      </c>
      <c r="AB1006">
        <f>'T_SelfStock'!Z37</f>
        <v/>
      </c>
      <c r="AC1006">
        <f>'T_SelfStock'!AA37</f>
        <v/>
      </c>
      <c r="AD1006">
        <f>'T_SelfStock'!AB37</f>
        <v/>
      </c>
      <c r="AE1006">
        <f>'T_SelfStock'!AC37</f>
        <v/>
      </c>
      <c r="AF1006">
        <f>'T_SelfStock'!AD37</f>
        <v/>
      </c>
      <c r="AG1006">
        <f>'T_SelfStock'!AE37</f>
        <v/>
      </c>
      <c r="AH1006">
        <f>'T_SelfStock'!AF37</f>
        <v/>
      </c>
      <c r="AI1006">
        <f>'T_SelfStock'!AG37</f>
        <v/>
      </c>
      <c r="AJ1006">
        <f>'T_SelfStock'!AH37</f>
        <v/>
      </c>
      <c r="AK1006">
        <f>'T_SelfStock'!AI37</f>
        <v/>
      </c>
      <c r="AL1006">
        <f>'T_SelfStock'!AJ37</f>
        <v/>
      </c>
      <c r="AM1006">
        <f>'T_SelfStock'!AK37</f>
        <v/>
      </c>
      <c r="AN1006">
        <f>'T_SelfStock'!AL37</f>
        <v/>
      </c>
      <c r="AO1006">
        <f>'T_SelfStock'!AM37</f>
        <v/>
      </c>
      <c r="AP1006">
        <f>'T_SelfStock'!AN37</f>
        <v/>
      </c>
      <c r="AQ1006">
        <f>'T_SelfStock'!AO37</f>
        <v/>
      </c>
      <c r="AR1006">
        <f>'T_SelfStock'!AP37</f>
        <v/>
      </c>
      <c r="AS1006">
        <f>'T_SelfStock'!AQ37</f>
        <v/>
      </c>
      <c r="AT1006">
        <f>'T_SelfStock'!AR37</f>
        <v/>
      </c>
      <c r="AU1006">
        <f>'T_SelfStock'!AS37</f>
        <v/>
      </c>
      <c r="AV1006">
        <f>'T_SelfStock'!AT37</f>
        <v/>
      </c>
      <c r="AW1006">
        <f>'T_SelfStock'!AU37</f>
        <v/>
      </c>
      <c r="AX1006">
        <f>'T_SelfStock'!AV37</f>
        <v/>
      </c>
      <c r="AY1006">
        <f>'T_SelfStock'!AW37</f>
        <v/>
      </c>
      <c r="AZ1006">
        <f>'T_SelfStock'!AX37</f>
        <v/>
      </c>
      <c r="BA1006">
        <f>'T_SelfStock'!AY37</f>
        <v/>
      </c>
      <c r="BB1006">
        <f>'T_SelfStock'!AZ37</f>
        <v/>
      </c>
      <c r="BC1006">
        <f>'T_SelfStock'!BA37</f>
        <v/>
      </c>
      <c r="BD1006">
        <f>'T_SelfStock'!BB37</f>
        <v/>
      </c>
      <c r="BE1006">
        <f>'T_SelfStock'!BC37</f>
        <v/>
      </c>
      <c r="BF1006">
        <f>'T_SelfStock'!BD37</f>
        <v/>
      </c>
      <c r="BG1006">
        <f>'T_SelfStock'!BE37</f>
        <v/>
      </c>
      <c r="BH1006">
        <f>'T_SelfStock'!BF37</f>
        <v/>
      </c>
      <c r="BI1006">
        <f>'T_SelfStock'!BG37</f>
        <v/>
      </c>
      <c r="BJ1006">
        <f>'T_SelfStock'!BH37</f>
        <v/>
      </c>
      <c r="BK1006">
        <f>'T_SelfStock'!BI37</f>
        <v/>
      </c>
      <c r="BL1006">
        <f>'T_SelfStock'!BJ37</f>
        <v/>
      </c>
      <c r="BM1006">
        <f>'T_SelfStock'!BK37</f>
        <v/>
      </c>
      <c r="BN1006">
        <f>'T_SelfStock'!BL37</f>
        <v/>
      </c>
      <c r="BO1006">
        <f>'T_SelfStock'!BM37</f>
        <v/>
      </c>
      <c r="BP1006">
        <f>'T_SelfStock'!BN37</f>
        <v/>
      </c>
      <c r="BQ1006">
        <f>'T_SelfStock'!BO37</f>
        <v/>
      </c>
      <c r="BR1006">
        <f>'T_SelfStock'!BP37</f>
        <v/>
      </c>
      <c r="BS1006">
        <f>'T_SelfStock'!BQ37</f>
        <v/>
      </c>
      <c r="BT1006">
        <f>'T_SelfStock'!BR37</f>
        <v/>
      </c>
      <c r="BU1006">
        <f>'T_SelfStock'!BS37</f>
        <v/>
      </c>
      <c r="BV1006">
        <f>'T_SelfStock'!BT37</f>
        <v/>
      </c>
      <c r="BW1006">
        <f>'T_SelfStock'!BU37</f>
        <v/>
      </c>
      <c r="BX1006">
        <f>'T_SelfStock'!BV37</f>
        <v/>
      </c>
      <c r="BY1006">
        <f>'T_SelfStock'!BW37</f>
        <v/>
      </c>
      <c r="BZ1006">
        <f>'T_SelfStock'!BX37</f>
        <v/>
      </c>
      <c r="CA1006">
        <f>'T_SelfStock'!BY37</f>
        <v/>
      </c>
      <c r="CB1006">
        <f>'T_SelfStock'!BZ37</f>
        <v/>
      </c>
      <c r="CC1006">
        <f>'T_SelfStock'!CA37</f>
        <v/>
      </c>
      <c r="CD1006">
        <f>'T_SelfStock'!CB37</f>
        <v/>
      </c>
      <c r="CE1006">
        <f>'T_SelfStock'!CC37</f>
        <v/>
      </c>
      <c r="CF1006">
        <f>'T_SelfStock'!CD37</f>
        <v/>
      </c>
      <c r="CG1006">
        <f>'T_SelfStock'!CE37</f>
        <v/>
      </c>
      <c r="CH1006">
        <f>'T_SelfStock'!CF37</f>
        <v/>
      </c>
      <c r="CI1006">
        <f>'T_SelfStock'!CG37</f>
        <v/>
      </c>
      <c r="CJ1006">
        <f>'T_SelfStock'!CH37</f>
        <v/>
      </c>
      <c r="CK1006">
        <f>'T_SelfStock'!CI37</f>
        <v/>
      </c>
      <c r="CL1006">
        <f>'T_SelfStock'!CJ37</f>
        <v/>
      </c>
      <c r="CM1006">
        <f>'T_SelfStock'!CK37</f>
        <v/>
      </c>
      <c r="CN1006">
        <f>'T_SelfStock'!CL37</f>
        <v/>
      </c>
      <c r="CO1006">
        <f>'T_SelfStock'!CM37</f>
        <v/>
      </c>
      <c r="CP1006">
        <f>'T_SelfStock'!CN37</f>
        <v/>
      </c>
      <c r="CQ1006">
        <f>'T_SelfStock'!CO37</f>
        <v/>
      </c>
      <c r="CR1006">
        <f>'T_SelfStock'!CP37</f>
        <v/>
      </c>
      <c r="CS1006">
        <f>'T_SelfStock'!CQ37</f>
        <v/>
      </c>
      <c r="CT1006">
        <f>'T_SelfStock'!CR37</f>
        <v/>
      </c>
      <c r="CU1006">
        <f>'T_SelfStock'!CS37</f>
        <v/>
      </c>
      <c r="CV1006">
        <f>'T_SelfStock'!CT37</f>
        <v/>
      </c>
      <c r="CW1006">
        <f>'T_SelfStock'!CU37</f>
        <v/>
      </c>
      <c r="CX1006">
        <f>'T_SelfStock'!CV37</f>
        <v/>
      </c>
      <c r="CY1006">
        <f>'T_SelfStock'!CW37</f>
        <v/>
      </c>
      <c r="CZ1006">
        <f>'T_SelfStock'!CX37</f>
        <v/>
      </c>
      <c r="DA1006">
        <f>'T_SelfStock'!CY37</f>
        <v/>
      </c>
      <c r="DB1006">
        <f>'T_SelfStock'!CZ37</f>
        <v/>
      </c>
      <c r="DC1006">
        <f>'T_SelfStock'!DA37</f>
        <v/>
      </c>
    </row>
    <row r="1007">
      <c r="B1007" t="inlineStr">
        <is>
          <t>Order(発注予定,kg)</t>
        </is>
      </c>
      <c r="D1007">
        <f>IF(SUMIFS(T_PlannedOrders[EffectiveQty],T_PlannedOrders[Part Name],$A997,T_PlannedOrders[WeekIndex],1)=0,"",SUMIFS(T_PlannedOrders[EffectiveQty],T_PlannedOrders[Part Name],$A997,T_PlannedOrders[WeekIndex],1)&amp;" ("&amp;TEXT(SUMPRODUCT(MAX((T_PlannedOrders[Part Name]=$A997)*(T_PlannedOrders[WeekIndex]=1)*(T_PlannedOrders[EffectiveQty]&gt;0)*T_PlannedOrders[Order_Month])),"m月")&amp;"発注)")</f>
        <v/>
      </c>
      <c r="E1007">
        <f>IF(SUMIFS(T_PlannedOrders[EffectiveQty],T_PlannedOrders[Part Name],$A997,T_PlannedOrders[WeekIndex],2)=0,"",SUMIFS(T_PlannedOrders[EffectiveQty],T_PlannedOrders[Part Name],$A997,T_PlannedOrders[WeekIndex],2)&amp;" ("&amp;TEXT(SUMPRODUCT(MAX((T_PlannedOrders[Part Name]=$A997)*(T_PlannedOrders[WeekIndex]=2)*(T_PlannedOrders[EffectiveQty]&gt;0)*T_PlannedOrders[Order_Month])),"m月")&amp;"発注)")</f>
        <v/>
      </c>
      <c r="F1007">
        <f>IF(SUMIFS(T_PlannedOrders[EffectiveQty],T_PlannedOrders[Part Name],$A997,T_PlannedOrders[WeekIndex],3)=0,"",SUMIFS(T_PlannedOrders[EffectiveQty],T_PlannedOrders[Part Name],$A997,T_PlannedOrders[WeekIndex],3)&amp;" ("&amp;TEXT(SUMPRODUCT(MAX((T_PlannedOrders[Part Name]=$A997)*(T_PlannedOrders[WeekIndex]=3)*(T_PlannedOrders[EffectiveQty]&gt;0)*T_PlannedOrders[Order_Month])),"m月")&amp;"発注)")</f>
        <v/>
      </c>
      <c r="G1007">
        <f>IF(SUMIFS(T_PlannedOrders[EffectiveQty],T_PlannedOrders[Part Name],$A997,T_PlannedOrders[WeekIndex],4)=0,"",SUMIFS(T_PlannedOrders[EffectiveQty],T_PlannedOrders[Part Name],$A997,T_PlannedOrders[WeekIndex],4)&amp;" ("&amp;TEXT(SUMPRODUCT(MAX((T_PlannedOrders[Part Name]=$A997)*(T_PlannedOrders[WeekIndex]=4)*(T_PlannedOrders[EffectiveQty]&gt;0)*T_PlannedOrders[Order_Month])),"m月")&amp;"発注)")</f>
        <v/>
      </c>
      <c r="H1007">
        <f>IF(SUMIFS(T_PlannedOrders[EffectiveQty],T_PlannedOrders[Part Name],$A997,T_PlannedOrders[WeekIndex],5)=0,"",SUMIFS(T_PlannedOrders[EffectiveQty],T_PlannedOrders[Part Name],$A997,T_PlannedOrders[WeekIndex],5)&amp;" ("&amp;TEXT(SUMPRODUCT(MAX((T_PlannedOrders[Part Name]=$A997)*(T_PlannedOrders[WeekIndex]=5)*(T_PlannedOrders[EffectiveQty]&gt;0)*T_PlannedOrders[Order_Month])),"m月")&amp;"発注)")</f>
        <v/>
      </c>
      <c r="I1007">
        <f>IF(SUMIFS(T_PlannedOrders[EffectiveQty],T_PlannedOrders[Part Name],$A997,T_PlannedOrders[WeekIndex],6)=0,"",SUMIFS(T_PlannedOrders[EffectiveQty],T_PlannedOrders[Part Name],$A997,T_PlannedOrders[WeekIndex],6)&amp;" ("&amp;TEXT(SUMPRODUCT(MAX((T_PlannedOrders[Part Name]=$A997)*(T_PlannedOrders[WeekIndex]=6)*(T_PlannedOrders[EffectiveQty]&gt;0)*T_PlannedOrders[Order_Month])),"m月")&amp;"発注)")</f>
        <v/>
      </c>
      <c r="J1007">
        <f>IF(SUMIFS(T_PlannedOrders[EffectiveQty],T_PlannedOrders[Part Name],$A997,T_PlannedOrders[WeekIndex],7)=0,"",SUMIFS(T_PlannedOrders[EffectiveQty],T_PlannedOrders[Part Name],$A997,T_PlannedOrders[WeekIndex],7)&amp;" ("&amp;TEXT(SUMPRODUCT(MAX((T_PlannedOrders[Part Name]=$A997)*(T_PlannedOrders[WeekIndex]=7)*(T_PlannedOrders[EffectiveQty]&gt;0)*T_PlannedOrders[Order_Month])),"m月")&amp;"発注)")</f>
        <v/>
      </c>
      <c r="K1007">
        <f>IF(SUMIFS(T_PlannedOrders[EffectiveQty],T_PlannedOrders[Part Name],$A997,T_PlannedOrders[WeekIndex],8)=0,"",SUMIFS(T_PlannedOrders[EffectiveQty],T_PlannedOrders[Part Name],$A997,T_PlannedOrders[WeekIndex],8)&amp;" ("&amp;TEXT(SUMPRODUCT(MAX((T_PlannedOrders[Part Name]=$A997)*(T_PlannedOrders[WeekIndex]=8)*(T_PlannedOrders[EffectiveQty]&gt;0)*T_PlannedOrders[Order_Month])),"m月")&amp;"発注)")</f>
        <v/>
      </c>
      <c r="L1007">
        <f>IF(SUMIFS(T_PlannedOrders[EffectiveQty],T_PlannedOrders[Part Name],$A997,T_PlannedOrders[WeekIndex],9)=0,"",SUMIFS(T_PlannedOrders[EffectiveQty],T_PlannedOrders[Part Name],$A997,T_PlannedOrders[WeekIndex],9)&amp;" ("&amp;TEXT(SUMPRODUCT(MAX((T_PlannedOrders[Part Name]=$A997)*(T_PlannedOrders[WeekIndex]=9)*(T_PlannedOrders[EffectiveQty]&gt;0)*T_PlannedOrders[Order_Month])),"m月")&amp;"発注)")</f>
        <v/>
      </c>
      <c r="M1007">
        <f>IF(SUMIFS(T_PlannedOrders[EffectiveQty],T_PlannedOrders[Part Name],$A997,T_PlannedOrders[WeekIndex],10)=0,"",SUMIFS(T_PlannedOrders[EffectiveQty],T_PlannedOrders[Part Name],$A997,T_PlannedOrders[WeekIndex],10)&amp;" ("&amp;TEXT(SUMPRODUCT(MAX((T_PlannedOrders[Part Name]=$A997)*(T_PlannedOrders[WeekIndex]=10)*(T_PlannedOrders[EffectiveQty]&gt;0)*T_PlannedOrders[Order_Month])),"m月")&amp;"発注)")</f>
        <v/>
      </c>
      <c r="N1007">
        <f>IF(SUMIFS(T_PlannedOrders[EffectiveQty],T_PlannedOrders[Part Name],$A997,T_PlannedOrders[WeekIndex],11)=0,"",SUMIFS(T_PlannedOrders[EffectiveQty],T_PlannedOrders[Part Name],$A997,T_PlannedOrders[WeekIndex],11)&amp;" ("&amp;TEXT(SUMPRODUCT(MAX((T_PlannedOrders[Part Name]=$A997)*(T_PlannedOrders[WeekIndex]=11)*(T_PlannedOrders[EffectiveQty]&gt;0)*T_PlannedOrders[Order_Month])),"m月")&amp;"発注)")</f>
        <v/>
      </c>
      <c r="O1007">
        <f>IF(SUMIFS(T_PlannedOrders[EffectiveQty],T_PlannedOrders[Part Name],$A997,T_PlannedOrders[WeekIndex],12)=0,"",SUMIFS(T_PlannedOrders[EffectiveQty],T_PlannedOrders[Part Name],$A997,T_PlannedOrders[WeekIndex],12)&amp;" ("&amp;TEXT(SUMPRODUCT(MAX((T_PlannedOrders[Part Name]=$A997)*(T_PlannedOrders[WeekIndex]=12)*(T_PlannedOrders[EffectiveQty]&gt;0)*T_PlannedOrders[Order_Month])),"m月")&amp;"発注)")</f>
        <v/>
      </c>
      <c r="P1007">
        <f>IF(SUMIFS(T_PlannedOrders[EffectiveQty],T_PlannedOrders[Part Name],$A997,T_PlannedOrders[WeekIndex],13)=0,"",SUMIFS(T_PlannedOrders[EffectiveQty],T_PlannedOrders[Part Name],$A997,T_PlannedOrders[WeekIndex],13)&amp;" ("&amp;TEXT(SUMPRODUCT(MAX((T_PlannedOrders[Part Name]=$A997)*(T_PlannedOrders[WeekIndex]=13)*(T_PlannedOrders[EffectiveQty]&gt;0)*T_PlannedOrders[Order_Month])),"m月")&amp;"発注)")</f>
        <v/>
      </c>
      <c r="Q1007">
        <f>IF(SUMIFS(T_PlannedOrders[EffectiveQty],T_PlannedOrders[Part Name],$A997,T_PlannedOrders[WeekIndex],14)=0,"",SUMIFS(T_PlannedOrders[EffectiveQty],T_PlannedOrders[Part Name],$A997,T_PlannedOrders[WeekIndex],14)&amp;" ("&amp;TEXT(SUMPRODUCT(MAX((T_PlannedOrders[Part Name]=$A997)*(T_PlannedOrders[WeekIndex]=14)*(T_PlannedOrders[EffectiveQty]&gt;0)*T_PlannedOrders[Order_Month])),"m月")&amp;"発注)")</f>
        <v/>
      </c>
      <c r="R1007">
        <f>IF(SUMIFS(T_PlannedOrders[EffectiveQty],T_PlannedOrders[Part Name],$A997,T_PlannedOrders[WeekIndex],15)=0,"",SUMIFS(T_PlannedOrders[EffectiveQty],T_PlannedOrders[Part Name],$A997,T_PlannedOrders[WeekIndex],15)&amp;" ("&amp;TEXT(SUMPRODUCT(MAX((T_PlannedOrders[Part Name]=$A997)*(T_PlannedOrders[WeekIndex]=15)*(T_PlannedOrders[EffectiveQty]&gt;0)*T_PlannedOrders[Order_Month])),"m月")&amp;"発注)")</f>
        <v/>
      </c>
      <c r="S1007">
        <f>IF(SUMIFS(T_PlannedOrders[EffectiveQty],T_PlannedOrders[Part Name],$A997,T_PlannedOrders[WeekIndex],16)=0,"",SUMIFS(T_PlannedOrders[EffectiveQty],T_PlannedOrders[Part Name],$A997,T_PlannedOrders[WeekIndex],16)&amp;" ("&amp;TEXT(SUMPRODUCT(MAX((T_PlannedOrders[Part Name]=$A997)*(T_PlannedOrders[WeekIndex]=16)*(T_PlannedOrders[EffectiveQty]&gt;0)*T_PlannedOrders[Order_Month])),"m月")&amp;"発注)")</f>
        <v/>
      </c>
      <c r="T1007">
        <f>IF(SUMIFS(T_PlannedOrders[EffectiveQty],T_PlannedOrders[Part Name],$A997,T_PlannedOrders[WeekIndex],17)=0,"",SUMIFS(T_PlannedOrders[EffectiveQty],T_PlannedOrders[Part Name],$A997,T_PlannedOrders[WeekIndex],17)&amp;" ("&amp;TEXT(SUMPRODUCT(MAX((T_PlannedOrders[Part Name]=$A997)*(T_PlannedOrders[WeekIndex]=17)*(T_PlannedOrders[EffectiveQty]&gt;0)*T_PlannedOrders[Order_Month])),"m月")&amp;"発注)")</f>
        <v/>
      </c>
      <c r="U1007">
        <f>IF(SUMIFS(T_PlannedOrders[EffectiveQty],T_PlannedOrders[Part Name],$A997,T_PlannedOrders[WeekIndex],18)=0,"",SUMIFS(T_PlannedOrders[EffectiveQty],T_PlannedOrders[Part Name],$A997,T_PlannedOrders[WeekIndex],18)&amp;" ("&amp;TEXT(SUMPRODUCT(MAX((T_PlannedOrders[Part Name]=$A997)*(T_PlannedOrders[WeekIndex]=18)*(T_PlannedOrders[EffectiveQty]&gt;0)*T_PlannedOrders[Order_Month])),"m月")&amp;"発注)")</f>
        <v/>
      </c>
      <c r="V1007">
        <f>IF(SUMIFS(T_PlannedOrders[EffectiveQty],T_PlannedOrders[Part Name],$A997,T_PlannedOrders[WeekIndex],19)=0,"",SUMIFS(T_PlannedOrders[EffectiveQty],T_PlannedOrders[Part Name],$A997,T_PlannedOrders[WeekIndex],19)&amp;" ("&amp;TEXT(SUMPRODUCT(MAX((T_PlannedOrders[Part Name]=$A997)*(T_PlannedOrders[WeekIndex]=19)*(T_PlannedOrders[EffectiveQty]&gt;0)*T_PlannedOrders[Order_Month])),"m月")&amp;"発注)")</f>
        <v/>
      </c>
      <c r="W1007">
        <f>IF(SUMIFS(T_PlannedOrders[EffectiveQty],T_PlannedOrders[Part Name],$A997,T_PlannedOrders[WeekIndex],20)=0,"",SUMIFS(T_PlannedOrders[EffectiveQty],T_PlannedOrders[Part Name],$A997,T_PlannedOrders[WeekIndex],20)&amp;" ("&amp;TEXT(SUMPRODUCT(MAX((T_PlannedOrders[Part Name]=$A997)*(T_PlannedOrders[WeekIndex]=20)*(T_PlannedOrders[EffectiveQty]&gt;0)*T_PlannedOrders[Order_Month])),"m月")&amp;"発注)")</f>
        <v/>
      </c>
      <c r="X1007">
        <f>IF(SUMIFS(T_PlannedOrders[EffectiveQty],T_PlannedOrders[Part Name],$A997,T_PlannedOrders[WeekIndex],21)=0,"",SUMIFS(T_PlannedOrders[EffectiveQty],T_PlannedOrders[Part Name],$A997,T_PlannedOrders[WeekIndex],21)&amp;" ("&amp;TEXT(SUMPRODUCT(MAX((T_PlannedOrders[Part Name]=$A997)*(T_PlannedOrders[WeekIndex]=21)*(T_PlannedOrders[EffectiveQty]&gt;0)*T_PlannedOrders[Order_Month])),"m月")&amp;"発注)")</f>
        <v/>
      </c>
      <c r="Y1007">
        <f>IF(SUMIFS(T_PlannedOrders[EffectiveQty],T_PlannedOrders[Part Name],$A997,T_PlannedOrders[WeekIndex],22)=0,"",SUMIFS(T_PlannedOrders[EffectiveQty],T_PlannedOrders[Part Name],$A997,T_PlannedOrders[WeekIndex],22)&amp;" ("&amp;TEXT(SUMPRODUCT(MAX((T_PlannedOrders[Part Name]=$A997)*(T_PlannedOrders[WeekIndex]=22)*(T_PlannedOrders[EffectiveQty]&gt;0)*T_PlannedOrders[Order_Month])),"m月")&amp;"発注)")</f>
        <v/>
      </c>
      <c r="Z1007">
        <f>IF(SUMIFS(T_PlannedOrders[EffectiveQty],T_PlannedOrders[Part Name],$A997,T_PlannedOrders[WeekIndex],23)=0,"",SUMIFS(T_PlannedOrders[EffectiveQty],T_PlannedOrders[Part Name],$A997,T_PlannedOrders[WeekIndex],23)&amp;" ("&amp;TEXT(SUMPRODUCT(MAX((T_PlannedOrders[Part Name]=$A997)*(T_PlannedOrders[WeekIndex]=23)*(T_PlannedOrders[EffectiveQty]&gt;0)*T_PlannedOrders[Order_Month])),"m月")&amp;"発注)")</f>
        <v/>
      </c>
      <c r="AA1007">
        <f>IF(SUMIFS(T_PlannedOrders[EffectiveQty],T_PlannedOrders[Part Name],$A997,T_PlannedOrders[WeekIndex],24)=0,"",SUMIFS(T_PlannedOrders[EffectiveQty],T_PlannedOrders[Part Name],$A997,T_PlannedOrders[WeekIndex],24)&amp;" ("&amp;TEXT(SUMPRODUCT(MAX((T_PlannedOrders[Part Name]=$A997)*(T_PlannedOrders[WeekIndex]=24)*(T_PlannedOrders[EffectiveQty]&gt;0)*T_PlannedOrders[Order_Month])),"m月")&amp;"発注)")</f>
        <v/>
      </c>
      <c r="AB1007">
        <f>IF(SUMIFS(T_PlannedOrders[EffectiveQty],T_PlannedOrders[Part Name],$A997,T_PlannedOrders[WeekIndex],25)=0,"",SUMIFS(T_PlannedOrders[EffectiveQty],T_PlannedOrders[Part Name],$A997,T_PlannedOrders[WeekIndex],25)&amp;" ("&amp;TEXT(SUMPRODUCT(MAX((T_PlannedOrders[Part Name]=$A997)*(T_PlannedOrders[WeekIndex]=25)*(T_PlannedOrders[EffectiveQty]&gt;0)*T_PlannedOrders[Order_Month])),"m月")&amp;"発注)")</f>
        <v/>
      </c>
      <c r="AC1007">
        <f>IF(SUMIFS(T_PlannedOrders[EffectiveQty],T_PlannedOrders[Part Name],$A997,T_PlannedOrders[WeekIndex],26)=0,"",SUMIFS(T_PlannedOrders[EffectiveQty],T_PlannedOrders[Part Name],$A997,T_PlannedOrders[WeekIndex],26)&amp;" ("&amp;TEXT(SUMPRODUCT(MAX((T_PlannedOrders[Part Name]=$A997)*(T_PlannedOrders[WeekIndex]=26)*(T_PlannedOrders[EffectiveQty]&gt;0)*T_PlannedOrders[Order_Month])),"m月")&amp;"発注)")</f>
        <v/>
      </c>
      <c r="AD1007">
        <f>IF(SUMIFS(T_PlannedOrders[EffectiveQty],T_PlannedOrders[Part Name],$A997,T_PlannedOrders[WeekIndex],27)=0,"",SUMIFS(T_PlannedOrders[EffectiveQty],T_PlannedOrders[Part Name],$A997,T_PlannedOrders[WeekIndex],27)&amp;" ("&amp;TEXT(SUMPRODUCT(MAX((T_PlannedOrders[Part Name]=$A997)*(T_PlannedOrders[WeekIndex]=27)*(T_PlannedOrders[EffectiveQty]&gt;0)*T_PlannedOrders[Order_Month])),"m月")&amp;"発注)")</f>
        <v/>
      </c>
      <c r="AE1007">
        <f>IF(SUMIFS(T_PlannedOrders[EffectiveQty],T_PlannedOrders[Part Name],$A997,T_PlannedOrders[WeekIndex],28)=0,"",SUMIFS(T_PlannedOrders[EffectiveQty],T_PlannedOrders[Part Name],$A997,T_PlannedOrders[WeekIndex],28)&amp;" ("&amp;TEXT(SUMPRODUCT(MAX((T_PlannedOrders[Part Name]=$A997)*(T_PlannedOrders[WeekIndex]=28)*(T_PlannedOrders[EffectiveQty]&gt;0)*T_PlannedOrders[Order_Month])),"m月")&amp;"発注)")</f>
        <v/>
      </c>
      <c r="AF1007">
        <f>IF(SUMIFS(T_PlannedOrders[EffectiveQty],T_PlannedOrders[Part Name],$A997,T_PlannedOrders[WeekIndex],29)=0,"",SUMIFS(T_PlannedOrders[EffectiveQty],T_PlannedOrders[Part Name],$A997,T_PlannedOrders[WeekIndex],29)&amp;" ("&amp;TEXT(SUMPRODUCT(MAX((T_PlannedOrders[Part Name]=$A997)*(T_PlannedOrders[WeekIndex]=29)*(T_PlannedOrders[EffectiveQty]&gt;0)*T_PlannedOrders[Order_Month])),"m月")&amp;"発注)")</f>
        <v/>
      </c>
      <c r="AG1007">
        <f>IF(SUMIFS(T_PlannedOrders[EffectiveQty],T_PlannedOrders[Part Name],$A997,T_PlannedOrders[WeekIndex],30)=0,"",SUMIFS(T_PlannedOrders[EffectiveQty],T_PlannedOrders[Part Name],$A997,T_PlannedOrders[WeekIndex],30)&amp;" ("&amp;TEXT(SUMPRODUCT(MAX((T_PlannedOrders[Part Name]=$A997)*(T_PlannedOrders[WeekIndex]=30)*(T_PlannedOrders[EffectiveQty]&gt;0)*T_PlannedOrders[Order_Month])),"m月")&amp;"発注)")</f>
        <v/>
      </c>
      <c r="AH1007">
        <f>IF(SUMIFS(T_PlannedOrders[EffectiveQty],T_PlannedOrders[Part Name],$A997,T_PlannedOrders[WeekIndex],31)=0,"",SUMIFS(T_PlannedOrders[EffectiveQty],T_PlannedOrders[Part Name],$A997,T_PlannedOrders[WeekIndex],31)&amp;" ("&amp;TEXT(SUMPRODUCT(MAX((T_PlannedOrders[Part Name]=$A997)*(T_PlannedOrders[WeekIndex]=31)*(T_PlannedOrders[EffectiveQty]&gt;0)*T_PlannedOrders[Order_Month])),"m月")&amp;"発注)")</f>
        <v/>
      </c>
      <c r="AI1007">
        <f>IF(SUMIFS(T_PlannedOrders[EffectiveQty],T_PlannedOrders[Part Name],$A997,T_PlannedOrders[WeekIndex],32)=0,"",SUMIFS(T_PlannedOrders[EffectiveQty],T_PlannedOrders[Part Name],$A997,T_PlannedOrders[WeekIndex],32)&amp;" ("&amp;TEXT(SUMPRODUCT(MAX((T_PlannedOrders[Part Name]=$A997)*(T_PlannedOrders[WeekIndex]=32)*(T_PlannedOrders[EffectiveQty]&gt;0)*T_PlannedOrders[Order_Month])),"m月")&amp;"発注)")</f>
        <v/>
      </c>
      <c r="AJ1007">
        <f>IF(SUMIFS(T_PlannedOrders[EffectiveQty],T_PlannedOrders[Part Name],$A997,T_PlannedOrders[WeekIndex],33)=0,"",SUMIFS(T_PlannedOrders[EffectiveQty],T_PlannedOrders[Part Name],$A997,T_PlannedOrders[WeekIndex],33)&amp;" ("&amp;TEXT(SUMPRODUCT(MAX((T_PlannedOrders[Part Name]=$A997)*(T_PlannedOrders[WeekIndex]=33)*(T_PlannedOrders[EffectiveQty]&gt;0)*T_PlannedOrders[Order_Month])),"m月")&amp;"発注)")</f>
        <v/>
      </c>
      <c r="AK1007">
        <f>IF(SUMIFS(T_PlannedOrders[EffectiveQty],T_PlannedOrders[Part Name],$A997,T_PlannedOrders[WeekIndex],34)=0,"",SUMIFS(T_PlannedOrders[EffectiveQty],T_PlannedOrders[Part Name],$A997,T_PlannedOrders[WeekIndex],34)&amp;" ("&amp;TEXT(SUMPRODUCT(MAX((T_PlannedOrders[Part Name]=$A997)*(T_PlannedOrders[WeekIndex]=34)*(T_PlannedOrders[EffectiveQty]&gt;0)*T_PlannedOrders[Order_Month])),"m月")&amp;"発注)")</f>
        <v/>
      </c>
      <c r="AL1007">
        <f>IF(SUMIFS(T_PlannedOrders[EffectiveQty],T_PlannedOrders[Part Name],$A997,T_PlannedOrders[WeekIndex],35)=0,"",SUMIFS(T_PlannedOrders[EffectiveQty],T_PlannedOrders[Part Name],$A997,T_PlannedOrders[WeekIndex],35)&amp;" ("&amp;TEXT(SUMPRODUCT(MAX((T_PlannedOrders[Part Name]=$A997)*(T_PlannedOrders[WeekIndex]=35)*(T_PlannedOrders[EffectiveQty]&gt;0)*T_PlannedOrders[Order_Month])),"m月")&amp;"発注)")</f>
        <v/>
      </c>
      <c r="AM1007">
        <f>IF(SUMIFS(T_PlannedOrders[EffectiveQty],T_PlannedOrders[Part Name],$A997,T_PlannedOrders[WeekIndex],36)=0,"",SUMIFS(T_PlannedOrders[EffectiveQty],T_PlannedOrders[Part Name],$A997,T_PlannedOrders[WeekIndex],36)&amp;" ("&amp;TEXT(SUMPRODUCT(MAX((T_PlannedOrders[Part Name]=$A997)*(T_PlannedOrders[WeekIndex]=36)*(T_PlannedOrders[EffectiveQty]&gt;0)*T_PlannedOrders[Order_Month])),"m月")&amp;"発注)")</f>
        <v/>
      </c>
      <c r="AN1007">
        <f>IF(SUMIFS(T_PlannedOrders[EffectiveQty],T_PlannedOrders[Part Name],$A997,T_PlannedOrders[WeekIndex],37)=0,"",SUMIFS(T_PlannedOrders[EffectiveQty],T_PlannedOrders[Part Name],$A997,T_PlannedOrders[WeekIndex],37)&amp;" ("&amp;TEXT(SUMPRODUCT(MAX((T_PlannedOrders[Part Name]=$A997)*(T_PlannedOrders[WeekIndex]=37)*(T_PlannedOrders[EffectiveQty]&gt;0)*T_PlannedOrders[Order_Month])),"m月")&amp;"発注)")</f>
        <v/>
      </c>
      <c r="AO1007">
        <f>IF(SUMIFS(T_PlannedOrders[EffectiveQty],T_PlannedOrders[Part Name],$A997,T_PlannedOrders[WeekIndex],38)=0,"",SUMIFS(T_PlannedOrders[EffectiveQty],T_PlannedOrders[Part Name],$A997,T_PlannedOrders[WeekIndex],38)&amp;" ("&amp;TEXT(SUMPRODUCT(MAX((T_PlannedOrders[Part Name]=$A997)*(T_PlannedOrders[WeekIndex]=38)*(T_PlannedOrders[EffectiveQty]&gt;0)*T_PlannedOrders[Order_Month])),"m月")&amp;"発注)")</f>
        <v/>
      </c>
      <c r="AP1007">
        <f>IF(SUMIFS(T_PlannedOrders[EffectiveQty],T_PlannedOrders[Part Name],$A997,T_PlannedOrders[WeekIndex],39)=0,"",SUMIFS(T_PlannedOrders[EffectiveQty],T_PlannedOrders[Part Name],$A997,T_PlannedOrders[WeekIndex],39)&amp;" ("&amp;TEXT(SUMPRODUCT(MAX((T_PlannedOrders[Part Name]=$A997)*(T_PlannedOrders[WeekIndex]=39)*(T_PlannedOrders[EffectiveQty]&gt;0)*T_PlannedOrders[Order_Month])),"m月")&amp;"発注)")</f>
        <v/>
      </c>
      <c r="AQ1007">
        <f>IF(SUMIFS(T_PlannedOrders[EffectiveQty],T_PlannedOrders[Part Name],$A997,T_PlannedOrders[WeekIndex],40)=0,"",SUMIFS(T_PlannedOrders[EffectiveQty],T_PlannedOrders[Part Name],$A997,T_PlannedOrders[WeekIndex],40)&amp;" ("&amp;TEXT(SUMPRODUCT(MAX((T_PlannedOrders[Part Name]=$A997)*(T_PlannedOrders[WeekIndex]=40)*(T_PlannedOrders[EffectiveQty]&gt;0)*T_PlannedOrders[Order_Month])),"m月")&amp;"発注)")</f>
        <v/>
      </c>
      <c r="AR1007">
        <f>IF(SUMIFS(T_PlannedOrders[EffectiveQty],T_PlannedOrders[Part Name],$A997,T_PlannedOrders[WeekIndex],41)=0,"",SUMIFS(T_PlannedOrders[EffectiveQty],T_PlannedOrders[Part Name],$A997,T_PlannedOrders[WeekIndex],41)&amp;" ("&amp;TEXT(SUMPRODUCT(MAX((T_PlannedOrders[Part Name]=$A997)*(T_PlannedOrders[WeekIndex]=41)*(T_PlannedOrders[EffectiveQty]&gt;0)*T_PlannedOrders[Order_Month])),"m月")&amp;"発注)")</f>
        <v/>
      </c>
      <c r="AS1007">
        <f>IF(SUMIFS(T_PlannedOrders[EffectiveQty],T_PlannedOrders[Part Name],$A997,T_PlannedOrders[WeekIndex],42)=0,"",SUMIFS(T_PlannedOrders[EffectiveQty],T_PlannedOrders[Part Name],$A997,T_PlannedOrders[WeekIndex],42)&amp;" ("&amp;TEXT(SUMPRODUCT(MAX((T_PlannedOrders[Part Name]=$A997)*(T_PlannedOrders[WeekIndex]=42)*(T_PlannedOrders[EffectiveQty]&gt;0)*T_PlannedOrders[Order_Month])),"m月")&amp;"発注)")</f>
        <v/>
      </c>
      <c r="AT1007">
        <f>IF(SUMIFS(T_PlannedOrders[EffectiveQty],T_PlannedOrders[Part Name],$A997,T_PlannedOrders[WeekIndex],43)=0,"",SUMIFS(T_PlannedOrders[EffectiveQty],T_PlannedOrders[Part Name],$A997,T_PlannedOrders[WeekIndex],43)&amp;" ("&amp;TEXT(SUMPRODUCT(MAX((T_PlannedOrders[Part Name]=$A997)*(T_PlannedOrders[WeekIndex]=43)*(T_PlannedOrders[EffectiveQty]&gt;0)*T_PlannedOrders[Order_Month])),"m月")&amp;"発注)")</f>
        <v/>
      </c>
      <c r="AU1007">
        <f>IF(SUMIFS(T_PlannedOrders[EffectiveQty],T_PlannedOrders[Part Name],$A997,T_PlannedOrders[WeekIndex],44)=0,"",SUMIFS(T_PlannedOrders[EffectiveQty],T_PlannedOrders[Part Name],$A997,T_PlannedOrders[WeekIndex],44)&amp;" ("&amp;TEXT(SUMPRODUCT(MAX((T_PlannedOrders[Part Name]=$A997)*(T_PlannedOrders[WeekIndex]=44)*(T_PlannedOrders[EffectiveQty]&gt;0)*T_PlannedOrders[Order_Month])),"m月")&amp;"発注)")</f>
        <v/>
      </c>
      <c r="AV1007">
        <f>IF(SUMIFS(T_PlannedOrders[EffectiveQty],T_PlannedOrders[Part Name],$A997,T_PlannedOrders[WeekIndex],45)=0,"",SUMIFS(T_PlannedOrders[EffectiveQty],T_PlannedOrders[Part Name],$A997,T_PlannedOrders[WeekIndex],45)&amp;" ("&amp;TEXT(SUMPRODUCT(MAX((T_PlannedOrders[Part Name]=$A997)*(T_PlannedOrders[WeekIndex]=45)*(T_PlannedOrders[EffectiveQty]&gt;0)*T_PlannedOrders[Order_Month])),"m月")&amp;"発注)")</f>
        <v/>
      </c>
      <c r="AW1007">
        <f>IF(SUMIFS(T_PlannedOrders[EffectiveQty],T_PlannedOrders[Part Name],$A997,T_PlannedOrders[WeekIndex],46)=0,"",SUMIFS(T_PlannedOrders[EffectiveQty],T_PlannedOrders[Part Name],$A997,T_PlannedOrders[WeekIndex],46)&amp;" ("&amp;TEXT(SUMPRODUCT(MAX((T_PlannedOrders[Part Name]=$A997)*(T_PlannedOrders[WeekIndex]=46)*(T_PlannedOrders[EffectiveQty]&gt;0)*T_PlannedOrders[Order_Month])),"m月")&amp;"発注)")</f>
        <v/>
      </c>
      <c r="AX1007">
        <f>IF(SUMIFS(T_PlannedOrders[EffectiveQty],T_PlannedOrders[Part Name],$A997,T_PlannedOrders[WeekIndex],47)=0,"",SUMIFS(T_PlannedOrders[EffectiveQty],T_PlannedOrders[Part Name],$A997,T_PlannedOrders[WeekIndex],47)&amp;" ("&amp;TEXT(SUMPRODUCT(MAX((T_PlannedOrders[Part Name]=$A997)*(T_PlannedOrders[WeekIndex]=47)*(T_PlannedOrders[EffectiveQty]&gt;0)*T_PlannedOrders[Order_Month])),"m月")&amp;"発注)")</f>
        <v/>
      </c>
      <c r="AY1007">
        <f>IF(SUMIFS(T_PlannedOrders[EffectiveQty],T_PlannedOrders[Part Name],$A997,T_PlannedOrders[WeekIndex],48)=0,"",SUMIFS(T_PlannedOrders[EffectiveQty],T_PlannedOrders[Part Name],$A997,T_PlannedOrders[WeekIndex],48)&amp;" ("&amp;TEXT(SUMPRODUCT(MAX((T_PlannedOrders[Part Name]=$A997)*(T_PlannedOrders[WeekIndex]=48)*(T_PlannedOrders[EffectiveQty]&gt;0)*T_PlannedOrders[Order_Month])),"m月")&amp;"発注)")</f>
        <v/>
      </c>
      <c r="AZ1007">
        <f>IF(SUMIFS(T_PlannedOrders[EffectiveQty],T_PlannedOrders[Part Name],$A997,T_PlannedOrders[WeekIndex],49)=0,"",SUMIFS(T_PlannedOrders[EffectiveQty],T_PlannedOrders[Part Name],$A997,T_PlannedOrders[WeekIndex],49)&amp;" ("&amp;TEXT(SUMPRODUCT(MAX((T_PlannedOrders[Part Name]=$A997)*(T_PlannedOrders[WeekIndex]=49)*(T_PlannedOrders[EffectiveQty]&gt;0)*T_PlannedOrders[Order_Month])),"m月")&amp;"発注)")</f>
        <v/>
      </c>
      <c r="BA1007">
        <f>IF(SUMIFS(T_PlannedOrders[EffectiveQty],T_PlannedOrders[Part Name],$A997,T_PlannedOrders[WeekIndex],50)=0,"",SUMIFS(T_PlannedOrders[EffectiveQty],T_PlannedOrders[Part Name],$A997,T_PlannedOrders[WeekIndex],50)&amp;" ("&amp;TEXT(SUMPRODUCT(MAX((T_PlannedOrders[Part Name]=$A997)*(T_PlannedOrders[WeekIndex]=50)*(T_PlannedOrders[EffectiveQty]&gt;0)*T_PlannedOrders[Order_Month])),"m月")&amp;"発注)")</f>
        <v/>
      </c>
      <c r="BB1007">
        <f>IF(SUMIFS(T_PlannedOrders[EffectiveQty],T_PlannedOrders[Part Name],$A997,T_PlannedOrders[WeekIndex],51)=0,"",SUMIFS(T_PlannedOrders[EffectiveQty],T_PlannedOrders[Part Name],$A997,T_PlannedOrders[WeekIndex],51)&amp;" ("&amp;TEXT(SUMPRODUCT(MAX((T_PlannedOrders[Part Name]=$A997)*(T_PlannedOrders[WeekIndex]=51)*(T_PlannedOrders[EffectiveQty]&gt;0)*T_PlannedOrders[Order_Month])),"m月")&amp;"発注)")</f>
        <v/>
      </c>
      <c r="BC1007">
        <f>IF(SUMIFS(T_PlannedOrders[EffectiveQty],T_PlannedOrders[Part Name],$A997,T_PlannedOrders[WeekIndex],52)=0,"",SUMIFS(T_PlannedOrders[EffectiveQty],T_PlannedOrders[Part Name],$A997,T_PlannedOrders[WeekIndex],52)&amp;" ("&amp;TEXT(SUMPRODUCT(MAX((T_PlannedOrders[Part Name]=$A997)*(T_PlannedOrders[WeekIndex]=52)*(T_PlannedOrders[EffectiveQty]&gt;0)*T_PlannedOrders[Order_Month])),"m月")&amp;"発注)")</f>
        <v/>
      </c>
      <c r="BD1007">
        <f>IF(SUMIFS(T_PlannedOrders[EffectiveQty],T_PlannedOrders[Part Name],$A997,T_PlannedOrders[WeekIndex],53)=0,"",SUMIFS(T_PlannedOrders[EffectiveQty],T_PlannedOrders[Part Name],$A997,T_PlannedOrders[WeekIndex],53)&amp;" ("&amp;TEXT(SUMPRODUCT(MAX((T_PlannedOrders[Part Name]=$A997)*(T_PlannedOrders[WeekIndex]=53)*(T_PlannedOrders[EffectiveQty]&gt;0)*T_PlannedOrders[Order_Month])),"m月")&amp;"発注)")</f>
        <v/>
      </c>
      <c r="BE1007">
        <f>IF(SUMIFS(T_PlannedOrders[EffectiveQty],T_PlannedOrders[Part Name],$A997,T_PlannedOrders[WeekIndex],54)=0,"",SUMIFS(T_PlannedOrders[EffectiveQty],T_PlannedOrders[Part Name],$A997,T_PlannedOrders[WeekIndex],54)&amp;" ("&amp;TEXT(SUMPRODUCT(MAX((T_PlannedOrders[Part Name]=$A997)*(T_PlannedOrders[WeekIndex]=54)*(T_PlannedOrders[EffectiveQty]&gt;0)*T_PlannedOrders[Order_Month])),"m月")&amp;"発注)")</f>
        <v/>
      </c>
      <c r="BF1007">
        <f>IF(SUMIFS(T_PlannedOrders[EffectiveQty],T_PlannedOrders[Part Name],$A997,T_PlannedOrders[WeekIndex],55)=0,"",SUMIFS(T_PlannedOrders[EffectiveQty],T_PlannedOrders[Part Name],$A997,T_PlannedOrders[WeekIndex],55)&amp;" ("&amp;TEXT(SUMPRODUCT(MAX((T_PlannedOrders[Part Name]=$A997)*(T_PlannedOrders[WeekIndex]=55)*(T_PlannedOrders[EffectiveQty]&gt;0)*T_PlannedOrders[Order_Month])),"m月")&amp;"発注)")</f>
        <v/>
      </c>
      <c r="BG1007">
        <f>IF(SUMIFS(T_PlannedOrders[EffectiveQty],T_PlannedOrders[Part Name],$A997,T_PlannedOrders[WeekIndex],56)=0,"",SUMIFS(T_PlannedOrders[EffectiveQty],T_PlannedOrders[Part Name],$A997,T_PlannedOrders[WeekIndex],56)&amp;" ("&amp;TEXT(SUMPRODUCT(MAX((T_PlannedOrders[Part Name]=$A997)*(T_PlannedOrders[WeekIndex]=56)*(T_PlannedOrders[EffectiveQty]&gt;0)*T_PlannedOrders[Order_Month])),"m月")&amp;"発注)")</f>
        <v/>
      </c>
      <c r="BH1007">
        <f>IF(SUMIFS(T_PlannedOrders[EffectiveQty],T_PlannedOrders[Part Name],$A997,T_PlannedOrders[WeekIndex],57)=0,"",SUMIFS(T_PlannedOrders[EffectiveQty],T_PlannedOrders[Part Name],$A997,T_PlannedOrders[WeekIndex],57)&amp;" ("&amp;TEXT(SUMPRODUCT(MAX((T_PlannedOrders[Part Name]=$A997)*(T_PlannedOrders[WeekIndex]=57)*(T_PlannedOrders[EffectiveQty]&gt;0)*T_PlannedOrders[Order_Month])),"m月")&amp;"発注)")</f>
        <v/>
      </c>
      <c r="BI1007">
        <f>IF(SUMIFS(T_PlannedOrders[EffectiveQty],T_PlannedOrders[Part Name],$A997,T_PlannedOrders[WeekIndex],58)=0,"",SUMIFS(T_PlannedOrders[EffectiveQty],T_PlannedOrders[Part Name],$A997,T_PlannedOrders[WeekIndex],58)&amp;" ("&amp;TEXT(SUMPRODUCT(MAX((T_PlannedOrders[Part Name]=$A997)*(T_PlannedOrders[WeekIndex]=58)*(T_PlannedOrders[EffectiveQty]&gt;0)*T_PlannedOrders[Order_Month])),"m月")&amp;"発注)")</f>
        <v/>
      </c>
      <c r="BJ1007">
        <f>IF(SUMIFS(T_PlannedOrders[EffectiveQty],T_PlannedOrders[Part Name],$A997,T_PlannedOrders[WeekIndex],59)=0,"",SUMIFS(T_PlannedOrders[EffectiveQty],T_PlannedOrders[Part Name],$A997,T_PlannedOrders[WeekIndex],59)&amp;" ("&amp;TEXT(SUMPRODUCT(MAX((T_PlannedOrders[Part Name]=$A997)*(T_PlannedOrders[WeekIndex]=59)*(T_PlannedOrders[EffectiveQty]&gt;0)*T_PlannedOrders[Order_Month])),"m月")&amp;"発注)")</f>
        <v/>
      </c>
      <c r="BK1007">
        <f>IF(SUMIFS(T_PlannedOrders[EffectiveQty],T_PlannedOrders[Part Name],$A997,T_PlannedOrders[WeekIndex],60)=0,"",SUMIFS(T_PlannedOrders[EffectiveQty],T_PlannedOrders[Part Name],$A997,T_PlannedOrders[WeekIndex],60)&amp;" ("&amp;TEXT(SUMPRODUCT(MAX((T_PlannedOrders[Part Name]=$A997)*(T_PlannedOrders[WeekIndex]=60)*(T_PlannedOrders[EffectiveQty]&gt;0)*T_PlannedOrders[Order_Month])),"m月")&amp;"発注)")</f>
        <v/>
      </c>
      <c r="BL1007">
        <f>IF(SUMIFS(T_PlannedOrders[EffectiveQty],T_PlannedOrders[Part Name],$A997,T_PlannedOrders[WeekIndex],61)=0,"",SUMIFS(T_PlannedOrders[EffectiveQty],T_PlannedOrders[Part Name],$A997,T_PlannedOrders[WeekIndex],61)&amp;" ("&amp;TEXT(SUMPRODUCT(MAX((T_PlannedOrders[Part Name]=$A997)*(T_PlannedOrders[WeekIndex]=61)*(T_PlannedOrders[EffectiveQty]&gt;0)*T_PlannedOrders[Order_Month])),"m月")&amp;"発注)")</f>
        <v/>
      </c>
      <c r="BM1007">
        <f>IF(SUMIFS(T_PlannedOrders[EffectiveQty],T_PlannedOrders[Part Name],$A997,T_PlannedOrders[WeekIndex],62)=0,"",SUMIFS(T_PlannedOrders[EffectiveQty],T_PlannedOrders[Part Name],$A997,T_PlannedOrders[WeekIndex],62)&amp;" ("&amp;TEXT(SUMPRODUCT(MAX((T_PlannedOrders[Part Name]=$A997)*(T_PlannedOrders[WeekIndex]=62)*(T_PlannedOrders[EffectiveQty]&gt;0)*T_PlannedOrders[Order_Month])),"m月")&amp;"発注)")</f>
        <v/>
      </c>
      <c r="BN1007">
        <f>IF(SUMIFS(T_PlannedOrders[EffectiveQty],T_PlannedOrders[Part Name],$A997,T_PlannedOrders[WeekIndex],63)=0,"",SUMIFS(T_PlannedOrders[EffectiveQty],T_PlannedOrders[Part Name],$A997,T_PlannedOrders[WeekIndex],63)&amp;" ("&amp;TEXT(SUMPRODUCT(MAX((T_PlannedOrders[Part Name]=$A997)*(T_PlannedOrders[WeekIndex]=63)*(T_PlannedOrders[EffectiveQty]&gt;0)*T_PlannedOrders[Order_Month])),"m月")&amp;"発注)")</f>
        <v/>
      </c>
      <c r="BO1007">
        <f>IF(SUMIFS(T_PlannedOrders[EffectiveQty],T_PlannedOrders[Part Name],$A997,T_PlannedOrders[WeekIndex],64)=0,"",SUMIFS(T_PlannedOrders[EffectiveQty],T_PlannedOrders[Part Name],$A997,T_PlannedOrders[WeekIndex],64)&amp;" ("&amp;TEXT(SUMPRODUCT(MAX((T_PlannedOrders[Part Name]=$A997)*(T_PlannedOrders[WeekIndex]=64)*(T_PlannedOrders[EffectiveQty]&gt;0)*T_PlannedOrders[Order_Month])),"m月")&amp;"発注)")</f>
        <v/>
      </c>
      <c r="BP1007">
        <f>IF(SUMIFS(T_PlannedOrders[EffectiveQty],T_PlannedOrders[Part Name],$A997,T_PlannedOrders[WeekIndex],65)=0,"",SUMIFS(T_PlannedOrders[EffectiveQty],T_PlannedOrders[Part Name],$A997,T_PlannedOrders[WeekIndex],65)&amp;" ("&amp;TEXT(SUMPRODUCT(MAX((T_PlannedOrders[Part Name]=$A997)*(T_PlannedOrders[WeekIndex]=65)*(T_PlannedOrders[EffectiveQty]&gt;0)*T_PlannedOrders[Order_Month])),"m月")&amp;"発注)")</f>
        <v/>
      </c>
      <c r="BQ1007">
        <f>IF(SUMIFS(T_PlannedOrders[EffectiveQty],T_PlannedOrders[Part Name],$A997,T_PlannedOrders[WeekIndex],66)=0,"",SUMIFS(T_PlannedOrders[EffectiveQty],T_PlannedOrders[Part Name],$A997,T_PlannedOrders[WeekIndex],66)&amp;" ("&amp;TEXT(SUMPRODUCT(MAX((T_PlannedOrders[Part Name]=$A997)*(T_PlannedOrders[WeekIndex]=66)*(T_PlannedOrders[EffectiveQty]&gt;0)*T_PlannedOrders[Order_Month])),"m月")&amp;"発注)")</f>
        <v/>
      </c>
      <c r="BR1007">
        <f>IF(SUMIFS(T_PlannedOrders[EffectiveQty],T_PlannedOrders[Part Name],$A997,T_PlannedOrders[WeekIndex],67)=0,"",SUMIFS(T_PlannedOrders[EffectiveQty],T_PlannedOrders[Part Name],$A997,T_PlannedOrders[WeekIndex],67)&amp;" ("&amp;TEXT(SUMPRODUCT(MAX((T_PlannedOrders[Part Name]=$A997)*(T_PlannedOrders[WeekIndex]=67)*(T_PlannedOrders[EffectiveQty]&gt;0)*T_PlannedOrders[Order_Month])),"m月")&amp;"発注)")</f>
        <v/>
      </c>
      <c r="BS1007">
        <f>IF(SUMIFS(T_PlannedOrders[EffectiveQty],T_PlannedOrders[Part Name],$A997,T_PlannedOrders[WeekIndex],68)=0,"",SUMIFS(T_PlannedOrders[EffectiveQty],T_PlannedOrders[Part Name],$A997,T_PlannedOrders[WeekIndex],68)&amp;" ("&amp;TEXT(SUMPRODUCT(MAX((T_PlannedOrders[Part Name]=$A997)*(T_PlannedOrders[WeekIndex]=68)*(T_PlannedOrders[EffectiveQty]&gt;0)*T_PlannedOrders[Order_Month])),"m月")&amp;"発注)")</f>
        <v/>
      </c>
      <c r="BT1007">
        <f>IF(SUMIFS(T_PlannedOrders[EffectiveQty],T_PlannedOrders[Part Name],$A997,T_PlannedOrders[WeekIndex],69)=0,"",SUMIFS(T_PlannedOrders[EffectiveQty],T_PlannedOrders[Part Name],$A997,T_PlannedOrders[WeekIndex],69)&amp;" ("&amp;TEXT(SUMPRODUCT(MAX((T_PlannedOrders[Part Name]=$A997)*(T_PlannedOrders[WeekIndex]=69)*(T_PlannedOrders[EffectiveQty]&gt;0)*T_PlannedOrders[Order_Month])),"m月")&amp;"発注)")</f>
        <v/>
      </c>
      <c r="BU1007">
        <f>IF(SUMIFS(T_PlannedOrders[EffectiveQty],T_PlannedOrders[Part Name],$A997,T_PlannedOrders[WeekIndex],70)=0,"",SUMIFS(T_PlannedOrders[EffectiveQty],T_PlannedOrders[Part Name],$A997,T_PlannedOrders[WeekIndex],70)&amp;" ("&amp;TEXT(SUMPRODUCT(MAX((T_PlannedOrders[Part Name]=$A997)*(T_PlannedOrders[WeekIndex]=70)*(T_PlannedOrders[EffectiveQty]&gt;0)*T_PlannedOrders[Order_Month])),"m月")&amp;"発注)")</f>
        <v/>
      </c>
      <c r="BV1007">
        <f>IF(SUMIFS(T_PlannedOrders[EffectiveQty],T_PlannedOrders[Part Name],$A997,T_PlannedOrders[WeekIndex],71)=0,"",SUMIFS(T_PlannedOrders[EffectiveQty],T_PlannedOrders[Part Name],$A997,T_PlannedOrders[WeekIndex],71)&amp;" ("&amp;TEXT(SUMPRODUCT(MAX((T_PlannedOrders[Part Name]=$A997)*(T_PlannedOrders[WeekIndex]=71)*(T_PlannedOrders[EffectiveQty]&gt;0)*T_PlannedOrders[Order_Month])),"m月")&amp;"発注)")</f>
        <v/>
      </c>
      <c r="BW1007">
        <f>IF(SUMIFS(T_PlannedOrders[EffectiveQty],T_PlannedOrders[Part Name],$A997,T_PlannedOrders[WeekIndex],72)=0,"",SUMIFS(T_PlannedOrders[EffectiveQty],T_PlannedOrders[Part Name],$A997,T_PlannedOrders[WeekIndex],72)&amp;" ("&amp;TEXT(SUMPRODUCT(MAX((T_PlannedOrders[Part Name]=$A997)*(T_PlannedOrders[WeekIndex]=72)*(T_PlannedOrders[EffectiveQty]&gt;0)*T_PlannedOrders[Order_Month])),"m月")&amp;"発注)")</f>
        <v/>
      </c>
      <c r="BX1007">
        <f>IF(SUMIFS(T_PlannedOrders[EffectiveQty],T_PlannedOrders[Part Name],$A997,T_PlannedOrders[WeekIndex],73)=0,"",SUMIFS(T_PlannedOrders[EffectiveQty],T_PlannedOrders[Part Name],$A997,T_PlannedOrders[WeekIndex],73)&amp;" ("&amp;TEXT(SUMPRODUCT(MAX((T_PlannedOrders[Part Name]=$A997)*(T_PlannedOrders[WeekIndex]=73)*(T_PlannedOrders[EffectiveQty]&gt;0)*T_PlannedOrders[Order_Month])),"m月")&amp;"発注)")</f>
        <v/>
      </c>
      <c r="BY1007">
        <f>IF(SUMIFS(T_PlannedOrders[EffectiveQty],T_PlannedOrders[Part Name],$A997,T_PlannedOrders[WeekIndex],74)=0,"",SUMIFS(T_PlannedOrders[EffectiveQty],T_PlannedOrders[Part Name],$A997,T_PlannedOrders[WeekIndex],74)&amp;" ("&amp;TEXT(SUMPRODUCT(MAX((T_PlannedOrders[Part Name]=$A997)*(T_PlannedOrders[WeekIndex]=74)*(T_PlannedOrders[EffectiveQty]&gt;0)*T_PlannedOrders[Order_Month])),"m月")&amp;"発注)")</f>
        <v/>
      </c>
      <c r="BZ1007">
        <f>IF(SUMIFS(T_PlannedOrders[EffectiveQty],T_PlannedOrders[Part Name],$A997,T_PlannedOrders[WeekIndex],75)=0,"",SUMIFS(T_PlannedOrders[EffectiveQty],T_PlannedOrders[Part Name],$A997,T_PlannedOrders[WeekIndex],75)&amp;" ("&amp;TEXT(SUMPRODUCT(MAX((T_PlannedOrders[Part Name]=$A997)*(T_PlannedOrders[WeekIndex]=75)*(T_PlannedOrders[EffectiveQty]&gt;0)*T_PlannedOrders[Order_Month])),"m月")&amp;"発注)")</f>
        <v/>
      </c>
      <c r="CA1007">
        <f>IF(SUMIFS(T_PlannedOrders[EffectiveQty],T_PlannedOrders[Part Name],$A997,T_PlannedOrders[WeekIndex],76)=0,"",SUMIFS(T_PlannedOrders[EffectiveQty],T_PlannedOrders[Part Name],$A997,T_PlannedOrders[WeekIndex],76)&amp;" ("&amp;TEXT(SUMPRODUCT(MAX((T_PlannedOrders[Part Name]=$A997)*(T_PlannedOrders[WeekIndex]=76)*(T_PlannedOrders[EffectiveQty]&gt;0)*T_PlannedOrders[Order_Month])),"m月")&amp;"発注)")</f>
        <v/>
      </c>
      <c r="CB1007">
        <f>IF(SUMIFS(T_PlannedOrders[EffectiveQty],T_PlannedOrders[Part Name],$A997,T_PlannedOrders[WeekIndex],77)=0,"",SUMIFS(T_PlannedOrders[EffectiveQty],T_PlannedOrders[Part Name],$A997,T_PlannedOrders[WeekIndex],77)&amp;" ("&amp;TEXT(SUMPRODUCT(MAX((T_PlannedOrders[Part Name]=$A997)*(T_PlannedOrders[WeekIndex]=77)*(T_PlannedOrders[EffectiveQty]&gt;0)*T_PlannedOrders[Order_Month])),"m月")&amp;"発注)")</f>
        <v/>
      </c>
      <c r="CC1007">
        <f>IF(SUMIFS(T_PlannedOrders[EffectiveQty],T_PlannedOrders[Part Name],$A997,T_PlannedOrders[WeekIndex],78)=0,"",SUMIFS(T_PlannedOrders[EffectiveQty],T_PlannedOrders[Part Name],$A997,T_PlannedOrders[WeekIndex],78)&amp;" ("&amp;TEXT(SUMPRODUCT(MAX((T_PlannedOrders[Part Name]=$A997)*(T_PlannedOrders[WeekIndex]=78)*(T_PlannedOrders[EffectiveQty]&gt;0)*T_PlannedOrders[Order_Month])),"m月")&amp;"発注)")</f>
        <v/>
      </c>
      <c r="CD1007">
        <f>IF(SUMIFS(T_PlannedOrders[EffectiveQty],T_PlannedOrders[Part Name],$A997,T_PlannedOrders[WeekIndex],79)=0,"",SUMIFS(T_PlannedOrders[EffectiveQty],T_PlannedOrders[Part Name],$A997,T_PlannedOrders[WeekIndex],79)&amp;" ("&amp;TEXT(SUMPRODUCT(MAX((T_PlannedOrders[Part Name]=$A997)*(T_PlannedOrders[WeekIndex]=79)*(T_PlannedOrders[EffectiveQty]&gt;0)*T_PlannedOrders[Order_Month])),"m月")&amp;"発注)")</f>
        <v/>
      </c>
      <c r="CE1007">
        <f>IF(SUMIFS(T_PlannedOrders[EffectiveQty],T_PlannedOrders[Part Name],$A997,T_PlannedOrders[WeekIndex],80)=0,"",SUMIFS(T_PlannedOrders[EffectiveQty],T_PlannedOrders[Part Name],$A997,T_PlannedOrders[WeekIndex],80)&amp;" ("&amp;TEXT(SUMPRODUCT(MAX((T_PlannedOrders[Part Name]=$A997)*(T_PlannedOrders[WeekIndex]=80)*(T_PlannedOrders[EffectiveQty]&gt;0)*T_PlannedOrders[Order_Month])),"m月")&amp;"発注)")</f>
        <v/>
      </c>
      <c r="CF1007">
        <f>IF(SUMIFS(T_PlannedOrders[EffectiveQty],T_PlannedOrders[Part Name],$A997,T_PlannedOrders[WeekIndex],81)=0,"",SUMIFS(T_PlannedOrders[EffectiveQty],T_PlannedOrders[Part Name],$A997,T_PlannedOrders[WeekIndex],81)&amp;" ("&amp;TEXT(SUMPRODUCT(MAX((T_PlannedOrders[Part Name]=$A997)*(T_PlannedOrders[WeekIndex]=81)*(T_PlannedOrders[EffectiveQty]&gt;0)*T_PlannedOrders[Order_Month])),"m月")&amp;"発注)")</f>
        <v/>
      </c>
      <c r="CG1007">
        <f>IF(SUMIFS(T_PlannedOrders[EffectiveQty],T_PlannedOrders[Part Name],$A997,T_PlannedOrders[WeekIndex],82)=0,"",SUMIFS(T_PlannedOrders[EffectiveQty],T_PlannedOrders[Part Name],$A997,T_PlannedOrders[WeekIndex],82)&amp;" ("&amp;TEXT(SUMPRODUCT(MAX((T_PlannedOrders[Part Name]=$A997)*(T_PlannedOrders[WeekIndex]=82)*(T_PlannedOrders[EffectiveQty]&gt;0)*T_PlannedOrders[Order_Month])),"m月")&amp;"発注)")</f>
        <v/>
      </c>
      <c r="CH1007">
        <f>IF(SUMIFS(T_PlannedOrders[EffectiveQty],T_PlannedOrders[Part Name],$A997,T_PlannedOrders[WeekIndex],83)=0,"",SUMIFS(T_PlannedOrders[EffectiveQty],T_PlannedOrders[Part Name],$A997,T_PlannedOrders[WeekIndex],83)&amp;" ("&amp;TEXT(SUMPRODUCT(MAX((T_PlannedOrders[Part Name]=$A997)*(T_PlannedOrders[WeekIndex]=83)*(T_PlannedOrders[EffectiveQty]&gt;0)*T_PlannedOrders[Order_Month])),"m月")&amp;"発注)")</f>
        <v/>
      </c>
      <c r="CI1007">
        <f>IF(SUMIFS(T_PlannedOrders[EffectiveQty],T_PlannedOrders[Part Name],$A997,T_PlannedOrders[WeekIndex],84)=0,"",SUMIFS(T_PlannedOrders[EffectiveQty],T_PlannedOrders[Part Name],$A997,T_PlannedOrders[WeekIndex],84)&amp;" ("&amp;TEXT(SUMPRODUCT(MAX((T_PlannedOrders[Part Name]=$A997)*(T_PlannedOrders[WeekIndex]=84)*(T_PlannedOrders[EffectiveQty]&gt;0)*T_PlannedOrders[Order_Month])),"m月")&amp;"発注)")</f>
        <v/>
      </c>
      <c r="CJ1007">
        <f>IF(SUMIFS(T_PlannedOrders[EffectiveQty],T_PlannedOrders[Part Name],$A997,T_PlannedOrders[WeekIndex],85)=0,"",SUMIFS(T_PlannedOrders[EffectiveQty],T_PlannedOrders[Part Name],$A997,T_PlannedOrders[WeekIndex],85)&amp;" ("&amp;TEXT(SUMPRODUCT(MAX((T_PlannedOrders[Part Name]=$A997)*(T_PlannedOrders[WeekIndex]=85)*(T_PlannedOrders[EffectiveQty]&gt;0)*T_PlannedOrders[Order_Month])),"m月")&amp;"発注)")</f>
        <v/>
      </c>
      <c r="CK1007">
        <f>IF(SUMIFS(T_PlannedOrders[EffectiveQty],T_PlannedOrders[Part Name],$A997,T_PlannedOrders[WeekIndex],86)=0,"",SUMIFS(T_PlannedOrders[EffectiveQty],T_PlannedOrders[Part Name],$A997,T_PlannedOrders[WeekIndex],86)&amp;" ("&amp;TEXT(SUMPRODUCT(MAX((T_PlannedOrders[Part Name]=$A997)*(T_PlannedOrders[WeekIndex]=86)*(T_PlannedOrders[EffectiveQty]&gt;0)*T_PlannedOrders[Order_Month])),"m月")&amp;"発注)")</f>
        <v/>
      </c>
      <c r="CL1007">
        <f>IF(SUMIFS(T_PlannedOrders[EffectiveQty],T_PlannedOrders[Part Name],$A997,T_PlannedOrders[WeekIndex],87)=0,"",SUMIFS(T_PlannedOrders[EffectiveQty],T_PlannedOrders[Part Name],$A997,T_PlannedOrders[WeekIndex],87)&amp;" ("&amp;TEXT(SUMPRODUCT(MAX((T_PlannedOrders[Part Name]=$A997)*(T_PlannedOrders[WeekIndex]=87)*(T_PlannedOrders[EffectiveQty]&gt;0)*T_PlannedOrders[Order_Month])),"m月")&amp;"発注)")</f>
        <v/>
      </c>
      <c r="CM1007">
        <f>IF(SUMIFS(T_PlannedOrders[EffectiveQty],T_PlannedOrders[Part Name],$A997,T_PlannedOrders[WeekIndex],88)=0,"",SUMIFS(T_PlannedOrders[EffectiveQty],T_PlannedOrders[Part Name],$A997,T_PlannedOrders[WeekIndex],88)&amp;" ("&amp;TEXT(SUMPRODUCT(MAX((T_PlannedOrders[Part Name]=$A997)*(T_PlannedOrders[WeekIndex]=88)*(T_PlannedOrders[EffectiveQty]&gt;0)*T_PlannedOrders[Order_Month])),"m月")&amp;"発注)")</f>
        <v/>
      </c>
      <c r="CN1007">
        <f>IF(SUMIFS(T_PlannedOrders[EffectiveQty],T_PlannedOrders[Part Name],$A997,T_PlannedOrders[WeekIndex],89)=0,"",SUMIFS(T_PlannedOrders[EffectiveQty],T_PlannedOrders[Part Name],$A997,T_PlannedOrders[WeekIndex],89)&amp;" ("&amp;TEXT(SUMPRODUCT(MAX((T_PlannedOrders[Part Name]=$A997)*(T_PlannedOrders[WeekIndex]=89)*(T_PlannedOrders[EffectiveQty]&gt;0)*T_PlannedOrders[Order_Month])),"m月")&amp;"発注)")</f>
        <v/>
      </c>
      <c r="CO1007">
        <f>IF(SUMIFS(T_PlannedOrders[EffectiveQty],T_PlannedOrders[Part Name],$A997,T_PlannedOrders[WeekIndex],90)=0,"",SUMIFS(T_PlannedOrders[EffectiveQty],T_PlannedOrders[Part Name],$A997,T_PlannedOrders[WeekIndex],90)&amp;" ("&amp;TEXT(SUMPRODUCT(MAX((T_PlannedOrders[Part Name]=$A997)*(T_PlannedOrders[WeekIndex]=90)*(T_PlannedOrders[EffectiveQty]&gt;0)*T_PlannedOrders[Order_Month])),"m月")&amp;"発注)")</f>
        <v/>
      </c>
      <c r="CP1007">
        <f>IF(SUMIFS(T_PlannedOrders[EffectiveQty],T_PlannedOrders[Part Name],$A997,T_PlannedOrders[WeekIndex],91)=0,"",SUMIFS(T_PlannedOrders[EffectiveQty],T_PlannedOrders[Part Name],$A997,T_PlannedOrders[WeekIndex],91)&amp;" ("&amp;TEXT(SUMPRODUCT(MAX((T_PlannedOrders[Part Name]=$A997)*(T_PlannedOrders[WeekIndex]=91)*(T_PlannedOrders[EffectiveQty]&gt;0)*T_PlannedOrders[Order_Month])),"m月")&amp;"発注)")</f>
        <v/>
      </c>
      <c r="CQ1007">
        <f>IF(SUMIFS(T_PlannedOrders[EffectiveQty],T_PlannedOrders[Part Name],$A997,T_PlannedOrders[WeekIndex],92)=0,"",SUMIFS(T_PlannedOrders[EffectiveQty],T_PlannedOrders[Part Name],$A997,T_PlannedOrders[WeekIndex],92)&amp;" ("&amp;TEXT(SUMPRODUCT(MAX((T_PlannedOrders[Part Name]=$A997)*(T_PlannedOrders[WeekIndex]=92)*(T_PlannedOrders[EffectiveQty]&gt;0)*T_PlannedOrders[Order_Month])),"m月")&amp;"発注)")</f>
        <v/>
      </c>
      <c r="CR1007">
        <f>IF(SUMIFS(T_PlannedOrders[EffectiveQty],T_PlannedOrders[Part Name],$A997,T_PlannedOrders[WeekIndex],93)=0,"",SUMIFS(T_PlannedOrders[EffectiveQty],T_PlannedOrders[Part Name],$A997,T_PlannedOrders[WeekIndex],93)&amp;" ("&amp;TEXT(SUMPRODUCT(MAX((T_PlannedOrders[Part Name]=$A997)*(T_PlannedOrders[WeekIndex]=93)*(T_PlannedOrders[EffectiveQty]&gt;0)*T_PlannedOrders[Order_Month])),"m月")&amp;"発注)")</f>
        <v/>
      </c>
      <c r="CS1007">
        <f>IF(SUMIFS(T_PlannedOrders[EffectiveQty],T_PlannedOrders[Part Name],$A997,T_PlannedOrders[WeekIndex],94)=0,"",SUMIFS(T_PlannedOrders[EffectiveQty],T_PlannedOrders[Part Name],$A997,T_PlannedOrders[WeekIndex],94)&amp;" ("&amp;TEXT(SUMPRODUCT(MAX((T_PlannedOrders[Part Name]=$A997)*(T_PlannedOrders[WeekIndex]=94)*(T_PlannedOrders[EffectiveQty]&gt;0)*T_PlannedOrders[Order_Month])),"m月")&amp;"発注)")</f>
        <v/>
      </c>
      <c r="CT1007">
        <f>IF(SUMIFS(T_PlannedOrders[EffectiveQty],T_PlannedOrders[Part Name],$A997,T_PlannedOrders[WeekIndex],95)=0,"",SUMIFS(T_PlannedOrders[EffectiveQty],T_PlannedOrders[Part Name],$A997,T_PlannedOrders[WeekIndex],95)&amp;" ("&amp;TEXT(SUMPRODUCT(MAX((T_PlannedOrders[Part Name]=$A997)*(T_PlannedOrders[WeekIndex]=95)*(T_PlannedOrders[EffectiveQty]&gt;0)*T_PlannedOrders[Order_Month])),"m月")&amp;"発注)")</f>
        <v/>
      </c>
      <c r="CU1007">
        <f>IF(SUMIFS(T_PlannedOrders[EffectiveQty],T_PlannedOrders[Part Name],$A997,T_PlannedOrders[WeekIndex],96)=0,"",SUMIFS(T_PlannedOrders[EffectiveQty],T_PlannedOrders[Part Name],$A997,T_PlannedOrders[WeekIndex],96)&amp;" ("&amp;TEXT(SUMPRODUCT(MAX((T_PlannedOrders[Part Name]=$A997)*(T_PlannedOrders[WeekIndex]=96)*(T_PlannedOrders[EffectiveQty]&gt;0)*T_PlannedOrders[Order_Month])),"m月")&amp;"発注)")</f>
        <v/>
      </c>
      <c r="CV1007">
        <f>IF(SUMIFS(T_PlannedOrders[EffectiveQty],T_PlannedOrders[Part Name],$A997,T_PlannedOrders[WeekIndex],97)=0,"",SUMIFS(T_PlannedOrders[EffectiveQty],T_PlannedOrders[Part Name],$A997,T_PlannedOrders[WeekIndex],97)&amp;" ("&amp;TEXT(SUMPRODUCT(MAX((T_PlannedOrders[Part Name]=$A997)*(T_PlannedOrders[WeekIndex]=97)*(T_PlannedOrders[EffectiveQty]&gt;0)*T_PlannedOrders[Order_Month])),"m月")&amp;"発注)")</f>
        <v/>
      </c>
      <c r="CW1007">
        <f>IF(SUMIFS(T_PlannedOrders[EffectiveQty],T_PlannedOrders[Part Name],$A997,T_PlannedOrders[WeekIndex],98)=0,"",SUMIFS(T_PlannedOrders[EffectiveQty],T_PlannedOrders[Part Name],$A997,T_PlannedOrders[WeekIndex],98)&amp;" ("&amp;TEXT(SUMPRODUCT(MAX((T_PlannedOrders[Part Name]=$A997)*(T_PlannedOrders[WeekIndex]=98)*(T_PlannedOrders[EffectiveQty]&gt;0)*T_PlannedOrders[Order_Month])),"m月")&amp;"発注)")</f>
        <v/>
      </c>
      <c r="CX1007">
        <f>IF(SUMIFS(T_PlannedOrders[EffectiveQty],T_PlannedOrders[Part Name],$A997,T_PlannedOrders[WeekIndex],99)=0,"",SUMIFS(T_PlannedOrders[EffectiveQty],T_PlannedOrders[Part Name],$A997,T_PlannedOrders[WeekIndex],99)&amp;" ("&amp;TEXT(SUMPRODUCT(MAX((T_PlannedOrders[Part Name]=$A997)*(T_PlannedOrders[WeekIndex]=99)*(T_PlannedOrders[EffectiveQty]&gt;0)*T_PlannedOrders[Order_Month])),"m月")&amp;"発注)")</f>
        <v/>
      </c>
      <c r="CY1007">
        <f>IF(SUMIFS(T_PlannedOrders[EffectiveQty],T_PlannedOrders[Part Name],$A997,T_PlannedOrders[WeekIndex],100)=0,"",SUMIFS(T_PlannedOrders[EffectiveQty],T_PlannedOrders[Part Name],$A997,T_PlannedOrders[WeekIndex],100)&amp;" ("&amp;TEXT(SUMPRODUCT(MAX((T_PlannedOrders[Part Name]=$A997)*(T_PlannedOrders[WeekIndex]=100)*(T_PlannedOrders[EffectiveQty]&gt;0)*T_PlannedOrders[Order_Month])),"m月")&amp;"発注)")</f>
        <v/>
      </c>
      <c r="CZ1007">
        <f>IF(SUMIFS(T_PlannedOrders[EffectiveQty],T_PlannedOrders[Part Name],$A997,T_PlannedOrders[WeekIndex],101)=0,"",SUMIFS(T_PlannedOrders[EffectiveQty],T_PlannedOrders[Part Name],$A997,T_PlannedOrders[WeekIndex],101)&amp;" ("&amp;TEXT(SUMPRODUCT(MAX((T_PlannedOrders[Part Name]=$A997)*(T_PlannedOrders[WeekIndex]=101)*(T_PlannedOrders[EffectiveQty]&gt;0)*T_PlannedOrders[Order_Month])),"m月")&amp;"発注)")</f>
        <v/>
      </c>
      <c r="DA1007">
        <f>IF(SUMIFS(T_PlannedOrders[EffectiveQty],T_PlannedOrders[Part Name],$A997,T_PlannedOrders[WeekIndex],102)=0,"",SUMIFS(T_PlannedOrders[EffectiveQty],T_PlannedOrders[Part Name],$A997,T_PlannedOrders[WeekIndex],102)&amp;" ("&amp;TEXT(SUMPRODUCT(MAX((T_PlannedOrders[Part Name]=$A997)*(T_PlannedOrders[WeekIndex]=102)*(T_PlannedOrders[EffectiveQty]&gt;0)*T_PlannedOrders[Order_Month])),"m月")&amp;"発注)")</f>
        <v/>
      </c>
      <c r="DB1007">
        <f>IF(SUMIFS(T_PlannedOrders[EffectiveQty],T_PlannedOrders[Part Name],$A997,T_PlannedOrders[WeekIndex],103)=0,"",SUMIFS(T_PlannedOrders[EffectiveQty],T_PlannedOrders[Part Name],$A997,T_PlannedOrders[WeekIndex],103)&amp;" ("&amp;TEXT(SUMPRODUCT(MAX((T_PlannedOrders[Part Name]=$A997)*(T_PlannedOrders[WeekIndex]=103)*(T_PlannedOrders[EffectiveQty]&gt;0)*T_PlannedOrders[Order_Month])),"m月")&amp;"発注)")</f>
        <v/>
      </c>
      <c r="DC1007">
        <f>IF(SUMIFS(T_PlannedOrders[EffectiveQty],T_PlannedOrders[Part Name],$A997,T_PlannedOrders[WeekIndex],104)=0,"",SUMIFS(T_PlannedOrders[EffectiveQty],T_PlannedOrders[Part Name],$A997,T_PlannedOrders[WeekIndex],104)&amp;" ("&amp;TEXT(SUMPRODUCT(MAX((T_PlannedOrders[Part Name]=$A997)*(T_PlannedOrders[WeekIndex]=104)*(T_PlannedOrders[EffectiveQty]&gt;0)*T_PlannedOrders[Order_Month])),"m月")&amp;"発注)")</f>
        <v/>
      </c>
    </row>
    <row r="1008">
      <c r="B1008" s="5" t="inlineStr">
        <is>
          <t>合計在庫(週末時点,kg)</t>
        </is>
      </c>
      <c r="D1008">
        <f>'Grid_Stock'!B33</f>
        <v/>
      </c>
      <c r="E1008">
        <f>'Grid_Stock'!C33</f>
        <v/>
      </c>
      <c r="F1008">
        <f>'Grid_Stock'!D33</f>
        <v/>
      </c>
      <c r="G1008">
        <f>'Grid_Stock'!E33</f>
        <v/>
      </c>
      <c r="H1008">
        <f>'Grid_Stock'!F33</f>
        <v/>
      </c>
      <c r="I1008">
        <f>'Grid_Stock'!G33</f>
        <v/>
      </c>
      <c r="J1008">
        <f>'Grid_Stock'!H33</f>
        <v/>
      </c>
      <c r="K1008">
        <f>'Grid_Stock'!I33</f>
        <v/>
      </c>
      <c r="L1008">
        <f>'Grid_Stock'!J33</f>
        <v/>
      </c>
      <c r="M1008">
        <f>'Grid_Stock'!K33</f>
        <v/>
      </c>
      <c r="N1008">
        <f>'Grid_Stock'!L33</f>
        <v/>
      </c>
      <c r="O1008">
        <f>'Grid_Stock'!M33</f>
        <v/>
      </c>
      <c r="P1008">
        <f>'Grid_Stock'!N33</f>
        <v/>
      </c>
      <c r="Q1008">
        <f>'Grid_Stock'!O33</f>
        <v/>
      </c>
      <c r="R1008">
        <f>'Grid_Stock'!P33</f>
        <v/>
      </c>
      <c r="S1008">
        <f>'Grid_Stock'!Q33</f>
        <v/>
      </c>
      <c r="T1008">
        <f>'Grid_Stock'!R33</f>
        <v/>
      </c>
      <c r="U1008">
        <f>'Grid_Stock'!S33</f>
        <v/>
      </c>
      <c r="V1008">
        <f>'Grid_Stock'!T33</f>
        <v/>
      </c>
      <c r="W1008">
        <f>'Grid_Stock'!U33</f>
        <v/>
      </c>
      <c r="X1008">
        <f>'Grid_Stock'!V33</f>
        <v/>
      </c>
      <c r="Y1008">
        <f>'Grid_Stock'!W33</f>
        <v/>
      </c>
      <c r="Z1008">
        <f>'Grid_Stock'!X33</f>
        <v/>
      </c>
      <c r="AA1008">
        <f>'Grid_Stock'!Y33</f>
        <v/>
      </c>
      <c r="AB1008">
        <f>'Grid_Stock'!Z33</f>
        <v/>
      </c>
      <c r="AC1008">
        <f>'Grid_Stock'!AA33</f>
        <v/>
      </c>
      <c r="AD1008">
        <f>'Grid_Stock'!AB33</f>
        <v/>
      </c>
      <c r="AE1008">
        <f>'Grid_Stock'!AC33</f>
        <v/>
      </c>
      <c r="AF1008">
        <f>'Grid_Stock'!AD33</f>
        <v/>
      </c>
      <c r="AG1008">
        <f>'Grid_Stock'!AE33</f>
        <v/>
      </c>
      <c r="AH1008">
        <f>'Grid_Stock'!AF33</f>
        <v/>
      </c>
      <c r="AI1008">
        <f>'Grid_Stock'!AG33</f>
        <v/>
      </c>
      <c r="AJ1008">
        <f>'Grid_Stock'!AH33</f>
        <v/>
      </c>
      <c r="AK1008">
        <f>'Grid_Stock'!AI33</f>
        <v/>
      </c>
      <c r="AL1008">
        <f>'Grid_Stock'!AJ33</f>
        <v/>
      </c>
      <c r="AM1008">
        <f>'Grid_Stock'!AK33</f>
        <v/>
      </c>
      <c r="AN1008">
        <f>'Grid_Stock'!AL33</f>
        <v/>
      </c>
      <c r="AO1008">
        <f>'Grid_Stock'!AM33</f>
        <v/>
      </c>
      <c r="AP1008">
        <f>'Grid_Stock'!AN33</f>
        <v/>
      </c>
      <c r="AQ1008">
        <f>'Grid_Stock'!AO33</f>
        <v/>
      </c>
      <c r="AR1008">
        <f>'Grid_Stock'!AP33</f>
        <v/>
      </c>
      <c r="AS1008">
        <f>'Grid_Stock'!AQ33</f>
        <v/>
      </c>
      <c r="AT1008">
        <f>'Grid_Stock'!AR33</f>
        <v/>
      </c>
      <c r="AU1008">
        <f>'Grid_Stock'!AS33</f>
        <v/>
      </c>
      <c r="AV1008">
        <f>'Grid_Stock'!AT33</f>
        <v/>
      </c>
      <c r="AW1008">
        <f>'Grid_Stock'!AU33</f>
        <v/>
      </c>
      <c r="AX1008">
        <f>'Grid_Stock'!AV33</f>
        <v/>
      </c>
      <c r="AY1008">
        <f>'Grid_Stock'!AW33</f>
        <v/>
      </c>
      <c r="AZ1008">
        <f>'Grid_Stock'!AX33</f>
        <v/>
      </c>
      <c r="BA1008">
        <f>'Grid_Stock'!AY33</f>
        <v/>
      </c>
      <c r="BB1008">
        <f>'Grid_Stock'!AZ33</f>
        <v/>
      </c>
      <c r="BC1008">
        <f>'Grid_Stock'!BA33</f>
        <v/>
      </c>
      <c r="BD1008">
        <f>'Grid_Stock'!BB33</f>
        <v/>
      </c>
      <c r="BE1008">
        <f>'Grid_Stock'!BC33</f>
        <v/>
      </c>
      <c r="BF1008">
        <f>'Grid_Stock'!BD33</f>
        <v/>
      </c>
      <c r="BG1008">
        <f>'Grid_Stock'!BE33</f>
        <v/>
      </c>
      <c r="BH1008">
        <f>'Grid_Stock'!BF33</f>
        <v/>
      </c>
      <c r="BI1008">
        <f>'Grid_Stock'!BG33</f>
        <v/>
      </c>
      <c r="BJ1008">
        <f>'Grid_Stock'!BH33</f>
        <v/>
      </c>
      <c r="BK1008">
        <f>'Grid_Stock'!BI33</f>
        <v/>
      </c>
      <c r="BL1008">
        <f>'Grid_Stock'!BJ33</f>
        <v/>
      </c>
      <c r="BM1008">
        <f>'Grid_Stock'!BK33</f>
        <v/>
      </c>
      <c r="BN1008">
        <f>'Grid_Stock'!BL33</f>
        <v/>
      </c>
      <c r="BO1008">
        <f>'Grid_Stock'!BM33</f>
        <v/>
      </c>
      <c r="BP1008">
        <f>'Grid_Stock'!BN33</f>
        <v/>
      </c>
      <c r="BQ1008">
        <f>'Grid_Stock'!BO33</f>
        <v/>
      </c>
      <c r="BR1008">
        <f>'Grid_Stock'!BP33</f>
        <v/>
      </c>
      <c r="BS1008">
        <f>'Grid_Stock'!BQ33</f>
        <v/>
      </c>
      <c r="BT1008">
        <f>'Grid_Stock'!BR33</f>
        <v/>
      </c>
      <c r="BU1008">
        <f>'Grid_Stock'!BS33</f>
        <v/>
      </c>
      <c r="BV1008">
        <f>'Grid_Stock'!BT33</f>
        <v/>
      </c>
      <c r="BW1008">
        <f>'Grid_Stock'!BU33</f>
        <v/>
      </c>
      <c r="BX1008">
        <f>'Grid_Stock'!BV33</f>
        <v/>
      </c>
      <c r="BY1008">
        <f>'Grid_Stock'!BW33</f>
        <v/>
      </c>
      <c r="BZ1008">
        <f>'Grid_Stock'!BX33</f>
        <v/>
      </c>
      <c r="CA1008">
        <f>'Grid_Stock'!BY33</f>
        <v/>
      </c>
      <c r="CB1008">
        <f>'Grid_Stock'!BZ33</f>
        <v/>
      </c>
      <c r="CC1008">
        <f>'Grid_Stock'!CA33</f>
        <v/>
      </c>
      <c r="CD1008">
        <f>'Grid_Stock'!CB33</f>
        <v/>
      </c>
      <c r="CE1008">
        <f>'Grid_Stock'!CC33</f>
        <v/>
      </c>
      <c r="CF1008">
        <f>'Grid_Stock'!CD33</f>
        <v/>
      </c>
      <c r="CG1008">
        <f>'Grid_Stock'!CE33</f>
        <v/>
      </c>
      <c r="CH1008">
        <f>'Grid_Stock'!CF33</f>
        <v/>
      </c>
      <c r="CI1008">
        <f>'Grid_Stock'!CG33</f>
        <v/>
      </c>
      <c r="CJ1008">
        <f>'Grid_Stock'!CH33</f>
        <v/>
      </c>
      <c r="CK1008">
        <f>'Grid_Stock'!CI33</f>
        <v/>
      </c>
      <c r="CL1008">
        <f>'Grid_Stock'!CJ33</f>
        <v/>
      </c>
      <c r="CM1008">
        <f>'Grid_Stock'!CK33</f>
        <v/>
      </c>
      <c r="CN1008">
        <f>'Grid_Stock'!CL33</f>
        <v/>
      </c>
      <c r="CO1008">
        <f>'Grid_Stock'!CM33</f>
        <v/>
      </c>
      <c r="CP1008">
        <f>'Grid_Stock'!CN33</f>
        <v/>
      </c>
      <c r="CQ1008">
        <f>'Grid_Stock'!CO33</f>
        <v/>
      </c>
      <c r="CR1008">
        <f>'Grid_Stock'!CP33</f>
        <v/>
      </c>
      <c r="CS1008">
        <f>'Grid_Stock'!CQ33</f>
        <v/>
      </c>
      <c r="CT1008">
        <f>'Grid_Stock'!CR33</f>
        <v/>
      </c>
      <c r="CU1008">
        <f>'Grid_Stock'!CS33</f>
        <v/>
      </c>
      <c r="CV1008">
        <f>'Grid_Stock'!CT33</f>
        <v/>
      </c>
      <c r="CW1008">
        <f>'Grid_Stock'!CU33</f>
        <v/>
      </c>
      <c r="CX1008">
        <f>'Grid_Stock'!CV33</f>
        <v/>
      </c>
      <c r="CY1008">
        <f>'Grid_Stock'!CW33</f>
        <v/>
      </c>
      <c r="CZ1008">
        <f>'Grid_Stock'!CX33</f>
        <v/>
      </c>
      <c r="DA1008">
        <f>'Grid_Stock'!CY33</f>
        <v/>
      </c>
      <c r="DB1008">
        <f>'Grid_Stock'!CZ33</f>
        <v/>
      </c>
      <c r="DC1008">
        <f>'Grid_Stock'!DA33</f>
        <v/>
      </c>
    </row>
    <row r="1009">
      <c r="B1009" s="23" t="inlineStr">
        <is>
          <t>（発注の目安はDashboardの基準在庫[下限/上限]と色分けを参照）</t>
        </is>
      </c>
    </row>
    <row r="1011">
      <c r="A1011" s="21" t="inlineStr">
        <is>
          <t>CHEM-1660</t>
        </is>
      </c>
      <c r="B1011" s="21" t="inlineStr">
        <is>
          <t>GW-3394</t>
        </is>
      </c>
      <c r="C1011" s="22" t="n"/>
      <c r="D1011" s="21" t="n"/>
      <c r="E1011" s="21" t="n"/>
      <c r="F1011" s="21" t="n"/>
      <c r="G1011" s="21" t="n"/>
      <c r="H1011" s="21" t="n"/>
      <c r="I1011" s="21" t="n"/>
      <c r="J1011" s="21" t="n"/>
      <c r="K1011" s="21" t="n"/>
      <c r="L1011" s="21" t="n"/>
      <c r="M1011" s="21" t="n"/>
      <c r="N1011" s="21" t="n"/>
      <c r="O1011" s="21" t="n"/>
      <c r="P1011" s="21" t="n"/>
      <c r="Q1011" s="21" t="n"/>
      <c r="R1011" s="21" t="n"/>
      <c r="S1011" s="21" t="n"/>
      <c r="T1011" s="21" t="n"/>
      <c r="U1011" s="21" t="n"/>
      <c r="V1011" s="21" t="n"/>
      <c r="W1011" s="21" t="n"/>
      <c r="X1011" s="21" t="n"/>
      <c r="Y1011" s="21" t="n"/>
      <c r="Z1011" s="21" t="n"/>
      <c r="AA1011" s="21" t="n"/>
      <c r="AB1011" s="21" t="n"/>
      <c r="AC1011" s="21" t="n"/>
      <c r="AD1011" s="21" t="n"/>
      <c r="AE1011" s="21" t="n"/>
      <c r="AF1011" s="21" t="n"/>
      <c r="AG1011" s="21" t="n"/>
      <c r="AH1011" s="21" t="n"/>
      <c r="AI1011" s="21" t="n"/>
      <c r="AJ1011" s="21" t="n"/>
      <c r="AK1011" s="21" t="n"/>
      <c r="AL1011" s="21" t="n"/>
      <c r="AM1011" s="21" t="n"/>
      <c r="AN1011" s="21" t="n"/>
      <c r="AO1011" s="21" t="n"/>
      <c r="AP1011" s="21" t="n"/>
      <c r="AQ1011" s="21" t="n"/>
      <c r="AR1011" s="21" t="n"/>
      <c r="AS1011" s="21" t="n"/>
      <c r="AT1011" s="21" t="n"/>
      <c r="AU1011" s="21" t="n"/>
      <c r="AV1011" s="21" t="n"/>
      <c r="AW1011" s="21" t="n"/>
      <c r="AX1011" s="21" t="n"/>
      <c r="AY1011" s="21" t="n"/>
      <c r="AZ1011" s="21" t="n"/>
      <c r="BA1011" s="21" t="n"/>
      <c r="BB1011" s="21" t="n"/>
      <c r="BC1011" s="21" t="n"/>
      <c r="BD1011" s="21" t="n"/>
      <c r="BE1011" s="21" t="n"/>
      <c r="BF1011" s="21" t="n"/>
      <c r="BG1011" s="21" t="n"/>
      <c r="BH1011" s="21" t="n"/>
      <c r="BI1011" s="21" t="n"/>
      <c r="BJ1011" s="21" t="n"/>
      <c r="BK1011" s="21" t="n"/>
      <c r="BL1011" s="21" t="n"/>
      <c r="BM1011" s="21" t="n"/>
      <c r="BN1011" s="21" t="n"/>
      <c r="BO1011" s="21" t="n"/>
      <c r="BP1011" s="21" t="n"/>
      <c r="BQ1011" s="21" t="n"/>
      <c r="BR1011" s="21" t="n"/>
      <c r="BS1011" s="21" t="n"/>
      <c r="BT1011" s="21" t="n"/>
      <c r="BU1011" s="21" t="n"/>
      <c r="BV1011" s="21" t="n"/>
      <c r="BW1011" s="21" t="n"/>
      <c r="BX1011" s="21" t="n"/>
      <c r="BY1011" s="21" t="n"/>
      <c r="BZ1011" s="21" t="n"/>
      <c r="CA1011" s="21" t="n"/>
      <c r="CB1011" s="21" t="n"/>
      <c r="CC1011" s="21" t="n"/>
      <c r="CD1011" s="21" t="n"/>
      <c r="CE1011" s="21" t="n"/>
      <c r="CF1011" s="21" t="n"/>
      <c r="CG1011" s="21" t="n"/>
      <c r="CH1011" s="21" t="n"/>
      <c r="CI1011" s="21" t="n"/>
      <c r="CJ1011" s="21" t="n"/>
      <c r="CK1011" s="21" t="n"/>
      <c r="CL1011" s="21" t="n"/>
      <c r="CM1011" s="21" t="n"/>
      <c r="CN1011" s="21" t="n"/>
      <c r="CO1011" s="21" t="n"/>
      <c r="CP1011" s="21" t="n"/>
      <c r="CQ1011" s="21" t="n"/>
      <c r="CR1011" s="21" t="n"/>
      <c r="CS1011" s="21" t="n"/>
      <c r="CT1011" s="21" t="n"/>
      <c r="CU1011" s="21" t="n"/>
      <c r="CV1011" s="21" t="n"/>
      <c r="CW1011" s="21" t="n"/>
      <c r="CX1011" s="21" t="n"/>
      <c r="CY1011" s="21" t="n"/>
      <c r="CZ1011" s="21" t="n"/>
      <c r="DA1011" s="21" t="n"/>
      <c r="DB1011" s="21" t="n"/>
      <c r="DC1011" s="21" t="n"/>
    </row>
    <row r="1012">
      <c r="B1012" t="inlineStr">
        <is>
          <t>TSP-655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Name],$A1011)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t="inlineStr">
        <is>
          <t>TSP-656</t>
        </is>
      </c>
      <c r="C1014" t="inlineStr">
        <is>
          <t>No. of batches</t>
        </is>
      </c>
      <c r="D1014">
        <f>IFERROR(INDEX(PP_Grid[#Data],$DD1014,2),0)</f>
        <v/>
      </c>
      <c r="E1014">
        <f>IFERROR(INDEX(PP_Grid[#Data],$DD1014,3),0)</f>
        <v/>
      </c>
      <c r="F1014">
        <f>IFERROR(INDEX(PP_Grid[#Data],$DD1014,4),0)</f>
        <v/>
      </c>
      <c r="G1014">
        <f>IFERROR(INDEX(PP_Grid[#Data],$DD1014,5),0)</f>
        <v/>
      </c>
      <c r="H1014">
        <f>IFERROR(INDEX(PP_Grid[#Data],$DD1014,6),0)</f>
        <v/>
      </c>
      <c r="I1014">
        <f>IFERROR(INDEX(PP_Grid[#Data],$DD1014,7),0)</f>
        <v/>
      </c>
      <c r="J1014">
        <f>IFERROR(INDEX(PP_Grid[#Data],$DD1014,8),0)</f>
        <v/>
      </c>
      <c r="K1014">
        <f>IFERROR(INDEX(PP_Grid[#Data],$DD1014,9),0)</f>
        <v/>
      </c>
      <c r="L1014">
        <f>IFERROR(INDEX(PP_Grid[#Data],$DD1014,10),0)</f>
        <v/>
      </c>
      <c r="M1014">
        <f>IFERROR(INDEX(PP_Grid[#Data],$DD1014,11),0)</f>
        <v/>
      </c>
      <c r="N1014">
        <f>IFERROR(INDEX(PP_Grid[#Data],$DD1014,12),0)</f>
        <v/>
      </c>
      <c r="O1014">
        <f>IFERROR(INDEX(PP_Grid[#Data],$DD1014,13),0)</f>
        <v/>
      </c>
      <c r="P1014">
        <f>IFERROR(INDEX(PP_Grid[#Data],$DD1014,14),0)</f>
        <v/>
      </c>
      <c r="Q1014">
        <f>IFERROR(INDEX(PP_Grid[#Data],$DD1014,15),0)</f>
        <v/>
      </c>
      <c r="R1014">
        <f>IFERROR(INDEX(PP_Grid[#Data],$DD1014,16),0)</f>
        <v/>
      </c>
      <c r="S1014">
        <f>IFERROR(INDEX(PP_Grid[#Data],$DD1014,17),0)</f>
        <v/>
      </c>
      <c r="T1014">
        <f>IFERROR(INDEX(PP_Grid[#Data],$DD1014,18),0)</f>
        <v/>
      </c>
      <c r="U1014">
        <f>IFERROR(INDEX(PP_Grid[#Data],$DD1014,19),0)</f>
        <v/>
      </c>
      <c r="V1014">
        <f>IFERROR(INDEX(PP_Grid[#Data],$DD1014,20),0)</f>
        <v/>
      </c>
      <c r="W1014">
        <f>IFERROR(INDEX(PP_Grid[#Data],$DD1014,21),0)</f>
        <v/>
      </c>
      <c r="X1014">
        <f>IFERROR(INDEX(PP_Grid[#Data],$DD1014,22),0)</f>
        <v/>
      </c>
      <c r="Y1014">
        <f>IFERROR(INDEX(PP_Grid[#Data],$DD1014,23),0)</f>
        <v/>
      </c>
      <c r="Z1014">
        <f>IFERROR(INDEX(PP_Grid[#Data],$DD1014,24),0)</f>
        <v/>
      </c>
      <c r="AA1014">
        <f>IFERROR(INDEX(PP_Grid[#Data],$DD1014,25),0)</f>
        <v/>
      </c>
      <c r="AB1014">
        <f>IFERROR(INDEX(PP_Grid[#Data],$DD1014,26),0)</f>
        <v/>
      </c>
      <c r="AC1014">
        <f>IFERROR(INDEX(PP_Grid[#Data],$DD1014,27),0)</f>
        <v/>
      </c>
      <c r="AD1014">
        <f>IFERROR(INDEX(PP_Grid[#Data],$DD1014,28),0)</f>
        <v/>
      </c>
      <c r="AE1014">
        <f>IFERROR(INDEX(PP_Grid[#Data],$DD1014,29),0)</f>
        <v/>
      </c>
      <c r="AF1014">
        <f>IFERROR(INDEX(PP_Grid[#Data],$DD1014,30),0)</f>
        <v/>
      </c>
      <c r="AG1014">
        <f>IFERROR(INDEX(PP_Grid[#Data],$DD1014,31),0)</f>
        <v/>
      </c>
      <c r="AH1014">
        <f>IFERROR(INDEX(PP_Grid[#Data],$DD1014,32),0)</f>
        <v/>
      </c>
      <c r="AI1014">
        <f>IFERROR(INDEX(PP_Grid[#Data],$DD1014,33),0)</f>
        <v/>
      </c>
      <c r="AJ1014">
        <f>IFERROR(INDEX(PP_Grid[#Data],$DD1014,34),0)</f>
        <v/>
      </c>
      <c r="AK1014">
        <f>IFERROR(INDEX(PP_Grid[#Data],$DD1014,35),0)</f>
        <v/>
      </c>
      <c r="AL1014">
        <f>IFERROR(INDEX(PP_Grid[#Data],$DD1014,36),0)</f>
        <v/>
      </c>
      <c r="AM1014">
        <f>IFERROR(INDEX(PP_Grid[#Data],$DD1014,37),0)</f>
        <v/>
      </c>
      <c r="AN1014">
        <f>IFERROR(INDEX(PP_Grid[#Data],$DD1014,38),0)</f>
        <v/>
      </c>
      <c r="AO1014">
        <f>IFERROR(INDEX(PP_Grid[#Data],$DD1014,39),0)</f>
        <v/>
      </c>
      <c r="AP1014">
        <f>IFERROR(INDEX(PP_Grid[#Data],$DD1014,40),0)</f>
        <v/>
      </c>
      <c r="AQ1014">
        <f>IFERROR(INDEX(PP_Grid[#Data],$DD1014,41),0)</f>
        <v/>
      </c>
      <c r="AR1014">
        <f>IFERROR(INDEX(PP_Grid[#Data],$DD1014,42),0)</f>
        <v/>
      </c>
      <c r="AS1014">
        <f>IFERROR(INDEX(PP_Grid[#Data],$DD1014,43),0)</f>
        <v/>
      </c>
      <c r="AT1014">
        <f>IFERROR(INDEX(PP_Grid[#Data],$DD1014,44),0)</f>
        <v/>
      </c>
      <c r="AU1014">
        <f>IFERROR(INDEX(PP_Grid[#Data],$DD1014,45),0)</f>
        <v/>
      </c>
      <c r="AV1014">
        <f>IFERROR(INDEX(PP_Grid[#Data],$DD1014,46),0)</f>
        <v/>
      </c>
      <c r="AW1014">
        <f>IFERROR(INDEX(PP_Grid[#Data],$DD1014,47),0)</f>
        <v/>
      </c>
      <c r="AX1014">
        <f>IFERROR(INDEX(PP_Grid[#Data],$DD1014,48),0)</f>
        <v/>
      </c>
      <c r="AY1014">
        <f>IFERROR(INDEX(PP_Grid[#Data],$DD1014,49),0)</f>
        <v/>
      </c>
      <c r="AZ1014">
        <f>IFERROR(INDEX(PP_Grid[#Data],$DD1014,50),0)</f>
        <v/>
      </c>
      <c r="BA1014">
        <f>IFERROR(INDEX(PP_Grid[#Data],$DD1014,51),0)</f>
        <v/>
      </c>
      <c r="BB1014">
        <f>IFERROR(INDEX(PP_Grid[#Data],$DD1014,52),0)</f>
        <v/>
      </c>
      <c r="BC1014">
        <f>IFERROR(INDEX(PP_Grid[#Data],$DD1014,53),0)</f>
        <v/>
      </c>
      <c r="BD1014">
        <f>IFERROR(INDEX(PP_Grid[#Data],$DD1014,54),0)</f>
        <v/>
      </c>
      <c r="BE1014">
        <f>IFERROR(INDEX(PP_Grid[#Data],$DD1014,55),0)</f>
        <v/>
      </c>
      <c r="BF1014">
        <f>IFERROR(INDEX(PP_Grid[#Data],$DD1014,56),0)</f>
        <v/>
      </c>
      <c r="BG1014">
        <f>IFERROR(INDEX(PP_Grid[#Data],$DD1014,57),0)</f>
        <v/>
      </c>
      <c r="BH1014">
        <f>IFERROR(INDEX(PP_Grid[#Data],$DD1014,58),0)</f>
        <v/>
      </c>
      <c r="BI1014">
        <f>IFERROR(INDEX(PP_Grid[#Data],$DD1014,59),0)</f>
        <v/>
      </c>
      <c r="BJ1014">
        <f>IFERROR(INDEX(PP_Grid[#Data],$DD1014,60),0)</f>
        <v/>
      </c>
      <c r="BK1014">
        <f>IFERROR(INDEX(PP_Grid[#Data],$DD1014,61),0)</f>
        <v/>
      </c>
      <c r="BL1014">
        <f>IFERROR(INDEX(PP_Grid[#Data],$DD1014,62),0)</f>
        <v/>
      </c>
      <c r="BM1014">
        <f>IFERROR(INDEX(PP_Grid[#Data],$DD1014,63),0)</f>
        <v/>
      </c>
      <c r="BN1014">
        <f>IFERROR(INDEX(PP_Grid[#Data],$DD1014,64),0)</f>
        <v/>
      </c>
      <c r="BO1014">
        <f>IFERROR(INDEX(PP_Grid[#Data],$DD1014,65),0)</f>
        <v/>
      </c>
      <c r="BP1014">
        <f>IFERROR(INDEX(PP_Grid[#Data],$DD1014,66),0)</f>
        <v/>
      </c>
      <c r="BQ1014">
        <f>IFERROR(INDEX(PP_Grid[#Data],$DD1014,67),0)</f>
        <v/>
      </c>
      <c r="BR1014">
        <f>IFERROR(INDEX(PP_Grid[#Data],$DD1014,68),0)</f>
        <v/>
      </c>
      <c r="BS1014">
        <f>IFERROR(INDEX(PP_Grid[#Data],$DD1014,69),0)</f>
        <v/>
      </c>
      <c r="BT1014">
        <f>IFERROR(INDEX(PP_Grid[#Data],$DD1014,70),0)</f>
        <v/>
      </c>
      <c r="BU1014">
        <f>IFERROR(INDEX(PP_Grid[#Data],$DD1014,71),0)</f>
        <v/>
      </c>
      <c r="BV1014">
        <f>IFERROR(INDEX(PP_Grid[#Data],$DD1014,72),0)</f>
        <v/>
      </c>
      <c r="BW1014">
        <f>IFERROR(INDEX(PP_Grid[#Data],$DD1014,73),0)</f>
        <v/>
      </c>
      <c r="BX1014">
        <f>IFERROR(INDEX(PP_Grid[#Data],$DD1014,74),0)</f>
        <v/>
      </c>
      <c r="BY1014">
        <f>IFERROR(INDEX(PP_Grid[#Data],$DD1014,75),0)</f>
        <v/>
      </c>
      <c r="BZ1014">
        <f>IFERROR(INDEX(PP_Grid[#Data],$DD1014,76),0)</f>
        <v/>
      </c>
      <c r="CA1014">
        <f>IFERROR(INDEX(PP_Grid[#Data],$DD1014,77),0)</f>
        <v/>
      </c>
      <c r="CB1014">
        <f>IFERROR(INDEX(PP_Grid[#Data],$DD1014,78),0)</f>
        <v/>
      </c>
      <c r="CC1014">
        <f>IFERROR(INDEX(PP_Grid[#Data],$DD1014,79),0)</f>
        <v/>
      </c>
      <c r="CD1014">
        <f>IFERROR(INDEX(PP_Grid[#Data],$DD1014,80),0)</f>
        <v/>
      </c>
      <c r="CE1014">
        <f>IFERROR(INDEX(PP_Grid[#Data],$DD1014,81),0)</f>
        <v/>
      </c>
      <c r="CF1014">
        <f>IFERROR(INDEX(PP_Grid[#Data],$DD1014,82),0)</f>
        <v/>
      </c>
      <c r="CG1014">
        <f>IFERROR(INDEX(PP_Grid[#Data],$DD1014,83),0)</f>
        <v/>
      </c>
      <c r="CH1014">
        <f>IFERROR(INDEX(PP_Grid[#Data],$DD1014,84),0)</f>
        <v/>
      </c>
      <c r="CI1014">
        <f>IFERROR(INDEX(PP_Grid[#Data],$DD1014,85),0)</f>
        <v/>
      </c>
      <c r="CJ1014">
        <f>IFERROR(INDEX(PP_Grid[#Data],$DD1014,86),0)</f>
        <v/>
      </c>
      <c r="CK1014">
        <f>IFERROR(INDEX(PP_Grid[#Data],$DD1014,87),0)</f>
        <v/>
      </c>
      <c r="CL1014">
        <f>IFERROR(INDEX(PP_Grid[#Data],$DD1014,88),0)</f>
        <v/>
      </c>
      <c r="CM1014">
        <f>IFERROR(INDEX(PP_Grid[#Data],$DD1014,89),0)</f>
        <v/>
      </c>
      <c r="CN1014">
        <f>IFERROR(INDEX(PP_Grid[#Data],$DD1014,90),0)</f>
        <v/>
      </c>
      <c r="CO1014">
        <f>IFERROR(INDEX(PP_Grid[#Data],$DD1014,91),0)</f>
        <v/>
      </c>
      <c r="CP1014">
        <f>IFERROR(INDEX(PP_Grid[#Data],$DD1014,92),0)</f>
        <v/>
      </c>
      <c r="CQ1014">
        <f>IFERROR(INDEX(PP_Grid[#Data],$DD1014,93),0)</f>
        <v/>
      </c>
      <c r="CR1014">
        <f>IFERROR(INDEX(PP_Grid[#Data],$DD1014,94),0)</f>
        <v/>
      </c>
      <c r="CS1014">
        <f>IFERROR(INDEX(PP_Grid[#Data],$DD1014,95),0)</f>
        <v/>
      </c>
      <c r="CT1014">
        <f>IFERROR(INDEX(PP_Grid[#Data],$DD1014,96),0)</f>
        <v/>
      </c>
      <c r="CU1014">
        <f>IFERROR(INDEX(PP_Grid[#Data],$DD1014,97),0)</f>
        <v/>
      </c>
      <c r="CV1014">
        <f>IFERROR(INDEX(PP_Grid[#Data],$DD1014,98),0)</f>
        <v/>
      </c>
      <c r="CW1014">
        <f>IFERROR(INDEX(PP_Grid[#Data],$DD1014,99),0)</f>
        <v/>
      </c>
      <c r="CX1014">
        <f>IFERROR(INDEX(PP_Grid[#Data],$DD1014,100),0)</f>
        <v/>
      </c>
      <c r="CY1014">
        <f>IFERROR(INDEX(PP_Grid[#Data],$DD1014,101),0)</f>
        <v/>
      </c>
      <c r="CZ1014">
        <f>IFERROR(INDEX(PP_Grid[#Data],$DD1014,102),0)</f>
        <v/>
      </c>
      <c r="DA1014">
        <f>IFERROR(INDEX(PP_Grid[#Data],$DD1014,103),0)</f>
        <v/>
      </c>
      <c r="DB1014">
        <f>IFERROR(INDEX(PP_Grid[#Data],$DD1014,104),0)</f>
        <v/>
      </c>
      <c r="DC1014">
        <f>IFERROR(INDEX(PP_Grid[#Data],$DD1014,105),0)</f>
        <v/>
      </c>
      <c r="DD1014" s="12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SUMIFS(M_BOM[RM_Qty_Per_Batch],M_BOM[Intermediate],$B1014,M_BOM[Part Name],$A1011)</f>
        <v/>
      </c>
      <c r="D1015">
        <f>$C1015*D1014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</row>
    <row r="1016">
      <c r="B1016" t="inlineStr">
        <is>
          <t>VSP-820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12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Name],$A1011)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t="inlineStr">
        <is>
          <t>VSP-822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Name],$A1011)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VSP-910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Name],$A1011)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t="inlineStr">
        <is>
          <t>VSP-989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Name],$A1011)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VSP-990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Name],$A1011)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'Grid_Requirement'!B15</f>
        <v/>
      </c>
      <c r="E1026">
        <f>'Grid_Requirement'!C15</f>
        <v/>
      </c>
      <c r="F1026">
        <f>'Grid_Requirement'!D15</f>
        <v/>
      </c>
      <c r="G1026">
        <f>'Grid_Requirement'!E15</f>
        <v/>
      </c>
      <c r="H1026">
        <f>'Grid_Requirement'!F15</f>
        <v/>
      </c>
      <c r="I1026">
        <f>'Grid_Requirement'!G15</f>
        <v/>
      </c>
      <c r="J1026">
        <f>'Grid_Requirement'!H15</f>
        <v/>
      </c>
      <c r="K1026">
        <f>'Grid_Requirement'!I15</f>
        <v/>
      </c>
      <c r="L1026">
        <f>'Grid_Requirement'!J15</f>
        <v/>
      </c>
      <c r="M1026">
        <f>'Grid_Requirement'!K15</f>
        <v/>
      </c>
      <c r="N1026">
        <f>'Grid_Requirement'!L15</f>
        <v/>
      </c>
      <c r="O1026">
        <f>'Grid_Requirement'!M15</f>
        <v/>
      </c>
      <c r="P1026">
        <f>'Grid_Requirement'!N15</f>
        <v/>
      </c>
      <c r="Q1026">
        <f>'Grid_Requirement'!O15</f>
        <v/>
      </c>
      <c r="R1026">
        <f>'Grid_Requirement'!P15</f>
        <v/>
      </c>
      <c r="S1026">
        <f>'Grid_Requirement'!Q15</f>
        <v/>
      </c>
      <c r="T1026">
        <f>'Grid_Requirement'!R15</f>
        <v/>
      </c>
      <c r="U1026">
        <f>'Grid_Requirement'!S15</f>
        <v/>
      </c>
      <c r="V1026">
        <f>'Grid_Requirement'!T15</f>
        <v/>
      </c>
      <c r="W1026">
        <f>'Grid_Requirement'!U15</f>
        <v/>
      </c>
      <c r="X1026">
        <f>'Grid_Requirement'!V15</f>
        <v/>
      </c>
      <c r="Y1026">
        <f>'Grid_Requirement'!W15</f>
        <v/>
      </c>
      <c r="Z1026">
        <f>'Grid_Requirement'!X15</f>
        <v/>
      </c>
      <c r="AA1026">
        <f>'Grid_Requirement'!Y15</f>
        <v/>
      </c>
      <c r="AB1026">
        <f>'Grid_Requirement'!Z15</f>
        <v/>
      </c>
      <c r="AC1026">
        <f>'Grid_Requirement'!AA15</f>
        <v/>
      </c>
      <c r="AD1026">
        <f>'Grid_Requirement'!AB15</f>
        <v/>
      </c>
      <c r="AE1026">
        <f>'Grid_Requirement'!AC15</f>
        <v/>
      </c>
      <c r="AF1026">
        <f>'Grid_Requirement'!AD15</f>
        <v/>
      </c>
      <c r="AG1026">
        <f>'Grid_Requirement'!AE15</f>
        <v/>
      </c>
      <c r="AH1026">
        <f>'Grid_Requirement'!AF15</f>
        <v/>
      </c>
      <c r="AI1026">
        <f>'Grid_Requirement'!AG15</f>
        <v/>
      </c>
      <c r="AJ1026">
        <f>'Grid_Requirement'!AH15</f>
        <v/>
      </c>
      <c r="AK1026">
        <f>'Grid_Requirement'!AI15</f>
        <v/>
      </c>
      <c r="AL1026">
        <f>'Grid_Requirement'!AJ15</f>
        <v/>
      </c>
      <c r="AM1026">
        <f>'Grid_Requirement'!AK15</f>
        <v/>
      </c>
      <c r="AN1026">
        <f>'Grid_Requirement'!AL15</f>
        <v/>
      </c>
      <c r="AO1026">
        <f>'Grid_Requirement'!AM15</f>
        <v/>
      </c>
      <c r="AP1026">
        <f>'Grid_Requirement'!AN15</f>
        <v/>
      </c>
      <c r="AQ1026">
        <f>'Grid_Requirement'!AO15</f>
        <v/>
      </c>
      <c r="AR1026">
        <f>'Grid_Requirement'!AP15</f>
        <v/>
      </c>
      <c r="AS1026">
        <f>'Grid_Requirement'!AQ15</f>
        <v/>
      </c>
      <c r="AT1026">
        <f>'Grid_Requirement'!AR15</f>
        <v/>
      </c>
      <c r="AU1026">
        <f>'Grid_Requirement'!AS15</f>
        <v/>
      </c>
      <c r="AV1026">
        <f>'Grid_Requirement'!AT15</f>
        <v/>
      </c>
      <c r="AW1026">
        <f>'Grid_Requirement'!AU15</f>
        <v/>
      </c>
      <c r="AX1026">
        <f>'Grid_Requirement'!AV15</f>
        <v/>
      </c>
      <c r="AY1026">
        <f>'Grid_Requirement'!AW15</f>
        <v/>
      </c>
      <c r="AZ1026">
        <f>'Grid_Requirement'!AX15</f>
        <v/>
      </c>
      <c r="BA1026">
        <f>'Grid_Requirement'!AY15</f>
        <v/>
      </c>
      <c r="BB1026">
        <f>'Grid_Requirement'!AZ15</f>
        <v/>
      </c>
      <c r="BC1026">
        <f>'Grid_Requirement'!BA15</f>
        <v/>
      </c>
      <c r="BD1026">
        <f>'Grid_Requirement'!BB15</f>
        <v/>
      </c>
      <c r="BE1026">
        <f>'Grid_Requirement'!BC15</f>
        <v/>
      </c>
      <c r="BF1026">
        <f>'Grid_Requirement'!BD15</f>
        <v/>
      </c>
      <c r="BG1026">
        <f>'Grid_Requirement'!BE15</f>
        <v/>
      </c>
      <c r="BH1026">
        <f>'Grid_Requirement'!BF15</f>
        <v/>
      </c>
      <c r="BI1026">
        <f>'Grid_Requirement'!BG15</f>
        <v/>
      </c>
      <c r="BJ1026">
        <f>'Grid_Requirement'!BH15</f>
        <v/>
      </c>
      <c r="BK1026">
        <f>'Grid_Requirement'!BI15</f>
        <v/>
      </c>
      <c r="BL1026">
        <f>'Grid_Requirement'!BJ15</f>
        <v/>
      </c>
      <c r="BM1026">
        <f>'Grid_Requirement'!BK15</f>
        <v/>
      </c>
      <c r="BN1026">
        <f>'Grid_Requirement'!BL15</f>
        <v/>
      </c>
      <c r="BO1026">
        <f>'Grid_Requirement'!BM15</f>
        <v/>
      </c>
      <c r="BP1026">
        <f>'Grid_Requirement'!BN15</f>
        <v/>
      </c>
      <c r="BQ1026">
        <f>'Grid_Requirement'!BO15</f>
        <v/>
      </c>
      <c r="BR1026">
        <f>'Grid_Requirement'!BP15</f>
        <v/>
      </c>
      <c r="BS1026">
        <f>'Grid_Requirement'!BQ15</f>
        <v/>
      </c>
      <c r="BT1026">
        <f>'Grid_Requirement'!BR15</f>
        <v/>
      </c>
      <c r="BU1026">
        <f>'Grid_Requirement'!BS15</f>
        <v/>
      </c>
      <c r="BV1026">
        <f>'Grid_Requirement'!BT15</f>
        <v/>
      </c>
      <c r="BW1026">
        <f>'Grid_Requirement'!BU15</f>
        <v/>
      </c>
      <c r="BX1026">
        <f>'Grid_Requirement'!BV15</f>
        <v/>
      </c>
      <c r="BY1026">
        <f>'Grid_Requirement'!BW15</f>
        <v/>
      </c>
      <c r="BZ1026">
        <f>'Grid_Requirement'!BX15</f>
        <v/>
      </c>
      <c r="CA1026">
        <f>'Grid_Requirement'!BY15</f>
        <v/>
      </c>
      <c r="CB1026">
        <f>'Grid_Requirement'!BZ15</f>
        <v/>
      </c>
      <c r="CC1026">
        <f>'Grid_Requirement'!CA15</f>
        <v/>
      </c>
      <c r="CD1026">
        <f>'Grid_Requirement'!CB15</f>
        <v/>
      </c>
      <c r="CE1026">
        <f>'Grid_Requirement'!CC15</f>
        <v/>
      </c>
      <c r="CF1026">
        <f>'Grid_Requirement'!CD15</f>
        <v/>
      </c>
      <c r="CG1026">
        <f>'Grid_Requirement'!CE15</f>
        <v/>
      </c>
      <c r="CH1026">
        <f>'Grid_Requirement'!CF15</f>
        <v/>
      </c>
      <c r="CI1026">
        <f>'Grid_Requirement'!CG15</f>
        <v/>
      </c>
      <c r="CJ1026">
        <f>'Grid_Requirement'!CH15</f>
        <v/>
      </c>
      <c r="CK1026">
        <f>'Grid_Requirement'!CI15</f>
        <v/>
      </c>
      <c r="CL1026">
        <f>'Grid_Requirement'!CJ15</f>
        <v/>
      </c>
      <c r="CM1026">
        <f>'Grid_Requirement'!CK15</f>
        <v/>
      </c>
      <c r="CN1026">
        <f>'Grid_Requirement'!CL15</f>
        <v/>
      </c>
      <c r="CO1026">
        <f>'Grid_Requirement'!CM15</f>
        <v/>
      </c>
      <c r="CP1026">
        <f>'Grid_Requirement'!CN15</f>
        <v/>
      </c>
      <c r="CQ1026">
        <f>'Grid_Requirement'!CO15</f>
        <v/>
      </c>
      <c r="CR1026">
        <f>'Grid_Requirement'!CP15</f>
        <v/>
      </c>
      <c r="CS1026">
        <f>'Grid_Requirement'!CQ15</f>
        <v/>
      </c>
      <c r="CT1026">
        <f>'Grid_Requirement'!CR15</f>
        <v/>
      </c>
      <c r="CU1026">
        <f>'Grid_Requirement'!CS15</f>
        <v/>
      </c>
      <c r="CV1026">
        <f>'Grid_Requirement'!CT15</f>
        <v/>
      </c>
      <c r="CW1026">
        <f>'Grid_Requirement'!CU15</f>
        <v/>
      </c>
      <c r="CX1026">
        <f>'Grid_Requirement'!CV15</f>
        <v/>
      </c>
      <c r="CY1026">
        <f>'Grid_Requirement'!CW15</f>
        <v/>
      </c>
      <c r="CZ1026">
        <f>'Grid_Requirement'!CX15</f>
        <v/>
      </c>
      <c r="DA1026">
        <f>'Grid_Requirement'!CY15</f>
        <v/>
      </c>
      <c r="DB1026">
        <f>'Grid_Requirement'!CZ15</f>
        <v/>
      </c>
      <c r="DC1026">
        <f>'Grid_Requirement'!DA15</f>
        <v/>
      </c>
    </row>
    <row r="1027">
      <c r="B1027" t="inlineStr">
        <is>
          <t>TTAF在庫(実績,kg)</t>
        </is>
      </c>
      <c r="D1027">
        <f>'T_TTAFStock'!B19</f>
        <v/>
      </c>
      <c r="E1027">
        <f>'T_TTAFStock'!C19</f>
        <v/>
      </c>
      <c r="F1027">
        <f>'T_TTAFStock'!D19</f>
        <v/>
      </c>
      <c r="G1027">
        <f>'T_TTAFStock'!E19</f>
        <v/>
      </c>
      <c r="H1027">
        <f>'T_TTAFStock'!F19</f>
        <v/>
      </c>
      <c r="I1027">
        <f>'T_TTAFStock'!G19</f>
        <v/>
      </c>
      <c r="J1027">
        <f>'T_TTAFStock'!H19</f>
        <v/>
      </c>
      <c r="K1027">
        <f>'T_TTAFStock'!I19</f>
        <v/>
      </c>
      <c r="L1027">
        <f>'T_TTAFStock'!J19</f>
        <v/>
      </c>
      <c r="M1027">
        <f>'T_TTAFStock'!K19</f>
        <v/>
      </c>
      <c r="N1027">
        <f>'T_TTAFStock'!L19</f>
        <v/>
      </c>
      <c r="O1027">
        <f>'T_TTAFStock'!M19</f>
        <v/>
      </c>
      <c r="P1027">
        <f>'T_TTAFStock'!N19</f>
        <v/>
      </c>
      <c r="Q1027">
        <f>'T_TTAFStock'!O19</f>
        <v/>
      </c>
      <c r="R1027">
        <f>'T_TTAFStock'!P19</f>
        <v/>
      </c>
      <c r="S1027">
        <f>'T_TTAFStock'!Q19</f>
        <v/>
      </c>
      <c r="T1027">
        <f>'T_TTAFStock'!R19</f>
        <v/>
      </c>
      <c r="U1027">
        <f>'T_TTAFStock'!S19</f>
        <v/>
      </c>
      <c r="V1027">
        <f>'T_TTAFStock'!T19</f>
        <v/>
      </c>
      <c r="W1027">
        <f>'T_TTAFStock'!U19</f>
        <v/>
      </c>
      <c r="X1027">
        <f>'T_TTAFStock'!V19</f>
        <v/>
      </c>
      <c r="Y1027">
        <f>'T_TTAFStock'!W19</f>
        <v/>
      </c>
      <c r="Z1027">
        <f>'T_TTAFStock'!X19</f>
        <v/>
      </c>
      <c r="AA1027">
        <f>'T_TTAFStock'!Y19</f>
        <v/>
      </c>
      <c r="AB1027">
        <f>'T_TTAFStock'!Z19</f>
        <v/>
      </c>
      <c r="AC1027">
        <f>'T_TTAFStock'!AA19</f>
        <v/>
      </c>
      <c r="AD1027">
        <f>'T_TTAFStock'!AB19</f>
        <v/>
      </c>
      <c r="AE1027">
        <f>'T_TTAFStock'!AC19</f>
        <v/>
      </c>
      <c r="AF1027">
        <f>'T_TTAFStock'!AD19</f>
        <v/>
      </c>
      <c r="AG1027">
        <f>'T_TTAFStock'!AE19</f>
        <v/>
      </c>
      <c r="AH1027">
        <f>'T_TTAFStock'!AF19</f>
        <v/>
      </c>
      <c r="AI1027">
        <f>'T_TTAFStock'!AG19</f>
        <v/>
      </c>
      <c r="AJ1027">
        <f>'T_TTAFStock'!AH19</f>
        <v/>
      </c>
      <c r="AK1027">
        <f>'T_TTAFStock'!AI19</f>
        <v/>
      </c>
      <c r="AL1027">
        <f>'T_TTAFStock'!AJ19</f>
        <v/>
      </c>
      <c r="AM1027">
        <f>'T_TTAFStock'!AK19</f>
        <v/>
      </c>
      <c r="AN1027">
        <f>'T_TTAFStock'!AL19</f>
        <v/>
      </c>
      <c r="AO1027">
        <f>'T_TTAFStock'!AM19</f>
        <v/>
      </c>
      <c r="AP1027">
        <f>'T_TTAFStock'!AN19</f>
        <v/>
      </c>
      <c r="AQ1027">
        <f>'T_TTAFStock'!AO19</f>
        <v/>
      </c>
      <c r="AR1027">
        <f>'T_TTAFStock'!AP19</f>
        <v/>
      </c>
      <c r="AS1027">
        <f>'T_TTAFStock'!AQ19</f>
        <v/>
      </c>
      <c r="AT1027">
        <f>'T_TTAFStock'!AR19</f>
        <v/>
      </c>
      <c r="AU1027">
        <f>'T_TTAFStock'!AS19</f>
        <v/>
      </c>
      <c r="AV1027">
        <f>'T_TTAFStock'!AT19</f>
        <v/>
      </c>
      <c r="AW1027">
        <f>'T_TTAFStock'!AU19</f>
        <v/>
      </c>
      <c r="AX1027">
        <f>'T_TTAFStock'!AV19</f>
        <v/>
      </c>
      <c r="AY1027">
        <f>'T_TTAFStock'!AW19</f>
        <v/>
      </c>
      <c r="AZ1027">
        <f>'T_TTAFStock'!AX19</f>
        <v/>
      </c>
      <c r="BA1027">
        <f>'T_TTAFStock'!AY19</f>
        <v/>
      </c>
      <c r="BB1027">
        <f>'T_TTAFStock'!AZ19</f>
        <v/>
      </c>
      <c r="BC1027">
        <f>'T_TTAFStock'!BA19</f>
        <v/>
      </c>
      <c r="BD1027">
        <f>'T_TTAFStock'!BB19</f>
        <v/>
      </c>
      <c r="BE1027">
        <f>'T_TTAFStock'!BC19</f>
        <v/>
      </c>
      <c r="BF1027">
        <f>'T_TTAFStock'!BD19</f>
        <v/>
      </c>
      <c r="BG1027">
        <f>'T_TTAFStock'!BE19</f>
        <v/>
      </c>
      <c r="BH1027">
        <f>'T_TTAFStock'!BF19</f>
        <v/>
      </c>
      <c r="BI1027">
        <f>'T_TTAFStock'!BG19</f>
        <v/>
      </c>
      <c r="BJ1027">
        <f>'T_TTAFStock'!BH19</f>
        <v/>
      </c>
      <c r="BK1027">
        <f>'T_TTAFStock'!BI19</f>
        <v/>
      </c>
      <c r="BL1027">
        <f>'T_TTAFStock'!BJ19</f>
        <v/>
      </c>
      <c r="BM1027">
        <f>'T_TTAFStock'!BK19</f>
        <v/>
      </c>
      <c r="BN1027">
        <f>'T_TTAFStock'!BL19</f>
        <v/>
      </c>
      <c r="BO1027">
        <f>'T_TTAFStock'!BM19</f>
        <v/>
      </c>
      <c r="BP1027">
        <f>'T_TTAFStock'!BN19</f>
        <v/>
      </c>
      <c r="BQ1027">
        <f>'T_TTAFStock'!BO19</f>
        <v/>
      </c>
      <c r="BR1027">
        <f>'T_TTAFStock'!BP19</f>
        <v/>
      </c>
      <c r="BS1027">
        <f>'T_TTAFStock'!BQ19</f>
        <v/>
      </c>
      <c r="BT1027">
        <f>'T_TTAFStock'!BR19</f>
        <v/>
      </c>
      <c r="BU1027">
        <f>'T_TTAFStock'!BS19</f>
        <v/>
      </c>
      <c r="BV1027">
        <f>'T_TTAFStock'!BT19</f>
        <v/>
      </c>
      <c r="BW1027">
        <f>'T_TTAFStock'!BU19</f>
        <v/>
      </c>
      <c r="BX1027">
        <f>'T_TTAFStock'!BV19</f>
        <v/>
      </c>
      <c r="BY1027">
        <f>'T_TTAFStock'!BW19</f>
        <v/>
      </c>
      <c r="BZ1027">
        <f>'T_TTAFStock'!BX19</f>
        <v/>
      </c>
      <c r="CA1027">
        <f>'T_TTAFStock'!BY19</f>
        <v/>
      </c>
      <c r="CB1027">
        <f>'T_TTAFStock'!BZ19</f>
        <v/>
      </c>
      <c r="CC1027">
        <f>'T_TTAFStock'!CA19</f>
        <v/>
      </c>
      <c r="CD1027">
        <f>'T_TTAFStock'!CB19</f>
        <v/>
      </c>
      <c r="CE1027">
        <f>'T_TTAFStock'!CC19</f>
        <v/>
      </c>
      <c r="CF1027">
        <f>'T_TTAFStock'!CD19</f>
        <v/>
      </c>
      <c r="CG1027">
        <f>'T_TTAFStock'!CE19</f>
        <v/>
      </c>
      <c r="CH1027">
        <f>'T_TTAFStock'!CF19</f>
        <v/>
      </c>
      <c r="CI1027">
        <f>'T_TTAFStock'!CG19</f>
        <v/>
      </c>
      <c r="CJ1027">
        <f>'T_TTAFStock'!CH19</f>
        <v/>
      </c>
      <c r="CK1027">
        <f>'T_TTAFStock'!CI19</f>
        <v/>
      </c>
      <c r="CL1027">
        <f>'T_TTAFStock'!CJ19</f>
        <v/>
      </c>
      <c r="CM1027">
        <f>'T_TTAFStock'!CK19</f>
        <v/>
      </c>
      <c r="CN1027">
        <f>'T_TTAFStock'!CL19</f>
        <v/>
      </c>
      <c r="CO1027">
        <f>'T_TTAFStock'!CM19</f>
        <v/>
      </c>
      <c r="CP1027">
        <f>'T_TTAFStock'!CN19</f>
        <v/>
      </c>
      <c r="CQ1027">
        <f>'T_TTAFStock'!CO19</f>
        <v/>
      </c>
      <c r="CR1027">
        <f>'T_TTAFStock'!CP19</f>
        <v/>
      </c>
      <c r="CS1027">
        <f>'T_TTAFStock'!CQ19</f>
        <v/>
      </c>
      <c r="CT1027">
        <f>'T_TTAFStock'!CR19</f>
        <v/>
      </c>
      <c r="CU1027">
        <f>'T_TTAFStock'!CS19</f>
        <v/>
      </c>
      <c r="CV1027">
        <f>'T_TTAFStock'!CT19</f>
        <v/>
      </c>
      <c r="CW1027">
        <f>'T_TTAFStock'!CU19</f>
        <v/>
      </c>
      <c r="CX1027">
        <f>'T_TTAFStock'!CV19</f>
        <v/>
      </c>
      <c r="CY1027">
        <f>'T_TTAFStock'!CW19</f>
        <v/>
      </c>
      <c r="CZ1027">
        <f>'T_TTAFStock'!CX19</f>
        <v/>
      </c>
      <c r="DA1027">
        <f>'T_TTAFStock'!CY19</f>
        <v/>
      </c>
      <c r="DB1027">
        <f>'T_TTAFStock'!CZ19</f>
        <v/>
      </c>
      <c r="DC1027">
        <f>'T_TTAFStock'!DA19</f>
        <v/>
      </c>
    </row>
    <row r="1028">
      <c r="B1028" t="inlineStr">
        <is>
          <t>自社在庫(実績,kg)</t>
        </is>
      </c>
      <c r="D1028">
        <f>'T_SelfStock'!B19</f>
        <v/>
      </c>
      <c r="E1028">
        <f>'T_SelfStock'!C19</f>
        <v/>
      </c>
      <c r="F1028">
        <f>'T_SelfStock'!D19</f>
        <v/>
      </c>
      <c r="G1028">
        <f>'T_SelfStock'!E19</f>
        <v/>
      </c>
      <c r="H1028">
        <f>'T_SelfStock'!F19</f>
        <v/>
      </c>
      <c r="I1028">
        <f>'T_SelfStock'!G19</f>
        <v/>
      </c>
      <c r="J1028">
        <f>'T_SelfStock'!H19</f>
        <v/>
      </c>
      <c r="K1028">
        <f>'T_SelfStock'!I19</f>
        <v/>
      </c>
      <c r="L1028">
        <f>'T_SelfStock'!J19</f>
        <v/>
      </c>
      <c r="M1028">
        <f>'T_SelfStock'!K19</f>
        <v/>
      </c>
      <c r="N1028">
        <f>'T_SelfStock'!L19</f>
        <v/>
      </c>
      <c r="O1028">
        <f>'T_SelfStock'!M19</f>
        <v/>
      </c>
      <c r="P1028">
        <f>'T_SelfStock'!N19</f>
        <v/>
      </c>
      <c r="Q1028">
        <f>'T_SelfStock'!O19</f>
        <v/>
      </c>
      <c r="R1028">
        <f>'T_SelfStock'!P19</f>
        <v/>
      </c>
      <c r="S1028">
        <f>'T_SelfStock'!Q19</f>
        <v/>
      </c>
      <c r="T1028">
        <f>'T_SelfStock'!R19</f>
        <v/>
      </c>
      <c r="U1028">
        <f>'T_SelfStock'!S19</f>
        <v/>
      </c>
      <c r="V1028">
        <f>'T_SelfStock'!T19</f>
        <v/>
      </c>
      <c r="W1028">
        <f>'T_SelfStock'!U19</f>
        <v/>
      </c>
      <c r="X1028">
        <f>'T_SelfStock'!V19</f>
        <v/>
      </c>
      <c r="Y1028">
        <f>'T_SelfStock'!W19</f>
        <v/>
      </c>
      <c r="Z1028">
        <f>'T_SelfStock'!X19</f>
        <v/>
      </c>
      <c r="AA1028">
        <f>'T_SelfStock'!Y19</f>
        <v/>
      </c>
      <c r="AB1028">
        <f>'T_SelfStock'!Z19</f>
        <v/>
      </c>
      <c r="AC1028">
        <f>'T_SelfStock'!AA19</f>
        <v/>
      </c>
      <c r="AD1028">
        <f>'T_SelfStock'!AB19</f>
        <v/>
      </c>
      <c r="AE1028">
        <f>'T_SelfStock'!AC19</f>
        <v/>
      </c>
      <c r="AF1028">
        <f>'T_SelfStock'!AD19</f>
        <v/>
      </c>
      <c r="AG1028">
        <f>'T_SelfStock'!AE19</f>
        <v/>
      </c>
      <c r="AH1028">
        <f>'T_SelfStock'!AF19</f>
        <v/>
      </c>
      <c r="AI1028">
        <f>'T_SelfStock'!AG19</f>
        <v/>
      </c>
      <c r="AJ1028">
        <f>'T_SelfStock'!AH19</f>
        <v/>
      </c>
      <c r="AK1028">
        <f>'T_SelfStock'!AI19</f>
        <v/>
      </c>
      <c r="AL1028">
        <f>'T_SelfStock'!AJ19</f>
        <v/>
      </c>
      <c r="AM1028">
        <f>'T_SelfStock'!AK19</f>
        <v/>
      </c>
      <c r="AN1028">
        <f>'T_SelfStock'!AL19</f>
        <v/>
      </c>
      <c r="AO1028">
        <f>'T_SelfStock'!AM19</f>
        <v/>
      </c>
      <c r="AP1028">
        <f>'T_SelfStock'!AN19</f>
        <v/>
      </c>
      <c r="AQ1028">
        <f>'T_SelfStock'!AO19</f>
        <v/>
      </c>
      <c r="AR1028">
        <f>'T_SelfStock'!AP19</f>
        <v/>
      </c>
      <c r="AS1028">
        <f>'T_SelfStock'!AQ19</f>
        <v/>
      </c>
      <c r="AT1028">
        <f>'T_SelfStock'!AR19</f>
        <v/>
      </c>
      <c r="AU1028">
        <f>'T_SelfStock'!AS19</f>
        <v/>
      </c>
      <c r="AV1028">
        <f>'T_SelfStock'!AT19</f>
        <v/>
      </c>
      <c r="AW1028">
        <f>'T_SelfStock'!AU19</f>
        <v/>
      </c>
      <c r="AX1028">
        <f>'T_SelfStock'!AV19</f>
        <v/>
      </c>
      <c r="AY1028">
        <f>'T_SelfStock'!AW19</f>
        <v/>
      </c>
      <c r="AZ1028">
        <f>'T_SelfStock'!AX19</f>
        <v/>
      </c>
      <c r="BA1028">
        <f>'T_SelfStock'!AY19</f>
        <v/>
      </c>
      <c r="BB1028">
        <f>'T_SelfStock'!AZ19</f>
        <v/>
      </c>
      <c r="BC1028">
        <f>'T_SelfStock'!BA19</f>
        <v/>
      </c>
      <c r="BD1028">
        <f>'T_SelfStock'!BB19</f>
        <v/>
      </c>
      <c r="BE1028">
        <f>'T_SelfStock'!BC19</f>
        <v/>
      </c>
      <c r="BF1028">
        <f>'T_SelfStock'!BD19</f>
        <v/>
      </c>
      <c r="BG1028">
        <f>'T_SelfStock'!BE19</f>
        <v/>
      </c>
      <c r="BH1028">
        <f>'T_SelfStock'!BF19</f>
        <v/>
      </c>
      <c r="BI1028">
        <f>'T_SelfStock'!BG19</f>
        <v/>
      </c>
      <c r="BJ1028">
        <f>'T_SelfStock'!BH19</f>
        <v/>
      </c>
      <c r="BK1028">
        <f>'T_SelfStock'!BI19</f>
        <v/>
      </c>
      <c r="BL1028">
        <f>'T_SelfStock'!BJ19</f>
        <v/>
      </c>
      <c r="BM1028">
        <f>'T_SelfStock'!BK19</f>
        <v/>
      </c>
      <c r="BN1028">
        <f>'T_SelfStock'!BL19</f>
        <v/>
      </c>
      <c r="BO1028">
        <f>'T_SelfStock'!BM19</f>
        <v/>
      </c>
      <c r="BP1028">
        <f>'T_SelfStock'!BN19</f>
        <v/>
      </c>
      <c r="BQ1028">
        <f>'T_SelfStock'!BO19</f>
        <v/>
      </c>
      <c r="BR1028">
        <f>'T_SelfStock'!BP19</f>
        <v/>
      </c>
      <c r="BS1028">
        <f>'T_SelfStock'!BQ19</f>
        <v/>
      </c>
      <c r="BT1028">
        <f>'T_SelfStock'!BR19</f>
        <v/>
      </c>
      <c r="BU1028">
        <f>'T_SelfStock'!BS19</f>
        <v/>
      </c>
      <c r="BV1028">
        <f>'T_SelfStock'!BT19</f>
        <v/>
      </c>
      <c r="BW1028">
        <f>'T_SelfStock'!BU19</f>
        <v/>
      </c>
      <c r="BX1028">
        <f>'T_SelfStock'!BV19</f>
        <v/>
      </c>
      <c r="BY1028">
        <f>'T_SelfStock'!BW19</f>
        <v/>
      </c>
      <c r="BZ1028">
        <f>'T_SelfStock'!BX19</f>
        <v/>
      </c>
      <c r="CA1028">
        <f>'T_SelfStock'!BY19</f>
        <v/>
      </c>
      <c r="CB1028">
        <f>'T_SelfStock'!BZ19</f>
        <v/>
      </c>
      <c r="CC1028">
        <f>'T_SelfStock'!CA19</f>
        <v/>
      </c>
      <c r="CD1028">
        <f>'T_SelfStock'!CB19</f>
        <v/>
      </c>
      <c r="CE1028">
        <f>'T_SelfStock'!CC19</f>
        <v/>
      </c>
      <c r="CF1028">
        <f>'T_SelfStock'!CD19</f>
        <v/>
      </c>
      <c r="CG1028">
        <f>'T_SelfStock'!CE19</f>
        <v/>
      </c>
      <c r="CH1028">
        <f>'T_SelfStock'!CF19</f>
        <v/>
      </c>
      <c r="CI1028">
        <f>'T_SelfStock'!CG19</f>
        <v/>
      </c>
      <c r="CJ1028">
        <f>'T_SelfStock'!CH19</f>
        <v/>
      </c>
      <c r="CK1028">
        <f>'T_SelfStock'!CI19</f>
        <v/>
      </c>
      <c r="CL1028">
        <f>'T_SelfStock'!CJ19</f>
        <v/>
      </c>
      <c r="CM1028">
        <f>'T_SelfStock'!CK19</f>
        <v/>
      </c>
      <c r="CN1028">
        <f>'T_SelfStock'!CL19</f>
        <v/>
      </c>
      <c r="CO1028">
        <f>'T_SelfStock'!CM19</f>
        <v/>
      </c>
      <c r="CP1028">
        <f>'T_SelfStock'!CN19</f>
        <v/>
      </c>
      <c r="CQ1028">
        <f>'T_SelfStock'!CO19</f>
        <v/>
      </c>
      <c r="CR1028">
        <f>'T_SelfStock'!CP19</f>
        <v/>
      </c>
      <c r="CS1028">
        <f>'T_SelfStock'!CQ19</f>
        <v/>
      </c>
      <c r="CT1028">
        <f>'T_SelfStock'!CR19</f>
        <v/>
      </c>
      <c r="CU1028">
        <f>'T_SelfStock'!CS19</f>
        <v/>
      </c>
      <c r="CV1028">
        <f>'T_SelfStock'!CT19</f>
        <v/>
      </c>
      <c r="CW1028">
        <f>'T_SelfStock'!CU19</f>
        <v/>
      </c>
      <c r="CX1028">
        <f>'T_SelfStock'!CV19</f>
        <v/>
      </c>
      <c r="CY1028">
        <f>'T_SelfStock'!CW19</f>
        <v/>
      </c>
      <c r="CZ1028">
        <f>'T_SelfStock'!CX19</f>
        <v/>
      </c>
      <c r="DA1028">
        <f>'T_SelfStock'!CY19</f>
        <v/>
      </c>
      <c r="DB1028">
        <f>'T_SelfStock'!CZ19</f>
        <v/>
      </c>
      <c r="DC1028">
        <f>'T_SelfStock'!DA19</f>
        <v/>
      </c>
    </row>
    <row r="1029">
      <c r="B1029" t="inlineStr">
        <is>
          <t>Order(発注予定,kg)</t>
        </is>
      </c>
      <c r="D1029">
        <f>IF(SUMIFS(T_PlannedOrders[EffectiveQty],T_PlannedOrders[Part Name],$A1011,T_PlannedOrders[WeekIndex],1)=0,"",SUMIFS(T_PlannedOrders[EffectiveQty],T_PlannedOrders[Part Name],$A1011,T_PlannedOrders[WeekIndex],1)&amp;" ("&amp;TEXT(SUMPRODUCT(MAX((T_PlannedOrders[Part Name]=$A1011)*(T_PlannedOrders[WeekIndex]=1)*(T_PlannedOrders[EffectiveQty]&gt;0)*T_PlannedOrders[Order_Month])),"m月")&amp;"発注)")</f>
        <v/>
      </c>
      <c r="E1029">
        <f>IF(SUMIFS(T_PlannedOrders[EffectiveQty],T_PlannedOrders[Part Name],$A1011,T_PlannedOrders[WeekIndex],2)=0,"",SUMIFS(T_PlannedOrders[EffectiveQty],T_PlannedOrders[Part Name],$A1011,T_PlannedOrders[WeekIndex],2)&amp;" ("&amp;TEXT(SUMPRODUCT(MAX((T_PlannedOrders[Part Name]=$A1011)*(T_PlannedOrders[WeekIndex]=2)*(T_PlannedOrders[EffectiveQty]&gt;0)*T_PlannedOrders[Order_Month])),"m月")&amp;"発注)")</f>
        <v/>
      </c>
      <c r="F1029">
        <f>IF(SUMIFS(T_PlannedOrders[EffectiveQty],T_PlannedOrders[Part Name],$A1011,T_PlannedOrders[WeekIndex],3)=0,"",SUMIFS(T_PlannedOrders[EffectiveQty],T_PlannedOrders[Part Name],$A1011,T_PlannedOrders[WeekIndex],3)&amp;" ("&amp;TEXT(SUMPRODUCT(MAX((T_PlannedOrders[Part Name]=$A1011)*(T_PlannedOrders[WeekIndex]=3)*(T_PlannedOrders[EffectiveQty]&gt;0)*T_PlannedOrders[Order_Month])),"m月")&amp;"発注)")</f>
        <v/>
      </c>
      <c r="G1029">
        <f>IF(SUMIFS(T_PlannedOrders[EffectiveQty],T_PlannedOrders[Part Name],$A1011,T_PlannedOrders[WeekIndex],4)=0,"",SUMIFS(T_PlannedOrders[EffectiveQty],T_PlannedOrders[Part Name],$A1011,T_PlannedOrders[WeekIndex],4)&amp;" ("&amp;TEXT(SUMPRODUCT(MAX((T_PlannedOrders[Part Name]=$A1011)*(T_PlannedOrders[WeekIndex]=4)*(T_PlannedOrders[EffectiveQty]&gt;0)*T_PlannedOrders[Order_Month])),"m月")&amp;"発注)")</f>
        <v/>
      </c>
      <c r="H1029">
        <f>IF(SUMIFS(T_PlannedOrders[EffectiveQty],T_PlannedOrders[Part Name],$A1011,T_PlannedOrders[WeekIndex],5)=0,"",SUMIFS(T_PlannedOrders[EffectiveQty],T_PlannedOrders[Part Name],$A1011,T_PlannedOrders[WeekIndex],5)&amp;" ("&amp;TEXT(SUMPRODUCT(MAX((T_PlannedOrders[Part Name]=$A1011)*(T_PlannedOrders[WeekIndex]=5)*(T_PlannedOrders[EffectiveQty]&gt;0)*T_PlannedOrders[Order_Month])),"m月")&amp;"発注)")</f>
        <v/>
      </c>
      <c r="I1029">
        <f>IF(SUMIFS(T_PlannedOrders[EffectiveQty],T_PlannedOrders[Part Name],$A1011,T_PlannedOrders[WeekIndex],6)=0,"",SUMIFS(T_PlannedOrders[EffectiveQty],T_PlannedOrders[Part Name],$A1011,T_PlannedOrders[WeekIndex],6)&amp;" ("&amp;TEXT(SUMPRODUCT(MAX((T_PlannedOrders[Part Name]=$A1011)*(T_PlannedOrders[WeekIndex]=6)*(T_PlannedOrders[EffectiveQty]&gt;0)*T_PlannedOrders[Order_Month])),"m月")&amp;"発注)")</f>
        <v/>
      </c>
      <c r="J1029">
        <f>IF(SUMIFS(T_PlannedOrders[EffectiveQty],T_PlannedOrders[Part Name],$A1011,T_PlannedOrders[WeekIndex],7)=0,"",SUMIFS(T_PlannedOrders[EffectiveQty],T_PlannedOrders[Part Name],$A1011,T_PlannedOrders[WeekIndex],7)&amp;" ("&amp;TEXT(SUMPRODUCT(MAX((T_PlannedOrders[Part Name]=$A1011)*(T_PlannedOrders[WeekIndex]=7)*(T_PlannedOrders[EffectiveQty]&gt;0)*T_PlannedOrders[Order_Month])),"m月")&amp;"発注)")</f>
        <v/>
      </c>
      <c r="K1029">
        <f>IF(SUMIFS(T_PlannedOrders[EffectiveQty],T_PlannedOrders[Part Name],$A1011,T_PlannedOrders[WeekIndex],8)=0,"",SUMIFS(T_PlannedOrders[EffectiveQty],T_PlannedOrders[Part Name],$A1011,T_PlannedOrders[WeekIndex],8)&amp;" ("&amp;TEXT(SUMPRODUCT(MAX((T_PlannedOrders[Part Name]=$A1011)*(T_PlannedOrders[WeekIndex]=8)*(T_PlannedOrders[EffectiveQty]&gt;0)*T_PlannedOrders[Order_Month])),"m月")&amp;"発注)")</f>
        <v/>
      </c>
      <c r="L1029">
        <f>IF(SUMIFS(T_PlannedOrders[EffectiveQty],T_PlannedOrders[Part Name],$A1011,T_PlannedOrders[WeekIndex],9)=0,"",SUMIFS(T_PlannedOrders[EffectiveQty],T_PlannedOrders[Part Name],$A1011,T_PlannedOrders[WeekIndex],9)&amp;" ("&amp;TEXT(SUMPRODUCT(MAX((T_PlannedOrders[Part Name]=$A1011)*(T_PlannedOrders[WeekIndex]=9)*(T_PlannedOrders[EffectiveQty]&gt;0)*T_PlannedOrders[Order_Month])),"m月")&amp;"発注)")</f>
        <v/>
      </c>
      <c r="M1029">
        <f>IF(SUMIFS(T_PlannedOrders[EffectiveQty],T_PlannedOrders[Part Name],$A1011,T_PlannedOrders[WeekIndex],10)=0,"",SUMIFS(T_PlannedOrders[EffectiveQty],T_PlannedOrders[Part Name],$A1011,T_PlannedOrders[WeekIndex],10)&amp;" ("&amp;TEXT(SUMPRODUCT(MAX((T_PlannedOrders[Part Name]=$A1011)*(T_PlannedOrders[WeekIndex]=10)*(T_PlannedOrders[EffectiveQty]&gt;0)*T_PlannedOrders[Order_Month])),"m月")&amp;"発注)")</f>
        <v/>
      </c>
      <c r="N1029">
        <f>IF(SUMIFS(T_PlannedOrders[EffectiveQty],T_PlannedOrders[Part Name],$A1011,T_PlannedOrders[WeekIndex],11)=0,"",SUMIFS(T_PlannedOrders[EffectiveQty],T_PlannedOrders[Part Name],$A1011,T_PlannedOrders[WeekIndex],11)&amp;" ("&amp;TEXT(SUMPRODUCT(MAX((T_PlannedOrders[Part Name]=$A1011)*(T_PlannedOrders[WeekIndex]=11)*(T_PlannedOrders[EffectiveQty]&gt;0)*T_PlannedOrders[Order_Month])),"m月")&amp;"発注)")</f>
        <v/>
      </c>
      <c r="O1029">
        <f>IF(SUMIFS(T_PlannedOrders[EffectiveQty],T_PlannedOrders[Part Name],$A1011,T_PlannedOrders[WeekIndex],12)=0,"",SUMIFS(T_PlannedOrders[EffectiveQty],T_PlannedOrders[Part Name],$A1011,T_PlannedOrders[WeekIndex],12)&amp;" ("&amp;TEXT(SUMPRODUCT(MAX((T_PlannedOrders[Part Name]=$A1011)*(T_PlannedOrders[WeekIndex]=12)*(T_PlannedOrders[EffectiveQty]&gt;0)*T_PlannedOrders[Order_Month])),"m月")&amp;"発注)")</f>
        <v/>
      </c>
      <c r="P1029">
        <f>IF(SUMIFS(T_PlannedOrders[EffectiveQty],T_PlannedOrders[Part Name],$A1011,T_PlannedOrders[WeekIndex],13)=0,"",SUMIFS(T_PlannedOrders[EffectiveQty],T_PlannedOrders[Part Name],$A1011,T_PlannedOrders[WeekIndex],13)&amp;" ("&amp;TEXT(SUMPRODUCT(MAX((T_PlannedOrders[Part Name]=$A1011)*(T_PlannedOrders[WeekIndex]=13)*(T_PlannedOrders[EffectiveQty]&gt;0)*T_PlannedOrders[Order_Month])),"m月")&amp;"発注)")</f>
        <v/>
      </c>
      <c r="Q1029">
        <f>IF(SUMIFS(T_PlannedOrders[EffectiveQty],T_PlannedOrders[Part Name],$A1011,T_PlannedOrders[WeekIndex],14)=0,"",SUMIFS(T_PlannedOrders[EffectiveQty],T_PlannedOrders[Part Name],$A1011,T_PlannedOrders[WeekIndex],14)&amp;" ("&amp;TEXT(SUMPRODUCT(MAX((T_PlannedOrders[Part Name]=$A1011)*(T_PlannedOrders[WeekIndex]=14)*(T_PlannedOrders[EffectiveQty]&gt;0)*T_PlannedOrders[Order_Month])),"m月")&amp;"発注)")</f>
        <v/>
      </c>
      <c r="R1029">
        <f>IF(SUMIFS(T_PlannedOrders[EffectiveQty],T_PlannedOrders[Part Name],$A1011,T_PlannedOrders[WeekIndex],15)=0,"",SUMIFS(T_PlannedOrders[EffectiveQty],T_PlannedOrders[Part Name],$A1011,T_PlannedOrders[WeekIndex],15)&amp;" ("&amp;TEXT(SUMPRODUCT(MAX((T_PlannedOrders[Part Name]=$A1011)*(T_PlannedOrders[WeekIndex]=15)*(T_PlannedOrders[EffectiveQty]&gt;0)*T_PlannedOrders[Order_Month])),"m月")&amp;"発注)")</f>
        <v/>
      </c>
      <c r="S1029">
        <f>IF(SUMIFS(T_PlannedOrders[EffectiveQty],T_PlannedOrders[Part Name],$A1011,T_PlannedOrders[WeekIndex],16)=0,"",SUMIFS(T_PlannedOrders[EffectiveQty],T_PlannedOrders[Part Name],$A1011,T_PlannedOrders[WeekIndex],16)&amp;" ("&amp;TEXT(SUMPRODUCT(MAX((T_PlannedOrders[Part Name]=$A1011)*(T_PlannedOrders[WeekIndex]=16)*(T_PlannedOrders[EffectiveQty]&gt;0)*T_PlannedOrders[Order_Month])),"m月")&amp;"発注)")</f>
        <v/>
      </c>
      <c r="T1029">
        <f>IF(SUMIFS(T_PlannedOrders[EffectiveQty],T_PlannedOrders[Part Name],$A1011,T_PlannedOrders[WeekIndex],17)=0,"",SUMIFS(T_PlannedOrders[EffectiveQty],T_PlannedOrders[Part Name],$A1011,T_PlannedOrders[WeekIndex],17)&amp;" ("&amp;TEXT(SUMPRODUCT(MAX((T_PlannedOrders[Part Name]=$A1011)*(T_PlannedOrders[WeekIndex]=17)*(T_PlannedOrders[EffectiveQty]&gt;0)*T_PlannedOrders[Order_Month])),"m月")&amp;"発注)")</f>
        <v/>
      </c>
      <c r="U1029">
        <f>IF(SUMIFS(T_PlannedOrders[EffectiveQty],T_PlannedOrders[Part Name],$A1011,T_PlannedOrders[WeekIndex],18)=0,"",SUMIFS(T_PlannedOrders[EffectiveQty],T_PlannedOrders[Part Name],$A1011,T_PlannedOrders[WeekIndex],18)&amp;" ("&amp;TEXT(SUMPRODUCT(MAX((T_PlannedOrders[Part Name]=$A1011)*(T_PlannedOrders[WeekIndex]=18)*(T_PlannedOrders[EffectiveQty]&gt;0)*T_PlannedOrders[Order_Month])),"m月")&amp;"発注)")</f>
        <v/>
      </c>
      <c r="V1029">
        <f>IF(SUMIFS(T_PlannedOrders[EffectiveQty],T_PlannedOrders[Part Name],$A1011,T_PlannedOrders[WeekIndex],19)=0,"",SUMIFS(T_PlannedOrders[EffectiveQty],T_PlannedOrders[Part Name],$A1011,T_PlannedOrders[WeekIndex],19)&amp;" ("&amp;TEXT(SUMPRODUCT(MAX((T_PlannedOrders[Part Name]=$A1011)*(T_PlannedOrders[WeekIndex]=19)*(T_PlannedOrders[EffectiveQty]&gt;0)*T_PlannedOrders[Order_Month])),"m月")&amp;"発注)")</f>
        <v/>
      </c>
      <c r="W1029">
        <f>IF(SUMIFS(T_PlannedOrders[EffectiveQty],T_PlannedOrders[Part Name],$A1011,T_PlannedOrders[WeekIndex],20)=0,"",SUMIFS(T_PlannedOrders[EffectiveQty],T_PlannedOrders[Part Name],$A1011,T_PlannedOrders[WeekIndex],20)&amp;" ("&amp;TEXT(SUMPRODUCT(MAX((T_PlannedOrders[Part Name]=$A1011)*(T_PlannedOrders[WeekIndex]=20)*(T_PlannedOrders[EffectiveQty]&gt;0)*T_PlannedOrders[Order_Month])),"m月")&amp;"発注)")</f>
        <v/>
      </c>
      <c r="X1029">
        <f>IF(SUMIFS(T_PlannedOrders[EffectiveQty],T_PlannedOrders[Part Name],$A1011,T_PlannedOrders[WeekIndex],21)=0,"",SUMIFS(T_PlannedOrders[EffectiveQty],T_PlannedOrders[Part Name],$A1011,T_PlannedOrders[WeekIndex],21)&amp;" ("&amp;TEXT(SUMPRODUCT(MAX((T_PlannedOrders[Part Name]=$A1011)*(T_PlannedOrders[WeekIndex]=21)*(T_PlannedOrders[EffectiveQty]&gt;0)*T_PlannedOrders[Order_Month])),"m月")&amp;"発注)")</f>
        <v/>
      </c>
      <c r="Y1029">
        <f>IF(SUMIFS(T_PlannedOrders[EffectiveQty],T_PlannedOrders[Part Name],$A1011,T_PlannedOrders[WeekIndex],22)=0,"",SUMIFS(T_PlannedOrders[EffectiveQty],T_PlannedOrders[Part Name],$A1011,T_PlannedOrders[WeekIndex],22)&amp;" ("&amp;TEXT(SUMPRODUCT(MAX((T_PlannedOrders[Part Name]=$A1011)*(T_PlannedOrders[WeekIndex]=22)*(T_PlannedOrders[EffectiveQty]&gt;0)*T_PlannedOrders[Order_Month])),"m月")&amp;"発注)")</f>
        <v/>
      </c>
      <c r="Z1029">
        <f>IF(SUMIFS(T_PlannedOrders[EffectiveQty],T_PlannedOrders[Part Name],$A1011,T_PlannedOrders[WeekIndex],23)=0,"",SUMIFS(T_PlannedOrders[EffectiveQty],T_PlannedOrders[Part Name],$A1011,T_PlannedOrders[WeekIndex],23)&amp;" ("&amp;TEXT(SUMPRODUCT(MAX((T_PlannedOrders[Part Name]=$A1011)*(T_PlannedOrders[WeekIndex]=23)*(T_PlannedOrders[EffectiveQty]&gt;0)*T_PlannedOrders[Order_Month])),"m月")&amp;"発注)")</f>
        <v/>
      </c>
      <c r="AA1029">
        <f>IF(SUMIFS(T_PlannedOrders[EffectiveQty],T_PlannedOrders[Part Name],$A1011,T_PlannedOrders[WeekIndex],24)=0,"",SUMIFS(T_PlannedOrders[EffectiveQty],T_PlannedOrders[Part Name],$A1011,T_PlannedOrders[WeekIndex],24)&amp;" ("&amp;TEXT(SUMPRODUCT(MAX((T_PlannedOrders[Part Name]=$A1011)*(T_PlannedOrders[WeekIndex]=24)*(T_PlannedOrders[EffectiveQty]&gt;0)*T_PlannedOrders[Order_Month])),"m月")&amp;"発注)")</f>
        <v/>
      </c>
      <c r="AB1029">
        <f>IF(SUMIFS(T_PlannedOrders[EffectiveQty],T_PlannedOrders[Part Name],$A1011,T_PlannedOrders[WeekIndex],25)=0,"",SUMIFS(T_PlannedOrders[EffectiveQty],T_PlannedOrders[Part Name],$A1011,T_PlannedOrders[WeekIndex],25)&amp;" ("&amp;TEXT(SUMPRODUCT(MAX((T_PlannedOrders[Part Name]=$A1011)*(T_PlannedOrders[WeekIndex]=25)*(T_PlannedOrders[EffectiveQty]&gt;0)*T_PlannedOrders[Order_Month])),"m月")&amp;"発注)")</f>
        <v/>
      </c>
      <c r="AC1029">
        <f>IF(SUMIFS(T_PlannedOrders[EffectiveQty],T_PlannedOrders[Part Name],$A1011,T_PlannedOrders[WeekIndex],26)=0,"",SUMIFS(T_PlannedOrders[EffectiveQty],T_PlannedOrders[Part Name],$A1011,T_PlannedOrders[WeekIndex],26)&amp;" ("&amp;TEXT(SUMPRODUCT(MAX((T_PlannedOrders[Part Name]=$A1011)*(T_PlannedOrders[WeekIndex]=26)*(T_PlannedOrders[EffectiveQty]&gt;0)*T_PlannedOrders[Order_Month])),"m月")&amp;"発注)")</f>
        <v/>
      </c>
      <c r="AD1029">
        <f>IF(SUMIFS(T_PlannedOrders[EffectiveQty],T_PlannedOrders[Part Name],$A1011,T_PlannedOrders[WeekIndex],27)=0,"",SUMIFS(T_PlannedOrders[EffectiveQty],T_PlannedOrders[Part Name],$A1011,T_PlannedOrders[WeekIndex],27)&amp;" ("&amp;TEXT(SUMPRODUCT(MAX((T_PlannedOrders[Part Name]=$A1011)*(T_PlannedOrders[WeekIndex]=27)*(T_PlannedOrders[EffectiveQty]&gt;0)*T_PlannedOrders[Order_Month])),"m月")&amp;"発注)")</f>
        <v/>
      </c>
      <c r="AE1029">
        <f>IF(SUMIFS(T_PlannedOrders[EffectiveQty],T_PlannedOrders[Part Name],$A1011,T_PlannedOrders[WeekIndex],28)=0,"",SUMIFS(T_PlannedOrders[EffectiveQty],T_PlannedOrders[Part Name],$A1011,T_PlannedOrders[WeekIndex],28)&amp;" ("&amp;TEXT(SUMPRODUCT(MAX((T_PlannedOrders[Part Name]=$A1011)*(T_PlannedOrders[WeekIndex]=28)*(T_PlannedOrders[EffectiveQty]&gt;0)*T_PlannedOrders[Order_Month])),"m月")&amp;"発注)")</f>
        <v/>
      </c>
      <c r="AF1029">
        <f>IF(SUMIFS(T_PlannedOrders[EffectiveQty],T_PlannedOrders[Part Name],$A1011,T_PlannedOrders[WeekIndex],29)=0,"",SUMIFS(T_PlannedOrders[EffectiveQty],T_PlannedOrders[Part Name],$A1011,T_PlannedOrders[WeekIndex],29)&amp;" ("&amp;TEXT(SUMPRODUCT(MAX((T_PlannedOrders[Part Name]=$A1011)*(T_PlannedOrders[WeekIndex]=29)*(T_PlannedOrders[EffectiveQty]&gt;0)*T_PlannedOrders[Order_Month])),"m月")&amp;"発注)")</f>
        <v/>
      </c>
      <c r="AG1029">
        <f>IF(SUMIFS(T_PlannedOrders[EffectiveQty],T_PlannedOrders[Part Name],$A1011,T_PlannedOrders[WeekIndex],30)=0,"",SUMIFS(T_PlannedOrders[EffectiveQty],T_PlannedOrders[Part Name],$A1011,T_PlannedOrders[WeekIndex],30)&amp;" ("&amp;TEXT(SUMPRODUCT(MAX((T_PlannedOrders[Part Name]=$A1011)*(T_PlannedOrders[WeekIndex]=30)*(T_PlannedOrders[EffectiveQty]&gt;0)*T_PlannedOrders[Order_Month])),"m月")&amp;"発注)")</f>
        <v/>
      </c>
      <c r="AH1029">
        <f>IF(SUMIFS(T_PlannedOrders[EffectiveQty],T_PlannedOrders[Part Name],$A1011,T_PlannedOrders[WeekIndex],31)=0,"",SUMIFS(T_PlannedOrders[EffectiveQty],T_PlannedOrders[Part Name],$A1011,T_PlannedOrders[WeekIndex],31)&amp;" ("&amp;TEXT(SUMPRODUCT(MAX((T_PlannedOrders[Part Name]=$A1011)*(T_PlannedOrders[WeekIndex]=31)*(T_PlannedOrders[EffectiveQty]&gt;0)*T_PlannedOrders[Order_Month])),"m月")&amp;"発注)")</f>
        <v/>
      </c>
      <c r="AI1029">
        <f>IF(SUMIFS(T_PlannedOrders[EffectiveQty],T_PlannedOrders[Part Name],$A1011,T_PlannedOrders[WeekIndex],32)=0,"",SUMIFS(T_PlannedOrders[EffectiveQty],T_PlannedOrders[Part Name],$A1011,T_PlannedOrders[WeekIndex],32)&amp;" ("&amp;TEXT(SUMPRODUCT(MAX((T_PlannedOrders[Part Name]=$A1011)*(T_PlannedOrders[WeekIndex]=32)*(T_PlannedOrders[EffectiveQty]&gt;0)*T_PlannedOrders[Order_Month])),"m月")&amp;"発注)")</f>
        <v/>
      </c>
      <c r="AJ1029">
        <f>IF(SUMIFS(T_PlannedOrders[EffectiveQty],T_PlannedOrders[Part Name],$A1011,T_PlannedOrders[WeekIndex],33)=0,"",SUMIFS(T_PlannedOrders[EffectiveQty],T_PlannedOrders[Part Name],$A1011,T_PlannedOrders[WeekIndex],33)&amp;" ("&amp;TEXT(SUMPRODUCT(MAX((T_PlannedOrders[Part Name]=$A1011)*(T_PlannedOrders[WeekIndex]=33)*(T_PlannedOrders[EffectiveQty]&gt;0)*T_PlannedOrders[Order_Month])),"m月")&amp;"発注)")</f>
        <v/>
      </c>
      <c r="AK1029">
        <f>IF(SUMIFS(T_PlannedOrders[EffectiveQty],T_PlannedOrders[Part Name],$A1011,T_PlannedOrders[WeekIndex],34)=0,"",SUMIFS(T_PlannedOrders[EffectiveQty],T_PlannedOrders[Part Name],$A1011,T_PlannedOrders[WeekIndex],34)&amp;" ("&amp;TEXT(SUMPRODUCT(MAX((T_PlannedOrders[Part Name]=$A1011)*(T_PlannedOrders[WeekIndex]=34)*(T_PlannedOrders[EffectiveQty]&gt;0)*T_PlannedOrders[Order_Month])),"m月")&amp;"発注)")</f>
        <v/>
      </c>
      <c r="AL1029">
        <f>IF(SUMIFS(T_PlannedOrders[EffectiveQty],T_PlannedOrders[Part Name],$A1011,T_PlannedOrders[WeekIndex],35)=0,"",SUMIFS(T_PlannedOrders[EffectiveQty],T_PlannedOrders[Part Name],$A1011,T_PlannedOrders[WeekIndex],35)&amp;" ("&amp;TEXT(SUMPRODUCT(MAX((T_PlannedOrders[Part Name]=$A1011)*(T_PlannedOrders[WeekIndex]=35)*(T_PlannedOrders[EffectiveQty]&gt;0)*T_PlannedOrders[Order_Month])),"m月")&amp;"発注)")</f>
        <v/>
      </c>
      <c r="AM1029">
        <f>IF(SUMIFS(T_PlannedOrders[EffectiveQty],T_PlannedOrders[Part Name],$A1011,T_PlannedOrders[WeekIndex],36)=0,"",SUMIFS(T_PlannedOrders[EffectiveQty],T_PlannedOrders[Part Name],$A1011,T_PlannedOrders[WeekIndex],36)&amp;" ("&amp;TEXT(SUMPRODUCT(MAX((T_PlannedOrders[Part Name]=$A1011)*(T_PlannedOrders[WeekIndex]=36)*(T_PlannedOrders[EffectiveQty]&gt;0)*T_PlannedOrders[Order_Month])),"m月")&amp;"発注)")</f>
        <v/>
      </c>
      <c r="AN1029">
        <f>IF(SUMIFS(T_PlannedOrders[EffectiveQty],T_PlannedOrders[Part Name],$A1011,T_PlannedOrders[WeekIndex],37)=0,"",SUMIFS(T_PlannedOrders[EffectiveQty],T_PlannedOrders[Part Name],$A1011,T_PlannedOrders[WeekIndex],37)&amp;" ("&amp;TEXT(SUMPRODUCT(MAX((T_PlannedOrders[Part Name]=$A1011)*(T_PlannedOrders[WeekIndex]=37)*(T_PlannedOrders[EffectiveQty]&gt;0)*T_PlannedOrders[Order_Month])),"m月")&amp;"発注)")</f>
        <v/>
      </c>
      <c r="AO1029">
        <f>IF(SUMIFS(T_PlannedOrders[EffectiveQty],T_PlannedOrders[Part Name],$A1011,T_PlannedOrders[WeekIndex],38)=0,"",SUMIFS(T_PlannedOrders[EffectiveQty],T_PlannedOrders[Part Name],$A1011,T_PlannedOrders[WeekIndex],38)&amp;" ("&amp;TEXT(SUMPRODUCT(MAX((T_PlannedOrders[Part Name]=$A1011)*(T_PlannedOrders[WeekIndex]=38)*(T_PlannedOrders[EffectiveQty]&gt;0)*T_PlannedOrders[Order_Month])),"m月")&amp;"発注)")</f>
        <v/>
      </c>
      <c r="AP1029">
        <f>IF(SUMIFS(T_PlannedOrders[EffectiveQty],T_PlannedOrders[Part Name],$A1011,T_PlannedOrders[WeekIndex],39)=0,"",SUMIFS(T_PlannedOrders[EffectiveQty],T_PlannedOrders[Part Name],$A1011,T_PlannedOrders[WeekIndex],39)&amp;" ("&amp;TEXT(SUMPRODUCT(MAX((T_PlannedOrders[Part Name]=$A1011)*(T_PlannedOrders[WeekIndex]=39)*(T_PlannedOrders[EffectiveQty]&gt;0)*T_PlannedOrders[Order_Month])),"m月")&amp;"発注)")</f>
        <v/>
      </c>
      <c r="AQ1029">
        <f>IF(SUMIFS(T_PlannedOrders[EffectiveQty],T_PlannedOrders[Part Name],$A1011,T_PlannedOrders[WeekIndex],40)=0,"",SUMIFS(T_PlannedOrders[EffectiveQty],T_PlannedOrders[Part Name],$A1011,T_PlannedOrders[WeekIndex],40)&amp;" ("&amp;TEXT(SUMPRODUCT(MAX((T_PlannedOrders[Part Name]=$A1011)*(T_PlannedOrders[WeekIndex]=40)*(T_PlannedOrders[EffectiveQty]&gt;0)*T_PlannedOrders[Order_Month])),"m月")&amp;"発注)")</f>
        <v/>
      </c>
      <c r="AR1029">
        <f>IF(SUMIFS(T_PlannedOrders[EffectiveQty],T_PlannedOrders[Part Name],$A1011,T_PlannedOrders[WeekIndex],41)=0,"",SUMIFS(T_PlannedOrders[EffectiveQty],T_PlannedOrders[Part Name],$A1011,T_PlannedOrders[WeekIndex],41)&amp;" ("&amp;TEXT(SUMPRODUCT(MAX((T_PlannedOrders[Part Name]=$A1011)*(T_PlannedOrders[WeekIndex]=41)*(T_PlannedOrders[EffectiveQty]&gt;0)*T_PlannedOrders[Order_Month])),"m月")&amp;"発注)")</f>
        <v/>
      </c>
      <c r="AS1029">
        <f>IF(SUMIFS(T_PlannedOrders[EffectiveQty],T_PlannedOrders[Part Name],$A1011,T_PlannedOrders[WeekIndex],42)=0,"",SUMIFS(T_PlannedOrders[EffectiveQty],T_PlannedOrders[Part Name],$A1011,T_PlannedOrders[WeekIndex],42)&amp;" ("&amp;TEXT(SUMPRODUCT(MAX((T_PlannedOrders[Part Name]=$A1011)*(T_PlannedOrders[WeekIndex]=42)*(T_PlannedOrders[EffectiveQty]&gt;0)*T_PlannedOrders[Order_Month])),"m月")&amp;"発注)")</f>
        <v/>
      </c>
      <c r="AT1029">
        <f>IF(SUMIFS(T_PlannedOrders[EffectiveQty],T_PlannedOrders[Part Name],$A1011,T_PlannedOrders[WeekIndex],43)=0,"",SUMIFS(T_PlannedOrders[EffectiveQty],T_PlannedOrders[Part Name],$A1011,T_PlannedOrders[WeekIndex],43)&amp;" ("&amp;TEXT(SUMPRODUCT(MAX((T_PlannedOrders[Part Name]=$A1011)*(T_PlannedOrders[WeekIndex]=43)*(T_PlannedOrders[EffectiveQty]&gt;0)*T_PlannedOrders[Order_Month])),"m月")&amp;"発注)")</f>
        <v/>
      </c>
      <c r="AU1029">
        <f>IF(SUMIFS(T_PlannedOrders[EffectiveQty],T_PlannedOrders[Part Name],$A1011,T_PlannedOrders[WeekIndex],44)=0,"",SUMIFS(T_PlannedOrders[EffectiveQty],T_PlannedOrders[Part Name],$A1011,T_PlannedOrders[WeekIndex],44)&amp;" ("&amp;TEXT(SUMPRODUCT(MAX((T_PlannedOrders[Part Name]=$A1011)*(T_PlannedOrders[WeekIndex]=44)*(T_PlannedOrders[EffectiveQty]&gt;0)*T_PlannedOrders[Order_Month])),"m月")&amp;"発注)")</f>
        <v/>
      </c>
      <c r="AV1029">
        <f>IF(SUMIFS(T_PlannedOrders[EffectiveQty],T_PlannedOrders[Part Name],$A1011,T_PlannedOrders[WeekIndex],45)=0,"",SUMIFS(T_PlannedOrders[EffectiveQty],T_PlannedOrders[Part Name],$A1011,T_PlannedOrders[WeekIndex],45)&amp;" ("&amp;TEXT(SUMPRODUCT(MAX((T_PlannedOrders[Part Name]=$A1011)*(T_PlannedOrders[WeekIndex]=45)*(T_PlannedOrders[EffectiveQty]&gt;0)*T_PlannedOrders[Order_Month])),"m月")&amp;"発注)")</f>
        <v/>
      </c>
      <c r="AW1029">
        <f>IF(SUMIFS(T_PlannedOrders[EffectiveQty],T_PlannedOrders[Part Name],$A1011,T_PlannedOrders[WeekIndex],46)=0,"",SUMIFS(T_PlannedOrders[EffectiveQty],T_PlannedOrders[Part Name],$A1011,T_PlannedOrders[WeekIndex],46)&amp;" ("&amp;TEXT(SUMPRODUCT(MAX((T_PlannedOrders[Part Name]=$A1011)*(T_PlannedOrders[WeekIndex]=46)*(T_PlannedOrders[EffectiveQty]&gt;0)*T_PlannedOrders[Order_Month])),"m月")&amp;"発注)")</f>
        <v/>
      </c>
      <c r="AX1029">
        <f>IF(SUMIFS(T_PlannedOrders[EffectiveQty],T_PlannedOrders[Part Name],$A1011,T_PlannedOrders[WeekIndex],47)=0,"",SUMIFS(T_PlannedOrders[EffectiveQty],T_PlannedOrders[Part Name],$A1011,T_PlannedOrders[WeekIndex],47)&amp;" ("&amp;TEXT(SUMPRODUCT(MAX((T_PlannedOrders[Part Name]=$A1011)*(T_PlannedOrders[WeekIndex]=47)*(T_PlannedOrders[EffectiveQty]&gt;0)*T_PlannedOrders[Order_Month])),"m月")&amp;"発注)")</f>
        <v/>
      </c>
      <c r="AY1029">
        <f>IF(SUMIFS(T_PlannedOrders[EffectiveQty],T_PlannedOrders[Part Name],$A1011,T_PlannedOrders[WeekIndex],48)=0,"",SUMIFS(T_PlannedOrders[EffectiveQty],T_PlannedOrders[Part Name],$A1011,T_PlannedOrders[WeekIndex],48)&amp;" ("&amp;TEXT(SUMPRODUCT(MAX((T_PlannedOrders[Part Name]=$A1011)*(T_PlannedOrders[WeekIndex]=48)*(T_PlannedOrders[EffectiveQty]&gt;0)*T_PlannedOrders[Order_Month])),"m月")&amp;"発注)")</f>
        <v/>
      </c>
      <c r="AZ1029">
        <f>IF(SUMIFS(T_PlannedOrders[EffectiveQty],T_PlannedOrders[Part Name],$A1011,T_PlannedOrders[WeekIndex],49)=0,"",SUMIFS(T_PlannedOrders[EffectiveQty],T_PlannedOrders[Part Name],$A1011,T_PlannedOrders[WeekIndex],49)&amp;" ("&amp;TEXT(SUMPRODUCT(MAX((T_PlannedOrders[Part Name]=$A1011)*(T_PlannedOrders[WeekIndex]=49)*(T_PlannedOrders[EffectiveQty]&gt;0)*T_PlannedOrders[Order_Month])),"m月")&amp;"発注)")</f>
        <v/>
      </c>
      <c r="BA1029">
        <f>IF(SUMIFS(T_PlannedOrders[EffectiveQty],T_PlannedOrders[Part Name],$A1011,T_PlannedOrders[WeekIndex],50)=0,"",SUMIFS(T_PlannedOrders[EffectiveQty],T_PlannedOrders[Part Name],$A1011,T_PlannedOrders[WeekIndex],50)&amp;" ("&amp;TEXT(SUMPRODUCT(MAX((T_PlannedOrders[Part Name]=$A1011)*(T_PlannedOrders[WeekIndex]=50)*(T_PlannedOrders[EffectiveQty]&gt;0)*T_PlannedOrders[Order_Month])),"m月")&amp;"発注)")</f>
        <v/>
      </c>
      <c r="BB1029">
        <f>IF(SUMIFS(T_PlannedOrders[EffectiveQty],T_PlannedOrders[Part Name],$A1011,T_PlannedOrders[WeekIndex],51)=0,"",SUMIFS(T_PlannedOrders[EffectiveQty],T_PlannedOrders[Part Name],$A1011,T_PlannedOrders[WeekIndex],51)&amp;" ("&amp;TEXT(SUMPRODUCT(MAX((T_PlannedOrders[Part Name]=$A1011)*(T_PlannedOrders[WeekIndex]=51)*(T_PlannedOrders[EffectiveQty]&gt;0)*T_PlannedOrders[Order_Month])),"m月")&amp;"発注)")</f>
        <v/>
      </c>
      <c r="BC1029">
        <f>IF(SUMIFS(T_PlannedOrders[EffectiveQty],T_PlannedOrders[Part Name],$A1011,T_PlannedOrders[WeekIndex],52)=0,"",SUMIFS(T_PlannedOrders[EffectiveQty],T_PlannedOrders[Part Name],$A1011,T_PlannedOrders[WeekIndex],52)&amp;" ("&amp;TEXT(SUMPRODUCT(MAX((T_PlannedOrders[Part Name]=$A1011)*(T_PlannedOrders[WeekIndex]=52)*(T_PlannedOrders[EffectiveQty]&gt;0)*T_PlannedOrders[Order_Month])),"m月")&amp;"発注)")</f>
        <v/>
      </c>
      <c r="BD1029">
        <f>IF(SUMIFS(T_PlannedOrders[EffectiveQty],T_PlannedOrders[Part Name],$A1011,T_PlannedOrders[WeekIndex],53)=0,"",SUMIFS(T_PlannedOrders[EffectiveQty],T_PlannedOrders[Part Name],$A1011,T_PlannedOrders[WeekIndex],53)&amp;" ("&amp;TEXT(SUMPRODUCT(MAX((T_PlannedOrders[Part Name]=$A1011)*(T_PlannedOrders[WeekIndex]=53)*(T_PlannedOrders[EffectiveQty]&gt;0)*T_PlannedOrders[Order_Month])),"m月")&amp;"発注)")</f>
        <v/>
      </c>
      <c r="BE1029">
        <f>IF(SUMIFS(T_PlannedOrders[EffectiveQty],T_PlannedOrders[Part Name],$A1011,T_PlannedOrders[WeekIndex],54)=0,"",SUMIFS(T_PlannedOrders[EffectiveQty],T_PlannedOrders[Part Name],$A1011,T_PlannedOrders[WeekIndex],54)&amp;" ("&amp;TEXT(SUMPRODUCT(MAX((T_PlannedOrders[Part Name]=$A1011)*(T_PlannedOrders[WeekIndex]=54)*(T_PlannedOrders[EffectiveQty]&gt;0)*T_PlannedOrders[Order_Month])),"m月")&amp;"発注)")</f>
        <v/>
      </c>
      <c r="BF1029">
        <f>IF(SUMIFS(T_PlannedOrders[EffectiveQty],T_PlannedOrders[Part Name],$A1011,T_PlannedOrders[WeekIndex],55)=0,"",SUMIFS(T_PlannedOrders[EffectiveQty],T_PlannedOrders[Part Name],$A1011,T_PlannedOrders[WeekIndex],55)&amp;" ("&amp;TEXT(SUMPRODUCT(MAX((T_PlannedOrders[Part Name]=$A1011)*(T_PlannedOrders[WeekIndex]=55)*(T_PlannedOrders[EffectiveQty]&gt;0)*T_PlannedOrders[Order_Month])),"m月")&amp;"発注)")</f>
        <v/>
      </c>
      <c r="BG1029">
        <f>IF(SUMIFS(T_PlannedOrders[EffectiveQty],T_PlannedOrders[Part Name],$A1011,T_PlannedOrders[WeekIndex],56)=0,"",SUMIFS(T_PlannedOrders[EffectiveQty],T_PlannedOrders[Part Name],$A1011,T_PlannedOrders[WeekIndex],56)&amp;" ("&amp;TEXT(SUMPRODUCT(MAX((T_PlannedOrders[Part Name]=$A1011)*(T_PlannedOrders[WeekIndex]=56)*(T_PlannedOrders[EffectiveQty]&gt;0)*T_PlannedOrders[Order_Month])),"m月")&amp;"発注)")</f>
        <v/>
      </c>
      <c r="BH1029">
        <f>IF(SUMIFS(T_PlannedOrders[EffectiveQty],T_PlannedOrders[Part Name],$A1011,T_PlannedOrders[WeekIndex],57)=0,"",SUMIFS(T_PlannedOrders[EffectiveQty],T_PlannedOrders[Part Name],$A1011,T_PlannedOrders[WeekIndex],57)&amp;" ("&amp;TEXT(SUMPRODUCT(MAX((T_PlannedOrders[Part Name]=$A1011)*(T_PlannedOrders[WeekIndex]=57)*(T_PlannedOrders[EffectiveQty]&gt;0)*T_PlannedOrders[Order_Month])),"m月")&amp;"発注)")</f>
        <v/>
      </c>
      <c r="BI1029">
        <f>IF(SUMIFS(T_PlannedOrders[EffectiveQty],T_PlannedOrders[Part Name],$A1011,T_PlannedOrders[WeekIndex],58)=0,"",SUMIFS(T_PlannedOrders[EffectiveQty],T_PlannedOrders[Part Name],$A1011,T_PlannedOrders[WeekIndex],58)&amp;" ("&amp;TEXT(SUMPRODUCT(MAX((T_PlannedOrders[Part Name]=$A1011)*(T_PlannedOrders[WeekIndex]=58)*(T_PlannedOrders[EffectiveQty]&gt;0)*T_PlannedOrders[Order_Month])),"m月")&amp;"発注)")</f>
        <v/>
      </c>
      <c r="BJ1029">
        <f>IF(SUMIFS(T_PlannedOrders[EffectiveQty],T_PlannedOrders[Part Name],$A1011,T_PlannedOrders[WeekIndex],59)=0,"",SUMIFS(T_PlannedOrders[EffectiveQty],T_PlannedOrders[Part Name],$A1011,T_PlannedOrders[WeekIndex],59)&amp;" ("&amp;TEXT(SUMPRODUCT(MAX((T_PlannedOrders[Part Name]=$A1011)*(T_PlannedOrders[WeekIndex]=59)*(T_PlannedOrders[EffectiveQty]&gt;0)*T_PlannedOrders[Order_Month])),"m月")&amp;"発注)")</f>
        <v/>
      </c>
      <c r="BK1029">
        <f>IF(SUMIFS(T_PlannedOrders[EffectiveQty],T_PlannedOrders[Part Name],$A1011,T_PlannedOrders[WeekIndex],60)=0,"",SUMIFS(T_PlannedOrders[EffectiveQty],T_PlannedOrders[Part Name],$A1011,T_PlannedOrders[WeekIndex],60)&amp;" ("&amp;TEXT(SUMPRODUCT(MAX((T_PlannedOrders[Part Name]=$A1011)*(T_PlannedOrders[WeekIndex]=60)*(T_PlannedOrders[EffectiveQty]&gt;0)*T_PlannedOrders[Order_Month])),"m月")&amp;"発注)")</f>
        <v/>
      </c>
      <c r="BL1029">
        <f>IF(SUMIFS(T_PlannedOrders[EffectiveQty],T_PlannedOrders[Part Name],$A1011,T_PlannedOrders[WeekIndex],61)=0,"",SUMIFS(T_PlannedOrders[EffectiveQty],T_PlannedOrders[Part Name],$A1011,T_PlannedOrders[WeekIndex],61)&amp;" ("&amp;TEXT(SUMPRODUCT(MAX((T_PlannedOrders[Part Name]=$A1011)*(T_PlannedOrders[WeekIndex]=61)*(T_PlannedOrders[EffectiveQty]&gt;0)*T_PlannedOrders[Order_Month])),"m月")&amp;"発注)")</f>
        <v/>
      </c>
      <c r="BM1029">
        <f>IF(SUMIFS(T_PlannedOrders[EffectiveQty],T_PlannedOrders[Part Name],$A1011,T_PlannedOrders[WeekIndex],62)=0,"",SUMIFS(T_PlannedOrders[EffectiveQty],T_PlannedOrders[Part Name],$A1011,T_PlannedOrders[WeekIndex],62)&amp;" ("&amp;TEXT(SUMPRODUCT(MAX((T_PlannedOrders[Part Name]=$A1011)*(T_PlannedOrders[WeekIndex]=62)*(T_PlannedOrders[EffectiveQty]&gt;0)*T_PlannedOrders[Order_Month])),"m月")&amp;"発注)")</f>
        <v/>
      </c>
      <c r="BN1029">
        <f>IF(SUMIFS(T_PlannedOrders[EffectiveQty],T_PlannedOrders[Part Name],$A1011,T_PlannedOrders[WeekIndex],63)=0,"",SUMIFS(T_PlannedOrders[EffectiveQty],T_PlannedOrders[Part Name],$A1011,T_PlannedOrders[WeekIndex],63)&amp;" ("&amp;TEXT(SUMPRODUCT(MAX((T_PlannedOrders[Part Name]=$A1011)*(T_PlannedOrders[WeekIndex]=63)*(T_PlannedOrders[EffectiveQty]&gt;0)*T_PlannedOrders[Order_Month])),"m月")&amp;"発注)")</f>
        <v/>
      </c>
      <c r="BO1029">
        <f>IF(SUMIFS(T_PlannedOrders[EffectiveQty],T_PlannedOrders[Part Name],$A1011,T_PlannedOrders[WeekIndex],64)=0,"",SUMIFS(T_PlannedOrders[EffectiveQty],T_PlannedOrders[Part Name],$A1011,T_PlannedOrders[WeekIndex],64)&amp;" ("&amp;TEXT(SUMPRODUCT(MAX((T_PlannedOrders[Part Name]=$A1011)*(T_PlannedOrders[WeekIndex]=64)*(T_PlannedOrders[EffectiveQty]&gt;0)*T_PlannedOrders[Order_Month])),"m月")&amp;"発注)")</f>
        <v/>
      </c>
      <c r="BP1029">
        <f>IF(SUMIFS(T_PlannedOrders[EffectiveQty],T_PlannedOrders[Part Name],$A1011,T_PlannedOrders[WeekIndex],65)=0,"",SUMIFS(T_PlannedOrders[EffectiveQty],T_PlannedOrders[Part Name],$A1011,T_PlannedOrders[WeekIndex],65)&amp;" ("&amp;TEXT(SUMPRODUCT(MAX((T_PlannedOrders[Part Name]=$A1011)*(T_PlannedOrders[WeekIndex]=65)*(T_PlannedOrders[EffectiveQty]&gt;0)*T_PlannedOrders[Order_Month])),"m月")&amp;"発注)")</f>
        <v/>
      </c>
      <c r="BQ1029">
        <f>IF(SUMIFS(T_PlannedOrders[EffectiveQty],T_PlannedOrders[Part Name],$A1011,T_PlannedOrders[WeekIndex],66)=0,"",SUMIFS(T_PlannedOrders[EffectiveQty],T_PlannedOrders[Part Name],$A1011,T_PlannedOrders[WeekIndex],66)&amp;" ("&amp;TEXT(SUMPRODUCT(MAX((T_PlannedOrders[Part Name]=$A1011)*(T_PlannedOrders[WeekIndex]=66)*(T_PlannedOrders[EffectiveQty]&gt;0)*T_PlannedOrders[Order_Month])),"m月")&amp;"発注)")</f>
        <v/>
      </c>
      <c r="BR1029">
        <f>IF(SUMIFS(T_PlannedOrders[EffectiveQty],T_PlannedOrders[Part Name],$A1011,T_PlannedOrders[WeekIndex],67)=0,"",SUMIFS(T_PlannedOrders[EffectiveQty],T_PlannedOrders[Part Name],$A1011,T_PlannedOrders[WeekIndex],67)&amp;" ("&amp;TEXT(SUMPRODUCT(MAX((T_PlannedOrders[Part Name]=$A1011)*(T_PlannedOrders[WeekIndex]=67)*(T_PlannedOrders[EffectiveQty]&gt;0)*T_PlannedOrders[Order_Month])),"m月")&amp;"発注)")</f>
        <v/>
      </c>
      <c r="BS1029">
        <f>IF(SUMIFS(T_PlannedOrders[EffectiveQty],T_PlannedOrders[Part Name],$A1011,T_PlannedOrders[WeekIndex],68)=0,"",SUMIFS(T_PlannedOrders[EffectiveQty],T_PlannedOrders[Part Name],$A1011,T_PlannedOrders[WeekIndex],68)&amp;" ("&amp;TEXT(SUMPRODUCT(MAX((T_PlannedOrders[Part Name]=$A1011)*(T_PlannedOrders[WeekIndex]=68)*(T_PlannedOrders[EffectiveQty]&gt;0)*T_PlannedOrders[Order_Month])),"m月")&amp;"発注)")</f>
        <v/>
      </c>
      <c r="BT1029">
        <f>IF(SUMIFS(T_PlannedOrders[EffectiveQty],T_PlannedOrders[Part Name],$A1011,T_PlannedOrders[WeekIndex],69)=0,"",SUMIFS(T_PlannedOrders[EffectiveQty],T_PlannedOrders[Part Name],$A1011,T_PlannedOrders[WeekIndex],69)&amp;" ("&amp;TEXT(SUMPRODUCT(MAX((T_PlannedOrders[Part Name]=$A1011)*(T_PlannedOrders[WeekIndex]=69)*(T_PlannedOrders[EffectiveQty]&gt;0)*T_PlannedOrders[Order_Month])),"m月")&amp;"発注)")</f>
        <v/>
      </c>
      <c r="BU1029">
        <f>IF(SUMIFS(T_PlannedOrders[EffectiveQty],T_PlannedOrders[Part Name],$A1011,T_PlannedOrders[WeekIndex],70)=0,"",SUMIFS(T_PlannedOrders[EffectiveQty],T_PlannedOrders[Part Name],$A1011,T_PlannedOrders[WeekIndex],70)&amp;" ("&amp;TEXT(SUMPRODUCT(MAX((T_PlannedOrders[Part Name]=$A1011)*(T_PlannedOrders[WeekIndex]=70)*(T_PlannedOrders[EffectiveQty]&gt;0)*T_PlannedOrders[Order_Month])),"m月")&amp;"発注)")</f>
        <v/>
      </c>
      <c r="BV1029">
        <f>IF(SUMIFS(T_PlannedOrders[EffectiveQty],T_PlannedOrders[Part Name],$A1011,T_PlannedOrders[WeekIndex],71)=0,"",SUMIFS(T_PlannedOrders[EffectiveQty],T_PlannedOrders[Part Name],$A1011,T_PlannedOrders[WeekIndex],71)&amp;" ("&amp;TEXT(SUMPRODUCT(MAX((T_PlannedOrders[Part Name]=$A1011)*(T_PlannedOrders[WeekIndex]=71)*(T_PlannedOrders[EffectiveQty]&gt;0)*T_PlannedOrders[Order_Month])),"m月")&amp;"発注)")</f>
        <v/>
      </c>
      <c r="BW1029">
        <f>IF(SUMIFS(T_PlannedOrders[EffectiveQty],T_PlannedOrders[Part Name],$A1011,T_PlannedOrders[WeekIndex],72)=0,"",SUMIFS(T_PlannedOrders[EffectiveQty],T_PlannedOrders[Part Name],$A1011,T_PlannedOrders[WeekIndex],72)&amp;" ("&amp;TEXT(SUMPRODUCT(MAX((T_PlannedOrders[Part Name]=$A1011)*(T_PlannedOrders[WeekIndex]=72)*(T_PlannedOrders[EffectiveQty]&gt;0)*T_PlannedOrders[Order_Month])),"m月")&amp;"発注)")</f>
        <v/>
      </c>
      <c r="BX1029">
        <f>IF(SUMIFS(T_PlannedOrders[EffectiveQty],T_PlannedOrders[Part Name],$A1011,T_PlannedOrders[WeekIndex],73)=0,"",SUMIFS(T_PlannedOrders[EffectiveQty],T_PlannedOrders[Part Name],$A1011,T_PlannedOrders[WeekIndex],73)&amp;" ("&amp;TEXT(SUMPRODUCT(MAX((T_PlannedOrders[Part Name]=$A1011)*(T_PlannedOrders[WeekIndex]=73)*(T_PlannedOrders[EffectiveQty]&gt;0)*T_PlannedOrders[Order_Month])),"m月")&amp;"発注)")</f>
        <v/>
      </c>
      <c r="BY1029">
        <f>IF(SUMIFS(T_PlannedOrders[EffectiveQty],T_PlannedOrders[Part Name],$A1011,T_PlannedOrders[WeekIndex],74)=0,"",SUMIFS(T_PlannedOrders[EffectiveQty],T_PlannedOrders[Part Name],$A1011,T_PlannedOrders[WeekIndex],74)&amp;" ("&amp;TEXT(SUMPRODUCT(MAX((T_PlannedOrders[Part Name]=$A1011)*(T_PlannedOrders[WeekIndex]=74)*(T_PlannedOrders[EffectiveQty]&gt;0)*T_PlannedOrders[Order_Month])),"m月")&amp;"発注)")</f>
        <v/>
      </c>
      <c r="BZ1029">
        <f>IF(SUMIFS(T_PlannedOrders[EffectiveQty],T_PlannedOrders[Part Name],$A1011,T_PlannedOrders[WeekIndex],75)=0,"",SUMIFS(T_PlannedOrders[EffectiveQty],T_PlannedOrders[Part Name],$A1011,T_PlannedOrders[WeekIndex],75)&amp;" ("&amp;TEXT(SUMPRODUCT(MAX((T_PlannedOrders[Part Name]=$A1011)*(T_PlannedOrders[WeekIndex]=75)*(T_PlannedOrders[EffectiveQty]&gt;0)*T_PlannedOrders[Order_Month])),"m月")&amp;"発注)")</f>
        <v/>
      </c>
      <c r="CA1029">
        <f>IF(SUMIFS(T_PlannedOrders[EffectiveQty],T_PlannedOrders[Part Name],$A1011,T_PlannedOrders[WeekIndex],76)=0,"",SUMIFS(T_PlannedOrders[EffectiveQty],T_PlannedOrders[Part Name],$A1011,T_PlannedOrders[WeekIndex],76)&amp;" ("&amp;TEXT(SUMPRODUCT(MAX((T_PlannedOrders[Part Name]=$A1011)*(T_PlannedOrders[WeekIndex]=76)*(T_PlannedOrders[EffectiveQty]&gt;0)*T_PlannedOrders[Order_Month])),"m月")&amp;"発注)")</f>
        <v/>
      </c>
      <c r="CB1029">
        <f>IF(SUMIFS(T_PlannedOrders[EffectiveQty],T_PlannedOrders[Part Name],$A1011,T_PlannedOrders[WeekIndex],77)=0,"",SUMIFS(T_PlannedOrders[EffectiveQty],T_PlannedOrders[Part Name],$A1011,T_PlannedOrders[WeekIndex],77)&amp;" ("&amp;TEXT(SUMPRODUCT(MAX((T_PlannedOrders[Part Name]=$A1011)*(T_PlannedOrders[WeekIndex]=77)*(T_PlannedOrders[EffectiveQty]&gt;0)*T_PlannedOrders[Order_Month])),"m月")&amp;"発注)")</f>
        <v/>
      </c>
      <c r="CC1029">
        <f>IF(SUMIFS(T_PlannedOrders[EffectiveQty],T_PlannedOrders[Part Name],$A1011,T_PlannedOrders[WeekIndex],78)=0,"",SUMIFS(T_PlannedOrders[EffectiveQty],T_PlannedOrders[Part Name],$A1011,T_PlannedOrders[WeekIndex],78)&amp;" ("&amp;TEXT(SUMPRODUCT(MAX((T_PlannedOrders[Part Name]=$A1011)*(T_PlannedOrders[WeekIndex]=78)*(T_PlannedOrders[EffectiveQty]&gt;0)*T_PlannedOrders[Order_Month])),"m月")&amp;"発注)")</f>
        <v/>
      </c>
      <c r="CD1029">
        <f>IF(SUMIFS(T_PlannedOrders[EffectiveQty],T_PlannedOrders[Part Name],$A1011,T_PlannedOrders[WeekIndex],79)=0,"",SUMIFS(T_PlannedOrders[EffectiveQty],T_PlannedOrders[Part Name],$A1011,T_PlannedOrders[WeekIndex],79)&amp;" ("&amp;TEXT(SUMPRODUCT(MAX((T_PlannedOrders[Part Name]=$A1011)*(T_PlannedOrders[WeekIndex]=79)*(T_PlannedOrders[EffectiveQty]&gt;0)*T_PlannedOrders[Order_Month])),"m月")&amp;"発注)")</f>
        <v/>
      </c>
      <c r="CE1029">
        <f>IF(SUMIFS(T_PlannedOrders[EffectiveQty],T_PlannedOrders[Part Name],$A1011,T_PlannedOrders[WeekIndex],80)=0,"",SUMIFS(T_PlannedOrders[EffectiveQty],T_PlannedOrders[Part Name],$A1011,T_PlannedOrders[WeekIndex],80)&amp;" ("&amp;TEXT(SUMPRODUCT(MAX((T_PlannedOrders[Part Name]=$A1011)*(T_PlannedOrders[WeekIndex]=80)*(T_PlannedOrders[EffectiveQty]&gt;0)*T_PlannedOrders[Order_Month])),"m月")&amp;"発注)")</f>
        <v/>
      </c>
      <c r="CF1029">
        <f>IF(SUMIFS(T_PlannedOrders[EffectiveQty],T_PlannedOrders[Part Name],$A1011,T_PlannedOrders[WeekIndex],81)=0,"",SUMIFS(T_PlannedOrders[EffectiveQty],T_PlannedOrders[Part Name],$A1011,T_PlannedOrders[WeekIndex],81)&amp;" ("&amp;TEXT(SUMPRODUCT(MAX((T_PlannedOrders[Part Name]=$A1011)*(T_PlannedOrders[WeekIndex]=81)*(T_PlannedOrders[EffectiveQty]&gt;0)*T_PlannedOrders[Order_Month])),"m月")&amp;"発注)")</f>
        <v/>
      </c>
      <c r="CG1029">
        <f>IF(SUMIFS(T_PlannedOrders[EffectiveQty],T_PlannedOrders[Part Name],$A1011,T_PlannedOrders[WeekIndex],82)=0,"",SUMIFS(T_PlannedOrders[EffectiveQty],T_PlannedOrders[Part Name],$A1011,T_PlannedOrders[WeekIndex],82)&amp;" ("&amp;TEXT(SUMPRODUCT(MAX((T_PlannedOrders[Part Name]=$A1011)*(T_PlannedOrders[WeekIndex]=82)*(T_PlannedOrders[EffectiveQty]&gt;0)*T_PlannedOrders[Order_Month])),"m月")&amp;"発注)")</f>
        <v/>
      </c>
      <c r="CH1029">
        <f>IF(SUMIFS(T_PlannedOrders[EffectiveQty],T_PlannedOrders[Part Name],$A1011,T_PlannedOrders[WeekIndex],83)=0,"",SUMIFS(T_PlannedOrders[EffectiveQty],T_PlannedOrders[Part Name],$A1011,T_PlannedOrders[WeekIndex],83)&amp;" ("&amp;TEXT(SUMPRODUCT(MAX((T_PlannedOrders[Part Name]=$A1011)*(T_PlannedOrders[WeekIndex]=83)*(T_PlannedOrders[EffectiveQty]&gt;0)*T_PlannedOrders[Order_Month])),"m月")&amp;"発注)")</f>
        <v/>
      </c>
      <c r="CI1029">
        <f>IF(SUMIFS(T_PlannedOrders[EffectiveQty],T_PlannedOrders[Part Name],$A1011,T_PlannedOrders[WeekIndex],84)=0,"",SUMIFS(T_PlannedOrders[EffectiveQty],T_PlannedOrders[Part Name],$A1011,T_PlannedOrders[WeekIndex],84)&amp;" ("&amp;TEXT(SUMPRODUCT(MAX((T_PlannedOrders[Part Name]=$A1011)*(T_PlannedOrders[WeekIndex]=84)*(T_PlannedOrders[EffectiveQty]&gt;0)*T_PlannedOrders[Order_Month])),"m月")&amp;"発注)")</f>
        <v/>
      </c>
      <c r="CJ1029">
        <f>IF(SUMIFS(T_PlannedOrders[EffectiveQty],T_PlannedOrders[Part Name],$A1011,T_PlannedOrders[WeekIndex],85)=0,"",SUMIFS(T_PlannedOrders[EffectiveQty],T_PlannedOrders[Part Name],$A1011,T_PlannedOrders[WeekIndex],85)&amp;" ("&amp;TEXT(SUMPRODUCT(MAX((T_PlannedOrders[Part Name]=$A1011)*(T_PlannedOrders[WeekIndex]=85)*(T_PlannedOrders[EffectiveQty]&gt;0)*T_PlannedOrders[Order_Month])),"m月")&amp;"発注)")</f>
        <v/>
      </c>
      <c r="CK1029">
        <f>IF(SUMIFS(T_PlannedOrders[EffectiveQty],T_PlannedOrders[Part Name],$A1011,T_PlannedOrders[WeekIndex],86)=0,"",SUMIFS(T_PlannedOrders[EffectiveQty],T_PlannedOrders[Part Name],$A1011,T_PlannedOrders[WeekIndex],86)&amp;" ("&amp;TEXT(SUMPRODUCT(MAX((T_PlannedOrders[Part Name]=$A1011)*(T_PlannedOrders[WeekIndex]=86)*(T_PlannedOrders[EffectiveQty]&gt;0)*T_PlannedOrders[Order_Month])),"m月")&amp;"発注)")</f>
        <v/>
      </c>
      <c r="CL1029">
        <f>IF(SUMIFS(T_PlannedOrders[EffectiveQty],T_PlannedOrders[Part Name],$A1011,T_PlannedOrders[WeekIndex],87)=0,"",SUMIFS(T_PlannedOrders[EffectiveQty],T_PlannedOrders[Part Name],$A1011,T_PlannedOrders[WeekIndex],87)&amp;" ("&amp;TEXT(SUMPRODUCT(MAX((T_PlannedOrders[Part Name]=$A1011)*(T_PlannedOrders[WeekIndex]=87)*(T_PlannedOrders[EffectiveQty]&gt;0)*T_PlannedOrders[Order_Month])),"m月")&amp;"発注)")</f>
        <v/>
      </c>
      <c r="CM1029">
        <f>IF(SUMIFS(T_PlannedOrders[EffectiveQty],T_PlannedOrders[Part Name],$A1011,T_PlannedOrders[WeekIndex],88)=0,"",SUMIFS(T_PlannedOrders[EffectiveQty],T_PlannedOrders[Part Name],$A1011,T_PlannedOrders[WeekIndex],88)&amp;" ("&amp;TEXT(SUMPRODUCT(MAX((T_PlannedOrders[Part Name]=$A1011)*(T_PlannedOrders[WeekIndex]=88)*(T_PlannedOrders[EffectiveQty]&gt;0)*T_PlannedOrders[Order_Month])),"m月")&amp;"発注)")</f>
        <v/>
      </c>
      <c r="CN1029">
        <f>IF(SUMIFS(T_PlannedOrders[EffectiveQty],T_PlannedOrders[Part Name],$A1011,T_PlannedOrders[WeekIndex],89)=0,"",SUMIFS(T_PlannedOrders[EffectiveQty],T_PlannedOrders[Part Name],$A1011,T_PlannedOrders[WeekIndex],89)&amp;" ("&amp;TEXT(SUMPRODUCT(MAX((T_PlannedOrders[Part Name]=$A1011)*(T_PlannedOrders[WeekIndex]=89)*(T_PlannedOrders[EffectiveQty]&gt;0)*T_PlannedOrders[Order_Month])),"m月")&amp;"発注)")</f>
        <v/>
      </c>
      <c r="CO1029">
        <f>IF(SUMIFS(T_PlannedOrders[EffectiveQty],T_PlannedOrders[Part Name],$A1011,T_PlannedOrders[WeekIndex],90)=0,"",SUMIFS(T_PlannedOrders[EffectiveQty],T_PlannedOrders[Part Name],$A1011,T_PlannedOrders[WeekIndex],90)&amp;" ("&amp;TEXT(SUMPRODUCT(MAX((T_PlannedOrders[Part Name]=$A1011)*(T_PlannedOrders[WeekIndex]=90)*(T_PlannedOrders[EffectiveQty]&gt;0)*T_PlannedOrders[Order_Month])),"m月")&amp;"発注)")</f>
        <v/>
      </c>
      <c r="CP1029">
        <f>IF(SUMIFS(T_PlannedOrders[EffectiveQty],T_PlannedOrders[Part Name],$A1011,T_PlannedOrders[WeekIndex],91)=0,"",SUMIFS(T_PlannedOrders[EffectiveQty],T_PlannedOrders[Part Name],$A1011,T_PlannedOrders[WeekIndex],91)&amp;" ("&amp;TEXT(SUMPRODUCT(MAX((T_PlannedOrders[Part Name]=$A1011)*(T_PlannedOrders[WeekIndex]=91)*(T_PlannedOrders[EffectiveQty]&gt;0)*T_PlannedOrders[Order_Month])),"m月")&amp;"発注)")</f>
        <v/>
      </c>
      <c r="CQ1029">
        <f>IF(SUMIFS(T_PlannedOrders[EffectiveQty],T_PlannedOrders[Part Name],$A1011,T_PlannedOrders[WeekIndex],92)=0,"",SUMIFS(T_PlannedOrders[EffectiveQty],T_PlannedOrders[Part Name],$A1011,T_PlannedOrders[WeekIndex],92)&amp;" ("&amp;TEXT(SUMPRODUCT(MAX((T_PlannedOrders[Part Name]=$A1011)*(T_PlannedOrders[WeekIndex]=92)*(T_PlannedOrders[EffectiveQty]&gt;0)*T_PlannedOrders[Order_Month])),"m月")&amp;"発注)")</f>
        <v/>
      </c>
      <c r="CR1029">
        <f>IF(SUMIFS(T_PlannedOrders[EffectiveQty],T_PlannedOrders[Part Name],$A1011,T_PlannedOrders[WeekIndex],93)=0,"",SUMIFS(T_PlannedOrders[EffectiveQty],T_PlannedOrders[Part Name],$A1011,T_PlannedOrders[WeekIndex],93)&amp;" ("&amp;TEXT(SUMPRODUCT(MAX((T_PlannedOrders[Part Name]=$A1011)*(T_PlannedOrders[WeekIndex]=93)*(T_PlannedOrders[EffectiveQty]&gt;0)*T_PlannedOrders[Order_Month])),"m月")&amp;"発注)")</f>
        <v/>
      </c>
      <c r="CS1029">
        <f>IF(SUMIFS(T_PlannedOrders[EffectiveQty],T_PlannedOrders[Part Name],$A1011,T_PlannedOrders[WeekIndex],94)=0,"",SUMIFS(T_PlannedOrders[EffectiveQty],T_PlannedOrders[Part Name],$A1011,T_PlannedOrders[WeekIndex],94)&amp;" ("&amp;TEXT(SUMPRODUCT(MAX((T_PlannedOrders[Part Name]=$A1011)*(T_PlannedOrders[WeekIndex]=94)*(T_PlannedOrders[EffectiveQty]&gt;0)*T_PlannedOrders[Order_Month])),"m月")&amp;"発注)")</f>
        <v/>
      </c>
      <c r="CT1029">
        <f>IF(SUMIFS(T_PlannedOrders[EffectiveQty],T_PlannedOrders[Part Name],$A1011,T_PlannedOrders[WeekIndex],95)=0,"",SUMIFS(T_PlannedOrders[EffectiveQty],T_PlannedOrders[Part Name],$A1011,T_PlannedOrders[WeekIndex],95)&amp;" ("&amp;TEXT(SUMPRODUCT(MAX((T_PlannedOrders[Part Name]=$A1011)*(T_PlannedOrders[WeekIndex]=95)*(T_PlannedOrders[EffectiveQty]&gt;0)*T_PlannedOrders[Order_Month])),"m月")&amp;"発注)")</f>
        <v/>
      </c>
      <c r="CU1029">
        <f>IF(SUMIFS(T_PlannedOrders[EffectiveQty],T_PlannedOrders[Part Name],$A1011,T_PlannedOrders[WeekIndex],96)=0,"",SUMIFS(T_PlannedOrders[EffectiveQty],T_PlannedOrders[Part Name],$A1011,T_PlannedOrders[WeekIndex],96)&amp;" ("&amp;TEXT(SUMPRODUCT(MAX((T_PlannedOrders[Part Name]=$A1011)*(T_PlannedOrders[WeekIndex]=96)*(T_PlannedOrders[EffectiveQty]&gt;0)*T_PlannedOrders[Order_Month])),"m月")&amp;"発注)")</f>
        <v/>
      </c>
      <c r="CV1029">
        <f>IF(SUMIFS(T_PlannedOrders[EffectiveQty],T_PlannedOrders[Part Name],$A1011,T_PlannedOrders[WeekIndex],97)=0,"",SUMIFS(T_PlannedOrders[EffectiveQty],T_PlannedOrders[Part Name],$A1011,T_PlannedOrders[WeekIndex],97)&amp;" ("&amp;TEXT(SUMPRODUCT(MAX((T_PlannedOrders[Part Name]=$A1011)*(T_PlannedOrders[WeekIndex]=97)*(T_PlannedOrders[EffectiveQty]&gt;0)*T_PlannedOrders[Order_Month])),"m月")&amp;"発注)")</f>
        <v/>
      </c>
      <c r="CW1029">
        <f>IF(SUMIFS(T_PlannedOrders[EffectiveQty],T_PlannedOrders[Part Name],$A1011,T_PlannedOrders[WeekIndex],98)=0,"",SUMIFS(T_PlannedOrders[EffectiveQty],T_PlannedOrders[Part Name],$A1011,T_PlannedOrders[WeekIndex],98)&amp;" ("&amp;TEXT(SUMPRODUCT(MAX((T_PlannedOrders[Part Name]=$A1011)*(T_PlannedOrders[WeekIndex]=98)*(T_PlannedOrders[EffectiveQty]&gt;0)*T_PlannedOrders[Order_Month])),"m月")&amp;"発注)")</f>
        <v/>
      </c>
      <c r="CX1029">
        <f>IF(SUMIFS(T_PlannedOrders[EffectiveQty],T_PlannedOrders[Part Name],$A1011,T_PlannedOrders[WeekIndex],99)=0,"",SUMIFS(T_PlannedOrders[EffectiveQty],T_PlannedOrders[Part Name],$A1011,T_PlannedOrders[WeekIndex],99)&amp;" ("&amp;TEXT(SUMPRODUCT(MAX((T_PlannedOrders[Part Name]=$A1011)*(T_PlannedOrders[WeekIndex]=99)*(T_PlannedOrders[EffectiveQty]&gt;0)*T_PlannedOrders[Order_Month])),"m月")&amp;"発注)")</f>
        <v/>
      </c>
      <c r="CY1029">
        <f>IF(SUMIFS(T_PlannedOrders[EffectiveQty],T_PlannedOrders[Part Name],$A1011,T_PlannedOrders[WeekIndex],100)=0,"",SUMIFS(T_PlannedOrders[EffectiveQty],T_PlannedOrders[Part Name],$A1011,T_PlannedOrders[WeekIndex],100)&amp;" ("&amp;TEXT(SUMPRODUCT(MAX((T_PlannedOrders[Part Name]=$A1011)*(T_PlannedOrders[WeekIndex]=100)*(T_PlannedOrders[EffectiveQty]&gt;0)*T_PlannedOrders[Order_Month])),"m月")&amp;"発注)")</f>
        <v/>
      </c>
      <c r="CZ1029">
        <f>IF(SUMIFS(T_PlannedOrders[EffectiveQty],T_PlannedOrders[Part Name],$A1011,T_PlannedOrders[WeekIndex],101)=0,"",SUMIFS(T_PlannedOrders[EffectiveQty],T_PlannedOrders[Part Name],$A1011,T_PlannedOrders[WeekIndex],101)&amp;" ("&amp;TEXT(SUMPRODUCT(MAX((T_PlannedOrders[Part Name]=$A1011)*(T_PlannedOrders[WeekIndex]=101)*(T_PlannedOrders[EffectiveQty]&gt;0)*T_PlannedOrders[Order_Month])),"m月")&amp;"発注)")</f>
        <v/>
      </c>
      <c r="DA1029">
        <f>IF(SUMIFS(T_PlannedOrders[EffectiveQty],T_PlannedOrders[Part Name],$A1011,T_PlannedOrders[WeekIndex],102)=0,"",SUMIFS(T_PlannedOrders[EffectiveQty],T_PlannedOrders[Part Name],$A1011,T_PlannedOrders[WeekIndex],102)&amp;" ("&amp;TEXT(SUMPRODUCT(MAX((T_PlannedOrders[Part Name]=$A1011)*(T_PlannedOrders[WeekIndex]=102)*(T_PlannedOrders[EffectiveQty]&gt;0)*T_PlannedOrders[Order_Month])),"m月")&amp;"発注)")</f>
        <v/>
      </c>
      <c r="DB1029">
        <f>IF(SUMIFS(T_PlannedOrders[EffectiveQty],T_PlannedOrders[Part Name],$A1011,T_PlannedOrders[WeekIndex],103)=0,"",SUMIFS(T_PlannedOrders[EffectiveQty],T_PlannedOrders[Part Name],$A1011,T_PlannedOrders[WeekIndex],103)&amp;" ("&amp;TEXT(SUMPRODUCT(MAX((T_PlannedOrders[Part Name]=$A1011)*(T_PlannedOrders[WeekIndex]=103)*(T_PlannedOrders[EffectiveQty]&gt;0)*T_PlannedOrders[Order_Month])),"m月")&amp;"発注)")</f>
        <v/>
      </c>
      <c r="DC1029">
        <f>IF(SUMIFS(T_PlannedOrders[EffectiveQty],T_PlannedOrders[Part Name],$A1011,T_PlannedOrders[WeekIndex],104)=0,"",SUMIFS(T_PlannedOrders[EffectiveQty],T_PlannedOrders[Part Name],$A1011,T_PlannedOrders[WeekIndex],104)&amp;" ("&amp;TEXT(SUMPRODUCT(MAX((T_PlannedOrders[Part Name]=$A1011)*(T_PlannedOrders[WeekIndex]=104)*(T_PlannedOrders[EffectiveQty]&gt;0)*T_PlannedOrders[Order_Month])),"m月")&amp;"発注)")</f>
        <v/>
      </c>
    </row>
    <row r="1030">
      <c r="B1030" s="5" t="inlineStr">
        <is>
          <t>合計在庫(週末時点,kg)</t>
        </is>
      </c>
      <c r="D1030">
        <f>'Grid_Stock'!B15</f>
        <v/>
      </c>
      <c r="E1030">
        <f>'Grid_Stock'!C15</f>
        <v/>
      </c>
      <c r="F1030">
        <f>'Grid_Stock'!D15</f>
        <v/>
      </c>
      <c r="G1030">
        <f>'Grid_Stock'!E15</f>
        <v/>
      </c>
      <c r="H1030">
        <f>'Grid_Stock'!F15</f>
        <v/>
      </c>
      <c r="I1030">
        <f>'Grid_Stock'!G15</f>
        <v/>
      </c>
      <c r="J1030">
        <f>'Grid_Stock'!H15</f>
        <v/>
      </c>
      <c r="K1030">
        <f>'Grid_Stock'!I15</f>
        <v/>
      </c>
      <c r="L1030">
        <f>'Grid_Stock'!J15</f>
        <v/>
      </c>
      <c r="M1030">
        <f>'Grid_Stock'!K15</f>
        <v/>
      </c>
      <c r="N1030">
        <f>'Grid_Stock'!L15</f>
        <v/>
      </c>
      <c r="O1030">
        <f>'Grid_Stock'!M15</f>
        <v/>
      </c>
      <c r="P1030">
        <f>'Grid_Stock'!N15</f>
        <v/>
      </c>
      <c r="Q1030">
        <f>'Grid_Stock'!O15</f>
        <v/>
      </c>
      <c r="R1030">
        <f>'Grid_Stock'!P15</f>
        <v/>
      </c>
      <c r="S1030">
        <f>'Grid_Stock'!Q15</f>
        <v/>
      </c>
      <c r="T1030">
        <f>'Grid_Stock'!R15</f>
        <v/>
      </c>
      <c r="U1030">
        <f>'Grid_Stock'!S15</f>
        <v/>
      </c>
      <c r="V1030">
        <f>'Grid_Stock'!T15</f>
        <v/>
      </c>
      <c r="W1030">
        <f>'Grid_Stock'!U15</f>
        <v/>
      </c>
      <c r="X1030">
        <f>'Grid_Stock'!V15</f>
        <v/>
      </c>
      <c r="Y1030">
        <f>'Grid_Stock'!W15</f>
        <v/>
      </c>
      <c r="Z1030">
        <f>'Grid_Stock'!X15</f>
        <v/>
      </c>
      <c r="AA1030">
        <f>'Grid_Stock'!Y15</f>
        <v/>
      </c>
      <c r="AB1030">
        <f>'Grid_Stock'!Z15</f>
        <v/>
      </c>
      <c r="AC1030">
        <f>'Grid_Stock'!AA15</f>
        <v/>
      </c>
      <c r="AD1030">
        <f>'Grid_Stock'!AB15</f>
        <v/>
      </c>
      <c r="AE1030">
        <f>'Grid_Stock'!AC15</f>
        <v/>
      </c>
      <c r="AF1030">
        <f>'Grid_Stock'!AD15</f>
        <v/>
      </c>
      <c r="AG1030">
        <f>'Grid_Stock'!AE15</f>
        <v/>
      </c>
      <c r="AH1030">
        <f>'Grid_Stock'!AF15</f>
        <v/>
      </c>
      <c r="AI1030">
        <f>'Grid_Stock'!AG15</f>
        <v/>
      </c>
      <c r="AJ1030">
        <f>'Grid_Stock'!AH15</f>
        <v/>
      </c>
      <c r="AK1030">
        <f>'Grid_Stock'!AI15</f>
        <v/>
      </c>
      <c r="AL1030">
        <f>'Grid_Stock'!AJ15</f>
        <v/>
      </c>
      <c r="AM1030">
        <f>'Grid_Stock'!AK15</f>
        <v/>
      </c>
      <c r="AN1030">
        <f>'Grid_Stock'!AL15</f>
        <v/>
      </c>
      <c r="AO1030">
        <f>'Grid_Stock'!AM15</f>
        <v/>
      </c>
      <c r="AP1030">
        <f>'Grid_Stock'!AN15</f>
        <v/>
      </c>
      <c r="AQ1030">
        <f>'Grid_Stock'!AO15</f>
        <v/>
      </c>
      <c r="AR1030">
        <f>'Grid_Stock'!AP15</f>
        <v/>
      </c>
      <c r="AS1030">
        <f>'Grid_Stock'!AQ15</f>
        <v/>
      </c>
      <c r="AT1030">
        <f>'Grid_Stock'!AR15</f>
        <v/>
      </c>
      <c r="AU1030">
        <f>'Grid_Stock'!AS15</f>
        <v/>
      </c>
      <c r="AV1030">
        <f>'Grid_Stock'!AT15</f>
        <v/>
      </c>
      <c r="AW1030">
        <f>'Grid_Stock'!AU15</f>
        <v/>
      </c>
      <c r="AX1030">
        <f>'Grid_Stock'!AV15</f>
        <v/>
      </c>
      <c r="AY1030">
        <f>'Grid_Stock'!AW15</f>
        <v/>
      </c>
      <c r="AZ1030">
        <f>'Grid_Stock'!AX15</f>
        <v/>
      </c>
      <c r="BA1030">
        <f>'Grid_Stock'!AY15</f>
        <v/>
      </c>
      <c r="BB1030">
        <f>'Grid_Stock'!AZ15</f>
        <v/>
      </c>
      <c r="BC1030">
        <f>'Grid_Stock'!BA15</f>
        <v/>
      </c>
      <c r="BD1030">
        <f>'Grid_Stock'!BB15</f>
        <v/>
      </c>
      <c r="BE1030">
        <f>'Grid_Stock'!BC15</f>
        <v/>
      </c>
      <c r="BF1030">
        <f>'Grid_Stock'!BD15</f>
        <v/>
      </c>
      <c r="BG1030">
        <f>'Grid_Stock'!BE15</f>
        <v/>
      </c>
      <c r="BH1030">
        <f>'Grid_Stock'!BF15</f>
        <v/>
      </c>
      <c r="BI1030">
        <f>'Grid_Stock'!BG15</f>
        <v/>
      </c>
      <c r="BJ1030">
        <f>'Grid_Stock'!BH15</f>
        <v/>
      </c>
      <c r="BK1030">
        <f>'Grid_Stock'!BI15</f>
        <v/>
      </c>
      <c r="BL1030">
        <f>'Grid_Stock'!BJ15</f>
        <v/>
      </c>
      <c r="BM1030">
        <f>'Grid_Stock'!BK15</f>
        <v/>
      </c>
      <c r="BN1030">
        <f>'Grid_Stock'!BL15</f>
        <v/>
      </c>
      <c r="BO1030">
        <f>'Grid_Stock'!BM15</f>
        <v/>
      </c>
      <c r="BP1030">
        <f>'Grid_Stock'!BN15</f>
        <v/>
      </c>
      <c r="BQ1030">
        <f>'Grid_Stock'!BO15</f>
        <v/>
      </c>
      <c r="BR1030">
        <f>'Grid_Stock'!BP15</f>
        <v/>
      </c>
      <c r="BS1030">
        <f>'Grid_Stock'!BQ15</f>
        <v/>
      </c>
      <c r="BT1030">
        <f>'Grid_Stock'!BR15</f>
        <v/>
      </c>
      <c r="BU1030">
        <f>'Grid_Stock'!BS15</f>
        <v/>
      </c>
      <c r="BV1030">
        <f>'Grid_Stock'!BT15</f>
        <v/>
      </c>
      <c r="BW1030">
        <f>'Grid_Stock'!BU15</f>
        <v/>
      </c>
      <c r="BX1030">
        <f>'Grid_Stock'!BV15</f>
        <v/>
      </c>
      <c r="BY1030">
        <f>'Grid_Stock'!BW15</f>
        <v/>
      </c>
      <c r="BZ1030">
        <f>'Grid_Stock'!BX15</f>
        <v/>
      </c>
      <c r="CA1030">
        <f>'Grid_Stock'!BY15</f>
        <v/>
      </c>
      <c r="CB1030">
        <f>'Grid_Stock'!BZ15</f>
        <v/>
      </c>
      <c r="CC1030">
        <f>'Grid_Stock'!CA15</f>
        <v/>
      </c>
      <c r="CD1030">
        <f>'Grid_Stock'!CB15</f>
        <v/>
      </c>
      <c r="CE1030">
        <f>'Grid_Stock'!CC15</f>
        <v/>
      </c>
      <c r="CF1030">
        <f>'Grid_Stock'!CD15</f>
        <v/>
      </c>
      <c r="CG1030">
        <f>'Grid_Stock'!CE15</f>
        <v/>
      </c>
      <c r="CH1030">
        <f>'Grid_Stock'!CF15</f>
        <v/>
      </c>
      <c r="CI1030">
        <f>'Grid_Stock'!CG15</f>
        <v/>
      </c>
      <c r="CJ1030">
        <f>'Grid_Stock'!CH15</f>
        <v/>
      </c>
      <c r="CK1030">
        <f>'Grid_Stock'!CI15</f>
        <v/>
      </c>
      <c r="CL1030">
        <f>'Grid_Stock'!CJ15</f>
        <v/>
      </c>
      <c r="CM1030">
        <f>'Grid_Stock'!CK15</f>
        <v/>
      </c>
      <c r="CN1030">
        <f>'Grid_Stock'!CL15</f>
        <v/>
      </c>
      <c r="CO1030">
        <f>'Grid_Stock'!CM15</f>
        <v/>
      </c>
      <c r="CP1030">
        <f>'Grid_Stock'!CN15</f>
        <v/>
      </c>
      <c r="CQ1030">
        <f>'Grid_Stock'!CO15</f>
        <v/>
      </c>
      <c r="CR1030">
        <f>'Grid_Stock'!CP15</f>
        <v/>
      </c>
      <c r="CS1030">
        <f>'Grid_Stock'!CQ15</f>
        <v/>
      </c>
      <c r="CT1030">
        <f>'Grid_Stock'!CR15</f>
        <v/>
      </c>
      <c r="CU1030">
        <f>'Grid_Stock'!CS15</f>
        <v/>
      </c>
      <c r="CV1030">
        <f>'Grid_Stock'!CT15</f>
        <v/>
      </c>
      <c r="CW1030">
        <f>'Grid_Stock'!CU15</f>
        <v/>
      </c>
      <c r="CX1030">
        <f>'Grid_Stock'!CV15</f>
        <v/>
      </c>
      <c r="CY1030">
        <f>'Grid_Stock'!CW15</f>
        <v/>
      </c>
      <c r="CZ1030">
        <f>'Grid_Stock'!CX15</f>
        <v/>
      </c>
      <c r="DA1030">
        <f>'Grid_Stock'!CY15</f>
        <v/>
      </c>
      <c r="DB1030">
        <f>'Grid_Stock'!CZ15</f>
        <v/>
      </c>
      <c r="DC1030">
        <f>'Grid_Stock'!DA15</f>
        <v/>
      </c>
    </row>
    <row r="1031">
      <c r="B1031" s="23" t="inlineStr">
        <is>
          <t>（発注の目安はDashboardの基準在庫[下限/上限]と色分けを参照）</t>
        </is>
      </c>
    </row>
    <row r="1033">
      <c r="A1033" s="21" t="inlineStr">
        <is>
          <t>CHEM-1760</t>
        </is>
      </c>
      <c r="B1033" s="21" t="inlineStr">
        <is>
          <t>Pigment TC RED FD (A)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TVS-267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TVS-500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t="inlineStr">
        <is>
          <t>TVS-664</t>
        </is>
      </c>
      <c r="C1038" t="inlineStr">
        <is>
          <t>No. of batches</t>
        </is>
      </c>
      <c r="D1038">
        <f>IFERROR(INDEX(PP_Grid[#Data],$DD1038,2),0)</f>
        <v/>
      </c>
      <c r="E1038">
        <f>IFERROR(INDEX(PP_Grid[#Data],$DD1038,3),0)</f>
        <v/>
      </c>
      <c r="F1038">
        <f>IFERROR(INDEX(PP_Grid[#Data],$DD1038,4),0)</f>
        <v/>
      </c>
      <c r="G1038">
        <f>IFERROR(INDEX(PP_Grid[#Data],$DD1038,5),0)</f>
        <v/>
      </c>
      <c r="H1038">
        <f>IFERROR(INDEX(PP_Grid[#Data],$DD1038,6),0)</f>
        <v/>
      </c>
      <c r="I1038">
        <f>IFERROR(INDEX(PP_Grid[#Data],$DD1038,7),0)</f>
        <v/>
      </c>
      <c r="J1038">
        <f>IFERROR(INDEX(PP_Grid[#Data],$DD1038,8),0)</f>
        <v/>
      </c>
      <c r="K1038">
        <f>IFERROR(INDEX(PP_Grid[#Data],$DD1038,9),0)</f>
        <v/>
      </c>
      <c r="L1038">
        <f>IFERROR(INDEX(PP_Grid[#Data],$DD1038,10),0)</f>
        <v/>
      </c>
      <c r="M1038">
        <f>IFERROR(INDEX(PP_Grid[#Data],$DD1038,11),0)</f>
        <v/>
      </c>
      <c r="N1038">
        <f>IFERROR(INDEX(PP_Grid[#Data],$DD1038,12),0)</f>
        <v/>
      </c>
      <c r="O1038">
        <f>IFERROR(INDEX(PP_Grid[#Data],$DD1038,13),0)</f>
        <v/>
      </c>
      <c r="P1038">
        <f>IFERROR(INDEX(PP_Grid[#Data],$DD1038,14),0)</f>
        <v/>
      </c>
      <c r="Q1038">
        <f>IFERROR(INDEX(PP_Grid[#Data],$DD1038,15),0)</f>
        <v/>
      </c>
      <c r="R1038">
        <f>IFERROR(INDEX(PP_Grid[#Data],$DD1038,16),0)</f>
        <v/>
      </c>
      <c r="S1038">
        <f>IFERROR(INDEX(PP_Grid[#Data],$DD1038,17),0)</f>
        <v/>
      </c>
      <c r="T1038">
        <f>IFERROR(INDEX(PP_Grid[#Data],$DD1038,18),0)</f>
        <v/>
      </c>
      <c r="U1038">
        <f>IFERROR(INDEX(PP_Grid[#Data],$DD1038,19),0)</f>
        <v/>
      </c>
      <c r="V1038">
        <f>IFERROR(INDEX(PP_Grid[#Data],$DD1038,20),0)</f>
        <v/>
      </c>
      <c r="W1038">
        <f>IFERROR(INDEX(PP_Grid[#Data],$DD1038,21),0)</f>
        <v/>
      </c>
      <c r="X1038">
        <f>IFERROR(INDEX(PP_Grid[#Data],$DD1038,22),0)</f>
        <v/>
      </c>
      <c r="Y1038">
        <f>IFERROR(INDEX(PP_Grid[#Data],$DD1038,23),0)</f>
        <v/>
      </c>
      <c r="Z1038">
        <f>IFERROR(INDEX(PP_Grid[#Data],$DD1038,24),0)</f>
        <v/>
      </c>
      <c r="AA1038">
        <f>IFERROR(INDEX(PP_Grid[#Data],$DD1038,25),0)</f>
        <v/>
      </c>
      <c r="AB1038">
        <f>IFERROR(INDEX(PP_Grid[#Data],$DD1038,26),0)</f>
        <v/>
      </c>
      <c r="AC1038">
        <f>IFERROR(INDEX(PP_Grid[#Data],$DD1038,27),0)</f>
        <v/>
      </c>
      <c r="AD1038">
        <f>IFERROR(INDEX(PP_Grid[#Data],$DD1038,28),0)</f>
        <v/>
      </c>
      <c r="AE1038">
        <f>IFERROR(INDEX(PP_Grid[#Data],$DD1038,29),0)</f>
        <v/>
      </c>
      <c r="AF1038">
        <f>IFERROR(INDEX(PP_Grid[#Data],$DD1038,30),0)</f>
        <v/>
      </c>
      <c r="AG1038">
        <f>IFERROR(INDEX(PP_Grid[#Data],$DD1038,31),0)</f>
        <v/>
      </c>
      <c r="AH1038">
        <f>IFERROR(INDEX(PP_Grid[#Data],$DD1038,32),0)</f>
        <v/>
      </c>
      <c r="AI1038">
        <f>IFERROR(INDEX(PP_Grid[#Data],$DD1038,33),0)</f>
        <v/>
      </c>
      <c r="AJ1038">
        <f>IFERROR(INDEX(PP_Grid[#Data],$DD1038,34),0)</f>
        <v/>
      </c>
      <c r="AK1038">
        <f>IFERROR(INDEX(PP_Grid[#Data],$DD1038,35),0)</f>
        <v/>
      </c>
      <c r="AL1038">
        <f>IFERROR(INDEX(PP_Grid[#Data],$DD1038,36),0)</f>
        <v/>
      </c>
      <c r="AM1038">
        <f>IFERROR(INDEX(PP_Grid[#Data],$DD1038,37),0)</f>
        <v/>
      </c>
      <c r="AN1038">
        <f>IFERROR(INDEX(PP_Grid[#Data],$DD1038,38),0)</f>
        <v/>
      </c>
      <c r="AO1038">
        <f>IFERROR(INDEX(PP_Grid[#Data],$DD1038,39),0)</f>
        <v/>
      </c>
      <c r="AP1038">
        <f>IFERROR(INDEX(PP_Grid[#Data],$DD1038,40),0)</f>
        <v/>
      </c>
      <c r="AQ1038">
        <f>IFERROR(INDEX(PP_Grid[#Data],$DD1038,41),0)</f>
        <v/>
      </c>
      <c r="AR1038">
        <f>IFERROR(INDEX(PP_Grid[#Data],$DD1038,42),0)</f>
        <v/>
      </c>
      <c r="AS1038">
        <f>IFERROR(INDEX(PP_Grid[#Data],$DD1038,43),0)</f>
        <v/>
      </c>
      <c r="AT1038">
        <f>IFERROR(INDEX(PP_Grid[#Data],$DD1038,44),0)</f>
        <v/>
      </c>
      <c r="AU1038">
        <f>IFERROR(INDEX(PP_Grid[#Data],$DD1038,45),0)</f>
        <v/>
      </c>
      <c r="AV1038">
        <f>IFERROR(INDEX(PP_Grid[#Data],$DD1038,46),0)</f>
        <v/>
      </c>
      <c r="AW1038">
        <f>IFERROR(INDEX(PP_Grid[#Data],$DD1038,47),0)</f>
        <v/>
      </c>
      <c r="AX1038">
        <f>IFERROR(INDEX(PP_Grid[#Data],$DD1038,48),0)</f>
        <v/>
      </c>
      <c r="AY1038">
        <f>IFERROR(INDEX(PP_Grid[#Data],$DD1038,49),0)</f>
        <v/>
      </c>
      <c r="AZ1038">
        <f>IFERROR(INDEX(PP_Grid[#Data],$DD1038,50),0)</f>
        <v/>
      </c>
      <c r="BA1038">
        <f>IFERROR(INDEX(PP_Grid[#Data],$DD1038,51),0)</f>
        <v/>
      </c>
      <c r="BB1038">
        <f>IFERROR(INDEX(PP_Grid[#Data],$DD1038,52),0)</f>
        <v/>
      </c>
      <c r="BC1038">
        <f>IFERROR(INDEX(PP_Grid[#Data],$DD1038,53),0)</f>
        <v/>
      </c>
      <c r="BD1038">
        <f>IFERROR(INDEX(PP_Grid[#Data],$DD1038,54),0)</f>
        <v/>
      </c>
      <c r="BE1038">
        <f>IFERROR(INDEX(PP_Grid[#Data],$DD1038,55),0)</f>
        <v/>
      </c>
      <c r="BF1038">
        <f>IFERROR(INDEX(PP_Grid[#Data],$DD1038,56),0)</f>
        <v/>
      </c>
      <c r="BG1038">
        <f>IFERROR(INDEX(PP_Grid[#Data],$DD1038,57),0)</f>
        <v/>
      </c>
      <c r="BH1038">
        <f>IFERROR(INDEX(PP_Grid[#Data],$DD1038,58),0)</f>
        <v/>
      </c>
      <c r="BI1038">
        <f>IFERROR(INDEX(PP_Grid[#Data],$DD1038,59),0)</f>
        <v/>
      </c>
      <c r="BJ1038">
        <f>IFERROR(INDEX(PP_Grid[#Data],$DD1038,60),0)</f>
        <v/>
      </c>
      <c r="BK1038">
        <f>IFERROR(INDEX(PP_Grid[#Data],$DD1038,61),0)</f>
        <v/>
      </c>
      <c r="BL1038">
        <f>IFERROR(INDEX(PP_Grid[#Data],$DD1038,62),0)</f>
        <v/>
      </c>
      <c r="BM1038">
        <f>IFERROR(INDEX(PP_Grid[#Data],$DD1038,63),0)</f>
        <v/>
      </c>
      <c r="BN1038">
        <f>IFERROR(INDEX(PP_Grid[#Data],$DD1038,64),0)</f>
        <v/>
      </c>
      <c r="BO1038">
        <f>IFERROR(INDEX(PP_Grid[#Data],$DD1038,65),0)</f>
        <v/>
      </c>
      <c r="BP1038">
        <f>IFERROR(INDEX(PP_Grid[#Data],$DD1038,66),0)</f>
        <v/>
      </c>
      <c r="BQ1038">
        <f>IFERROR(INDEX(PP_Grid[#Data],$DD1038,67),0)</f>
        <v/>
      </c>
      <c r="BR1038">
        <f>IFERROR(INDEX(PP_Grid[#Data],$DD1038,68),0)</f>
        <v/>
      </c>
      <c r="BS1038">
        <f>IFERROR(INDEX(PP_Grid[#Data],$DD1038,69),0)</f>
        <v/>
      </c>
      <c r="BT1038">
        <f>IFERROR(INDEX(PP_Grid[#Data],$DD1038,70),0)</f>
        <v/>
      </c>
      <c r="BU1038">
        <f>IFERROR(INDEX(PP_Grid[#Data],$DD1038,71),0)</f>
        <v/>
      </c>
      <c r="BV1038">
        <f>IFERROR(INDEX(PP_Grid[#Data],$DD1038,72),0)</f>
        <v/>
      </c>
      <c r="BW1038">
        <f>IFERROR(INDEX(PP_Grid[#Data],$DD1038,73),0)</f>
        <v/>
      </c>
      <c r="BX1038">
        <f>IFERROR(INDEX(PP_Grid[#Data],$DD1038,74),0)</f>
        <v/>
      </c>
      <c r="BY1038">
        <f>IFERROR(INDEX(PP_Grid[#Data],$DD1038,75),0)</f>
        <v/>
      </c>
      <c r="BZ1038">
        <f>IFERROR(INDEX(PP_Grid[#Data],$DD1038,76),0)</f>
        <v/>
      </c>
      <c r="CA1038">
        <f>IFERROR(INDEX(PP_Grid[#Data],$DD1038,77),0)</f>
        <v/>
      </c>
      <c r="CB1038">
        <f>IFERROR(INDEX(PP_Grid[#Data],$DD1038,78),0)</f>
        <v/>
      </c>
      <c r="CC1038">
        <f>IFERROR(INDEX(PP_Grid[#Data],$DD1038,79),0)</f>
        <v/>
      </c>
      <c r="CD1038">
        <f>IFERROR(INDEX(PP_Grid[#Data],$DD1038,80),0)</f>
        <v/>
      </c>
      <c r="CE1038">
        <f>IFERROR(INDEX(PP_Grid[#Data],$DD1038,81),0)</f>
        <v/>
      </c>
      <c r="CF1038">
        <f>IFERROR(INDEX(PP_Grid[#Data],$DD1038,82),0)</f>
        <v/>
      </c>
      <c r="CG1038">
        <f>IFERROR(INDEX(PP_Grid[#Data],$DD1038,83),0)</f>
        <v/>
      </c>
      <c r="CH1038">
        <f>IFERROR(INDEX(PP_Grid[#Data],$DD1038,84),0)</f>
        <v/>
      </c>
      <c r="CI1038">
        <f>IFERROR(INDEX(PP_Grid[#Data],$DD1038,85),0)</f>
        <v/>
      </c>
      <c r="CJ1038">
        <f>IFERROR(INDEX(PP_Grid[#Data],$DD1038,86),0)</f>
        <v/>
      </c>
      <c r="CK1038">
        <f>IFERROR(INDEX(PP_Grid[#Data],$DD1038,87),0)</f>
        <v/>
      </c>
      <c r="CL1038">
        <f>IFERROR(INDEX(PP_Grid[#Data],$DD1038,88),0)</f>
        <v/>
      </c>
      <c r="CM1038">
        <f>IFERROR(INDEX(PP_Grid[#Data],$DD1038,89),0)</f>
        <v/>
      </c>
      <c r="CN1038">
        <f>IFERROR(INDEX(PP_Grid[#Data],$DD1038,90),0)</f>
        <v/>
      </c>
      <c r="CO1038">
        <f>IFERROR(INDEX(PP_Grid[#Data],$DD1038,91),0)</f>
        <v/>
      </c>
      <c r="CP1038">
        <f>IFERROR(INDEX(PP_Grid[#Data],$DD1038,92),0)</f>
        <v/>
      </c>
      <c r="CQ1038">
        <f>IFERROR(INDEX(PP_Grid[#Data],$DD1038,93),0)</f>
        <v/>
      </c>
      <c r="CR1038">
        <f>IFERROR(INDEX(PP_Grid[#Data],$DD1038,94),0)</f>
        <v/>
      </c>
      <c r="CS1038">
        <f>IFERROR(INDEX(PP_Grid[#Data],$DD1038,95),0)</f>
        <v/>
      </c>
      <c r="CT1038">
        <f>IFERROR(INDEX(PP_Grid[#Data],$DD1038,96),0)</f>
        <v/>
      </c>
      <c r="CU1038">
        <f>IFERROR(INDEX(PP_Grid[#Data],$DD1038,97),0)</f>
        <v/>
      </c>
      <c r="CV1038">
        <f>IFERROR(INDEX(PP_Grid[#Data],$DD1038,98),0)</f>
        <v/>
      </c>
      <c r="CW1038">
        <f>IFERROR(INDEX(PP_Grid[#Data],$DD1038,99),0)</f>
        <v/>
      </c>
      <c r="CX1038">
        <f>IFERROR(INDEX(PP_Grid[#Data],$DD1038,100),0)</f>
        <v/>
      </c>
      <c r="CY1038">
        <f>IFERROR(INDEX(PP_Grid[#Data],$DD1038,101),0)</f>
        <v/>
      </c>
      <c r="CZ1038">
        <f>IFERROR(INDEX(PP_Grid[#Data],$DD1038,102),0)</f>
        <v/>
      </c>
      <c r="DA1038">
        <f>IFERROR(INDEX(PP_Grid[#Data],$DD1038,103),0)</f>
        <v/>
      </c>
      <c r="DB1038">
        <f>IFERROR(INDEX(PP_Grid[#Data],$DD1038,104),0)</f>
        <v/>
      </c>
      <c r="DC1038">
        <f>IFERROR(INDEX(PP_Grid[#Data],$DD1038,105),0)</f>
        <v/>
      </c>
      <c r="DD1038" s="12">
        <f>IFERROR(MATCH($B1038,PP_Grid[Intermediate],0),99999)</f>
        <v/>
      </c>
    </row>
    <row r="1039">
      <c r="B1039" t="inlineStr">
        <is>
          <t>使用量(kg)</t>
        </is>
      </c>
      <c r="C1039">
        <f>SUMIFS(M_BOM[RM_Qty_Per_Batch],M_BOM[Intermediate],$B1038,M_BOM[Part Name],$A1033)</f>
        <v/>
      </c>
      <c r="D1039">
        <f>$C1039*D1038</f>
        <v/>
      </c>
      <c r="E1039">
        <f>$C1039*E1038</f>
        <v/>
      </c>
      <c r="F1039">
        <f>$C1039*F1038</f>
        <v/>
      </c>
      <c r="G1039">
        <f>$C1039*G1038</f>
        <v/>
      </c>
      <c r="H1039">
        <f>$C1039*H1038</f>
        <v/>
      </c>
      <c r="I1039">
        <f>$C1039*I1038</f>
        <v/>
      </c>
      <c r="J1039">
        <f>$C1039*J1038</f>
        <v/>
      </c>
      <c r="K1039">
        <f>$C1039*K1038</f>
        <v/>
      </c>
      <c r="L1039">
        <f>$C1039*L1038</f>
        <v/>
      </c>
      <c r="M1039">
        <f>$C1039*M1038</f>
        <v/>
      </c>
      <c r="N1039">
        <f>$C1039*N1038</f>
        <v/>
      </c>
      <c r="O1039">
        <f>$C1039*O1038</f>
        <v/>
      </c>
      <c r="P1039">
        <f>$C1039*P1038</f>
        <v/>
      </c>
      <c r="Q1039">
        <f>$C1039*Q1038</f>
        <v/>
      </c>
      <c r="R1039">
        <f>$C1039*R1038</f>
        <v/>
      </c>
      <c r="S1039">
        <f>$C1039*S1038</f>
        <v/>
      </c>
      <c r="T1039">
        <f>$C1039*T1038</f>
        <v/>
      </c>
      <c r="U1039">
        <f>$C1039*U1038</f>
        <v/>
      </c>
      <c r="V1039">
        <f>$C1039*V1038</f>
        <v/>
      </c>
      <c r="W1039">
        <f>$C1039*W1038</f>
        <v/>
      </c>
      <c r="X1039">
        <f>$C1039*X1038</f>
        <v/>
      </c>
      <c r="Y1039">
        <f>$C1039*Y1038</f>
        <v/>
      </c>
      <c r="Z1039">
        <f>$C1039*Z1038</f>
        <v/>
      </c>
      <c r="AA1039">
        <f>$C1039*AA1038</f>
        <v/>
      </c>
      <c r="AB1039">
        <f>$C1039*AB1038</f>
        <v/>
      </c>
      <c r="AC1039">
        <f>$C1039*AC1038</f>
        <v/>
      </c>
      <c r="AD1039">
        <f>$C1039*AD1038</f>
        <v/>
      </c>
      <c r="AE1039">
        <f>$C1039*AE1038</f>
        <v/>
      </c>
      <c r="AF1039">
        <f>$C1039*AF1038</f>
        <v/>
      </c>
      <c r="AG1039">
        <f>$C1039*AG1038</f>
        <v/>
      </c>
      <c r="AH1039">
        <f>$C1039*AH1038</f>
        <v/>
      </c>
      <c r="AI1039">
        <f>$C1039*AI1038</f>
        <v/>
      </c>
      <c r="AJ1039">
        <f>$C1039*AJ1038</f>
        <v/>
      </c>
      <c r="AK1039">
        <f>$C1039*AK1038</f>
        <v/>
      </c>
      <c r="AL1039">
        <f>$C1039*AL1038</f>
        <v/>
      </c>
      <c r="AM1039">
        <f>$C1039*AM1038</f>
        <v/>
      </c>
      <c r="AN1039">
        <f>$C1039*AN1038</f>
        <v/>
      </c>
      <c r="AO1039">
        <f>$C1039*AO1038</f>
        <v/>
      </c>
      <c r="AP1039">
        <f>$C1039*AP1038</f>
        <v/>
      </c>
      <c r="AQ1039">
        <f>$C1039*AQ1038</f>
        <v/>
      </c>
      <c r="AR1039">
        <f>$C1039*AR1038</f>
        <v/>
      </c>
      <c r="AS1039">
        <f>$C1039*AS1038</f>
        <v/>
      </c>
      <c r="AT1039">
        <f>$C1039*AT1038</f>
        <v/>
      </c>
      <c r="AU1039">
        <f>$C1039*AU1038</f>
        <v/>
      </c>
      <c r="AV1039">
        <f>$C1039*AV1038</f>
        <v/>
      </c>
      <c r="AW1039">
        <f>$C1039*AW1038</f>
        <v/>
      </c>
      <c r="AX1039">
        <f>$C1039*AX1038</f>
        <v/>
      </c>
      <c r="AY1039">
        <f>$C1039*AY1038</f>
        <v/>
      </c>
      <c r="AZ1039">
        <f>$C1039*AZ1038</f>
        <v/>
      </c>
      <c r="BA1039">
        <f>$C1039*BA1038</f>
        <v/>
      </c>
      <c r="BB1039">
        <f>$C1039*BB1038</f>
        <v/>
      </c>
      <c r="BC1039">
        <f>$C1039*BC1038</f>
        <v/>
      </c>
      <c r="BD1039">
        <f>$C1039*BD1038</f>
        <v/>
      </c>
      <c r="BE1039">
        <f>$C1039*BE1038</f>
        <v/>
      </c>
      <c r="BF1039">
        <f>$C1039*BF1038</f>
        <v/>
      </c>
      <c r="BG1039">
        <f>$C1039*BG1038</f>
        <v/>
      </c>
      <c r="BH1039">
        <f>$C1039*BH1038</f>
        <v/>
      </c>
      <c r="BI1039">
        <f>$C1039*BI1038</f>
        <v/>
      </c>
      <c r="BJ1039">
        <f>$C1039*BJ1038</f>
        <v/>
      </c>
      <c r="BK1039">
        <f>$C1039*BK1038</f>
        <v/>
      </c>
      <c r="BL1039">
        <f>$C1039*BL1038</f>
        <v/>
      </c>
      <c r="BM1039">
        <f>$C1039*BM1038</f>
        <v/>
      </c>
      <c r="BN1039">
        <f>$C1039*BN1038</f>
        <v/>
      </c>
      <c r="BO1039">
        <f>$C1039*BO1038</f>
        <v/>
      </c>
      <c r="BP1039">
        <f>$C1039*BP1038</f>
        <v/>
      </c>
      <c r="BQ1039">
        <f>$C1039*BQ1038</f>
        <v/>
      </c>
      <c r="BR1039">
        <f>$C1039*BR1038</f>
        <v/>
      </c>
      <c r="BS1039">
        <f>$C1039*BS1038</f>
        <v/>
      </c>
      <c r="BT1039">
        <f>$C1039*BT1038</f>
        <v/>
      </c>
      <c r="BU1039">
        <f>$C1039*BU1038</f>
        <v/>
      </c>
      <c r="BV1039">
        <f>$C1039*BV1038</f>
        <v/>
      </c>
      <c r="BW1039">
        <f>$C1039*BW1038</f>
        <v/>
      </c>
      <c r="BX1039">
        <f>$C1039*BX1038</f>
        <v/>
      </c>
      <c r="BY1039">
        <f>$C1039*BY1038</f>
        <v/>
      </c>
      <c r="BZ1039">
        <f>$C1039*BZ1038</f>
        <v/>
      </c>
      <c r="CA1039">
        <f>$C1039*CA1038</f>
        <v/>
      </c>
      <c r="CB1039">
        <f>$C1039*CB1038</f>
        <v/>
      </c>
      <c r="CC1039">
        <f>$C1039*CC1038</f>
        <v/>
      </c>
      <c r="CD1039">
        <f>$C1039*CD1038</f>
        <v/>
      </c>
      <c r="CE1039">
        <f>$C1039*CE1038</f>
        <v/>
      </c>
      <c r="CF1039">
        <f>$C1039*CF1038</f>
        <v/>
      </c>
      <c r="CG1039">
        <f>$C1039*CG1038</f>
        <v/>
      </c>
      <c r="CH1039">
        <f>$C1039*CH1038</f>
        <v/>
      </c>
      <c r="CI1039">
        <f>$C1039*CI1038</f>
        <v/>
      </c>
      <c r="CJ1039">
        <f>$C1039*CJ1038</f>
        <v/>
      </c>
      <c r="CK1039">
        <f>$C1039*CK1038</f>
        <v/>
      </c>
      <c r="CL1039">
        <f>$C1039*CL1038</f>
        <v/>
      </c>
      <c r="CM1039">
        <f>$C1039*CM1038</f>
        <v/>
      </c>
      <c r="CN1039">
        <f>$C1039*CN1038</f>
        <v/>
      </c>
      <c r="CO1039">
        <f>$C1039*CO1038</f>
        <v/>
      </c>
      <c r="CP1039">
        <f>$C1039*CP1038</f>
        <v/>
      </c>
      <c r="CQ1039">
        <f>$C1039*CQ1038</f>
        <v/>
      </c>
      <c r="CR1039">
        <f>$C1039*CR1038</f>
        <v/>
      </c>
      <c r="CS1039">
        <f>$C1039*CS1038</f>
        <v/>
      </c>
      <c r="CT1039">
        <f>$C1039*CT1038</f>
        <v/>
      </c>
      <c r="CU1039">
        <f>$C1039*CU1038</f>
        <v/>
      </c>
      <c r="CV1039">
        <f>$C1039*CV1038</f>
        <v/>
      </c>
      <c r="CW1039">
        <f>$C1039*CW1038</f>
        <v/>
      </c>
      <c r="CX1039">
        <f>$C1039*CX1038</f>
        <v/>
      </c>
      <c r="CY1039">
        <f>$C1039*CY1038</f>
        <v/>
      </c>
      <c r="CZ1039">
        <f>$C1039*CZ1038</f>
        <v/>
      </c>
      <c r="DA1039">
        <f>$C1039*DA1038</f>
        <v/>
      </c>
      <c r="DB1039">
        <f>$C1039*DB1038</f>
        <v/>
      </c>
      <c r="DC1039">
        <f>$C1039*DC1038</f>
        <v/>
      </c>
    </row>
    <row r="1040">
      <c r="B1040" t="inlineStr">
        <is>
          <t>TVS-833</t>
        </is>
      </c>
      <c r="C1040" t="inlineStr">
        <is>
          <t>No. of batches</t>
        </is>
      </c>
      <c r="D1040">
        <f>IFERROR(INDEX(PP_Grid[#Data],$DD1040,2),0)</f>
        <v/>
      </c>
      <c r="E1040">
        <f>IFERROR(INDEX(PP_Grid[#Data],$DD1040,3),0)</f>
        <v/>
      </c>
      <c r="F1040">
        <f>IFERROR(INDEX(PP_Grid[#Data],$DD1040,4),0)</f>
        <v/>
      </c>
      <c r="G1040">
        <f>IFERROR(INDEX(PP_Grid[#Data],$DD1040,5),0)</f>
        <v/>
      </c>
      <c r="H1040">
        <f>IFERROR(INDEX(PP_Grid[#Data],$DD1040,6),0)</f>
        <v/>
      </c>
      <c r="I1040">
        <f>IFERROR(INDEX(PP_Grid[#Data],$DD1040,7),0)</f>
        <v/>
      </c>
      <c r="J1040">
        <f>IFERROR(INDEX(PP_Grid[#Data],$DD1040,8),0)</f>
        <v/>
      </c>
      <c r="K1040">
        <f>IFERROR(INDEX(PP_Grid[#Data],$DD1040,9),0)</f>
        <v/>
      </c>
      <c r="L1040">
        <f>IFERROR(INDEX(PP_Grid[#Data],$DD1040,10),0)</f>
        <v/>
      </c>
      <c r="M1040">
        <f>IFERROR(INDEX(PP_Grid[#Data],$DD1040,11),0)</f>
        <v/>
      </c>
      <c r="N1040">
        <f>IFERROR(INDEX(PP_Grid[#Data],$DD1040,12),0)</f>
        <v/>
      </c>
      <c r="O1040">
        <f>IFERROR(INDEX(PP_Grid[#Data],$DD1040,13),0)</f>
        <v/>
      </c>
      <c r="P1040">
        <f>IFERROR(INDEX(PP_Grid[#Data],$DD1040,14),0)</f>
        <v/>
      </c>
      <c r="Q1040">
        <f>IFERROR(INDEX(PP_Grid[#Data],$DD1040,15),0)</f>
        <v/>
      </c>
      <c r="R1040">
        <f>IFERROR(INDEX(PP_Grid[#Data],$DD1040,16),0)</f>
        <v/>
      </c>
      <c r="S1040">
        <f>IFERROR(INDEX(PP_Grid[#Data],$DD1040,17),0)</f>
        <v/>
      </c>
      <c r="T1040">
        <f>IFERROR(INDEX(PP_Grid[#Data],$DD1040,18),0)</f>
        <v/>
      </c>
      <c r="U1040">
        <f>IFERROR(INDEX(PP_Grid[#Data],$DD1040,19),0)</f>
        <v/>
      </c>
      <c r="V1040">
        <f>IFERROR(INDEX(PP_Grid[#Data],$DD1040,20),0)</f>
        <v/>
      </c>
      <c r="W1040">
        <f>IFERROR(INDEX(PP_Grid[#Data],$DD1040,21),0)</f>
        <v/>
      </c>
      <c r="X1040">
        <f>IFERROR(INDEX(PP_Grid[#Data],$DD1040,22),0)</f>
        <v/>
      </c>
      <c r="Y1040">
        <f>IFERROR(INDEX(PP_Grid[#Data],$DD1040,23),0)</f>
        <v/>
      </c>
      <c r="Z1040">
        <f>IFERROR(INDEX(PP_Grid[#Data],$DD1040,24),0)</f>
        <v/>
      </c>
      <c r="AA1040">
        <f>IFERROR(INDEX(PP_Grid[#Data],$DD1040,25),0)</f>
        <v/>
      </c>
      <c r="AB1040">
        <f>IFERROR(INDEX(PP_Grid[#Data],$DD1040,26),0)</f>
        <v/>
      </c>
      <c r="AC1040">
        <f>IFERROR(INDEX(PP_Grid[#Data],$DD1040,27),0)</f>
        <v/>
      </c>
      <c r="AD1040">
        <f>IFERROR(INDEX(PP_Grid[#Data],$DD1040,28),0)</f>
        <v/>
      </c>
      <c r="AE1040">
        <f>IFERROR(INDEX(PP_Grid[#Data],$DD1040,29),0)</f>
        <v/>
      </c>
      <c r="AF1040">
        <f>IFERROR(INDEX(PP_Grid[#Data],$DD1040,30),0)</f>
        <v/>
      </c>
      <c r="AG1040">
        <f>IFERROR(INDEX(PP_Grid[#Data],$DD1040,31),0)</f>
        <v/>
      </c>
      <c r="AH1040">
        <f>IFERROR(INDEX(PP_Grid[#Data],$DD1040,32),0)</f>
        <v/>
      </c>
      <c r="AI1040">
        <f>IFERROR(INDEX(PP_Grid[#Data],$DD1040,33),0)</f>
        <v/>
      </c>
      <c r="AJ1040">
        <f>IFERROR(INDEX(PP_Grid[#Data],$DD1040,34),0)</f>
        <v/>
      </c>
      <c r="AK1040">
        <f>IFERROR(INDEX(PP_Grid[#Data],$DD1040,35),0)</f>
        <v/>
      </c>
      <c r="AL1040">
        <f>IFERROR(INDEX(PP_Grid[#Data],$DD1040,36),0)</f>
        <v/>
      </c>
      <c r="AM1040">
        <f>IFERROR(INDEX(PP_Grid[#Data],$DD1040,37),0)</f>
        <v/>
      </c>
      <c r="AN1040">
        <f>IFERROR(INDEX(PP_Grid[#Data],$DD1040,38),0)</f>
        <v/>
      </c>
      <c r="AO1040">
        <f>IFERROR(INDEX(PP_Grid[#Data],$DD1040,39),0)</f>
        <v/>
      </c>
      <c r="AP1040">
        <f>IFERROR(INDEX(PP_Grid[#Data],$DD1040,40),0)</f>
        <v/>
      </c>
      <c r="AQ1040">
        <f>IFERROR(INDEX(PP_Grid[#Data],$DD1040,41),0)</f>
        <v/>
      </c>
      <c r="AR1040">
        <f>IFERROR(INDEX(PP_Grid[#Data],$DD1040,42),0)</f>
        <v/>
      </c>
      <c r="AS1040">
        <f>IFERROR(INDEX(PP_Grid[#Data],$DD1040,43),0)</f>
        <v/>
      </c>
      <c r="AT1040">
        <f>IFERROR(INDEX(PP_Grid[#Data],$DD1040,44),0)</f>
        <v/>
      </c>
      <c r="AU1040">
        <f>IFERROR(INDEX(PP_Grid[#Data],$DD1040,45),0)</f>
        <v/>
      </c>
      <c r="AV1040">
        <f>IFERROR(INDEX(PP_Grid[#Data],$DD1040,46),0)</f>
        <v/>
      </c>
      <c r="AW1040">
        <f>IFERROR(INDEX(PP_Grid[#Data],$DD1040,47),0)</f>
        <v/>
      </c>
      <c r="AX1040">
        <f>IFERROR(INDEX(PP_Grid[#Data],$DD1040,48),0)</f>
        <v/>
      </c>
      <c r="AY1040">
        <f>IFERROR(INDEX(PP_Grid[#Data],$DD1040,49),0)</f>
        <v/>
      </c>
      <c r="AZ1040">
        <f>IFERROR(INDEX(PP_Grid[#Data],$DD1040,50),0)</f>
        <v/>
      </c>
      <c r="BA1040">
        <f>IFERROR(INDEX(PP_Grid[#Data],$DD1040,51),0)</f>
        <v/>
      </c>
      <c r="BB1040">
        <f>IFERROR(INDEX(PP_Grid[#Data],$DD1040,52),0)</f>
        <v/>
      </c>
      <c r="BC1040">
        <f>IFERROR(INDEX(PP_Grid[#Data],$DD1040,53),0)</f>
        <v/>
      </c>
      <c r="BD1040">
        <f>IFERROR(INDEX(PP_Grid[#Data],$DD1040,54),0)</f>
        <v/>
      </c>
      <c r="BE1040">
        <f>IFERROR(INDEX(PP_Grid[#Data],$DD1040,55),0)</f>
        <v/>
      </c>
      <c r="BF1040">
        <f>IFERROR(INDEX(PP_Grid[#Data],$DD1040,56),0)</f>
        <v/>
      </c>
      <c r="BG1040">
        <f>IFERROR(INDEX(PP_Grid[#Data],$DD1040,57),0)</f>
        <v/>
      </c>
      <c r="BH1040">
        <f>IFERROR(INDEX(PP_Grid[#Data],$DD1040,58),0)</f>
        <v/>
      </c>
      <c r="BI1040">
        <f>IFERROR(INDEX(PP_Grid[#Data],$DD1040,59),0)</f>
        <v/>
      </c>
      <c r="BJ1040">
        <f>IFERROR(INDEX(PP_Grid[#Data],$DD1040,60),0)</f>
        <v/>
      </c>
      <c r="BK1040">
        <f>IFERROR(INDEX(PP_Grid[#Data],$DD1040,61),0)</f>
        <v/>
      </c>
      <c r="BL1040">
        <f>IFERROR(INDEX(PP_Grid[#Data],$DD1040,62),0)</f>
        <v/>
      </c>
      <c r="BM1040">
        <f>IFERROR(INDEX(PP_Grid[#Data],$DD1040,63),0)</f>
        <v/>
      </c>
      <c r="BN1040">
        <f>IFERROR(INDEX(PP_Grid[#Data],$DD1040,64),0)</f>
        <v/>
      </c>
      <c r="BO1040">
        <f>IFERROR(INDEX(PP_Grid[#Data],$DD1040,65),0)</f>
        <v/>
      </c>
      <c r="BP1040">
        <f>IFERROR(INDEX(PP_Grid[#Data],$DD1040,66),0)</f>
        <v/>
      </c>
      <c r="BQ1040">
        <f>IFERROR(INDEX(PP_Grid[#Data],$DD1040,67),0)</f>
        <v/>
      </c>
      <c r="BR1040">
        <f>IFERROR(INDEX(PP_Grid[#Data],$DD1040,68),0)</f>
        <v/>
      </c>
      <c r="BS1040">
        <f>IFERROR(INDEX(PP_Grid[#Data],$DD1040,69),0)</f>
        <v/>
      </c>
      <c r="BT1040">
        <f>IFERROR(INDEX(PP_Grid[#Data],$DD1040,70),0)</f>
        <v/>
      </c>
      <c r="BU1040">
        <f>IFERROR(INDEX(PP_Grid[#Data],$DD1040,71),0)</f>
        <v/>
      </c>
      <c r="BV1040">
        <f>IFERROR(INDEX(PP_Grid[#Data],$DD1040,72),0)</f>
        <v/>
      </c>
      <c r="BW1040">
        <f>IFERROR(INDEX(PP_Grid[#Data],$DD1040,73),0)</f>
        <v/>
      </c>
      <c r="BX1040">
        <f>IFERROR(INDEX(PP_Grid[#Data],$DD1040,74),0)</f>
        <v/>
      </c>
      <c r="BY1040">
        <f>IFERROR(INDEX(PP_Grid[#Data],$DD1040,75),0)</f>
        <v/>
      </c>
      <c r="BZ1040">
        <f>IFERROR(INDEX(PP_Grid[#Data],$DD1040,76),0)</f>
        <v/>
      </c>
      <c r="CA1040">
        <f>IFERROR(INDEX(PP_Grid[#Data],$DD1040,77),0)</f>
        <v/>
      </c>
      <c r="CB1040">
        <f>IFERROR(INDEX(PP_Grid[#Data],$DD1040,78),0)</f>
        <v/>
      </c>
      <c r="CC1040">
        <f>IFERROR(INDEX(PP_Grid[#Data],$DD1040,79),0)</f>
        <v/>
      </c>
      <c r="CD1040">
        <f>IFERROR(INDEX(PP_Grid[#Data],$DD1040,80),0)</f>
        <v/>
      </c>
      <c r="CE1040">
        <f>IFERROR(INDEX(PP_Grid[#Data],$DD1040,81),0)</f>
        <v/>
      </c>
      <c r="CF1040">
        <f>IFERROR(INDEX(PP_Grid[#Data],$DD1040,82),0)</f>
        <v/>
      </c>
      <c r="CG1040">
        <f>IFERROR(INDEX(PP_Grid[#Data],$DD1040,83),0)</f>
        <v/>
      </c>
      <c r="CH1040">
        <f>IFERROR(INDEX(PP_Grid[#Data],$DD1040,84),0)</f>
        <v/>
      </c>
      <c r="CI1040">
        <f>IFERROR(INDEX(PP_Grid[#Data],$DD1040,85),0)</f>
        <v/>
      </c>
      <c r="CJ1040">
        <f>IFERROR(INDEX(PP_Grid[#Data],$DD1040,86),0)</f>
        <v/>
      </c>
      <c r="CK1040">
        <f>IFERROR(INDEX(PP_Grid[#Data],$DD1040,87),0)</f>
        <v/>
      </c>
      <c r="CL1040">
        <f>IFERROR(INDEX(PP_Grid[#Data],$DD1040,88),0)</f>
        <v/>
      </c>
      <c r="CM1040">
        <f>IFERROR(INDEX(PP_Grid[#Data],$DD1040,89),0)</f>
        <v/>
      </c>
      <c r="CN1040">
        <f>IFERROR(INDEX(PP_Grid[#Data],$DD1040,90),0)</f>
        <v/>
      </c>
      <c r="CO1040">
        <f>IFERROR(INDEX(PP_Grid[#Data],$DD1040,91),0)</f>
        <v/>
      </c>
      <c r="CP1040">
        <f>IFERROR(INDEX(PP_Grid[#Data],$DD1040,92),0)</f>
        <v/>
      </c>
      <c r="CQ1040">
        <f>IFERROR(INDEX(PP_Grid[#Data],$DD1040,93),0)</f>
        <v/>
      </c>
      <c r="CR1040">
        <f>IFERROR(INDEX(PP_Grid[#Data],$DD1040,94),0)</f>
        <v/>
      </c>
      <c r="CS1040">
        <f>IFERROR(INDEX(PP_Grid[#Data],$DD1040,95),0)</f>
        <v/>
      </c>
      <c r="CT1040">
        <f>IFERROR(INDEX(PP_Grid[#Data],$DD1040,96),0)</f>
        <v/>
      </c>
      <c r="CU1040">
        <f>IFERROR(INDEX(PP_Grid[#Data],$DD1040,97),0)</f>
        <v/>
      </c>
      <c r="CV1040">
        <f>IFERROR(INDEX(PP_Grid[#Data],$DD1040,98),0)</f>
        <v/>
      </c>
      <c r="CW1040">
        <f>IFERROR(INDEX(PP_Grid[#Data],$DD1040,99),0)</f>
        <v/>
      </c>
      <c r="CX1040">
        <f>IFERROR(INDEX(PP_Grid[#Data],$DD1040,100),0)</f>
        <v/>
      </c>
      <c r="CY1040">
        <f>IFERROR(INDEX(PP_Grid[#Data],$DD1040,101),0)</f>
        <v/>
      </c>
      <c r="CZ1040">
        <f>IFERROR(INDEX(PP_Grid[#Data],$DD1040,102),0)</f>
        <v/>
      </c>
      <c r="DA1040">
        <f>IFERROR(INDEX(PP_Grid[#Data],$DD1040,103),0)</f>
        <v/>
      </c>
      <c r="DB1040">
        <f>IFERROR(INDEX(PP_Grid[#Data],$DD1040,104),0)</f>
        <v/>
      </c>
      <c r="DC1040">
        <f>IFERROR(INDEX(PP_Grid[#Data],$DD1040,105),0)</f>
        <v/>
      </c>
      <c r="DD1040" s="12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SUMIFS(M_BOM[RM_Qty_Per_Batch],M_BOM[Intermediate],$B1040,M_BOM[Part Name],$A1033)</f>
        <v/>
      </c>
      <c r="D1041">
        <f>$C1041*D1040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</row>
    <row r="1042">
      <c r="B1042" s="5" t="inlineStr">
        <is>
          <t>合計使用量(kg)/週</t>
        </is>
      </c>
      <c r="D1042">
        <f>'Grid_Requirement'!B29</f>
        <v/>
      </c>
      <c r="E1042">
        <f>'Grid_Requirement'!C29</f>
        <v/>
      </c>
      <c r="F1042">
        <f>'Grid_Requirement'!D29</f>
        <v/>
      </c>
      <c r="G1042">
        <f>'Grid_Requirement'!E29</f>
        <v/>
      </c>
      <c r="H1042">
        <f>'Grid_Requirement'!F29</f>
        <v/>
      </c>
      <c r="I1042">
        <f>'Grid_Requirement'!G29</f>
        <v/>
      </c>
      <c r="J1042">
        <f>'Grid_Requirement'!H29</f>
        <v/>
      </c>
      <c r="K1042">
        <f>'Grid_Requirement'!I29</f>
        <v/>
      </c>
      <c r="L1042">
        <f>'Grid_Requirement'!J29</f>
        <v/>
      </c>
      <c r="M1042">
        <f>'Grid_Requirement'!K29</f>
        <v/>
      </c>
      <c r="N1042">
        <f>'Grid_Requirement'!L29</f>
        <v/>
      </c>
      <c r="O1042">
        <f>'Grid_Requirement'!M29</f>
        <v/>
      </c>
      <c r="P1042">
        <f>'Grid_Requirement'!N29</f>
        <v/>
      </c>
      <c r="Q1042">
        <f>'Grid_Requirement'!O29</f>
        <v/>
      </c>
      <c r="R1042">
        <f>'Grid_Requirement'!P29</f>
        <v/>
      </c>
      <c r="S1042">
        <f>'Grid_Requirement'!Q29</f>
        <v/>
      </c>
      <c r="T1042">
        <f>'Grid_Requirement'!R29</f>
        <v/>
      </c>
      <c r="U1042">
        <f>'Grid_Requirement'!S29</f>
        <v/>
      </c>
      <c r="V1042">
        <f>'Grid_Requirement'!T29</f>
        <v/>
      </c>
      <c r="W1042">
        <f>'Grid_Requirement'!U29</f>
        <v/>
      </c>
      <c r="X1042">
        <f>'Grid_Requirement'!V29</f>
        <v/>
      </c>
      <c r="Y1042">
        <f>'Grid_Requirement'!W29</f>
        <v/>
      </c>
      <c r="Z1042">
        <f>'Grid_Requirement'!X29</f>
        <v/>
      </c>
      <c r="AA1042">
        <f>'Grid_Requirement'!Y29</f>
        <v/>
      </c>
      <c r="AB1042">
        <f>'Grid_Requirement'!Z29</f>
        <v/>
      </c>
      <c r="AC1042">
        <f>'Grid_Requirement'!AA29</f>
        <v/>
      </c>
      <c r="AD1042">
        <f>'Grid_Requirement'!AB29</f>
        <v/>
      </c>
      <c r="AE1042">
        <f>'Grid_Requirement'!AC29</f>
        <v/>
      </c>
      <c r="AF1042">
        <f>'Grid_Requirement'!AD29</f>
        <v/>
      </c>
      <c r="AG1042">
        <f>'Grid_Requirement'!AE29</f>
        <v/>
      </c>
      <c r="AH1042">
        <f>'Grid_Requirement'!AF29</f>
        <v/>
      </c>
      <c r="AI1042">
        <f>'Grid_Requirement'!AG29</f>
        <v/>
      </c>
      <c r="AJ1042">
        <f>'Grid_Requirement'!AH29</f>
        <v/>
      </c>
      <c r="AK1042">
        <f>'Grid_Requirement'!AI29</f>
        <v/>
      </c>
      <c r="AL1042">
        <f>'Grid_Requirement'!AJ29</f>
        <v/>
      </c>
      <c r="AM1042">
        <f>'Grid_Requirement'!AK29</f>
        <v/>
      </c>
      <c r="AN1042">
        <f>'Grid_Requirement'!AL29</f>
        <v/>
      </c>
      <c r="AO1042">
        <f>'Grid_Requirement'!AM29</f>
        <v/>
      </c>
      <c r="AP1042">
        <f>'Grid_Requirement'!AN29</f>
        <v/>
      </c>
      <c r="AQ1042">
        <f>'Grid_Requirement'!AO29</f>
        <v/>
      </c>
      <c r="AR1042">
        <f>'Grid_Requirement'!AP29</f>
        <v/>
      </c>
      <c r="AS1042">
        <f>'Grid_Requirement'!AQ29</f>
        <v/>
      </c>
      <c r="AT1042">
        <f>'Grid_Requirement'!AR29</f>
        <v/>
      </c>
      <c r="AU1042">
        <f>'Grid_Requirement'!AS29</f>
        <v/>
      </c>
      <c r="AV1042">
        <f>'Grid_Requirement'!AT29</f>
        <v/>
      </c>
      <c r="AW1042">
        <f>'Grid_Requirement'!AU29</f>
        <v/>
      </c>
      <c r="AX1042">
        <f>'Grid_Requirement'!AV29</f>
        <v/>
      </c>
      <c r="AY1042">
        <f>'Grid_Requirement'!AW29</f>
        <v/>
      </c>
      <c r="AZ1042">
        <f>'Grid_Requirement'!AX29</f>
        <v/>
      </c>
      <c r="BA1042">
        <f>'Grid_Requirement'!AY29</f>
        <v/>
      </c>
      <c r="BB1042">
        <f>'Grid_Requirement'!AZ29</f>
        <v/>
      </c>
      <c r="BC1042">
        <f>'Grid_Requirement'!BA29</f>
        <v/>
      </c>
      <c r="BD1042">
        <f>'Grid_Requirement'!BB29</f>
        <v/>
      </c>
      <c r="BE1042">
        <f>'Grid_Requirement'!BC29</f>
        <v/>
      </c>
      <c r="BF1042">
        <f>'Grid_Requirement'!BD29</f>
        <v/>
      </c>
      <c r="BG1042">
        <f>'Grid_Requirement'!BE29</f>
        <v/>
      </c>
      <c r="BH1042">
        <f>'Grid_Requirement'!BF29</f>
        <v/>
      </c>
      <c r="BI1042">
        <f>'Grid_Requirement'!BG29</f>
        <v/>
      </c>
      <c r="BJ1042">
        <f>'Grid_Requirement'!BH29</f>
        <v/>
      </c>
      <c r="BK1042">
        <f>'Grid_Requirement'!BI29</f>
        <v/>
      </c>
      <c r="BL1042">
        <f>'Grid_Requirement'!BJ29</f>
        <v/>
      </c>
      <c r="BM1042">
        <f>'Grid_Requirement'!BK29</f>
        <v/>
      </c>
      <c r="BN1042">
        <f>'Grid_Requirement'!BL29</f>
        <v/>
      </c>
      <c r="BO1042">
        <f>'Grid_Requirement'!BM29</f>
        <v/>
      </c>
      <c r="BP1042">
        <f>'Grid_Requirement'!BN29</f>
        <v/>
      </c>
      <c r="BQ1042">
        <f>'Grid_Requirement'!BO29</f>
        <v/>
      </c>
      <c r="BR1042">
        <f>'Grid_Requirement'!BP29</f>
        <v/>
      </c>
      <c r="BS1042">
        <f>'Grid_Requirement'!BQ29</f>
        <v/>
      </c>
      <c r="BT1042">
        <f>'Grid_Requirement'!BR29</f>
        <v/>
      </c>
      <c r="BU1042">
        <f>'Grid_Requirement'!BS29</f>
        <v/>
      </c>
      <c r="BV1042">
        <f>'Grid_Requirement'!BT29</f>
        <v/>
      </c>
      <c r="BW1042">
        <f>'Grid_Requirement'!BU29</f>
        <v/>
      </c>
      <c r="BX1042">
        <f>'Grid_Requirement'!BV29</f>
        <v/>
      </c>
      <c r="BY1042">
        <f>'Grid_Requirement'!BW29</f>
        <v/>
      </c>
      <c r="BZ1042">
        <f>'Grid_Requirement'!BX29</f>
        <v/>
      </c>
      <c r="CA1042">
        <f>'Grid_Requirement'!BY29</f>
        <v/>
      </c>
      <c r="CB1042">
        <f>'Grid_Requirement'!BZ29</f>
        <v/>
      </c>
      <c r="CC1042">
        <f>'Grid_Requirement'!CA29</f>
        <v/>
      </c>
      <c r="CD1042">
        <f>'Grid_Requirement'!CB29</f>
        <v/>
      </c>
      <c r="CE1042">
        <f>'Grid_Requirement'!CC29</f>
        <v/>
      </c>
      <c r="CF1042">
        <f>'Grid_Requirement'!CD29</f>
        <v/>
      </c>
      <c r="CG1042">
        <f>'Grid_Requirement'!CE29</f>
        <v/>
      </c>
      <c r="CH1042">
        <f>'Grid_Requirement'!CF29</f>
        <v/>
      </c>
      <c r="CI1042">
        <f>'Grid_Requirement'!CG29</f>
        <v/>
      </c>
      <c r="CJ1042">
        <f>'Grid_Requirement'!CH29</f>
        <v/>
      </c>
      <c r="CK1042">
        <f>'Grid_Requirement'!CI29</f>
        <v/>
      </c>
      <c r="CL1042">
        <f>'Grid_Requirement'!CJ29</f>
        <v/>
      </c>
      <c r="CM1042">
        <f>'Grid_Requirement'!CK29</f>
        <v/>
      </c>
      <c r="CN1042">
        <f>'Grid_Requirement'!CL29</f>
        <v/>
      </c>
      <c r="CO1042">
        <f>'Grid_Requirement'!CM29</f>
        <v/>
      </c>
      <c r="CP1042">
        <f>'Grid_Requirement'!CN29</f>
        <v/>
      </c>
      <c r="CQ1042">
        <f>'Grid_Requirement'!CO29</f>
        <v/>
      </c>
      <c r="CR1042">
        <f>'Grid_Requirement'!CP29</f>
        <v/>
      </c>
      <c r="CS1042">
        <f>'Grid_Requirement'!CQ29</f>
        <v/>
      </c>
      <c r="CT1042">
        <f>'Grid_Requirement'!CR29</f>
        <v/>
      </c>
      <c r="CU1042">
        <f>'Grid_Requirement'!CS29</f>
        <v/>
      </c>
      <c r="CV1042">
        <f>'Grid_Requirement'!CT29</f>
        <v/>
      </c>
      <c r="CW1042">
        <f>'Grid_Requirement'!CU29</f>
        <v/>
      </c>
      <c r="CX1042">
        <f>'Grid_Requirement'!CV29</f>
        <v/>
      </c>
      <c r="CY1042">
        <f>'Grid_Requirement'!CW29</f>
        <v/>
      </c>
      <c r="CZ1042">
        <f>'Grid_Requirement'!CX29</f>
        <v/>
      </c>
      <c r="DA1042">
        <f>'Grid_Requirement'!CY29</f>
        <v/>
      </c>
      <c r="DB1042">
        <f>'Grid_Requirement'!CZ29</f>
        <v/>
      </c>
      <c r="DC1042">
        <f>'Grid_Requirement'!DA29</f>
        <v/>
      </c>
    </row>
    <row r="1043">
      <c r="B1043" t="inlineStr">
        <is>
          <t>TTAF在庫(実績,kg)</t>
        </is>
      </c>
      <c r="D1043">
        <f>'T_TTAFStock'!B33</f>
        <v/>
      </c>
      <c r="E1043">
        <f>'T_TTAFStock'!C33</f>
        <v/>
      </c>
      <c r="F1043">
        <f>'T_TTAFStock'!D33</f>
        <v/>
      </c>
      <c r="G1043">
        <f>'T_TTAFStock'!E33</f>
        <v/>
      </c>
      <c r="H1043">
        <f>'T_TTAFStock'!F33</f>
        <v/>
      </c>
      <c r="I1043">
        <f>'T_TTAFStock'!G33</f>
        <v/>
      </c>
      <c r="J1043">
        <f>'T_TTAFStock'!H33</f>
        <v/>
      </c>
      <c r="K1043">
        <f>'T_TTAFStock'!I33</f>
        <v/>
      </c>
      <c r="L1043">
        <f>'T_TTAFStock'!J33</f>
        <v/>
      </c>
      <c r="M1043">
        <f>'T_TTAFStock'!K33</f>
        <v/>
      </c>
      <c r="N1043">
        <f>'T_TTAFStock'!L33</f>
        <v/>
      </c>
      <c r="O1043">
        <f>'T_TTAFStock'!M33</f>
        <v/>
      </c>
      <c r="P1043">
        <f>'T_TTAFStock'!N33</f>
        <v/>
      </c>
      <c r="Q1043">
        <f>'T_TTAFStock'!O33</f>
        <v/>
      </c>
      <c r="R1043">
        <f>'T_TTAFStock'!P33</f>
        <v/>
      </c>
      <c r="S1043">
        <f>'T_TTAFStock'!Q33</f>
        <v/>
      </c>
      <c r="T1043">
        <f>'T_TTAFStock'!R33</f>
        <v/>
      </c>
      <c r="U1043">
        <f>'T_TTAFStock'!S33</f>
        <v/>
      </c>
      <c r="V1043">
        <f>'T_TTAFStock'!T33</f>
        <v/>
      </c>
      <c r="W1043">
        <f>'T_TTAFStock'!U33</f>
        <v/>
      </c>
      <c r="X1043">
        <f>'T_TTAFStock'!V33</f>
        <v/>
      </c>
      <c r="Y1043">
        <f>'T_TTAFStock'!W33</f>
        <v/>
      </c>
      <c r="Z1043">
        <f>'T_TTAFStock'!X33</f>
        <v/>
      </c>
      <c r="AA1043">
        <f>'T_TTAFStock'!Y33</f>
        <v/>
      </c>
      <c r="AB1043">
        <f>'T_TTAFStock'!Z33</f>
        <v/>
      </c>
      <c r="AC1043">
        <f>'T_TTAFStock'!AA33</f>
        <v/>
      </c>
      <c r="AD1043">
        <f>'T_TTAFStock'!AB33</f>
        <v/>
      </c>
      <c r="AE1043">
        <f>'T_TTAFStock'!AC33</f>
        <v/>
      </c>
      <c r="AF1043">
        <f>'T_TTAFStock'!AD33</f>
        <v/>
      </c>
      <c r="AG1043">
        <f>'T_TTAFStock'!AE33</f>
        <v/>
      </c>
      <c r="AH1043">
        <f>'T_TTAFStock'!AF33</f>
        <v/>
      </c>
      <c r="AI1043">
        <f>'T_TTAFStock'!AG33</f>
        <v/>
      </c>
      <c r="AJ1043">
        <f>'T_TTAFStock'!AH33</f>
        <v/>
      </c>
      <c r="AK1043">
        <f>'T_TTAFStock'!AI33</f>
        <v/>
      </c>
      <c r="AL1043">
        <f>'T_TTAFStock'!AJ33</f>
        <v/>
      </c>
      <c r="AM1043">
        <f>'T_TTAFStock'!AK33</f>
        <v/>
      </c>
      <c r="AN1043">
        <f>'T_TTAFStock'!AL33</f>
        <v/>
      </c>
      <c r="AO1043">
        <f>'T_TTAFStock'!AM33</f>
        <v/>
      </c>
      <c r="AP1043">
        <f>'T_TTAFStock'!AN33</f>
        <v/>
      </c>
      <c r="AQ1043">
        <f>'T_TTAFStock'!AO33</f>
        <v/>
      </c>
      <c r="AR1043">
        <f>'T_TTAFStock'!AP33</f>
        <v/>
      </c>
      <c r="AS1043">
        <f>'T_TTAFStock'!AQ33</f>
        <v/>
      </c>
      <c r="AT1043">
        <f>'T_TTAFStock'!AR33</f>
        <v/>
      </c>
      <c r="AU1043">
        <f>'T_TTAFStock'!AS33</f>
        <v/>
      </c>
      <c r="AV1043">
        <f>'T_TTAFStock'!AT33</f>
        <v/>
      </c>
      <c r="AW1043">
        <f>'T_TTAFStock'!AU33</f>
        <v/>
      </c>
      <c r="AX1043">
        <f>'T_TTAFStock'!AV33</f>
        <v/>
      </c>
      <c r="AY1043">
        <f>'T_TTAFStock'!AW33</f>
        <v/>
      </c>
      <c r="AZ1043">
        <f>'T_TTAFStock'!AX33</f>
        <v/>
      </c>
      <c r="BA1043">
        <f>'T_TTAFStock'!AY33</f>
        <v/>
      </c>
      <c r="BB1043">
        <f>'T_TTAFStock'!AZ33</f>
        <v/>
      </c>
      <c r="BC1043">
        <f>'T_TTAFStock'!BA33</f>
        <v/>
      </c>
      <c r="BD1043">
        <f>'T_TTAFStock'!BB33</f>
        <v/>
      </c>
      <c r="BE1043">
        <f>'T_TTAFStock'!BC33</f>
        <v/>
      </c>
      <c r="BF1043">
        <f>'T_TTAFStock'!BD33</f>
        <v/>
      </c>
      <c r="BG1043">
        <f>'T_TTAFStock'!BE33</f>
        <v/>
      </c>
      <c r="BH1043">
        <f>'T_TTAFStock'!BF33</f>
        <v/>
      </c>
      <c r="BI1043">
        <f>'T_TTAFStock'!BG33</f>
        <v/>
      </c>
      <c r="BJ1043">
        <f>'T_TTAFStock'!BH33</f>
        <v/>
      </c>
      <c r="BK1043">
        <f>'T_TTAFStock'!BI33</f>
        <v/>
      </c>
      <c r="BL1043">
        <f>'T_TTAFStock'!BJ33</f>
        <v/>
      </c>
      <c r="BM1043">
        <f>'T_TTAFStock'!BK33</f>
        <v/>
      </c>
      <c r="BN1043">
        <f>'T_TTAFStock'!BL33</f>
        <v/>
      </c>
      <c r="BO1043">
        <f>'T_TTAFStock'!BM33</f>
        <v/>
      </c>
      <c r="BP1043">
        <f>'T_TTAFStock'!BN33</f>
        <v/>
      </c>
      <c r="BQ1043">
        <f>'T_TTAFStock'!BO33</f>
        <v/>
      </c>
      <c r="BR1043">
        <f>'T_TTAFStock'!BP33</f>
        <v/>
      </c>
      <c r="BS1043">
        <f>'T_TTAFStock'!BQ33</f>
        <v/>
      </c>
      <c r="BT1043">
        <f>'T_TTAFStock'!BR33</f>
        <v/>
      </c>
      <c r="BU1043">
        <f>'T_TTAFStock'!BS33</f>
        <v/>
      </c>
      <c r="BV1043">
        <f>'T_TTAFStock'!BT33</f>
        <v/>
      </c>
      <c r="BW1043">
        <f>'T_TTAFStock'!BU33</f>
        <v/>
      </c>
      <c r="BX1043">
        <f>'T_TTAFStock'!BV33</f>
        <v/>
      </c>
      <c r="BY1043">
        <f>'T_TTAFStock'!BW33</f>
        <v/>
      </c>
      <c r="BZ1043">
        <f>'T_TTAFStock'!BX33</f>
        <v/>
      </c>
      <c r="CA1043">
        <f>'T_TTAFStock'!BY33</f>
        <v/>
      </c>
      <c r="CB1043">
        <f>'T_TTAFStock'!BZ33</f>
        <v/>
      </c>
      <c r="CC1043">
        <f>'T_TTAFStock'!CA33</f>
        <v/>
      </c>
      <c r="CD1043">
        <f>'T_TTAFStock'!CB33</f>
        <v/>
      </c>
      <c r="CE1043">
        <f>'T_TTAFStock'!CC33</f>
        <v/>
      </c>
      <c r="CF1043">
        <f>'T_TTAFStock'!CD33</f>
        <v/>
      </c>
      <c r="CG1043">
        <f>'T_TTAFStock'!CE33</f>
        <v/>
      </c>
      <c r="CH1043">
        <f>'T_TTAFStock'!CF33</f>
        <v/>
      </c>
      <c r="CI1043">
        <f>'T_TTAFStock'!CG33</f>
        <v/>
      </c>
      <c r="CJ1043">
        <f>'T_TTAFStock'!CH33</f>
        <v/>
      </c>
      <c r="CK1043">
        <f>'T_TTAFStock'!CI33</f>
        <v/>
      </c>
      <c r="CL1043">
        <f>'T_TTAFStock'!CJ33</f>
        <v/>
      </c>
      <c r="CM1043">
        <f>'T_TTAFStock'!CK33</f>
        <v/>
      </c>
      <c r="CN1043">
        <f>'T_TTAFStock'!CL33</f>
        <v/>
      </c>
      <c r="CO1043">
        <f>'T_TTAFStock'!CM33</f>
        <v/>
      </c>
      <c r="CP1043">
        <f>'T_TTAFStock'!CN33</f>
        <v/>
      </c>
      <c r="CQ1043">
        <f>'T_TTAFStock'!CO33</f>
        <v/>
      </c>
      <c r="CR1043">
        <f>'T_TTAFStock'!CP33</f>
        <v/>
      </c>
      <c r="CS1043">
        <f>'T_TTAFStock'!CQ33</f>
        <v/>
      </c>
      <c r="CT1043">
        <f>'T_TTAFStock'!CR33</f>
        <v/>
      </c>
      <c r="CU1043">
        <f>'T_TTAFStock'!CS33</f>
        <v/>
      </c>
      <c r="CV1043">
        <f>'T_TTAFStock'!CT33</f>
        <v/>
      </c>
      <c r="CW1043">
        <f>'T_TTAFStock'!CU33</f>
        <v/>
      </c>
      <c r="CX1043">
        <f>'T_TTAFStock'!CV33</f>
        <v/>
      </c>
      <c r="CY1043">
        <f>'T_TTAFStock'!CW33</f>
        <v/>
      </c>
      <c r="CZ1043">
        <f>'T_TTAFStock'!CX33</f>
        <v/>
      </c>
      <c r="DA1043">
        <f>'T_TTAFStock'!CY33</f>
        <v/>
      </c>
      <c r="DB1043">
        <f>'T_TTAFStock'!CZ33</f>
        <v/>
      </c>
      <c r="DC1043">
        <f>'T_TTAFStock'!DA33</f>
        <v/>
      </c>
    </row>
    <row r="1044">
      <c r="B1044" t="inlineStr">
        <is>
          <t>自社在庫(実績,kg)</t>
        </is>
      </c>
      <c r="D1044">
        <f>'T_SelfStock'!B33</f>
        <v/>
      </c>
      <c r="E1044">
        <f>'T_SelfStock'!C33</f>
        <v/>
      </c>
      <c r="F1044">
        <f>'T_SelfStock'!D33</f>
        <v/>
      </c>
      <c r="G1044">
        <f>'T_SelfStock'!E33</f>
        <v/>
      </c>
      <c r="H1044">
        <f>'T_SelfStock'!F33</f>
        <v/>
      </c>
      <c r="I1044">
        <f>'T_SelfStock'!G33</f>
        <v/>
      </c>
      <c r="J1044">
        <f>'T_SelfStock'!H33</f>
        <v/>
      </c>
      <c r="K1044">
        <f>'T_SelfStock'!I33</f>
        <v/>
      </c>
      <c r="L1044">
        <f>'T_SelfStock'!J33</f>
        <v/>
      </c>
      <c r="M1044">
        <f>'T_SelfStock'!K33</f>
        <v/>
      </c>
      <c r="N1044">
        <f>'T_SelfStock'!L33</f>
        <v/>
      </c>
      <c r="O1044">
        <f>'T_SelfStock'!M33</f>
        <v/>
      </c>
      <c r="P1044">
        <f>'T_SelfStock'!N33</f>
        <v/>
      </c>
      <c r="Q1044">
        <f>'T_SelfStock'!O33</f>
        <v/>
      </c>
      <c r="R1044">
        <f>'T_SelfStock'!P33</f>
        <v/>
      </c>
      <c r="S1044">
        <f>'T_SelfStock'!Q33</f>
        <v/>
      </c>
      <c r="T1044">
        <f>'T_SelfStock'!R33</f>
        <v/>
      </c>
      <c r="U1044">
        <f>'T_SelfStock'!S33</f>
        <v/>
      </c>
      <c r="V1044">
        <f>'T_SelfStock'!T33</f>
        <v/>
      </c>
      <c r="W1044">
        <f>'T_SelfStock'!U33</f>
        <v/>
      </c>
      <c r="X1044">
        <f>'T_SelfStock'!V33</f>
        <v/>
      </c>
      <c r="Y1044">
        <f>'T_SelfStock'!W33</f>
        <v/>
      </c>
      <c r="Z1044">
        <f>'T_SelfStock'!X33</f>
        <v/>
      </c>
      <c r="AA1044">
        <f>'T_SelfStock'!Y33</f>
        <v/>
      </c>
      <c r="AB1044">
        <f>'T_SelfStock'!Z33</f>
        <v/>
      </c>
      <c r="AC1044">
        <f>'T_SelfStock'!AA33</f>
        <v/>
      </c>
      <c r="AD1044">
        <f>'T_SelfStock'!AB33</f>
        <v/>
      </c>
      <c r="AE1044">
        <f>'T_SelfStock'!AC33</f>
        <v/>
      </c>
      <c r="AF1044">
        <f>'T_SelfStock'!AD33</f>
        <v/>
      </c>
      <c r="AG1044">
        <f>'T_SelfStock'!AE33</f>
        <v/>
      </c>
      <c r="AH1044">
        <f>'T_SelfStock'!AF33</f>
        <v/>
      </c>
      <c r="AI1044">
        <f>'T_SelfStock'!AG33</f>
        <v/>
      </c>
      <c r="AJ1044">
        <f>'T_SelfStock'!AH33</f>
        <v/>
      </c>
      <c r="AK1044">
        <f>'T_SelfStock'!AI33</f>
        <v/>
      </c>
      <c r="AL1044">
        <f>'T_SelfStock'!AJ33</f>
        <v/>
      </c>
      <c r="AM1044">
        <f>'T_SelfStock'!AK33</f>
        <v/>
      </c>
      <c r="AN1044">
        <f>'T_SelfStock'!AL33</f>
        <v/>
      </c>
      <c r="AO1044">
        <f>'T_SelfStock'!AM33</f>
        <v/>
      </c>
      <c r="AP1044">
        <f>'T_SelfStock'!AN33</f>
        <v/>
      </c>
      <c r="AQ1044">
        <f>'T_SelfStock'!AO33</f>
        <v/>
      </c>
      <c r="AR1044">
        <f>'T_SelfStock'!AP33</f>
        <v/>
      </c>
      <c r="AS1044">
        <f>'T_SelfStock'!AQ33</f>
        <v/>
      </c>
      <c r="AT1044">
        <f>'T_SelfStock'!AR33</f>
        <v/>
      </c>
      <c r="AU1044">
        <f>'T_SelfStock'!AS33</f>
        <v/>
      </c>
      <c r="AV1044">
        <f>'T_SelfStock'!AT33</f>
        <v/>
      </c>
      <c r="AW1044">
        <f>'T_SelfStock'!AU33</f>
        <v/>
      </c>
      <c r="AX1044">
        <f>'T_SelfStock'!AV33</f>
        <v/>
      </c>
      <c r="AY1044">
        <f>'T_SelfStock'!AW33</f>
        <v/>
      </c>
      <c r="AZ1044">
        <f>'T_SelfStock'!AX33</f>
        <v/>
      </c>
      <c r="BA1044">
        <f>'T_SelfStock'!AY33</f>
        <v/>
      </c>
      <c r="BB1044">
        <f>'T_SelfStock'!AZ33</f>
        <v/>
      </c>
      <c r="BC1044">
        <f>'T_SelfStock'!BA33</f>
        <v/>
      </c>
      <c r="BD1044">
        <f>'T_SelfStock'!BB33</f>
        <v/>
      </c>
      <c r="BE1044">
        <f>'T_SelfStock'!BC33</f>
        <v/>
      </c>
      <c r="BF1044">
        <f>'T_SelfStock'!BD33</f>
        <v/>
      </c>
      <c r="BG1044">
        <f>'T_SelfStock'!BE33</f>
        <v/>
      </c>
      <c r="BH1044">
        <f>'T_SelfStock'!BF33</f>
        <v/>
      </c>
      <c r="BI1044">
        <f>'T_SelfStock'!BG33</f>
        <v/>
      </c>
      <c r="BJ1044">
        <f>'T_SelfStock'!BH33</f>
        <v/>
      </c>
      <c r="BK1044">
        <f>'T_SelfStock'!BI33</f>
        <v/>
      </c>
      <c r="BL1044">
        <f>'T_SelfStock'!BJ33</f>
        <v/>
      </c>
      <c r="BM1044">
        <f>'T_SelfStock'!BK33</f>
        <v/>
      </c>
      <c r="BN1044">
        <f>'T_SelfStock'!BL33</f>
        <v/>
      </c>
      <c r="BO1044">
        <f>'T_SelfStock'!BM33</f>
        <v/>
      </c>
      <c r="BP1044">
        <f>'T_SelfStock'!BN33</f>
        <v/>
      </c>
      <c r="BQ1044">
        <f>'T_SelfStock'!BO33</f>
        <v/>
      </c>
      <c r="BR1044">
        <f>'T_SelfStock'!BP33</f>
        <v/>
      </c>
      <c r="BS1044">
        <f>'T_SelfStock'!BQ33</f>
        <v/>
      </c>
      <c r="BT1044">
        <f>'T_SelfStock'!BR33</f>
        <v/>
      </c>
      <c r="BU1044">
        <f>'T_SelfStock'!BS33</f>
        <v/>
      </c>
      <c r="BV1044">
        <f>'T_SelfStock'!BT33</f>
        <v/>
      </c>
      <c r="BW1044">
        <f>'T_SelfStock'!BU33</f>
        <v/>
      </c>
      <c r="BX1044">
        <f>'T_SelfStock'!BV33</f>
        <v/>
      </c>
      <c r="BY1044">
        <f>'T_SelfStock'!BW33</f>
        <v/>
      </c>
      <c r="BZ1044">
        <f>'T_SelfStock'!BX33</f>
        <v/>
      </c>
      <c r="CA1044">
        <f>'T_SelfStock'!BY33</f>
        <v/>
      </c>
      <c r="CB1044">
        <f>'T_SelfStock'!BZ33</f>
        <v/>
      </c>
      <c r="CC1044">
        <f>'T_SelfStock'!CA33</f>
        <v/>
      </c>
      <c r="CD1044">
        <f>'T_SelfStock'!CB33</f>
        <v/>
      </c>
      <c r="CE1044">
        <f>'T_SelfStock'!CC33</f>
        <v/>
      </c>
      <c r="CF1044">
        <f>'T_SelfStock'!CD33</f>
        <v/>
      </c>
      <c r="CG1044">
        <f>'T_SelfStock'!CE33</f>
        <v/>
      </c>
      <c r="CH1044">
        <f>'T_SelfStock'!CF33</f>
        <v/>
      </c>
      <c r="CI1044">
        <f>'T_SelfStock'!CG33</f>
        <v/>
      </c>
      <c r="CJ1044">
        <f>'T_SelfStock'!CH33</f>
        <v/>
      </c>
      <c r="CK1044">
        <f>'T_SelfStock'!CI33</f>
        <v/>
      </c>
      <c r="CL1044">
        <f>'T_SelfStock'!CJ33</f>
        <v/>
      </c>
      <c r="CM1044">
        <f>'T_SelfStock'!CK33</f>
        <v/>
      </c>
      <c r="CN1044">
        <f>'T_SelfStock'!CL33</f>
        <v/>
      </c>
      <c r="CO1044">
        <f>'T_SelfStock'!CM33</f>
        <v/>
      </c>
      <c r="CP1044">
        <f>'T_SelfStock'!CN33</f>
        <v/>
      </c>
      <c r="CQ1044">
        <f>'T_SelfStock'!CO33</f>
        <v/>
      </c>
      <c r="CR1044">
        <f>'T_SelfStock'!CP33</f>
        <v/>
      </c>
      <c r="CS1044">
        <f>'T_SelfStock'!CQ33</f>
        <v/>
      </c>
      <c r="CT1044">
        <f>'T_SelfStock'!CR33</f>
        <v/>
      </c>
      <c r="CU1044">
        <f>'T_SelfStock'!CS33</f>
        <v/>
      </c>
      <c r="CV1044">
        <f>'T_SelfStock'!CT33</f>
        <v/>
      </c>
      <c r="CW1044">
        <f>'T_SelfStock'!CU33</f>
        <v/>
      </c>
      <c r="CX1044">
        <f>'T_SelfStock'!CV33</f>
        <v/>
      </c>
      <c r="CY1044">
        <f>'T_SelfStock'!CW33</f>
        <v/>
      </c>
      <c r="CZ1044">
        <f>'T_SelfStock'!CX33</f>
        <v/>
      </c>
      <c r="DA1044">
        <f>'T_SelfStock'!CY33</f>
        <v/>
      </c>
      <c r="DB1044">
        <f>'T_SelfStock'!CZ33</f>
        <v/>
      </c>
      <c r="DC1044">
        <f>'T_SelfStock'!DA33</f>
        <v/>
      </c>
    </row>
    <row r="1045">
      <c r="B1045" t="inlineStr">
        <is>
          <t>Order(発注予定,kg)</t>
        </is>
      </c>
      <c r="D1045">
        <f>IF(SUMIFS(T_PlannedOrders[EffectiveQty],T_PlannedOrders[Part Name],$A1033,T_PlannedOrders[WeekIndex],1)=0,"",SUMIFS(T_PlannedOrders[EffectiveQty],T_PlannedOrders[Part Name],$A1033,T_PlannedOrders[WeekIndex],1)&amp;" ("&amp;TEXT(SUMPRODUCT(MAX((T_PlannedOrders[Part Name]=$A1033)*(T_PlannedOrders[WeekIndex]=1)*(T_PlannedOrders[EffectiveQty]&gt;0)*T_PlannedOrders[Order_Month])),"m月")&amp;"発注)")</f>
        <v/>
      </c>
      <c r="E1045">
        <f>IF(SUMIFS(T_PlannedOrders[EffectiveQty],T_PlannedOrders[Part Name],$A1033,T_PlannedOrders[WeekIndex],2)=0,"",SUMIFS(T_PlannedOrders[EffectiveQty],T_PlannedOrders[Part Name],$A1033,T_PlannedOrders[WeekIndex],2)&amp;" ("&amp;TEXT(SUMPRODUCT(MAX((T_PlannedOrders[Part Name]=$A1033)*(T_PlannedOrders[WeekIndex]=2)*(T_PlannedOrders[EffectiveQty]&gt;0)*T_PlannedOrders[Order_Month])),"m月")&amp;"発注)")</f>
        <v/>
      </c>
      <c r="F1045">
        <f>IF(SUMIFS(T_PlannedOrders[EffectiveQty],T_PlannedOrders[Part Name],$A1033,T_PlannedOrders[WeekIndex],3)=0,"",SUMIFS(T_PlannedOrders[EffectiveQty],T_PlannedOrders[Part Name],$A1033,T_PlannedOrders[WeekIndex],3)&amp;" ("&amp;TEXT(SUMPRODUCT(MAX((T_PlannedOrders[Part Name]=$A1033)*(T_PlannedOrders[WeekIndex]=3)*(T_PlannedOrders[EffectiveQty]&gt;0)*T_PlannedOrders[Order_Month])),"m月")&amp;"発注)")</f>
        <v/>
      </c>
      <c r="G1045">
        <f>IF(SUMIFS(T_PlannedOrders[EffectiveQty],T_PlannedOrders[Part Name],$A1033,T_PlannedOrders[WeekIndex],4)=0,"",SUMIFS(T_PlannedOrders[EffectiveQty],T_PlannedOrders[Part Name],$A1033,T_PlannedOrders[WeekIndex],4)&amp;" ("&amp;TEXT(SUMPRODUCT(MAX((T_PlannedOrders[Part Name]=$A1033)*(T_PlannedOrders[WeekIndex]=4)*(T_PlannedOrders[EffectiveQty]&gt;0)*T_PlannedOrders[Order_Month])),"m月")&amp;"発注)")</f>
        <v/>
      </c>
      <c r="H1045">
        <f>IF(SUMIFS(T_PlannedOrders[EffectiveQty],T_PlannedOrders[Part Name],$A1033,T_PlannedOrders[WeekIndex],5)=0,"",SUMIFS(T_PlannedOrders[EffectiveQty],T_PlannedOrders[Part Name],$A1033,T_PlannedOrders[WeekIndex],5)&amp;" ("&amp;TEXT(SUMPRODUCT(MAX((T_PlannedOrders[Part Name]=$A1033)*(T_PlannedOrders[WeekIndex]=5)*(T_PlannedOrders[EffectiveQty]&gt;0)*T_PlannedOrders[Order_Month])),"m月")&amp;"発注)")</f>
        <v/>
      </c>
      <c r="I1045">
        <f>IF(SUMIFS(T_PlannedOrders[EffectiveQty],T_PlannedOrders[Part Name],$A1033,T_PlannedOrders[WeekIndex],6)=0,"",SUMIFS(T_PlannedOrders[EffectiveQty],T_PlannedOrders[Part Name],$A1033,T_PlannedOrders[WeekIndex],6)&amp;" ("&amp;TEXT(SUMPRODUCT(MAX((T_PlannedOrders[Part Name]=$A1033)*(T_PlannedOrders[WeekIndex]=6)*(T_PlannedOrders[EffectiveQty]&gt;0)*T_PlannedOrders[Order_Month])),"m月")&amp;"発注)")</f>
        <v/>
      </c>
      <c r="J1045">
        <f>IF(SUMIFS(T_PlannedOrders[EffectiveQty],T_PlannedOrders[Part Name],$A1033,T_PlannedOrders[WeekIndex],7)=0,"",SUMIFS(T_PlannedOrders[EffectiveQty],T_PlannedOrders[Part Name],$A1033,T_PlannedOrders[WeekIndex],7)&amp;" ("&amp;TEXT(SUMPRODUCT(MAX((T_PlannedOrders[Part Name]=$A1033)*(T_PlannedOrders[WeekIndex]=7)*(T_PlannedOrders[EffectiveQty]&gt;0)*T_PlannedOrders[Order_Month])),"m月")&amp;"発注)")</f>
        <v/>
      </c>
      <c r="K1045">
        <f>IF(SUMIFS(T_PlannedOrders[EffectiveQty],T_PlannedOrders[Part Name],$A1033,T_PlannedOrders[WeekIndex],8)=0,"",SUMIFS(T_PlannedOrders[EffectiveQty],T_PlannedOrders[Part Name],$A1033,T_PlannedOrders[WeekIndex],8)&amp;" ("&amp;TEXT(SUMPRODUCT(MAX((T_PlannedOrders[Part Name]=$A1033)*(T_PlannedOrders[WeekIndex]=8)*(T_PlannedOrders[EffectiveQty]&gt;0)*T_PlannedOrders[Order_Month])),"m月")&amp;"発注)")</f>
        <v/>
      </c>
      <c r="L1045">
        <f>IF(SUMIFS(T_PlannedOrders[EffectiveQty],T_PlannedOrders[Part Name],$A1033,T_PlannedOrders[WeekIndex],9)=0,"",SUMIFS(T_PlannedOrders[EffectiveQty],T_PlannedOrders[Part Name],$A1033,T_PlannedOrders[WeekIndex],9)&amp;" ("&amp;TEXT(SUMPRODUCT(MAX((T_PlannedOrders[Part Name]=$A1033)*(T_PlannedOrders[WeekIndex]=9)*(T_PlannedOrders[EffectiveQty]&gt;0)*T_PlannedOrders[Order_Month])),"m月")&amp;"発注)")</f>
        <v/>
      </c>
      <c r="M1045">
        <f>IF(SUMIFS(T_PlannedOrders[EffectiveQty],T_PlannedOrders[Part Name],$A1033,T_PlannedOrders[WeekIndex],10)=0,"",SUMIFS(T_PlannedOrders[EffectiveQty],T_PlannedOrders[Part Name],$A1033,T_PlannedOrders[WeekIndex],10)&amp;" ("&amp;TEXT(SUMPRODUCT(MAX((T_PlannedOrders[Part Name]=$A1033)*(T_PlannedOrders[WeekIndex]=10)*(T_PlannedOrders[EffectiveQty]&gt;0)*T_PlannedOrders[Order_Month])),"m月")&amp;"発注)")</f>
        <v/>
      </c>
      <c r="N1045">
        <f>IF(SUMIFS(T_PlannedOrders[EffectiveQty],T_PlannedOrders[Part Name],$A1033,T_PlannedOrders[WeekIndex],11)=0,"",SUMIFS(T_PlannedOrders[EffectiveQty],T_PlannedOrders[Part Name],$A1033,T_PlannedOrders[WeekIndex],11)&amp;" ("&amp;TEXT(SUMPRODUCT(MAX((T_PlannedOrders[Part Name]=$A1033)*(T_PlannedOrders[WeekIndex]=11)*(T_PlannedOrders[EffectiveQty]&gt;0)*T_PlannedOrders[Order_Month])),"m月")&amp;"発注)")</f>
        <v/>
      </c>
      <c r="O1045">
        <f>IF(SUMIFS(T_PlannedOrders[EffectiveQty],T_PlannedOrders[Part Name],$A1033,T_PlannedOrders[WeekIndex],12)=0,"",SUMIFS(T_PlannedOrders[EffectiveQty],T_PlannedOrders[Part Name],$A1033,T_PlannedOrders[WeekIndex],12)&amp;" ("&amp;TEXT(SUMPRODUCT(MAX((T_PlannedOrders[Part Name]=$A1033)*(T_PlannedOrders[WeekIndex]=12)*(T_PlannedOrders[EffectiveQty]&gt;0)*T_PlannedOrders[Order_Month])),"m月")&amp;"発注)")</f>
        <v/>
      </c>
      <c r="P1045">
        <f>IF(SUMIFS(T_PlannedOrders[EffectiveQty],T_PlannedOrders[Part Name],$A1033,T_PlannedOrders[WeekIndex],13)=0,"",SUMIFS(T_PlannedOrders[EffectiveQty],T_PlannedOrders[Part Name],$A1033,T_PlannedOrders[WeekIndex],13)&amp;" ("&amp;TEXT(SUMPRODUCT(MAX((T_PlannedOrders[Part Name]=$A1033)*(T_PlannedOrders[WeekIndex]=13)*(T_PlannedOrders[EffectiveQty]&gt;0)*T_PlannedOrders[Order_Month])),"m月")&amp;"発注)")</f>
        <v/>
      </c>
      <c r="Q1045">
        <f>IF(SUMIFS(T_PlannedOrders[EffectiveQty],T_PlannedOrders[Part Name],$A1033,T_PlannedOrders[WeekIndex],14)=0,"",SUMIFS(T_PlannedOrders[EffectiveQty],T_PlannedOrders[Part Name],$A1033,T_PlannedOrders[WeekIndex],14)&amp;" ("&amp;TEXT(SUMPRODUCT(MAX((T_PlannedOrders[Part Name]=$A1033)*(T_PlannedOrders[WeekIndex]=14)*(T_PlannedOrders[EffectiveQty]&gt;0)*T_PlannedOrders[Order_Month])),"m月")&amp;"発注)")</f>
        <v/>
      </c>
      <c r="R1045">
        <f>IF(SUMIFS(T_PlannedOrders[EffectiveQty],T_PlannedOrders[Part Name],$A1033,T_PlannedOrders[WeekIndex],15)=0,"",SUMIFS(T_PlannedOrders[EffectiveQty],T_PlannedOrders[Part Name],$A1033,T_PlannedOrders[WeekIndex],15)&amp;" ("&amp;TEXT(SUMPRODUCT(MAX((T_PlannedOrders[Part Name]=$A1033)*(T_PlannedOrders[WeekIndex]=15)*(T_PlannedOrders[EffectiveQty]&gt;0)*T_PlannedOrders[Order_Month])),"m月")&amp;"発注)")</f>
        <v/>
      </c>
      <c r="S1045">
        <f>IF(SUMIFS(T_PlannedOrders[EffectiveQty],T_PlannedOrders[Part Name],$A1033,T_PlannedOrders[WeekIndex],16)=0,"",SUMIFS(T_PlannedOrders[EffectiveQty],T_PlannedOrders[Part Name],$A1033,T_PlannedOrders[WeekIndex],16)&amp;" ("&amp;TEXT(SUMPRODUCT(MAX((T_PlannedOrders[Part Name]=$A1033)*(T_PlannedOrders[WeekIndex]=16)*(T_PlannedOrders[EffectiveQty]&gt;0)*T_PlannedOrders[Order_Month])),"m月")&amp;"発注)")</f>
        <v/>
      </c>
      <c r="T1045">
        <f>IF(SUMIFS(T_PlannedOrders[EffectiveQty],T_PlannedOrders[Part Name],$A1033,T_PlannedOrders[WeekIndex],17)=0,"",SUMIFS(T_PlannedOrders[EffectiveQty],T_PlannedOrders[Part Name],$A1033,T_PlannedOrders[WeekIndex],17)&amp;" ("&amp;TEXT(SUMPRODUCT(MAX((T_PlannedOrders[Part Name]=$A1033)*(T_PlannedOrders[WeekIndex]=17)*(T_PlannedOrders[EffectiveQty]&gt;0)*T_PlannedOrders[Order_Month])),"m月")&amp;"発注)")</f>
        <v/>
      </c>
      <c r="U1045">
        <f>IF(SUMIFS(T_PlannedOrders[EffectiveQty],T_PlannedOrders[Part Name],$A1033,T_PlannedOrders[WeekIndex],18)=0,"",SUMIFS(T_PlannedOrders[EffectiveQty],T_PlannedOrders[Part Name],$A1033,T_PlannedOrders[WeekIndex],18)&amp;" ("&amp;TEXT(SUMPRODUCT(MAX((T_PlannedOrders[Part Name]=$A1033)*(T_PlannedOrders[WeekIndex]=18)*(T_PlannedOrders[EffectiveQty]&gt;0)*T_PlannedOrders[Order_Month])),"m月")&amp;"発注)")</f>
        <v/>
      </c>
      <c r="V1045">
        <f>IF(SUMIFS(T_PlannedOrders[EffectiveQty],T_PlannedOrders[Part Name],$A1033,T_PlannedOrders[WeekIndex],19)=0,"",SUMIFS(T_PlannedOrders[EffectiveQty],T_PlannedOrders[Part Name],$A1033,T_PlannedOrders[WeekIndex],19)&amp;" ("&amp;TEXT(SUMPRODUCT(MAX((T_PlannedOrders[Part Name]=$A1033)*(T_PlannedOrders[WeekIndex]=19)*(T_PlannedOrders[EffectiveQty]&gt;0)*T_PlannedOrders[Order_Month])),"m月")&amp;"発注)")</f>
        <v/>
      </c>
      <c r="W1045">
        <f>IF(SUMIFS(T_PlannedOrders[EffectiveQty],T_PlannedOrders[Part Name],$A1033,T_PlannedOrders[WeekIndex],20)=0,"",SUMIFS(T_PlannedOrders[EffectiveQty],T_PlannedOrders[Part Name],$A1033,T_PlannedOrders[WeekIndex],20)&amp;" ("&amp;TEXT(SUMPRODUCT(MAX((T_PlannedOrders[Part Name]=$A1033)*(T_PlannedOrders[WeekIndex]=20)*(T_PlannedOrders[EffectiveQty]&gt;0)*T_PlannedOrders[Order_Month])),"m月")&amp;"発注)")</f>
        <v/>
      </c>
      <c r="X1045">
        <f>IF(SUMIFS(T_PlannedOrders[EffectiveQty],T_PlannedOrders[Part Name],$A1033,T_PlannedOrders[WeekIndex],21)=0,"",SUMIFS(T_PlannedOrders[EffectiveQty],T_PlannedOrders[Part Name],$A1033,T_PlannedOrders[WeekIndex],21)&amp;" ("&amp;TEXT(SUMPRODUCT(MAX((T_PlannedOrders[Part Name]=$A1033)*(T_PlannedOrders[WeekIndex]=21)*(T_PlannedOrders[EffectiveQty]&gt;0)*T_PlannedOrders[Order_Month])),"m月")&amp;"発注)")</f>
        <v/>
      </c>
      <c r="Y1045">
        <f>IF(SUMIFS(T_PlannedOrders[EffectiveQty],T_PlannedOrders[Part Name],$A1033,T_PlannedOrders[WeekIndex],22)=0,"",SUMIFS(T_PlannedOrders[EffectiveQty],T_PlannedOrders[Part Name],$A1033,T_PlannedOrders[WeekIndex],22)&amp;" ("&amp;TEXT(SUMPRODUCT(MAX((T_PlannedOrders[Part Name]=$A1033)*(T_PlannedOrders[WeekIndex]=22)*(T_PlannedOrders[EffectiveQty]&gt;0)*T_PlannedOrders[Order_Month])),"m月")&amp;"発注)")</f>
        <v/>
      </c>
      <c r="Z1045">
        <f>IF(SUMIFS(T_PlannedOrders[EffectiveQty],T_PlannedOrders[Part Name],$A1033,T_PlannedOrders[WeekIndex],23)=0,"",SUMIFS(T_PlannedOrders[EffectiveQty],T_PlannedOrders[Part Name],$A1033,T_PlannedOrders[WeekIndex],23)&amp;" ("&amp;TEXT(SUMPRODUCT(MAX((T_PlannedOrders[Part Name]=$A1033)*(T_PlannedOrders[WeekIndex]=23)*(T_PlannedOrders[EffectiveQty]&gt;0)*T_PlannedOrders[Order_Month])),"m月")&amp;"発注)")</f>
        <v/>
      </c>
      <c r="AA1045">
        <f>IF(SUMIFS(T_PlannedOrders[EffectiveQty],T_PlannedOrders[Part Name],$A1033,T_PlannedOrders[WeekIndex],24)=0,"",SUMIFS(T_PlannedOrders[EffectiveQty],T_PlannedOrders[Part Name],$A1033,T_PlannedOrders[WeekIndex],24)&amp;" ("&amp;TEXT(SUMPRODUCT(MAX((T_PlannedOrders[Part Name]=$A1033)*(T_PlannedOrders[WeekIndex]=24)*(T_PlannedOrders[EffectiveQty]&gt;0)*T_PlannedOrders[Order_Month])),"m月")&amp;"発注)")</f>
        <v/>
      </c>
      <c r="AB1045">
        <f>IF(SUMIFS(T_PlannedOrders[EffectiveQty],T_PlannedOrders[Part Name],$A1033,T_PlannedOrders[WeekIndex],25)=0,"",SUMIFS(T_PlannedOrders[EffectiveQty],T_PlannedOrders[Part Name],$A1033,T_PlannedOrders[WeekIndex],25)&amp;" ("&amp;TEXT(SUMPRODUCT(MAX((T_PlannedOrders[Part Name]=$A1033)*(T_PlannedOrders[WeekIndex]=25)*(T_PlannedOrders[EffectiveQty]&gt;0)*T_PlannedOrders[Order_Month])),"m月")&amp;"発注)")</f>
        <v/>
      </c>
      <c r="AC1045">
        <f>IF(SUMIFS(T_PlannedOrders[EffectiveQty],T_PlannedOrders[Part Name],$A1033,T_PlannedOrders[WeekIndex],26)=0,"",SUMIFS(T_PlannedOrders[EffectiveQty],T_PlannedOrders[Part Name],$A1033,T_PlannedOrders[WeekIndex],26)&amp;" ("&amp;TEXT(SUMPRODUCT(MAX((T_PlannedOrders[Part Name]=$A1033)*(T_PlannedOrders[WeekIndex]=26)*(T_PlannedOrders[EffectiveQty]&gt;0)*T_PlannedOrders[Order_Month])),"m月")&amp;"発注)")</f>
        <v/>
      </c>
      <c r="AD1045">
        <f>IF(SUMIFS(T_PlannedOrders[EffectiveQty],T_PlannedOrders[Part Name],$A1033,T_PlannedOrders[WeekIndex],27)=0,"",SUMIFS(T_PlannedOrders[EffectiveQty],T_PlannedOrders[Part Name],$A1033,T_PlannedOrders[WeekIndex],27)&amp;" ("&amp;TEXT(SUMPRODUCT(MAX((T_PlannedOrders[Part Name]=$A1033)*(T_PlannedOrders[WeekIndex]=27)*(T_PlannedOrders[EffectiveQty]&gt;0)*T_PlannedOrders[Order_Month])),"m月")&amp;"発注)")</f>
        <v/>
      </c>
      <c r="AE1045">
        <f>IF(SUMIFS(T_PlannedOrders[EffectiveQty],T_PlannedOrders[Part Name],$A1033,T_PlannedOrders[WeekIndex],28)=0,"",SUMIFS(T_PlannedOrders[EffectiveQty],T_PlannedOrders[Part Name],$A1033,T_PlannedOrders[WeekIndex],28)&amp;" ("&amp;TEXT(SUMPRODUCT(MAX((T_PlannedOrders[Part Name]=$A1033)*(T_PlannedOrders[WeekIndex]=28)*(T_PlannedOrders[EffectiveQty]&gt;0)*T_PlannedOrders[Order_Month])),"m月")&amp;"発注)")</f>
        <v/>
      </c>
      <c r="AF1045">
        <f>IF(SUMIFS(T_PlannedOrders[EffectiveQty],T_PlannedOrders[Part Name],$A1033,T_PlannedOrders[WeekIndex],29)=0,"",SUMIFS(T_PlannedOrders[EffectiveQty],T_PlannedOrders[Part Name],$A1033,T_PlannedOrders[WeekIndex],29)&amp;" ("&amp;TEXT(SUMPRODUCT(MAX((T_PlannedOrders[Part Name]=$A1033)*(T_PlannedOrders[WeekIndex]=29)*(T_PlannedOrders[EffectiveQty]&gt;0)*T_PlannedOrders[Order_Month])),"m月")&amp;"発注)")</f>
        <v/>
      </c>
      <c r="AG1045">
        <f>IF(SUMIFS(T_PlannedOrders[EffectiveQty],T_PlannedOrders[Part Name],$A1033,T_PlannedOrders[WeekIndex],30)=0,"",SUMIFS(T_PlannedOrders[EffectiveQty],T_PlannedOrders[Part Name],$A1033,T_PlannedOrders[WeekIndex],30)&amp;" ("&amp;TEXT(SUMPRODUCT(MAX((T_PlannedOrders[Part Name]=$A1033)*(T_PlannedOrders[WeekIndex]=30)*(T_PlannedOrders[EffectiveQty]&gt;0)*T_PlannedOrders[Order_Month])),"m月")&amp;"発注)")</f>
        <v/>
      </c>
      <c r="AH1045">
        <f>IF(SUMIFS(T_PlannedOrders[EffectiveQty],T_PlannedOrders[Part Name],$A1033,T_PlannedOrders[WeekIndex],31)=0,"",SUMIFS(T_PlannedOrders[EffectiveQty],T_PlannedOrders[Part Name],$A1033,T_PlannedOrders[WeekIndex],31)&amp;" ("&amp;TEXT(SUMPRODUCT(MAX((T_PlannedOrders[Part Name]=$A1033)*(T_PlannedOrders[WeekIndex]=31)*(T_PlannedOrders[EffectiveQty]&gt;0)*T_PlannedOrders[Order_Month])),"m月")&amp;"発注)")</f>
        <v/>
      </c>
      <c r="AI1045">
        <f>IF(SUMIFS(T_PlannedOrders[EffectiveQty],T_PlannedOrders[Part Name],$A1033,T_PlannedOrders[WeekIndex],32)=0,"",SUMIFS(T_PlannedOrders[EffectiveQty],T_PlannedOrders[Part Name],$A1033,T_PlannedOrders[WeekIndex],32)&amp;" ("&amp;TEXT(SUMPRODUCT(MAX((T_PlannedOrders[Part Name]=$A1033)*(T_PlannedOrders[WeekIndex]=32)*(T_PlannedOrders[EffectiveQty]&gt;0)*T_PlannedOrders[Order_Month])),"m月")&amp;"発注)")</f>
        <v/>
      </c>
      <c r="AJ1045">
        <f>IF(SUMIFS(T_PlannedOrders[EffectiveQty],T_PlannedOrders[Part Name],$A1033,T_PlannedOrders[WeekIndex],33)=0,"",SUMIFS(T_PlannedOrders[EffectiveQty],T_PlannedOrders[Part Name],$A1033,T_PlannedOrders[WeekIndex],33)&amp;" ("&amp;TEXT(SUMPRODUCT(MAX((T_PlannedOrders[Part Name]=$A1033)*(T_PlannedOrders[WeekIndex]=33)*(T_PlannedOrders[EffectiveQty]&gt;0)*T_PlannedOrders[Order_Month])),"m月")&amp;"発注)")</f>
        <v/>
      </c>
      <c r="AK1045">
        <f>IF(SUMIFS(T_PlannedOrders[EffectiveQty],T_PlannedOrders[Part Name],$A1033,T_PlannedOrders[WeekIndex],34)=0,"",SUMIFS(T_PlannedOrders[EffectiveQty],T_PlannedOrders[Part Name],$A1033,T_PlannedOrders[WeekIndex],34)&amp;" ("&amp;TEXT(SUMPRODUCT(MAX((T_PlannedOrders[Part Name]=$A1033)*(T_PlannedOrders[WeekIndex]=34)*(T_PlannedOrders[EffectiveQty]&gt;0)*T_PlannedOrders[Order_Month])),"m月")&amp;"発注)")</f>
        <v/>
      </c>
      <c r="AL1045">
        <f>IF(SUMIFS(T_PlannedOrders[EffectiveQty],T_PlannedOrders[Part Name],$A1033,T_PlannedOrders[WeekIndex],35)=0,"",SUMIFS(T_PlannedOrders[EffectiveQty],T_PlannedOrders[Part Name],$A1033,T_PlannedOrders[WeekIndex],35)&amp;" ("&amp;TEXT(SUMPRODUCT(MAX((T_PlannedOrders[Part Name]=$A1033)*(T_PlannedOrders[WeekIndex]=35)*(T_PlannedOrders[EffectiveQty]&gt;0)*T_PlannedOrders[Order_Month])),"m月")&amp;"発注)")</f>
        <v/>
      </c>
      <c r="AM1045">
        <f>IF(SUMIFS(T_PlannedOrders[EffectiveQty],T_PlannedOrders[Part Name],$A1033,T_PlannedOrders[WeekIndex],36)=0,"",SUMIFS(T_PlannedOrders[EffectiveQty],T_PlannedOrders[Part Name],$A1033,T_PlannedOrders[WeekIndex],36)&amp;" ("&amp;TEXT(SUMPRODUCT(MAX((T_PlannedOrders[Part Name]=$A1033)*(T_PlannedOrders[WeekIndex]=36)*(T_PlannedOrders[EffectiveQty]&gt;0)*T_PlannedOrders[Order_Month])),"m月")&amp;"発注)")</f>
        <v/>
      </c>
      <c r="AN1045">
        <f>IF(SUMIFS(T_PlannedOrders[EffectiveQty],T_PlannedOrders[Part Name],$A1033,T_PlannedOrders[WeekIndex],37)=0,"",SUMIFS(T_PlannedOrders[EffectiveQty],T_PlannedOrders[Part Name],$A1033,T_PlannedOrders[WeekIndex],37)&amp;" ("&amp;TEXT(SUMPRODUCT(MAX((T_PlannedOrders[Part Name]=$A1033)*(T_PlannedOrders[WeekIndex]=37)*(T_PlannedOrders[EffectiveQty]&gt;0)*T_PlannedOrders[Order_Month])),"m月")&amp;"発注)")</f>
        <v/>
      </c>
      <c r="AO1045">
        <f>IF(SUMIFS(T_PlannedOrders[EffectiveQty],T_PlannedOrders[Part Name],$A1033,T_PlannedOrders[WeekIndex],38)=0,"",SUMIFS(T_PlannedOrders[EffectiveQty],T_PlannedOrders[Part Name],$A1033,T_PlannedOrders[WeekIndex],38)&amp;" ("&amp;TEXT(SUMPRODUCT(MAX((T_PlannedOrders[Part Name]=$A1033)*(T_PlannedOrders[WeekIndex]=38)*(T_PlannedOrders[EffectiveQty]&gt;0)*T_PlannedOrders[Order_Month])),"m月")&amp;"発注)")</f>
        <v/>
      </c>
      <c r="AP1045">
        <f>IF(SUMIFS(T_PlannedOrders[EffectiveQty],T_PlannedOrders[Part Name],$A1033,T_PlannedOrders[WeekIndex],39)=0,"",SUMIFS(T_PlannedOrders[EffectiveQty],T_PlannedOrders[Part Name],$A1033,T_PlannedOrders[WeekIndex],39)&amp;" ("&amp;TEXT(SUMPRODUCT(MAX((T_PlannedOrders[Part Name]=$A1033)*(T_PlannedOrders[WeekIndex]=39)*(T_PlannedOrders[EffectiveQty]&gt;0)*T_PlannedOrders[Order_Month])),"m月")&amp;"発注)")</f>
        <v/>
      </c>
      <c r="AQ1045">
        <f>IF(SUMIFS(T_PlannedOrders[EffectiveQty],T_PlannedOrders[Part Name],$A1033,T_PlannedOrders[WeekIndex],40)=0,"",SUMIFS(T_PlannedOrders[EffectiveQty],T_PlannedOrders[Part Name],$A1033,T_PlannedOrders[WeekIndex],40)&amp;" ("&amp;TEXT(SUMPRODUCT(MAX((T_PlannedOrders[Part Name]=$A1033)*(T_PlannedOrders[WeekIndex]=40)*(T_PlannedOrders[EffectiveQty]&gt;0)*T_PlannedOrders[Order_Month])),"m月")&amp;"発注)")</f>
        <v/>
      </c>
      <c r="AR1045">
        <f>IF(SUMIFS(T_PlannedOrders[EffectiveQty],T_PlannedOrders[Part Name],$A1033,T_PlannedOrders[WeekIndex],41)=0,"",SUMIFS(T_PlannedOrders[EffectiveQty],T_PlannedOrders[Part Name],$A1033,T_PlannedOrders[WeekIndex],41)&amp;" ("&amp;TEXT(SUMPRODUCT(MAX((T_PlannedOrders[Part Name]=$A1033)*(T_PlannedOrders[WeekIndex]=41)*(T_PlannedOrders[EffectiveQty]&gt;0)*T_PlannedOrders[Order_Month])),"m月")&amp;"発注)")</f>
        <v/>
      </c>
      <c r="AS1045">
        <f>IF(SUMIFS(T_PlannedOrders[EffectiveQty],T_PlannedOrders[Part Name],$A1033,T_PlannedOrders[WeekIndex],42)=0,"",SUMIFS(T_PlannedOrders[EffectiveQty],T_PlannedOrders[Part Name],$A1033,T_PlannedOrders[WeekIndex],42)&amp;" ("&amp;TEXT(SUMPRODUCT(MAX((T_PlannedOrders[Part Name]=$A1033)*(T_PlannedOrders[WeekIndex]=42)*(T_PlannedOrders[EffectiveQty]&gt;0)*T_PlannedOrders[Order_Month])),"m月")&amp;"発注)")</f>
        <v/>
      </c>
      <c r="AT1045">
        <f>IF(SUMIFS(T_PlannedOrders[EffectiveQty],T_PlannedOrders[Part Name],$A1033,T_PlannedOrders[WeekIndex],43)=0,"",SUMIFS(T_PlannedOrders[EffectiveQty],T_PlannedOrders[Part Name],$A1033,T_PlannedOrders[WeekIndex],43)&amp;" ("&amp;TEXT(SUMPRODUCT(MAX((T_PlannedOrders[Part Name]=$A1033)*(T_PlannedOrders[WeekIndex]=43)*(T_PlannedOrders[EffectiveQty]&gt;0)*T_PlannedOrders[Order_Month])),"m月")&amp;"発注)")</f>
        <v/>
      </c>
      <c r="AU1045">
        <f>IF(SUMIFS(T_PlannedOrders[EffectiveQty],T_PlannedOrders[Part Name],$A1033,T_PlannedOrders[WeekIndex],44)=0,"",SUMIFS(T_PlannedOrders[EffectiveQty],T_PlannedOrders[Part Name],$A1033,T_PlannedOrders[WeekIndex],44)&amp;" ("&amp;TEXT(SUMPRODUCT(MAX((T_PlannedOrders[Part Name]=$A1033)*(T_PlannedOrders[WeekIndex]=44)*(T_PlannedOrders[EffectiveQty]&gt;0)*T_PlannedOrders[Order_Month])),"m月")&amp;"発注)")</f>
        <v/>
      </c>
      <c r="AV1045">
        <f>IF(SUMIFS(T_PlannedOrders[EffectiveQty],T_PlannedOrders[Part Name],$A1033,T_PlannedOrders[WeekIndex],45)=0,"",SUMIFS(T_PlannedOrders[EffectiveQty],T_PlannedOrders[Part Name],$A1033,T_PlannedOrders[WeekIndex],45)&amp;" ("&amp;TEXT(SUMPRODUCT(MAX((T_PlannedOrders[Part Name]=$A1033)*(T_PlannedOrders[WeekIndex]=45)*(T_PlannedOrders[EffectiveQty]&gt;0)*T_PlannedOrders[Order_Month])),"m月")&amp;"発注)")</f>
        <v/>
      </c>
      <c r="AW1045">
        <f>IF(SUMIFS(T_PlannedOrders[EffectiveQty],T_PlannedOrders[Part Name],$A1033,T_PlannedOrders[WeekIndex],46)=0,"",SUMIFS(T_PlannedOrders[EffectiveQty],T_PlannedOrders[Part Name],$A1033,T_PlannedOrders[WeekIndex],46)&amp;" ("&amp;TEXT(SUMPRODUCT(MAX((T_PlannedOrders[Part Name]=$A1033)*(T_PlannedOrders[WeekIndex]=46)*(T_PlannedOrders[EffectiveQty]&gt;0)*T_PlannedOrders[Order_Month])),"m月")&amp;"発注)")</f>
        <v/>
      </c>
      <c r="AX1045">
        <f>IF(SUMIFS(T_PlannedOrders[EffectiveQty],T_PlannedOrders[Part Name],$A1033,T_PlannedOrders[WeekIndex],47)=0,"",SUMIFS(T_PlannedOrders[EffectiveQty],T_PlannedOrders[Part Name],$A1033,T_PlannedOrders[WeekIndex],47)&amp;" ("&amp;TEXT(SUMPRODUCT(MAX((T_PlannedOrders[Part Name]=$A1033)*(T_PlannedOrders[WeekIndex]=47)*(T_PlannedOrders[EffectiveQty]&gt;0)*T_PlannedOrders[Order_Month])),"m月")&amp;"発注)")</f>
        <v/>
      </c>
      <c r="AY1045">
        <f>IF(SUMIFS(T_PlannedOrders[EffectiveQty],T_PlannedOrders[Part Name],$A1033,T_PlannedOrders[WeekIndex],48)=0,"",SUMIFS(T_PlannedOrders[EffectiveQty],T_PlannedOrders[Part Name],$A1033,T_PlannedOrders[WeekIndex],48)&amp;" ("&amp;TEXT(SUMPRODUCT(MAX((T_PlannedOrders[Part Name]=$A1033)*(T_PlannedOrders[WeekIndex]=48)*(T_PlannedOrders[EffectiveQty]&gt;0)*T_PlannedOrders[Order_Month])),"m月")&amp;"発注)")</f>
        <v/>
      </c>
      <c r="AZ1045">
        <f>IF(SUMIFS(T_PlannedOrders[EffectiveQty],T_PlannedOrders[Part Name],$A1033,T_PlannedOrders[WeekIndex],49)=0,"",SUMIFS(T_PlannedOrders[EffectiveQty],T_PlannedOrders[Part Name],$A1033,T_PlannedOrders[WeekIndex],49)&amp;" ("&amp;TEXT(SUMPRODUCT(MAX((T_PlannedOrders[Part Name]=$A1033)*(T_PlannedOrders[WeekIndex]=49)*(T_PlannedOrders[EffectiveQty]&gt;0)*T_PlannedOrders[Order_Month])),"m月")&amp;"発注)")</f>
        <v/>
      </c>
      <c r="BA1045">
        <f>IF(SUMIFS(T_PlannedOrders[EffectiveQty],T_PlannedOrders[Part Name],$A1033,T_PlannedOrders[WeekIndex],50)=0,"",SUMIFS(T_PlannedOrders[EffectiveQty],T_PlannedOrders[Part Name],$A1033,T_PlannedOrders[WeekIndex],50)&amp;" ("&amp;TEXT(SUMPRODUCT(MAX((T_PlannedOrders[Part Name]=$A1033)*(T_PlannedOrders[WeekIndex]=50)*(T_PlannedOrders[EffectiveQty]&gt;0)*T_PlannedOrders[Order_Month])),"m月")&amp;"発注)")</f>
        <v/>
      </c>
      <c r="BB1045">
        <f>IF(SUMIFS(T_PlannedOrders[EffectiveQty],T_PlannedOrders[Part Name],$A1033,T_PlannedOrders[WeekIndex],51)=0,"",SUMIFS(T_PlannedOrders[EffectiveQty],T_PlannedOrders[Part Name],$A1033,T_PlannedOrders[WeekIndex],51)&amp;" ("&amp;TEXT(SUMPRODUCT(MAX((T_PlannedOrders[Part Name]=$A1033)*(T_PlannedOrders[WeekIndex]=51)*(T_PlannedOrders[EffectiveQty]&gt;0)*T_PlannedOrders[Order_Month])),"m月")&amp;"発注)")</f>
        <v/>
      </c>
      <c r="BC1045">
        <f>IF(SUMIFS(T_PlannedOrders[EffectiveQty],T_PlannedOrders[Part Name],$A1033,T_PlannedOrders[WeekIndex],52)=0,"",SUMIFS(T_PlannedOrders[EffectiveQty],T_PlannedOrders[Part Name],$A1033,T_PlannedOrders[WeekIndex],52)&amp;" ("&amp;TEXT(SUMPRODUCT(MAX((T_PlannedOrders[Part Name]=$A1033)*(T_PlannedOrders[WeekIndex]=52)*(T_PlannedOrders[EffectiveQty]&gt;0)*T_PlannedOrders[Order_Month])),"m月")&amp;"発注)")</f>
        <v/>
      </c>
      <c r="BD1045">
        <f>IF(SUMIFS(T_PlannedOrders[EffectiveQty],T_PlannedOrders[Part Name],$A1033,T_PlannedOrders[WeekIndex],53)=0,"",SUMIFS(T_PlannedOrders[EffectiveQty],T_PlannedOrders[Part Name],$A1033,T_PlannedOrders[WeekIndex],53)&amp;" ("&amp;TEXT(SUMPRODUCT(MAX((T_PlannedOrders[Part Name]=$A1033)*(T_PlannedOrders[WeekIndex]=53)*(T_PlannedOrders[EffectiveQty]&gt;0)*T_PlannedOrders[Order_Month])),"m月")&amp;"発注)")</f>
        <v/>
      </c>
      <c r="BE1045">
        <f>IF(SUMIFS(T_PlannedOrders[EffectiveQty],T_PlannedOrders[Part Name],$A1033,T_PlannedOrders[WeekIndex],54)=0,"",SUMIFS(T_PlannedOrders[EffectiveQty],T_PlannedOrders[Part Name],$A1033,T_PlannedOrders[WeekIndex],54)&amp;" ("&amp;TEXT(SUMPRODUCT(MAX((T_PlannedOrders[Part Name]=$A1033)*(T_PlannedOrders[WeekIndex]=54)*(T_PlannedOrders[EffectiveQty]&gt;0)*T_PlannedOrders[Order_Month])),"m月")&amp;"発注)")</f>
        <v/>
      </c>
      <c r="BF1045">
        <f>IF(SUMIFS(T_PlannedOrders[EffectiveQty],T_PlannedOrders[Part Name],$A1033,T_PlannedOrders[WeekIndex],55)=0,"",SUMIFS(T_PlannedOrders[EffectiveQty],T_PlannedOrders[Part Name],$A1033,T_PlannedOrders[WeekIndex],55)&amp;" ("&amp;TEXT(SUMPRODUCT(MAX((T_PlannedOrders[Part Name]=$A1033)*(T_PlannedOrders[WeekIndex]=55)*(T_PlannedOrders[EffectiveQty]&gt;0)*T_PlannedOrders[Order_Month])),"m月")&amp;"発注)")</f>
        <v/>
      </c>
      <c r="BG1045">
        <f>IF(SUMIFS(T_PlannedOrders[EffectiveQty],T_PlannedOrders[Part Name],$A1033,T_PlannedOrders[WeekIndex],56)=0,"",SUMIFS(T_PlannedOrders[EffectiveQty],T_PlannedOrders[Part Name],$A1033,T_PlannedOrders[WeekIndex],56)&amp;" ("&amp;TEXT(SUMPRODUCT(MAX((T_PlannedOrders[Part Name]=$A1033)*(T_PlannedOrders[WeekIndex]=56)*(T_PlannedOrders[EffectiveQty]&gt;0)*T_PlannedOrders[Order_Month])),"m月")&amp;"発注)")</f>
        <v/>
      </c>
      <c r="BH1045">
        <f>IF(SUMIFS(T_PlannedOrders[EffectiveQty],T_PlannedOrders[Part Name],$A1033,T_PlannedOrders[WeekIndex],57)=0,"",SUMIFS(T_PlannedOrders[EffectiveQty],T_PlannedOrders[Part Name],$A1033,T_PlannedOrders[WeekIndex],57)&amp;" ("&amp;TEXT(SUMPRODUCT(MAX((T_PlannedOrders[Part Name]=$A1033)*(T_PlannedOrders[WeekIndex]=57)*(T_PlannedOrders[EffectiveQty]&gt;0)*T_PlannedOrders[Order_Month])),"m月")&amp;"発注)")</f>
        <v/>
      </c>
      <c r="BI1045">
        <f>IF(SUMIFS(T_PlannedOrders[EffectiveQty],T_PlannedOrders[Part Name],$A1033,T_PlannedOrders[WeekIndex],58)=0,"",SUMIFS(T_PlannedOrders[EffectiveQty],T_PlannedOrders[Part Name],$A1033,T_PlannedOrders[WeekIndex],58)&amp;" ("&amp;TEXT(SUMPRODUCT(MAX((T_PlannedOrders[Part Name]=$A1033)*(T_PlannedOrders[WeekIndex]=58)*(T_PlannedOrders[EffectiveQty]&gt;0)*T_PlannedOrders[Order_Month])),"m月")&amp;"発注)")</f>
        <v/>
      </c>
      <c r="BJ1045">
        <f>IF(SUMIFS(T_PlannedOrders[EffectiveQty],T_PlannedOrders[Part Name],$A1033,T_PlannedOrders[WeekIndex],59)=0,"",SUMIFS(T_PlannedOrders[EffectiveQty],T_PlannedOrders[Part Name],$A1033,T_PlannedOrders[WeekIndex],59)&amp;" ("&amp;TEXT(SUMPRODUCT(MAX((T_PlannedOrders[Part Name]=$A1033)*(T_PlannedOrders[WeekIndex]=59)*(T_PlannedOrders[EffectiveQty]&gt;0)*T_PlannedOrders[Order_Month])),"m月")&amp;"発注)")</f>
        <v/>
      </c>
      <c r="BK1045">
        <f>IF(SUMIFS(T_PlannedOrders[EffectiveQty],T_PlannedOrders[Part Name],$A1033,T_PlannedOrders[WeekIndex],60)=0,"",SUMIFS(T_PlannedOrders[EffectiveQty],T_PlannedOrders[Part Name],$A1033,T_PlannedOrders[WeekIndex],60)&amp;" ("&amp;TEXT(SUMPRODUCT(MAX((T_PlannedOrders[Part Name]=$A1033)*(T_PlannedOrders[WeekIndex]=60)*(T_PlannedOrders[EffectiveQty]&gt;0)*T_PlannedOrders[Order_Month])),"m月")&amp;"発注)")</f>
        <v/>
      </c>
      <c r="BL1045">
        <f>IF(SUMIFS(T_PlannedOrders[EffectiveQty],T_PlannedOrders[Part Name],$A1033,T_PlannedOrders[WeekIndex],61)=0,"",SUMIFS(T_PlannedOrders[EffectiveQty],T_PlannedOrders[Part Name],$A1033,T_PlannedOrders[WeekIndex],61)&amp;" ("&amp;TEXT(SUMPRODUCT(MAX((T_PlannedOrders[Part Name]=$A1033)*(T_PlannedOrders[WeekIndex]=61)*(T_PlannedOrders[EffectiveQty]&gt;0)*T_PlannedOrders[Order_Month])),"m月")&amp;"発注)")</f>
        <v/>
      </c>
      <c r="BM1045">
        <f>IF(SUMIFS(T_PlannedOrders[EffectiveQty],T_PlannedOrders[Part Name],$A1033,T_PlannedOrders[WeekIndex],62)=0,"",SUMIFS(T_PlannedOrders[EffectiveQty],T_PlannedOrders[Part Name],$A1033,T_PlannedOrders[WeekIndex],62)&amp;" ("&amp;TEXT(SUMPRODUCT(MAX((T_PlannedOrders[Part Name]=$A1033)*(T_PlannedOrders[WeekIndex]=62)*(T_PlannedOrders[EffectiveQty]&gt;0)*T_PlannedOrders[Order_Month])),"m月")&amp;"発注)")</f>
        <v/>
      </c>
      <c r="BN1045">
        <f>IF(SUMIFS(T_PlannedOrders[EffectiveQty],T_PlannedOrders[Part Name],$A1033,T_PlannedOrders[WeekIndex],63)=0,"",SUMIFS(T_PlannedOrders[EffectiveQty],T_PlannedOrders[Part Name],$A1033,T_PlannedOrders[WeekIndex],63)&amp;" ("&amp;TEXT(SUMPRODUCT(MAX((T_PlannedOrders[Part Name]=$A1033)*(T_PlannedOrders[WeekIndex]=63)*(T_PlannedOrders[EffectiveQty]&gt;0)*T_PlannedOrders[Order_Month])),"m月")&amp;"発注)")</f>
        <v/>
      </c>
      <c r="BO1045">
        <f>IF(SUMIFS(T_PlannedOrders[EffectiveQty],T_PlannedOrders[Part Name],$A1033,T_PlannedOrders[WeekIndex],64)=0,"",SUMIFS(T_PlannedOrders[EffectiveQty],T_PlannedOrders[Part Name],$A1033,T_PlannedOrders[WeekIndex],64)&amp;" ("&amp;TEXT(SUMPRODUCT(MAX((T_PlannedOrders[Part Name]=$A1033)*(T_PlannedOrders[WeekIndex]=64)*(T_PlannedOrders[EffectiveQty]&gt;0)*T_PlannedOrders[Order_Month])),"m月")&amp;"発注)")</f>
        <v/>
      </c>
      <c r="BP1045">
        <f>IF(SUMIFS(T_PlannedOrders[EffectiveQty],T_PlannedOrders[Part Name],$A1033,T_PlannedOrders[WeekIndex],65)=0,"",SUMIFS(T_PlannedOrders[EffectiveQty],T_PlannedOrders[Part Name],$A1033,T_PlannedOrders[WeekIndex],65)&amp;" ("&amp;TEXT(SUMPRODUCT(MAX((T_PlannedOrders[Part Name]=$A1033)*(T_PlannedOrders[WeekIndex]=65)*(T_PlannedOrders[EffectiveQty]&gt;0)*T_PlannedOrders[Order_Month])),"m月")&amp;"発注)")</f>
        <v/>
      </c>
      <c r="BQ1045">
        <f>IF(SUMIFS(T_PlannedOrders[EffectiveQty],T_PlannedOrders[Part Name],$A1033,T_PlannedOrders[WeekIndex],66)=0,"",SUMIFS(T_PlannedOrders[EffectiveQty],T_PlannedOrders[Part Name],$A1033,T_PlannedOrders[WeekIndex],66)&amp;" ("&amp;TEXT(SUMPRODUCT(MAX((T_PlannedOrders[Part Name]=$A1033)*(T_PlannedOrders[WeekIndex]=66)*(T_PlannedOrders[EffectiveQty]&gt;0)*T_PlannedOrders[Order_Month])),"m月")&amp;"発注)")</f>
        <v/>
      </c>
      <c r="BR1045">
        <f>IF(SUMIFS(T_PlannedOrders[EffectiveQty],T_PlannedOrders[Part Name],$A1033,T_PlannedOrders[WeekIndex],67)=0,"",SUMIFS(T_PlannedOrders[EffectiveQty],T_PlannedOrders[Part Name],$A1033,T_PlannedOrders[WeekIndex],67)&amp;" ("&amp;TEXT(SUMPRODUCT(MAX((T_PlannedOrders[Part Name]=$A1033)*(T_PlannedOrders[WeekIndex]=67)*(T_PlannedOrders[EffectiveQty]&gt;0)*T_PlannedOrders[Order_Month])),"m月")&amp;"発注)")</f>
        <v/>
      </c>
      <c r="BS1045">
        <f>IF(SUMIFS(T_PlannedOrders[EffectiveQty],T_PlannedOrders[Part Name],$A1033,T_PlannedOrders[WeekIndex],68)=0,"",SUMIFS(T_PlannedOrders[EffectiveQty],T_PlannedOrders[Part Name],$A1033,T_PlannedOrders[WeekIndex],68)&amp;" ("&amp;TEXT(SUMPRODUCT(MAX((T_PlannedOrders[Part Name]=$A1033)*(T_PlannedOrders[WeekIndex]=68)*(T_PlannedOrders[EffectiveQty]&gt;0)*T_PlannedOrders[Order_Month])),"m月")&amp;"発注)")</f>
        <v/>
      </c>
      <c r="BT1045">
        <f>IF(SUMIFS(T_PlannedOrders[EffectiveQty],T_PlannedOrders[Part Name],$A1033,T_PlannedOrders[WeekIndex],69)=0,"",SUMIFS(T_PlannedOrders[EffectiveQty],T_PlannedOrders[Part Name],$A1033,T_PlannedOrders[WeekIndex],69)&amp;" ("&amp;TEXT(SUMPRODUCT(MAX((T_PlannedOrders[Part Name]=$A1033)*(T_PlannedOrders[WeekIndex]=69)*(T_PlannedOrders[EffectiveQty]&gt;0)*T_PlannedOrders[Order_Month])),"m月")&amp;"発注)")</f>
        <v/>
      </c>
      <c r="BU1045">
        <f>IF(SUMIFS(T_PlannedOrders[EffectiveQty],T_PlannedOrders[Part Name],$A1033,T_PlannedOrders[WeekIndex],70)=0,"",SUMIFS(T_PlannedOrders[EffectiveQty],T_PlannedOrders[Part Name],$A1033,T_PlannedOrders[WeekIndex],70)&amp;" ("&amp;TEXT(SUMPRODUCT(MAX((T_PlannedOrders[Part Name]=$A1033)*(T_PlannedOrders[WeekIndex]=70)*(T_PlannedOrders[EffectiveQty]&gt;0)*T_PlannedOrders[Order_Month])),"m月")&amp;"発注)")</f>
        <v/>
      </c>
      <c r="BV1045">
        <f>IF(SUMIFS(T_PlannedOrders[EffectiveQty],T_PlannedOrders[Part Name],$A1033,T_PlannedOrders[WeekIndex],71)=0,"",SUMIFS(T_PlannedOrders[EffectiveQty],T_PlannedOrders[Part Name],$A1033,T_PlannedOrders[WeekIndex],71)&amp;" ("&amp;TEXT(SUMPRODUCT(MAX((T_PlannedOrders[Part Name]=$A1033)*(T_PlannedOrders[WeekIndex]=71)*(T_PlannedOrders[EffectiveQty]&gt;0)*T_PlannedOrders[Order_Month])),"m月")&amp;"発注)")</f>
        <v/>
      </c>
      <c r="BW1045">
        <f>IF(SUMIFS(T_PlannedOrders[EffectiveQty],T_PlannedOrders[Part Name],$A1033,T_PlannedOrders[WeekIndex],72)=0,"",SUMIFS(T_PlannedOrders[EffectiveQty],T_PlannedOrders[Part Name],$A1033,T_PlannedOrders[WeekIndex],72)&amp;" ("&amp;TEXT(SUMPRODUCT(MAX((T_PlannedOrders[Part Name]=$A1033)*(T_PlannedOrders[WeekIndex]=72)*(T_PlannedOrders[EffectiveQty]&gt;0)*T_PlannedOrders[Order_Month])),"m月")&amp;"発注)")</f>
        <v/>
      </c>
      <c r="BX1045">
        <f>IF(SUMIFS(T_PlannedOrders[EffectiveQty],T_PlannedOrders[Part Name],$A1033,T_PlannedOrders[WeekIndex],73)=0,"",SUMIFS(T_PlannedOrders[EffectiveQty],T_PlannedOrders[Part Name],$A1033,T_PlannedOrders[WeekIndex],73)&amp;" ("&amp;TEXT(SUMPRODUCT(MAX((T_PlannedOrders[Part Name]=$A1033)*(T_PlannedOrders[WeekIndex]=73)*(T_PlannedOrders[EffectiveQty]&gt;0)*T_PlannedOrders[Order_Month])),"m月")&amp;"発注)")</f>
        <v/>
      </c>
      <c r="BY1045">
        <f>IF(SUMIFS(T_PlannedOrders[EffectiveQty],T_PlannedOrders[Part Name],$A1033,T_PlannedOrders[WeekIndex],74)=0,"",SUMIFS(T_PlannedOrders[EffectiveQty],T_PlannedOrders[Part Name],$A1033,T_PlannedOrders[WeekIndex],74)&amp;" ("&amp;TEXT(SUMPRODUCT(MAX((T_PlannedOrders[Part Name]=$A1033)*(T_PlannedOrders[WeekIndex]=74)*(T_PlannedOrders[EffectiveQty]&gt;0)*T_PlannedOrders[Order_Month])),"m月")&amp;"発注)")</f>
        <v/>
      </c>
      <c r="BZ1045">
        <f>IF(SUMIFS(T_PlannedOrders[EffectiveQty],T_PlannedOrders[Part Name],$A1033,T_PlannedOrders[WeekIndex],75)=0,"",SUMIFS(T_PlannedOrders[EffectiveQty],T_PlannedOrders[Part Name],$A1033,T_PlannedOrders[WeekIndex],75)&amp;" ("&amp;TEXT(SUMPRODUCT(MAX((T_PlannedOrders[Part Name]=$A1033)*(T_PlannedOrders[WeekIndex]=75)*(T_PlannedOrders[EffectiveQty]&gt;0)*T_PlannedOrders[Order_Month])),"m月")&amp;"発注)")</f>
        <v/>
      </c>
      <c r="CA1045">
        <f>IF(SUMIFS(T_PlannedOrders[EffectiveQty],T_PlannedOrders[Part Name],$A1033,T_PlannedOrders[WeekIndex],76)=0,"",SUMIFS(T_PlannedOrders[EffectiveQty],T_PlannedOrders[Part Name],$A1033,T_PlannedOrders[WeekIndex],76)&amp;" ("&amp;TEXT(SUMPRODUCT(MAX((T_PlannedOrders[Part Name]=$A1033)*(T_PlannedOrders[WeekIndex]=76)*(T_PlannedOrders[EffectiveQty]&gt;0)*T_PlannedOrders[Order_Month])),"m月")&amp;"発注)")</f>
        <v/>
      </c>
      <c r="CB1045">
        <f>IF(SUMIFS(T_PlannedOrders[EffectiveQty],T_PlannedOrders[Part Name],$A1033,T_PlannedOrders[WeekIndex],77)=0,"",SUMIFS(T_PlannedOrders[EffectiveQty],T_PlannedOrders[Part Name],$A1033,T_PlannedOrders[WeekIndex],77)&amp;" ("&amp;TEXT(SUMPRODUCT(MAX((T_PlannedOrders[Part Name]=$A1033)*(T_PlannedOrders[WeekIndex]=77)*(T_PlannedOrders[EffectiveQty]&gt;0)*T_PlannedOrders[Order_Month])),"m月")&amp;"発注)")</f>
        <v/>
      </c>
      <c r="CC1045">
        <f>IF(SUMIFS(T_PlannedOrders[EffectiveQty],T_PlannedOrders[Part Name],$A1033,T_PlannedOrders[WeekIndex],78)=0,"",SUMIFS(T_PlannedOrders[EffectiveQty],T_PlannedOrders[Part Name],$A1033,T_PlannedOrders[WeekIndex],78)&amp;" ("&amp;TEXT(SUMPRODUCT(MAX((T_PlannedOrders[Part Name]=$A1033)*(T_PlannedOrders[WeekIndex]=78)*(T_PlannedOrders[EffectiveQty]&gt;0)*T_PlannedOrders[Order_Month])),"m月")&amp;"発注)")</f>
        <v/>
      </c>
      <c r="CD1045">
        <f>IF(SUMIFS(T_PlannedOrders[EffectiveQty],T_PlannedOrders[Part Name],$A1033,T_PlannedOrders[WeekIndex],79)=0,"",SUMIFS(T_PlannedOrders[EffectiveQty],T_PlannedOrders[Part Name],$A1033,T_PlannedOrders[WeekIndex],79)&amp;" ("&amp;TEXT(SUMPRODUCT(MAX((T_PlannedOrders[Part Name]=$A1033)*(T_PlannedOrders[WeekIndex]=79)*(T_PlannedOrders[EffectiveQty]&gt;0)*T_PlannedOrders[Order_Month])),"m月")&amp;"発注)")</f>
        <v/>
      </c>
      <c r="CE1045">
        <f>IF(SUMIFS(T_PlannedOrders[EffectiveQty],T_PlannedOrders[Part Name],$A1033,T_PlannedOrders[WeekIndex],80)=0,"",SUMIFS(T_PlannedOrders[EffectiveQty],T_PlannedOrders[Part Name],$A1033,T_PlannedOrders[WeekIndex],80)&amp;" ("&amp;TEXT(SUMPRODUCT(MAX((T_PlannedOrders[Part Name]=$A1033)*(T_PlannedOrders[WeekIndex]=80)*(T_PlannedOrders[EffectiveQty]&gt;0)*T_PlannedOrders[Order_Month])),"m月")&amp;"発注)")</f>
        <v/>
      </c>
      <c r="CF1045">
        <f>IF(SUMIFS(T_PlannedOrders[EffectiveQty],T_PlannedOrders[Part Name],$A1033,T_PlannedOrders[WeekIndex],81)=0,"",SUMIFS(T_PlannedOrders[EffectiveQty],T_PlannedOrders[Part Name],$A1033,T_PlannedOrders[WeekIndex],81)&amp;" ("&amp;TEXT(SUMPRODUCT(MAX((T_PlannedOrders[Part Name]=$A1033)*(T_PlannedOrders[WeekIndex]=81)*(T_PlannedOrders[EffectiveQty]&gt;0)*T_PlannedOrders[Order_Month])),"m月")&amp;"発注)")</f>
        <v/>
      </c>
      <c r="CG1045">
        <f>IF(SUMIFS(T_PlannedOrders[EffectiveQty],T_PlannedOrders[Part Name],$A1033,T_PlannedOrders[WeekIndex],82)=0,"",SUMIFS(T_PlannedOrders[EffectiveQty],T_PlannedOrders[Part Name],$A1033,T_PlannedOrders[WeekIndex],82)&amp;" ("&amp;TEXT(SUMPRODUCT(MAX((T_PlannedOrders[Part Name]=$A1033)*(T_PlannedOrders[WeekIndex]=82)*(T_PlannedOrders[EffectiveQty]&gt;0)*T_PlannedOrders[Order_Month])),"m月")&amp;"発注)")</f>
        <v/>
      </c>
      <c r="CH1045">
        <f>IF(SUMIFS(T_PlannedOrders[EffectiveQty],T_PlannedOrders[Part Name],$A1033,T_PlannedOrders[WeekIndex],83)=0,"",SUMIFS(T_PlannedOrders[EffectiveQty],T_PlannedOrders[Part Name],$A1033,T_PlannedOrders[WeekIndex],83)&amp;" ("&amp;TEXT(SUMPRODUCT(MAX((T_PlannedOrders[Part Name]=$A1033)*(T_PlannedOrders[WeekIndex]=83)*(T_PlannedOrders[EffectiveQty]&gt;0)*T_PlannedOrders[Order_Month])),"m月")&amp;"発注)")</f>
        <v/>
      </c>
      <c r="CI1045">
        <f>IF(SUMIFS(T_PlannedOrders[EffectiveQty],T_PlannedOrders[Part Name],$A1033,T_PlannedOrders[WeekIndex],84)=0,"",SUMIFS(T_PlannedOrders[EffectiveQty],T_PlannedOrders[Part Name],$A1033,T_PlannedOrders[WeekIndex],84)&amp;" ("&amp;TEXT(SUMPRODUCT(MAX((T_PlannedOrders[Part Name]=$A1033)*(T_PlannedOrders[WeekIndex]=84)*(T_PlannedOrders[EffectiveQty]&gt;0)*T_PlannedOrders[Order_Month])),"m月")&amp;"発注)")</f>
        <v/>
      </c>
      <c r="CJ1045">
        <f>IF(SUMIFS(T_PlannedOrders[EffectiveQty],T_PlannedOrders[Part Name],$A1033,T_PlannedOrders[WeekIndex],85)=0,"",SUMIFS(T_PlannedOrders[EffectiveQty],T_PlannedOrders[Part Name],$A1033,T_PlannedOrders[WeekIndex],85)&amp;" ("&amp;TEXT(SUMPRODUCT(MAX((T_PlannedOrders[Part Name]=$A1033)*(T_PlannedOrders[WeekIndex]=85)*(T_PlannedOrders[EffectiveQty]&gt;0)*T_PlannedOrders[Order_Month])),"m月")&amp;"発注)")</f>
        <v/>
      </c>
      <c r="CK1045">
        <f>IF(SUMIFS(T_PlannedOrders[EffectiveQty],T_PlannedOrders[Part Name],$A1033,T_PlannedOrders[WeekIndex],86)=0,"",SUMIFS(T_PlannedOrders[EffectiveQty],T_PlannedOrders[Part Name],$A1033,T_PlannedOrders[WeekIndex],86)&amp;" ("&amp;TEXT(SUMPRODUCT(MAX((T_PlannedOrders[Part Name]=$A1033)*(T_PlannedOrders[WeekIndex]=86)*(T_PlannedOrders[EffectiveQty]&gt;0)*T_PlannedOrders[Order_Month])),"m月")&amp;"発注)")</f>
        <v/>
      </c>
      <c r="CL1045">
        <f>IF(SUMIFS(T_PlannedOrders[EffectiveQty],T_PlannedOrders[Part Name],$A1033,T_PlannedOrders[WeekIndex],87)=0,"",SUMIFS(T_PlannedOrders[EffectiveQty],T_PlannedOrders[Part Name],$A1033,T_PlannedOrders[WeekIndex],87)&amp;" ("&amp;TEXT(SUMPRODUCT(MAX((T_PlannedOrders[Part Name]=$A1033)*(T_PlannedOrders[WeekIndex]=87)*(T_PlannedOrders[EffectiveQty]&gt;0)*T_PlannedOrders[Order_Month])),"m月")&amp;"発注)")</f>
        <v/>
      </c>
      <c r="CM1045">
        <f>IF(SUMIFS(T_PlannedOrders[EffectiveQty],T_PlannedOrders[Part Name],$A1033,T_PlannedOrders[WeekIndex],88)=0,"",SUMIFS(T_PlannedOrders[EffectiveQty],T_PlannedOrders[Part Name],$A1033,T_PlannedOrders[WeekIndex],88)&amp;" ("&amp;TEXT(SUMPRODUCT(MAX((T_PlannedOrders[Part Name]=$A1033)*(T_PlannedOrders[WeekIndex]=88)*(T_PlannedOrders[EffectiveQty]&gt;0)*T_PlannedOrders[Order_Month])),"m月")&amp;"発注)")</f>
        <v/>
      </c>
      <c r="CN1045">
        <f>IF(SUMIFS(T_PlannedOrders[EffectiveQty],T_PlannedOrders[Part Name],$A1033,T_PlannedOrders[WeekIndex],89)=0,"",SUMIFS(T_PlannedOrders[EffectiveQty],T_PlannedOrders[Part Name],$A1033,T_PlannedOrders[WeekIndex],89)&amp;" ("&amp;TEXT(SUMPRODUCT(MAX((T_PlannedOrders[Part Name]=$A1033)*(T_PlannedOrders[WeekIndex]=89)*(T_PlannedOrders[EffectiveQty]&gt;0)*T_PlannedOrders[Order_Month])),"m月")&amp;"発注)")</f>
        <v/>
      </c>
      <c r="CO1045">
        <f>IF(SUMIFS(T_PlannedOrders[EffectiveQty],T_PlannedOrders[Part Name],$A1033,T_PlannedOrders[WeekIndex],90)=0,"",SUMIFS(T_PlannedOrders[EffectiveQty],T_PlannedOrders[Part Name],$A1033,T_PlannedOrders[WeekIndex],90)&amp;" ("&amp;TEXT(SUMPRODUCT(MAX((T_PlannedOrders[Part Name]=$A1033)*(T_PlannedOrders[WeekIndex]=90)*(T_PlannedOrders[EffectiveQty]&gt;0)*T_PlannedOrders[Order_Month])),"m月")&amp;"発注)")</f>
        <v/>
      </c>
      <c r="CP1045">
        <f>IF(SUMIFS(T_PlannedOrders[EffectiveQty],T_PlannedOrders[Part Name],$A1033,T_PlannedOrders[WeekIndex],91)=0,"",SUMIFS(T_PlannedOrders[EffectiveQty],T_PlannedOrders[Part Name],$A1033,T_PlannedOrders[WeekIndex],91)&amp;" ("&amp;TEXT(SUMPRODUCT(MAX((T_PlannedOrders[Part Name]=$A1033)*(T_PlannedOrders[WeekIndex]=91)*(T_PlannedOrders[EffectiveQty]&gt;0)*T_PlannedOrders[Order_Month])),"m月")&amp;"発注)")</f>
        <v/>
      </c>
      <c r="CQ1045">
        <f>IF(SUMIFS(T_PlannedOrders[EffectiveQty],T_PlannedOrders[Part Name],$A1033,T_PlannedOrders[WeekIndex],92)=0,"",SUMIFS(T_PlannedOrders[EffectiveQty],T_PlannedOrders[Part Name],$A1033,T_PlannedOrders[WeekIndex],92)&amp;" ("&amp;TEXT(SUMPRODUCT(MAX((T_PlannedOrders[Part Name]=$A1033)*(T_PlannedOrders[WeekIndex]=92)*(T_PlannedOrders[EffectiveQty]&gt;0)*T_PlannedOrders[Order_Month])),"m月")&amp;"発注)")</f>
        <v/>
      </c>
      <c r="CR1045">
        <f>IF(SUMIFS(T_PlannedOrders[EffectiveQty],T_PlannedOrders[Part Name],$A1033,T_PlannedOrders[WeekIndex],93)=0,"",SUMIFS(T_PlannedOrders[EffectiveQty],T_PlannedOrders[Part Name],$A1033,T_PlannedOrders[WeekIndex],93)&amp;" ("&amp;TEXT(SUMPRODUCT(MAX((T_PlannedOrders[Part Name]=$A1033)*(T_PlannedOrders[WeekIndex]=93)*(T_PlannedOrders[EffectiveQty]&gt;0)*T_PlannedOrders[Order_Month])),"m月")&amp;"発注)")</f>
        <v/>
      </c>
      <c r="CS1045">
        <f>IF(SUMIFS(T_PlannedOrders[EffectiveQty],T_PlannedOrders[Part Name],$A1033,T_PlannedOrders[WeekIndex],94)=0,"",SUMIFS(T_PlannedOrders[EffectiveQty],T_PlannedOrders[Part Name],$A1033,T_PlannedOrders[WeekIndex],94)&amp;" ("&amp;TEXT(SUMPRODUCT(MAX((T_PlannedOrders[Part Name]=$A1033)*(T_PlannedOrders[WeekIndex]=94)*(T_PlannedOrders[EffectiveQty]&gt;0)*T_PlannedOrders[Order_Month])),"m月")&amp;"発注)")</f>
        <v/>
      </c>
      <c r="CT1045">
        <f>IF(SUMIFS(T_PlannedOrders[EffectiveQty],T_PlannedOrders[Part Name],$A1033,T_PlannedOrders[WeekIndex],95)=0,"",SUMIFS(T_PlannedOrders[EffectiveQty],T_PlannedOrders[Part Name],$A1033,T_PlannedOrders[WeekIndex],95)&amp;" ("&amp;TEXT(SUMPRODUCT(MAX((T_PlannedOrders[Part Name]=$A1033)*(T_PlannedOrders[WeekIndex]=95)*(T_PlannedOrders[EffectiveQty]&gt;0)*T_PlannedOrders[Order_Month])),"m月")&amp;"発注)")</f>
        <v/>
      </c>
      <c r="CU1045">
        <f>IF(SUMIFS(T_PlannedOrders[EffectiveQty],T_PlannedOrders[Part Name],$A1033,T_PlannedOrders[WeekIndex],96)=0,"",SUMIFS(T_PlannedOrders[EffectiveQty],T_PlannedOrders[Part Name],$A1033,T_PlannedOrders[WeekIndex],96)&amp;" ("&amp;TEXT(SUMPRODUCT(MAX((T_PlannedOrders[Part Name]=$A1033)*(T_PlannedOrders[WeekIndex]=96)*(T_PlannedOrders[EffectiveQty]&gt;0)*T_PlannedOrders[Order_Month])),"m月")&amp;"発注)")</f>
        <v/>
      </c>
      <c r="CV1045">
        <f>IF(SUMIFS(T_PlannedOrders[EffectiveQty],T_PlannedOrders[Part Name],$A1033,T_PlannedOrders[WeekIndex],97)=0,"",SUMIFS(T_PlannedOrders[EffectiveQty],T_PlannedOrders[Part Name],$A1033,T_PlannedOrders[WeekIndex],97)&amp;" ("&amp;TEXT(SUMPRODUCT(MAX((T_PlannedOrders[Part Name]=$A1033)*(T_PlannedOrders[WeekIndex]=97)*(T_PlannedOrders[EffectiveQty]&gt;0)*T_PlannedOrders[Order_Month])),"m月")&amp;"発注)")</f>
        <v/>
      </c>
      <c r="CW1045">
        <f>IF(SUMIFS(T_PlannedOrders[EffectiveQty],T_PlannedOrders[Part Name],$A1033,T_PlannedOrders[WeekIndex],98)=0,"",SUMIFS(T_PlannedOrders[EffectiveQty],T_PlannedOrders[Part Name],$A1033,T_PlannedOrders[WeekIndex],98)&amp;" ("&amp;TEXT(SUMPRODUCT(MAX((T_PlannedOrders[Part Name]=$A1033)*(T_PlannedOrders[WeekIndex]=98)*(T_PlannedOrders[EffectiveQty]&gt;0)*T_PlannedOrders[Order_Month])),"m月")&amp;"発注)")</f>
        <v/>
      </c>
      <c r="CX1045">
        <f>IF(SUMIFS(T_PlannedOrders[EffectiveQty],T_PlannedOrders[Part Name],$A1033,T_PlannedOrders[WeekIndex],99)=0,"",SUMIFS(T_PlannedOrders[EffectiveQty],T_PlannedOrders[Part Name],$A1033,T_PlannedOrders[WeekIndex],99)&amp;" ("&amp;TEXT(SUMPRODUCT(MAX((T_PlannedOrders[Part Name]=$A1033)*(T_PlannedOrders[WeekIndex]=99)*(T_PlannedOrders[EffectiveQty]&gt;0)*T_PlannedOrders[Order_Month])),"m月")&amp;"発注)")</f>
        <v/>
      </c>
      <c r="CY1045">
        <f>IF(SUMIFS(T_PlannedOrders[EffectiveQty],T_PlannedOrders[Part Name],$A1033,T_PlannedOrders[WeekIndex],100)=0,"",SUMIFS(T_PlannedOrders[EffectiveQty],T_PlannedOrders[Part Name],$A1033,T_PlannedOrders[WeekIndex],100)&amp;" ("&amp;TEXT(SUMPRODUCT(MAX((T_PlannedOrders[Part Name]=$A1033)*(T_PlannedOrders[WeekIndex]=100)*(T_PlannedOrders[EffectiveQty]&gt;0)*T_PlannedOrders[Order_Month])),"m月")&amp;"発注)")</f>
        <v/>
      </c>
      <c r="CZ1045">
        <f>IF(SUMIFS(T_PlannedOrders[EffectiveQty],T_PlannedOrders[Part Name],$A1033,T_PlannedOrders[WeekIndex],101)=0,"",SUMIFS(T_PlannedOrders[EffectiveQty],T_PlannedOrders[Part Name],$A1033,T_PlannedOrders[WeekIndex],101)&amp;" ("&amp;TEXT(SUMPRODUCT(MAX((T_PlannedOrders[Part Name]=$A1033)*(T_PlannedOrders[WeekIndex]=101)*(T_PlannedOrders[EffectiveQty]&gt;0)*T_PlannedOrders[Order_Month])),"m月")&amp;"発注)")</f>
        <v/>
      </c>
      <c r="DA1045">
        <f>IF(SUMIFS(T_PlannedOrders[EffectiveQty],T_PlannedOrders[Part Name],$A1033,T_PlannedOrders[WeekIndex],102)=0,"",SUMIFS(T_PlannedOrders[EffectiveQty],T_PlannedOrders[Part Name],$A1033,T_PlannedOrders[WeekIndex],102)&amp;" ("&amp;TEXT(SUMPRODUCT(MAX((T_PlannedOrders[Part Name]=$A1033)*(T_PlannedOrders[WeekIndex]=102)*(T_PlannedOrders[EffectiveQty]&gt;0)*T_PlannedOrders[Order_Month])),"m月")&amp;"発注)")</f>
        <v/>
      </c>
      <c r="DB1045">
        <f>IF(SUMIFS(T_PlannedOrders[EffectiveQty],T_PlannedOrders[Part Name],$A1033,T_PlannedOrders[WeekIndex],103)=0,"",SUMIFS(T_PlannedOrders[EffectiveQty],T_PlannedOrders[Part Name],$A1033,T_PlannedOrders[WeekIndex],103)&amp;" ("&amp;TEXT(SUMPRODUCT(MAX((T_PlannedOrders[Part Name]=$A1033)*(T_PlannedOrders[WeekIndex]=103)*(T_PlannedOrders[EffectiveQty]&gt;0)*T_PlannedOrders[Order_Month])),"m月")&amp;"発注)")</f>
        <v/>
      </c>
      <c r="DC1045">
        <f>IF(SUMIFS(T_PlannedOrders[EffectiveQty],T_PlannedOrders[Part Name],$A1033,T_PlannedOrders[WeekIndex],104)=0,"",SUMIFS(T_PlannedOrders[EffectiveQty],T_PlannedOrders[Part Name],$A1033,T_PlannedOrders[WeekIndex],104)&amp;" ("&amp;TEXT(SUMPRODUCT(MAX((T_PlannedOrders[Part Name]=$A1033)*(T_PlannedOrders[WeekIndex]=104)*(T_PlannedOrders[EffectiveQty]&gt;0)*T_PlannedOrders[Order_Month])),"m月")&amp;"発注)")</f>
        <v/>
      </c>
    </row>
    <row r="1046">
      <c r="B1046" s="5" t="inlineStr">
        <is>
          <t>合計在庫(週末時点,kg)</t>
        </is>
      </c>
      <c r="D1046">
        <f>'Grid_Stock'!B29</f>
        <v/>
      </c>
      <c r="E1046">
        <f>'Grid_Stock'!C29</f>
        <v/>
      </c>
      <c r="F1046">
        <f>'Grid_Stock'!D29</f>
        <v/>
      </c>
      <c r="G1046">
        <f>'Grid_Stock'!E29</f>
        <v/>
      </c>
      <c r="H1046">
        <f>'Grid_Stock'!F29</f>
        <v/>
      </c>
      <c r="I1046">
        <f>'Grid_Stock'!G29</f>
        <v/>
      </c>
      <c r="J1046">
        <f>'Grid_Stock'!H29</f>
        <v/>
      </c>
      <c r="K1046">
        <f>'Grid_Stock'!I29</f>
        <v/>
      </c>
      <c r="L1046">
        <f>'Grid_Stock'!J29</f>
        <v/>
      </c>
      <c r="M1046">
        <f>'Grid_Stock'!K29</f>
        <v/>
      </c>
      <c r="N1046">
        <f>'Grid_Stock'!L29</f>
        <v/>
      </c>
      <c r="O1046">
        <f>'Grid_Stock'!M29</f>
        <v/>
      </c>
      <c r="P1046">
        <f>'Grid_Stock'!N29</f>
        <v/>
      </c>
      <c r="Q1046">
        <f>'Grid_Stock'!O29</f>
        <v/>
      </c>
      <c r="R1046">
        <f>'Grid_Stock'!P29</f>
        <v/>
      </c>
      <c r="S1046">
        <f>'Grid_Stock'!Q29</f>
        <v/>
      </c>
      <c r="T1046">
        <f>'Grid_Stock'!R29</f>
        <v/>
      </c>
      <c r="U1046">
        <f>'Grid_Stock'!S29</f>
        <v/>
      </c>
      <c r="V1046">
        <f>'Grid_Stock'!T29</f>
        <v/>
      </c>
      <c r="W1046">
        <f>'Grid_Stock'!U29</f>
        <v/>
      </c>
      <c r="X1046">
        <f>'Grid_Stock'!V29</f>
        <v/>
      </c>
      <c r="Y1046">
        <f>'Grid_Stock'!W29</f>
        <v/>
      </c>
      <c r="Z1046">
        <f>'Grid_Stock'!X29</f>
        <v/>
      </c>
      <c r="AA1046">
        <f>'Grid_Stock'!Y29</f>
        <v/>
      </c>
      <c r="AB1046">
        <f>'Grid_Stock'!Z29</f>
        <v/>
      </c>
      <c r="AC1046">
        <f>'Grid_Stock'!AA29</f>
        <v/>
      </c>
      <c r="AD1046">
        <f>'Grid_Stock'!AB29</f>
        <v/>
      </c>
      <c r="AE1046">
        <f>'Grid_Stock'!AC29</f>
        <v/>
      </c>
      <c r="AF1046">
        <f>'Grid_Stock'!AD29</f>
        <v/>
      </c>
      <c r="AG1046">
        <f>'Grid_Stock'!AE29</f>
        <v/>
      </c>
      <c r="AH1046">
        <f>'Grid_Stock'!AF29</f>
        <v/>
      </c>
      <c r="AI1046">
        <f>'Grid_Stock'!AG29</f>
        <v/>
      </c>
      <c r="AJ1046">
        <f>'Grid_Stock'!AH29</f>
        <v/>
      </c>
      <c r="AK1046">
        <f>'Grid_Stock'!AI29</f>
        <v/>
      </c>
      <c r="AL1046">
        <f>'Grid_Stock'!AJ29</f>
        <v/>
      </c>
      <c r="AM1046">
        <f>'Grid_Stock'!AK29</f>
        <v/>
      </c>
      <c r="AN1046">
        <f>'Grid_Stock'!AL29</f>
        <v/>
      </c>
      <c r="AO1046">
        <f>'Grid_Stock'!AM29</f>
        <v/>
      </c>
      <c r="AP1046">
        <f>'Grid_Stock'!AN29</f>
        <v/>
      </c>
      <c r="AQ1046">
        <f>'Grid_Stock'!AO29</f>
        <v/>
      </c>
      <c r="AR1046">
        <f>'Grid_Stock'!AP29</f>
        <v/>
      </c>
      <c r="AS1046">
        <f>'Grid_Stock'!AQ29</f>
        <v/>
      </c>
      <c r="AT1046">
        <f>'Grid_Stock'!AR29</f>
        <v/>
      </c>
      <c r="AU1046">
        <f>'Grid_Stock'!AS29</f>
        <v/>
      </c>
      <c r="AV1046">
        <f>'Grid_Stock'!AT29</f>
        <v/>
      </c>
      <c r="AW1046">
        <f>'Grid_Stock'!AU29</f>
        <v/>
      </c>
      <c r="AX1046">
        <f>'Grid_Stock'!AV29</f>
        <v/>
      </c>
      <c r="AY1046">
        <f>'Grid_Stock'!AW29</f>
        <v/>
      </c>
      <c r="AZ1046">
        <f>'Grid_Stock'!AX29</f>
        <v/>
      </c>
      <c r="BA1046">
        <f>'Grid_Stock'!AY29</f>
        <v/>
      </c>
      <c r="BB1046">
        <f>'Grid_Stock'!AZ29</f>
        <v/>
      </c>
      <c r="BC1046">
        <f>'Grid_Stock'!BA29</f>
        <v/>
      </c>
      <c r="BD1046">
        <f>'Grid_Stock'!BB29</f>
        <v/>
      </c>
      <c r="BE1046">
        <f>'Grid_Stock'!BC29</f>
        <v/>
      </c>
      <c r="BF1046">
        <f>'Grid_Stock'!BD29</f>
        <v/>
      </c>
      <c r="BG1046">
        <f>'Grid_Stock'!BE29</f>
        <v/>
      </c>
      <c r="BH1046">
        <f>'Grid_Stock'!BF29</f>
        <v/>
      </c>
      <c r="BI1046">
        <f>'Grid_Stock'!BG29</f>
        <v/>
      </c>
      <c r="BJ1046">
        <f>'Grid_Stock'!BH29</f>
        <v/>
      </c>
      <c r="BK1046">
        <f>'Grid_Stock'!BI29</f>
        <v/>
      </c>
      <c r="BL1046">
        <f>'Grid_Stock'!BJ29</f>
        <v/>
      </c>
      <c r="BM1046">
        <f>'Grid_Stock'!BK29</f>
        <v/>
      </c>
      <c r="BN1046">
        <f>'Grid_Stock'!BL29</f>
        <v/>
      </c>
      <c r="BO1046">
        <f>'Grid_Stock'!BM29</f>
        <v/>
      </c>
      <c r="BP1046">
        <f>'Grid_Stock'!BN29</f>
        <v/>
      </c>
      <c r="BQ1046">
        <f>'Grid_Stock'!BO29</f>
        <v/>
      </c>
      <c r="BR1046">
        <f>'Grid_Stock'!BP29</f>
        <v/>
      </c>
      <c r="BS1046">
        <f>'Grid_Stock'!BQ29</f>
        <v/>
      </c>
      <c r="BT1046">
        <f>'Grid_Stock'!BR29</f>
        <v/>
      </c>
      <c r="BU1046">
        <f>'Grid_Stock'!BS29</f>
        <v/>
      </c>
      <c r="BV1046">
        <f>'Grid_Stock'!BT29</f>
        <v/>
      </c>
      <c r="BW1046">
        <f>'Grid_Stock'!BU29</f>
        <v/>
      </c>
      <c r="BX1046">
        <f>'Grid_Stock'!BV29</f>
        <v/>
      </c>
      <c r="BY1046">
        <f>'Grid_Stock'!BW29</f>
        <v/>
      </c>
      <c r="BZ1046">
        <f>'Grid_Stock'!BX29</f>
        <v/>
      </c>
      <c r="CA1046">
        <f>'Grid_Stock'!BY29</f>
        <v/>
      </c>
      <c r="CB1046">
        <f>'Grid_Stock'!BZ29</f>
        <v/>
      </c>
      <c r="CC1046">
        <f>'Grid_Stock'!CA29</f>
        <v/>
      </c>
      <c r="CD1046">
        <f>'Grid_Stock'!CB29</f>
        <v/>
      </c>
      <c r="CE1046">
        <f>'Grid_Stock'!CC29</f>
        <v/>
      </c>
      <c r="CF1046">
        <f>'Grid_Stock'!CD29</f>
        <v/>
      </c>
      <c r="CG1046">
        <f>'Grid_Stock'!CE29</f>
        <v/>
      </c>
      <c r="CH1046">
        <f>'Grid_Stock'!CF29</f>
        <v/>
      </c>
      <c r="CI1046">
        <f>'Grid_Stock'!CG29</f>
        <v/>
      </c>
      <c r="CJ1046">
        <f>'Grid_Stock'!CH29</f>
        <v/>
      </c>
      <c r="CK1046">
        <f>'Grid_Stock'!CI29</f>
        <v/>
      </c>
      <c r="CL1046">
        <f>'Grid_Stock'!CJ29</f>
        <v/>
      </c>
      <c r="CM1046">
        <f>'Grid_Stock'!CK29</f>
        <v/>
      </c>
      <c r="CN1046">
        <f>'Grid_Stock'!CL29</f>
        <v/>
      </c>
      <c r="CO1046">
        <f>'Grid_Stock'!CM29</f>
        <v/>
      </c>
      <c r="CP1046">
        <f>'Grid_Stock'!CN29</f>
        <v/>
      </c>
      <c r="CQ1046">
        <f>'Grid_Stock'!CO29</f>
        <v/>
      </c>
      <c r="CR1046">
        <f>'Grid_Stock'!CP29</f>
        <v/>
      </c>
      <c r="CS1046">
        <f>'Grid_Stock'!CQ29</f>
        <v/>
      </c>
      <c r="CT1046">
        <f>'Grid_Stock'!CR29</f>
        <v/>
      </c>
      <c r="CU1046">
        <f>'Grid_Stock'!CS29</f>
        <v/>
      </c>
      <c r="CV1046">
        <f>'Grid_Stock'!CT29</f>
        <v/>
      </c>
      <c r="CW1046">
        <f>'Grid_Stock'!CU29</f>
        <v/>
      </c>
      <c r="CX1046">
        <f>'Grid_Stock'!CV29</f>
        <v/>
      </c>
      <c r="CY1046">
        <f>'Grid_Stock'!CW29</f>
        <v/>
      </c>
      <c r="CZ1046">
        <f>'Grid_Stock'!CX29</f>
        <v/>
      </c>
      <c r="DA1046">
        <f>'Grid_Stock'!CY29</f>
        <v/>
      </c>
      <c r="DB1046">
        <f>'Grid_Stock'!CZ29</f>
        <v/>
      </c>
      <c r="DC1046">
        <f>'Grid_Stock'!DA29</f>
        <v/>
      </c>
    </row>
    <row r="1047">
      <c r="B1047" s="23" t="inlineStr">
        <is>
          <t>（発注の目安はDashboardの基準在庫[下限/上限]と色分けを参照）</t>
        </is>
      </c>
    </row>
    <row r="1049">
      <c r="A1049" s="21" t="inlineStr">
        <is>
          <t>Ester Film</t>
        </is>
      </c>
      <c r="B1049" s="21" t="inlineStr">
        <is>
          <t>Ester Film</t>
        </is>
      </c>
      <c r="C1049" s="22" t="n"/>
      <c r="D1049" s="21" t="n"/>
      <c r="E1049" s="21" t="n"/>
      <c r="F1049" s="21" t="n"/>
      <c r="G1049" s="21" t="n"/>
      <c r="H1049" s="21" t="n"/>
      <c r="I1049" s="21" t="n"/>
      <c r="J1049" s="21" t="n"/>
      <c r="K1049" s="21" t="n"/>
      <c r="L1049" s="21" t="n"/>
      <c r="M1049" s="21" t="n"/>
      <c r="N1049" s="21" t="n"/>
      <c r="O1049" s="21" t="n"/>
      <c r="P1049" s="21" t="n"/>
      <c r="Q1049" s="21" t="n"/>
      <c r="R1049" s="21" t="n"/>
      <c r="S1049" s="21" t="n"/>
      <c r="T1049" s="21" t="n"/>
      <c r="U1049" s="21" t="n"/>
      <c r="V1049" s="21" t="n"/>
      <c r="W1049" s="21" t="n"/>
      <c r="X1049" s="21" t="n"/>
      <c r="Y1049" s="21" t="n"/>
      <c r="Z1049" s="21" t="n"/>
      <c r="AA1049" s="21" t="n"/>
      <c r="AB1049" s="21" t="n"/>
      <c r="AC1049" s="21" t="n"/>
      <c r="AD1049" s="21" t="n"/>
      <c r="AE1049" s="21" t="n"/>
      <c r="AF1049" s="21" t="n"/>
      <c r="AG1049" s="21" t="n"/>
      <c r="AH1049" s="21" t="n"/>
      <c r="AI1049" s="21" t="n"/>
      <c r="AJ1049" s="21" t="n"/>
      <c r="AK1049" s="21" t="n"/>
      <c r="AL1049" s="21" t="n"/>
      <c r="AM1049" s="21" t="n"/>
      <c r="AN1049" s="21" t="n"/>
      <c r="AO1049" s="21" t="n"/>
      <c r="AP1049" s="21" t="n"/>
      <c r="AQ1049" s="21" t="n"/>
      <c r="AR1049" s="21" t="n"/>
      <c r="AS1049" s="21" t="n"/>
      <c r="AT1049" s="21" t="n"/>
      <c r="AU1049" s="21" t="n"/>
      <c r="AV1049" s="21" t="n"/>
      <c r="AW1049" s="21" t="n"/>
      <c r="AX1049" s="21" t="n"/>
      <c r="AY1049" s="21" t="n"/>
      <c r="AZ1049" s="21" t="n"/>
      <c r="BA1049" s="21" t="n"/>
      <c r="BB1049" s="21" t="n"/>
      <c r="BC1049" s="21" t="n"/>
      <c r="BD1049" s="21" t="n"/>
      <c r="BE1049" s="21" t="n"/>
      <c r="BF1049" s="21" t="n"/>
      <c r="BG1049" s="21" t="n"/>
      <c r="BH1049" s="21" t="n"/>
      <c r="BI1049" s="21" t="n"/>
      <c r="BJ1049" s="21" t="n"/>
      <c r="BK1049" s="21" t="n"/>
      <c r="BL1049" s="21" t="n"/>
      <c r="BM1049" s="21" t="n"/>
      <c r="BN1049" s="21" t="n"/>
      <c r="BO1049" s="21" t="n"/>
      <c r="BP1049" s="21" t="n"/>
      <c r="BQ1049" s="21" t="n"/>
      <c r="BR1049" s="21" t="n"/>
      <c r="BS1049" s="21" t="n"/>
      <c r="BT1049" s="21" t="n"/>
      <c r="BU1049" s="21" t="n"/>
      <c r="BV1049" s="21" t="n"/>
      <c r="BW1049" s="21" t="n"/>
      <c r="BX1049" s="21" t="n"/>
      <c r="BY1049" s="21" t="n"/>
      <c r="BZ1049" s="21" t="n"/>
      <c r="CA1049" s="21" t="n"/>
      <c r="CB1049" s="21" t="n"/>
      <c r="CC1049" s="21" t="n"/>
      <c r="CD1049" s="21" t="n"/>
      <c r="CE1049" s="21" t="n"/>
      <c r="CF1049" s="21" t="n"/>
      <c r="CG1049" s="21" t="n"/>
      <c r="CH1049" s="21" t="n"/>
      <c r="CI1049" s="21" t="n"/>
      <c r="CJ1049" s="21" t="n"/>
      <c r="CK1049" s="21" t="n"/>
      <c r="CL1049" s="21" t="n"/>
      <c r="CM1049" s="21" t="n"/>
      <c r="CN1049" s="21" t="n"/>
      <c r="CO1049" s="21" t="n"/>
      <c r="CP1049" s="21" t="n"/>
      <c r="CQ1049" s="21" t="n"/>
      <c r="CR1049" s="21" t="n"/>
      <c r="CS1049" s="21" t="n"/>
      <c r="CT1049" s="21" t="n"/>
      <c r="CU1049" s="21" t="n"/>
      <c r="CV1049" s="21" t="n"/>
      <c r="CW1049" s="21" t="n"/>
      <c r="CX1049" s="21" t="n"/>
      <c r="CY1049" s="21" t="n"/>
      <c r="CZ1049" s="21" t="n"/>
      <c r="DA1049" s="21" t="n"/>
      <c r="DB1049" s="21" t="n"/>
      <c r="DC1049" s="21" t="n"/>
    </row>
    <row r="1050">
      <c r="B1050" t="inlineStr">
        <is>
          <t>Ester Film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12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Name],$A1049)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s="5" t="inlineStr">
        <is>
          <t>合計使用量(kg)/週</t>
        </is>
      </c>
      <c r="D1052">
        <f>'Grid_Requirement'!B35</f>
        <v/>
      </c>
      <c r="E1052">
        <f>'Grid_Requirement'!C35</f>
        <v/>
      </c>
      <c r="F1052">
        <f>'Grid_Requirement'!D35</f>
        <v/>
      </c>
      <c r="G1052">
        <f>'Grid_Requirement'!E35</f>
        <v/>
      </c>
      <c r="H1052">
        <f>'Grid_Requirement'!F35</f>
        <v/>
      </c>
      <c r="I1052">
        <f>'Grid_Requirement'!G35</f>
        <v/>
      </c>
      <c r="J1052">
        <f>'Grid_Requirement'!H35</f>
        <v/>
      </c>
      <c r="K1052">
        <f>'Grid_Requirement'!I35</f>
        <v/>
      </c>
      <c r="L1052">
        <f>'Grid_Requirement'!J35</f>
        <v/>
      </c>
      <c r="M1052">
        <f>'Grid_Requirement'!K35</f>
        <v/>
      </c>
      <c r="N1052">
        <f>'Grid_Requirement'!L35</f>
        <v/>
      </c>
      <c r="O1052">
        <f>'Grid_Requirement'!M35</f>
        <v/>
      </c>
      <c r="P1052">
        <f>'Grid_Requirement'!N35</f>
        <v/>
      </c>
      <c r="Q1052">
        <f>'Grid_Requirement'!O35</f>
        <v/>
      </c>
      <c r="R1052">
        <f>'Grid_Requirement'!P35</f>
        <v/>
      </c>
      <c r="S1052">
        <f>'Grid_Requirement'!Q35</f>
        <v/>
      </c>
      <c r="T1052">
        <f>'Grid_Requirement'!R35</f>
        <v/>
      </c>
      <c r="U1052">
        <f>'Grid_Requirement'!S35</f>
        <v/>
      </c>
      <c r="V1052">
        <f>'Grid_Requirement'!T35</f>
        <v/>
      </c>
      <c r="W1052">
        <f>'Grid_Requirement'!U35</f>
        <v/>
      </c>
      <c r="X1052">
        <f>'Grid_Requirement'!V35</f>
        <v/>
      </c>
      <c r="Y1052">
        <f>'Grid_Requirement'!W35</f>
        <v/>
      </c>
      <c r="Z1052">
        <f>'Grid_Requirement'!X35</f>
        <v/>
      </c>
      <c r="AA1052">
        <f>'Grid_Requirement'!Y35</f>
        <v/>
      </c>
      <c r="AB1052">
        <f>'Grid_Requirement'!Z35</f>
        <v/>
      </c>
      <c r="AC1052">
        <f>'Grid_Requirement'!AA35</f>
        <v/>
      </c>
      <c r="AD1052">
        <f>'Grid_Requirement'!AB35</f>
        <v/>
      </c>
      <c r="AE1052">
        <f>'Grid_Requirement'!AC35</f>
        <v/>
      </c>
      <c r="AF1052">
        <f>'Grid_Requirement'!AD35</f>
        <v/>
      </c>
      <c r="AG1052">
        <f>'Grid_Requirement'!AE35</f>
        <v/>
      </c>
      <c r="AH1052">
        <f>'Grid_Requirement'!AF35</f>
        <v/>
      </c>
      <c r="AI1052">
        <f>'Grid_Requirement'!AG35</f>
        <v/>
      </c>
      <c r="AJ1052">
        <f>'Grid_Requirement'!AH35</f>
        <v/>
      </c>
      <c r="AK1052">
        <f>'Grid_Requirement'!AI35</f>
        <v/>
      </c>
      <c r="AL1052">
        <f>'Grid_Requirement'!AJ35</f>
        <v/>
      </c>
      <c r="AM1052">
        <f>'Grid_Requirement'!AK35</f>
        <v/>
      </c>
      <c r="AN1052">
        <f>'Grid_Requirement'!AL35</f>
        <v/>
      </c>
      <c r="AO1052">
        <f>'Grid_Requirement'!AM35</f>
        <v/>
      </c>
      <c r="AP1052">
        <f>'Grid_Requirement'!AN35</f>
        <v/>
      </c>
      <c r="AQ1052">
        <f>'Grid_Requirement'!AO35</f>
        <v/>
      </c>
      <c r="AR1052">
        <f>'Grid_Requirement'!AP35</f>
        <v/>
      </c>
      <c r="AS1052">
        <f>'Grid_Requirement'!AQ35</f>
        <v/>
      </c>
      <c r="AT1052">
        <f>'Grid_Requirement'!AR35</f>
        <v/>
      </c>
      <c r="AU1052">
        <f>'Grid_Requirement'!AS35</f>
        <v/>
      </c>
      <c r="AV1052">
        <f>'Grid_Requirement'!AT35</f>
        <v/>
      </c>
      <c r="AW1052">
        <f>'Grid_Requirement'!AU35</f>
        <v/>
      </c>
      <c r="AX1052">
        <f>'Grid_Requirement'!AV35</f>
        <v/>
      </c>
      <c r="AY1052">
        <f>'Grid_Requirement'!AW35</f>
        <v/>
      </c>
      <c r="AZ1052">
        <f>'Grid_Requirement'!AX35</f>
        <v/>
      </c>
      <c r="BA1052">
        <f>'Grid_Requirement'!AY35</f>
        <v/>
      </c>
      <c r="BB1052">
        <f>'Grid_Requirement'!AZ35</f>
        <v/>
      </c>
      <c r="BC1052">
        <f>'Grid_Requirement'!BA35</f>
        <v/>
      </c>
      <c r="BD1052">
        <f>'Grid_Requirement'!BB35</f>
        <v/>
      </c>
      <c r="BE1052">
        <f>'Grid_Requirement'!BC35</f>
        <v/>
      </c>
      <c r="BF1052">
        <f>'Grid_Requirement'!BD35</f>
        <v/>
      </c>
      <c r="BG1052">
        <f>'Grid_Requirement'!BE35</f>
        <v/>
      </c>
      <c r="BH1052">
        <f>'Grid_Requirement'!BF35</f>
        <v/>
      </c>
      <c r="BI1052">
        <f>'Grid_Requirement'!BG35</f>
        <v/>
      </c>
      <c r="BJ1052">
        <f>'Grid_Requirement'!BH35</f>
        <v/>
      </c>
      <c r="BK1052">
        <f>'Grid_Requirement'!BI35</f>
        <v/>
      </c>
      <c r="BL1052">
        <f>'Grid_Requirement'!BJ35</f>
        <v/>
      </c>
      <c r="BM1052">
        <f>'Grid_Requirement'!BK35</f>
        <v/>
      </c>
      <c r="BN1052">
        <f>'Grid_Requirement'!BL35</f>
        <v/>
      </c>
      <c r="BO1052">
        <f>'Grid_Requirement'!BM35</f>
        <v/>
      </c>
      <c r="BP1052">
        <f>'Grid_Requirement'!BN35</f>
        <v/>
      </c>
      <c r="BQ1052">
        <f>'Grid_Requirement'!BO35</f>
        <v/>
      </c>
      <c r="BR1052">
        <f>'Grid_Requirement'!BP35</f>
        <v/>
      </c>
      <c r="BS1052">
        <f>'Grid_Requirement'!BQ35</f>
        <v/>
      </c>
      <c r="BT1052">
        <f>'Grid_Requirement'!BR35</f>
        <v/>
      </c>
      <c r="BU1052">
        <f>'Grid_Requirement'!BS35</f>
        <v/>
      </c>
      <c r="BV1052">
        <f>'Grid_Requirement'!BT35</f>
        <v/>
      </c>
      <c r="BW1052">
        <f>'Grid_Requirement'!BU35</f>
        <v/>
      </c>
      <c r="BX1052">
        <f>'Grid_Requirement'!BV35</f>
        <v/>
      </c>
      <c r="BY1052">
        <f>'Grid_Requirement'!BW35</f>
        <v/>
      </c>
      <c r="BZ1052">
        <f>'Grid_Requirement'!BX35</f>
        <v/>
      </c>
      <c r="CA1052">
        <f>'Grid_Requirement'!BY35</f>
        <v/>
      </c>
      <c r="CB1052">
        <f>'Grid_Requirement'!BZ35</f>
        <v/>
      </c>
      <c r="CC1052">
        <f>'Grid_Requirement'!CA35</f>
        <v/>
      </c>
      <c r="CD1052">
        <f>'Grid_Requirement'!CB35</f>
        <v/>
      </c>
      <c r="CE1052">
        <f>'Grid_Requirement'!CC35</f>
        <v/>
      </c>
      <c r="CF1052">
        <f>'Grid_Requirement'!CD35</f>
        <v/>
      </c>
      <c r="CG1052">
        <f>'Grid_Requirement'!CE35</f>
        <v/>
      </c>
      <c r="CH1052">
        <f>'Grid_Requirement'!CF35</f>
        <v/>
      </c>
      <c r="CI1052">
        <f>'Grid_Requirement'!CG35</f>
        <v/>
      </c>
      <c r="CJ1052">
        <f>'Grid_Requirement'!CH35</f>
        <v/>
      </c>
      <c r="CK1052">
        <f>'Grid_Requirement'!CI35</f>
        <v/>
      </c>
      <c r="CL1052">
        <f>'Grid_Requirement'!CJ35</f>
        <v/>
      </c>
      <c r="CM1052">
        <f>'Grid_Requirement'!CK35</f>
        <v/>
      </c>
      <c r="CN1052">
        <f>'Grid_Requirement'!CL35</f>
        <v/>
      </c>
      <c r="CO1052">
        <f>'Grid_Requirement'!CM35</f>
        <v/>
      </c>
      <c r="CP1052">
        <f>'Grid_Requirement'!CN35</f>
        <v/>
      </c>
      <c r="CQ1052">
        <f>'Grid_Requirement'!CO35</f>
        <v/>
      </c>
      <c r="CR1052">
        <f>'Grid_Requirement'!CP35</f>
        <v/>
      </c>
      <c r="CS1052">
        <f>'Grid_Requirement'!CQ35</f>
        <v/>
      </c>
      <c r="CT1052">
        <f>'Grid_Requirement'!CR35</f>
        <v/>
      </c>
      <c r="CU1052">
        <f>'Grid_Requirement'!CS35</f>
        <v/>
      </c>
      <c r="CV1052">
        <f>'Grid_Requirement'!CT35</f>
        <v/>
      </c>
      <c r="CW1052">
        <f>'Grid_Requirement'!CU35</f>
        <v/>
      </c>
      <c r="CX1052">
        <f>'Grid_Requirement'!CV35</f>
        <v/>
      </c>
      <c r="CY1052">
        <f>'Grid_Requirement'!CW35</f>
        <v/>
      </c>
      <c r="CZ1052">
        <f>'Grid_Requirement'!CX35</f>
        <v/>
      </c>
      <c r="DA1052">
        <f>'Grid_Requirement'!CY35</f>
        <v/>
      </c>
      <c r="DB1052">
        <f>'Grid_Requirement'!CZ35</f>
        <v/>
      </c>
      <c r="DC1052">
        <f>'Grid_Requirement'!DA35</f>
        <v/>
      </c>
    </row>
    <row r="1053">
      <c r="B1053" t="inlineStr">
        <is>
          <t>TTAF在庫(実績,kg)</t>
        </is>
      </c>
      <c r="D1053">
        <f>'T_TTAFStock'!B39</f>
        <v/>
      </c>
      <c r="E1053">
        <f>'T_TTAFStock'!C39</f>
        <v/>
      </c>
      <c r="F1053">
        <f>'T_TTAFStock'!D39</f>
        <v/>
      </c>
      <c r="G1053">
        <f>'T_TTAFStock'!E39</f>
        <v/>
      </c>
      <c r="H1053">
        <f>'T_TTAFStock'!F39</f>
        <v/>
      </c>
      <c r="I1053">
        <f>'T_TTAFStock'!G39</f>
        <v/>
      </c>
      <c r="J1053">
        <f>'T_TTAFStock'!H39</f>
        <v/>
      </c>
      <c r="K1053">
        <f>'T_TTAFStock'!I39</f>
        <v/>
      </c>
      <c r="L1053">
        <f>'T_TTAFStock'!J39</f>
        <v/>
      </c>
      <c r="M1053">
        <f>'T_TTAFStock'!K39</f>
        <v/>
      </c>
      <c r="N1053">
        <f>'T_TTAFStock'!L39</f>
        <v/>
      </c>
      <c r="O1053">
        <f>'T_TTAFStock'!M39</f>
        <v/>
      </c>
      <c r="P1053">
        <f>'T_TTAFStock'!N39</f>
        <v/>
      </c>
      <c r="Q1053">
        <f>'T_TTAFStock'!O39</f>
        <v/>
      </c>
      <c r="R1053">
        <f>'T_TTAFStock'!P39</f>
        <v/>
      </c>
      <c r="S1053">
        <f>'T_TTAFStock'!Q39</f>
        <v/>
      </c>
      <c r="T1053">
        <f>'T_TTAFStock'!R39</f>
        <v/>
      </c>
      <c r="U1053">
        <f>'T_TTAFStock'!S39</f>
        <v/>
      </c>
      <c r="V1053">
        <f>'T_TTAFStock'!T39</f>
        <v/>
      </c>
      <c r="W1053">
        <f>'T_TTAFStock'!U39</f>
        <v/>
      </c>
      <c r="X1053">
        <f>'T_TTAFStock'!V39</f>
        <v/>
      </c>
      <c r="Y1053">
        <f>'T_TTAFStock'!W39</f>
        <v/>
      </c>
      <c r="Z1053">
        <f>'T_TTAFStock'!X39</f>
        <v/>
      </c>
      <c r="AA1053">
        <f>'T_TTAFStock'!Y39</f>
        <v/>
      </c>
      <c r="AB1053">
        <f>'T_TTAFStock'!Z39</f>
        <v/>
      </c>
      <c r="AC1053">
        <f>'T_TTAFStock'!AA39</f>
        <v/>
      </c>
      <c r="AD1053">
        <f>'T_TTAFStock'!AB39</f>
        <v/>
      </c>
      <c r="AE1053">
        <f>'T_TTAFStock'!AC39</f>
        <v/>
      </c>
      <c r="AF1053">
        <f>'T_TTAFStock'!AD39</f>
        <v/>
      </c>
      <c r="AG1053">
        <f>'T_TTAFStock'!AE39</f>
        <v/>
      </c>
      <c r="AH1053">
        <f>'T_TTAFStock'!AF39</f>
        <v/>
      </c>
      <c r="AI1053">
        <f>'T_TTAFStock'!AG39</f>
        <v/>
      </c>
      <c r="AJ1053">
        <f>'T_TTAFStock'!AH39</f>
        <v/>
      </c>
      <c r="AK1053">
        <f>'T_TTAFStock'!AI39</f>
        <v/>
      </c>
      <c r="AL1053">
        <f>'T_TTAFStock'!AJ39</f>
        <v/>
      </c>
      <c r="AM1053">
        <f>'T_TTAFStock'!AK39</f>
        <v/>
      </c>
      <c r="AN1053">
        <f>'T_TTAFStock'!AL39</f>
        <v/>
      </c>
      <c r="AO1053">
        <f>'T_TTAFStock'!AM39</f>
        <v/>
      </c>
      <c r="AP1053">
        <f>'T_TTAFStock'!AN39</f>
        <v/>
      </c>
      <c r="AQ1053">
        <f>'T_TTAFStock'!AO39</f>
        <v/>
      </c>
      <c r="AR1053">
        <f>'T_TTAFStock'!AP39</f>
        <v/>
      </c>
      <c r="AS1053">
        <f>'T_TTAFStock'!AQ39</f>
        <v/>
      </c>
      <c r="AT1053">
        <f>'T_TTAFStock'!AR39</f>
        <v/>
      </c>
      <c r="AU1053">
        <f>'T_TTAFStock'!AS39</f>
        <v/>
      </c>
      <c r="AV1053">
        <f>'T_TTAFStock'!AT39</f>
        <v/>
      </c>
      <c r="AW1053">
        <f>'T_TTAFStock'!AU39</f>
        <v/>
      </c>
      <c r="AX1053">
        <f>'T_TTAFStock'!AV39</f>
        <v/>
      </c>
      <c r="AY1053">
        <f>'T_TTAFStock'!AW39</f>
        <v/>
      </c>
      <c r="AZ1053">
        <f>'T_TTAFStock'!AX39</f>
        <v/>
      </c>
      <c r="BA1053">
        <f>'T_TTAFStock'!AY39</f>
        <v/>
      </c>
      <c r="BB1053">
        <f>'T_TTAFStock'!AZ39</f>
        <v/>
      </c>
      <c r="BC1053">
        <f>'T_TTAFStock'!BA39</f>
        <v/>
      </c>
      <c r="BD1053">
        <f>'T_TTAFStock'!BB39</f>
        <v/>
      </c>
      <c r="BE1053">
        <f>'T_TTAFStock'!BC39</f>
        <v/>
      </c>
      <c r="BF1053">
        <f>'T_TTAFStock'!BD39</f>
        <v/>
      </c>
      <c r="BG1053">
        <f>'T_TTAFStock'!BE39</f>
        <v/>
      </c>
      <c r="BH1053">
        <f>'T_TTAFStock'!BF39</f>
        <v/>
      </c>
      <c r="BI1053">
        <f>'T_TTAFStock'!BG39</f>
        <v/>
      </c>
      <c r="BJ1053">
        <f>'T_TTAFStock'!BH39</f>
        <v/>
      </c>
      <c r="BK1053">
        <f>'T_TTAFStock'!BI39</f>
        <v/>
      </c>
      <c r="BL1053">
        <f>'T_TTAFStock'!BJ39</f>
        <v/>
      </c>
      <c r="BM1053">
        <f>'T_TTAFStock'!BK39</f>
        <v/>
      </c>
      <c r="BN1053">
        <f>'T_TTAFStock'!BL39</f>
        <v/>
      </c>
      <c r="BO1053">
        <f>'T_TTAFStock'!BM39</f>
        <v/>
      </c>
      <c r="BP1053">
        <f>'T_TTAFStock'!BN39</f>
        <v/>
      </c>
      <c r="BQ1053">
        <f>'T_TTAFStock'!BO39</f>
        <v/>
      </c>
      <c r="BR1053">
        <f>'T_TTAFStock'!BP39</f>
        <v/>
      </c>
      <c r="BS1053">
        <f>'T_TTAFStock'!BQ39</f>
        <v/>
      </c>
      <c r="BT1053">
        <f>'T_TTAFStock'!BR39</f>
        <v/>
      </c>
      <c r="BU1053">
        <f>'T_TTAFStock'!BS39</f>
        <v/>
      </c>
      <c r="BV1053">
        <f>'T_TTAFStock'!BT39</f>
        <v/>
      </c>
      <c r="BW1053">
        <f>'T_TTAFStock'!BU39</f>
        <v/>
      </c>
      <c r="BX1053">
        <f>'T_TTAFStock'!BV39</f>
        <v/>
      </c>
      <c r="BY1053">
        <f>'T_TTAFStock'!BW39</f>
        <v/>
      </c>
      <c r="BZ1053">
        <f>'T_TTAFStock'!BX39</f>
        <v/>
      </c>
      <c r="CA1053">
        <f>'T_TTAFStock'!BY39</f>
        <v/>
      </c>
      <c r="CB1053">
        <f>'T_TTAFStock'!BZ39</f>
        <v/>
      </c>
      <c r="CC1053">
        <f>'T_TTAFStock'!CA39</f>
        <v/>
      </c>
      <c r="CD1053">
        <f>'T_TTAFStock'!CB39</f>
        <v/>
      </c>
      <c r="CE1053">
        <f>'T_TTAFStock'!CC39</f>
        <v/>
      </c>
      <c r="CF1053">
        <f>'T_TTAFStock'!CD39</f>
        <v/>
      </c>
      <c r="CG1053">
        <f>'T_TTAFStock'!CE39</f>
        <v/>
      </c>
      <c r="CH1053">
        <f>'T_TTAFStock'!CF39</f>
        <v/>
      </c>
      <c r="CI1053">
        <f>'T_TTAFStock'!CG39</f>
        <v/>
      </c>
      <c r="CJ1053">
        <f>'T_TTAFStock'!CH39</f>
        <v/>
      </c>
      <c r="CK1053">
        <f>'T_TTAFStock'!CI39</f>
        <v/>
      </c>
      <c r="CL1053">
        <f>'T_TTAFStock'!CJ39</f>
        <v/>
      </c>
      <c r="CM1053">
        <f>'T_TTAFStock'!CK39</f>
        <v/>
      </c>
      <c r="CN1053">
        <f>'T_TTAFStock'!CL39</f>
        <v/>
      </c>
      <c r="CO1053">
        <f>'T_TTAFStock'!CM39</f>
        <v/>
      </c>
      <c r="CP1053">
        <f>'T_TTAFStock'!CN39</f>
        <v/>
      </c>
      <c r="CQ1053">
        <f>'T_TTAFStock'!CO39</f>
        <v/>
      </c>
      <c r="CR1053">
        <f>'T_TTAFStock'!CP39</f>
        <v/>
      </c>
      <c r="CS1053">
        <f>'T_TTAFStock'!CQ39</f>
        <v/>
      </c>
      <c r="CT1053">
        <f>'T_TTAFStock'!CR39</f>
        <v/>
      </c>
      <c r="CU1053">
        <f>'T_TTAFStock'!CS39</f>
        <v/>
      </c>
      <c r="CV1053">
        <f>'T_TTAFStock'!CT39</f>
        <v/>
      </c>
      <c r="CW1053">
        <f>'T_TTAFStock'!CU39</f>
        <v/>
      </c>
      <c r="CX1053">
        <f>'T_TTAFStock'!CV39</f>
        <v/>
      </c>
      <c r="CY1053">
        <f>'T_TTAFStock'!CW39</f>
        <v/>
      </c>
      <c r="CZ1053">
        <f>'T_TTAFStock'!CX39</f>
        <v/>
      </c>
      <c r="DA1053">
        <f>'T_TTAFStock'!CY39</f>
        <v/>
      </c>
      <c r="DB1053">
        <f>'T_TTAFStock'!CZ39</f>
        <v/>
      </c>
      <c r="DC1053">
        <f>'T_TTAFStock'!DA39</f>
        <v/>
      </c>
    </row>
    <row r="1054">
      <c r="B1054" t="inlineStr">
        <is>
          <t>自社在庫(実績,kg)</t>
        </is>
      </c>
      <c r="D1054">
        <f>'T_SelfStock'!B39</f>
        <v/>
      </c>
      <c r="E1054">
        <f>'T_SelfStock'!C39</f>
        <v/>
      </c>
      <c r="F1054">
        <f>'T_SelfStock'!D39</f>
        <v/>
      </c>
      <c r="G1054">
        <f>'T_SelfStock'!E39</f>
        <v/>
      </c>
      <c r="H1054">
        <f>'T_SelfStock'!F39</f>
        <v/>
      </c>
      <c r="I1054">
        <f>'T_SelfStock'!G39</f>
        <v/>
      </c>
      <c r="J1054">
        <f>'T_SelfStock'!H39</f>
        <v/>
      </c>
      <c r="K1054">
        <f>'T_SelfStock'!I39</f>
        <v/>
      </c>
      <c r="L1054">
        <f>'T_SelfStock'!J39</f>
        <v/>
      </c>
      <c r="M1054">
        <f>'T_SelfStock'!K39</f>
        <v/>
      </c>
      <c r="N1054">
        <f>'T_SelfStock'!L39</f>
        <v/>
      </c>
      <c r="O1054">
        <f>'T_SelfStock'!M39</f>
        <v/>
      </c>
      <c r="P1054">
        <f>'T_SelfStock'!N39</f>
        <v/>
      </c>
      <c r="Q1054">
        <f>'T_SelfStock'!O39</f>
        <v/>
      </c>
      <c r="R1054">
        <f>'T_SelfStock'!P39</f>
        <v/>
      </c>
      <c r="S1054">
        <f>'T_SelfStock'!Q39</f>
        <v/>
      </c>
      <c r="T1054">
        <f>'T_SelfStock'!R39</f>
        <v/>
      </c>
      <c r="U1054">
        <f>'T_SelfStock'!S39</f>
        <v/>
      </c>
      <c r="V1054">
        <f>'T_SelfStock'!T39</f>
        <v/>
      </c>
      <c r="W1054">
        <f>'T_SelfStock'!U39</f>
        <v/>
      </c>
      <c r="X1054">
        <f>'T_SelfStock'!V39</f>
        <v/>
      </c>
      <c r="Y1054">
        <f>'T_SelfStock'!W39</f>
        <v/>
      </c>
      <c r="Z1054">
        <f>'T_SelfStock'!X39</f>
        <v/>
      </c>
      <c r="AA1054">
        <f>'T_SelfStock'!Y39</f>
        <v/>
      </c>
      <c r="AB1054">
        <f>'T_SelfStock'!Z39</f>
        <v/>
      </c>
      <c r="AC1054">
        <f>'T_SelfStock'!AA39</f>
        <v/>
      </c>
      <c r="AD1054">
        <f>'T_SelfStock'!AB39</f>
        <v/>
      </c>
      <c r="AE1054">
        <f>'T_SelfStock'!AC39</f>
        <v/>
      </c>
      <c r="AF1054">
        <f>'T_SelfStock'!AD39</f>
        <v/>
      </c>
      <c r="AG1054">
        <f>'T_SelfStock'!AE39</f>
        <v/>
      </c>
      <c r="AH1054">
        <f>'T_SelfStock'!AF39</f>
        <v/>
      </c>
      <c r="AI1054">
        <f>'T_SelfStock'!AG39</f>
        <v/>
      </c>
      <c r="AJ1054">
        <f>'T_SelfStock'!AH39</f>
        <v/>
      </c>
      <c r="AK1054">
        <f>'T_SelfStock'!AI39</f>
        <v/>
      </c>
      <c r="AL1054">
        <f>'T_SelfStock'!AJ39</f>
        <v/>
      </c>
      <c r="AM1054">
        <f>'T_SelfStock'!AK39</f>
        <v/>
      </c>
      <c r="AN1054">
        <f>'T_SelfStock'!AL39</f>
        <v/>
      </c>
      <c r="AO1054">
        <f>'T_SelfStock'!AM39</f>
        <v/>
      </c>
      <c r="AP1054">
        <f>'T_SelfStock'!AN39</f>
        <v/>
      </c>
      <c r="AQ1054">
        <f>'T_SelfStock'!AO39</f>
        <v/>
      </c>
      <c r="AR1054">
        <f>'T_SelfStock'!AP39</f>
        <v/>
      </c>
      <c r="AS1054">
        <f>'T_SelfStock'!AQ39</f>
        <v/>
      </c>
      <c r="AT1054">
        <f>'T_SelfStock'!AR39</f>
        <v/>
      </c>
      <c r="AU1054">
        <f>'T_SelfStock'!AS39</f>
        <v/>
      </c>
      <c r="AV1054">
        <f>'T_SelfStock'!AT39</f>
        <v/>
      </c>
      <c r="AW1054">
        <f>'T_SelfStock'!AU39</f>
        <v/>
      </c>
      <c r="AX1054">
        <f>'T_SelfStock'!AV39</f>
        <v/>
      </c>
      <c r="AY1054">
        <f>'T_SelfStock'!AW39</f>
        <v/>
      </c>
      <c r="AZ1054">
        <f>'T_SelfStock'!AX39</f>
        <v/>
      </c>
      <c r="BA1054">
        <f>'T_SelfStock'!AY39</f>
        <v/>
      </c>
      <c r="BB1054">
        <f>'T_SelfStock'!AZ39</f>
        <v/>
      </c>
      <c r="BC1054">
        <f>'T_SelfStock'!BA39</f>
        <v/>
      </c>
      <c r="BD1054">
        <f>'T_SelfStock'!BB39</f>
        <v/>
      </c>
      <c r="BE1054">
        <f>'T_SelfStock'!BC39</f>
        <v/>
      </c>
      <c r="BF1054">
        <f>'T_SelfStock'!BD39</f>
        <v/>
      </c>
      <c r="BG1054">
        <f>'T_SelfStock'!BE39</f>
        <v/>
      </c>
      <c r="BH1054">
        <f>'T_SelfStock'!BF39</f>
        <v/>
      </c>
      <c r="BI1054">
        <f>'T_SelfStock'!BG39</f>
        <v/>
      </c>
      <c r="BJ1054">
        <f>'T_SelfStock'!BH39</f>
        <v/>
      </c>
      <c r="BK1054">
        <f>'T_SelfStock'!BI39</f>
        <v/>
      </c>
      <c r="BL1054">
        <f>'T_SelfStock'!BJ39</f>
        <v/>
      </c>
      <c r="BM1054">
        <f>'T_SelfStock'!BK39</f>
        <v/>
      </c>
      <c r="BN1054">
        <f>'T_SelfStock'!BL39</f>
        <v/>
      </c>
      <c r="BO1054">
        <f>'T_SelfStock'!BM39</f>
        <v/>
      </c>
      <c r="BP1054">
        <f>'T_SelfStock'!BN39</f>
        <v/>
      </c>
      <c r="BQ1054">
        <f>'T_SelfStock'!BO39</f>
        <v/>
      </c>
      <c r="BR1054">
        <f>'T_SelfStock'!BP39</f>
        <v/>
      </c>
      <c r="BS1054">
        <f>'T_SelfStock'!BQ39</f>
        <v/>
      </c>
      <c r="BT1054">
        <f>'T_SelfStock'!BR39</f>
        <v/>
      </c>
      <c r="BU1054">
        <f>'T_SelfStock'!BS39</f>
        <v/>
      </c>
      <c r="BV1054">
        <f>'T_SelfStock'!BT39</f>
        <v/>
      </c>
      <c r="BW1054">
        <f>'T_SelfStock'!BU39</f>
        <v/>
      </c>
      <c r="BX1054">
        <f>'T_SelfStock'!BV39</f>
        <v/>
      </c>
      <c r="BY1054">
        <f>'T_SelfStock'!BW39</f>
        <v/>
      </c>
      <c r="BZ1054">
        <f>'T_SelfStock'!BX39</f>
        <v/>
      </c>
      <c r="CA1054">
        <f>'T_SelfStock'!BY39</f>
        <v/>
      </c>
      <c r="CB1054">
        <f>'T_SelfStock'!BZ39</f>
        <v/>
      </c>
      <c r="CC1054">
        <f>'T_SelfStock'!CA39</f>
        <v/>
      </c>
      <c r="CD1054">
        <f>'T_SelfStock'!CB39</f>
        <v/>
      </c>
      <c r="CE1054">
        <f>'T_SelfStock'!CC39</f>
        <v/>
      </c>
      <c r="CF1054">
        <f>'T_SelfStock'!CD39</f>
        <v/>
      </c>
      <c r="CG1054">
        <f>'T_SelfStock'!CE39</f>
        <v/>
      </c>
      <c r="CH1054">
        <f>'T_SelfStock'!CF39</f>
        <v/>
      </c>
      <c r="CI1054">
        <f>'T_SelfStock'!CG39</f>
        <v/>
      </c>
      <c r="CJ1054">
        <f>'T_SelfStock'!CH39</f>
        <v/>
      </c>
      <c r="CK1054">
        <f>'T_SelfStock'!CI39</f>
        <v/>
      </c>
      <c r="CL1054">
        <f>'T_SelfStock'!CJ39</f>
        <v/>
      </c>
      <c r="CM1054">
        <f>'T_SelfStock'!CK39</f>
        <v/>
      </c>
      <c r="CN1054">
        <f>'T_SelfStock'!CL39</f>
        <v/>
      </c>
      <c r="CO1054">
        <f>'T_SelfStock'!CM39</f>
        <v/>
      </c>
      <c r="CP1054">
        <f>'T_SelfStock'!CN39</f>
        <v/>
      </c>
      <c r="CQ1054">
        <f>'T_SelfStock'!CO39</f>
        <v/>
      </c>
      <c r="CR1054">
        <f>'T_SelfStock'!CP39</f>
        <v/>
      </c>
      <c r="CS1054">
        <f>'T_SelfStock'!CQ39</f>
        <v/>
      </c>
      <c r="CT1054">
        <f>'T_SelfStock'!CR39</f>
        <v/>
      </c>
      <c r="CU1054">
        <f>'T_SelfStock'!CS39</f>
        <v/>
      </c>
      <c r="CV1054">
        <f>'T_SelfStock'!CT39</f>
        <v/>
      </c>
      <c r="CW1054">
        <f>'T_SelfStock'!CU39</f>
        <v/>
      </c>
      <c r="CX1054">
        <f>'T_SelfStock'!CV39</f>
        <v/>
      </c>
      <c r="CY1054">
        <f>'T_SelfStock'!CW39</f>
        <v/>
      </c>
      <c r="CZ1054">
        <f>'T_SelfStock'!CX39</f>
        <v/>
      </c>
      <c r="DA1054">
        <f>'T_SelfStock'!CY39</f>
        <v/>
      </c>
      <c r="DB1054">
        <f>'T_SelfStock'!CZ39</f>
        <v/>
      </c>
      <c r="DC1054">
        <f>'T_SelfStock'!DA39</f>
        <v/>
      </c>
    </row>
    <row r="1055">
      <c r="B1055" t="inlineStr">
        <is>
          <t>Order(発注予定,kg)</t>
        </is>
      </c>
      <c r="D1055">
        <f>IF(SUMIFS(T_PlannedOrders[EffectiveQty],T_PlannedOrders[Part Name],$A1049,T_PlannedOrders[WeekIndex],1)=0,"",SUMIFS(T_PlannedOrders[EffectiveQty],T_PlannedOrders[Part Name],$A1049,T_PlannedOrders[WeekIndex],1)&amp;" ("&amp;TEXT(SUMPRODUCT(MAX((T_PlannedOrders[Part Name]=$A1049)*(T_PlannedOrders[WeekIndex]=1)*(T_PlannedOrders[EffectiveQty]&gt;0)*T_PlannedOrders[Order_Month])),"m月")&amp;"発注)")</f>
        <v/>
      </c>
      <c r="E1055">
        <f>IF(SUMIFS(T_PlannedOrders[EffectiveQty],T_PlannedOrders[Part Name],$A1049,T_PlannedOrders[WeekIndex],2)=0,"",SUMIFS(T_PlannedOrders[EffectiveQty],T_PlannedOrders[Part Name],$A1049,T_PlannedOrders[WeekIndex],2)&amp;" ("&amp;TEXT(SUMPRODUCT(MAX((T_PlannedOrders[Part Name]=$A1049)*(T_PlannedOrders[WeekIndex]=2)*(T_PlannedOrders[EffectiveQty]&gt;0)*T_PlannedOrders[Order_Month])),"m月")&amp;"発注)")</f>
        <v/>
      </c>
      <c r="F1055">
        <f>IF(SUMIFS(T_PlannedOrders[EffectiveQty],T_PlannedOrders[Part Name],$A1049,T_PlannedOrders[WeekIndex],3)=0,"",SUMIFS(T_PlannedOrders[EffectiveQty],T_PlannedOrders[Part Name],$A1049,T_PlannedOrders[WeekIndex],3)&amp;" ("&amp;TEXT(SUMPRODUCT(MAX((T_PlannedOrders[Part Name]=$A1049)*(T_PlannedOrders[WeekIndex]=3)*(T_PlannedOrders[EffectiveQty]&gt;0)*T_PlannedOrders[Order_Month])),"m月")&amp;"発注)")</f>
        <v/>
      </c>
      <c r="G1055">
        <f>IF(SUMIFS(T_PlannedOrders[EffectiveQty],T_PlannedOrders[Part Name],$A1049,T_PlannedOrders[WeekIndex],4)=0,"",SUMIFS(T_PlannedOrders[EffectiveQty],T_PlannedOrders[Part Name],$A1049,T_PlannedOrders[WeekIndex],4)&amp;" ("&amp;TEXT(SUMPRODUCT(MAX((T_PlannedOrders[Part Name]=$A1049)*(T_PlannedOrders[WeekIndex]=4)*(T_PlannedOrders[EffectiveQty]&gt;0)*T_PlannedOrders[Order_Month])),"m月")&amp;"発注)")</f>
        <v/>
      </c>
      <c r="H1055">
        <f>IF(SUMIFS(T_PlannedOrders[EffectiveQty],T_PlannedOrders[Part Name],$A1049,T_PlannedOrders[WeekIndex],5)=0,"",SUMIFS(T_PlannedOrders[EffectiveQty],T_PlannedOrders[Part Name],$A1049,T_PlannedOrders[WeekIndex],5)&amp;" ("&amp;TEXT(SUMPRODUCT(MAX((T_PlannedOrders[Part Name]=$A1049)*(T_PlannedOrders[WeekIndex]=5)*(T_PlannedOrders[EffectiveQty]&gt;0)*T_PlannedOrders[Order_Month])),"m月")&amp;"発注)")</f>
        <v/>
      </c>
      <c r="I1055">
        <f>IF(SUMIFS(T_PlannedOrders[EffectiveQty],T_PlannedOrders[Part Name],$A1049,T_PlannedOrders[WeekIndex],6)=0,"",SUMIFS(T_PlannedOrders[EffectiveQty],T_PlannedOrders[Part Name],$A1049,T_PlannedOrders[WeekIndex],6)&amp;" ("&amp;TEXT(SUMPRODUCT(MAX((T_PlannedOrders[Part Name]=$A1049)*(T_PlannedOrders[WeekIndex]=6)*(T_PlannedOrders[EffectiveQty]&gt;0)*T_PlannedOrders[Order_Month])),"m月")&amp;"発注)")</f>
        <v/>
      </c>
      <c r="J1055">
        <f>IF(SUMIFS(T_PlannedOrders[EffectiveQty],T_PlannedOrders[Part Name],$A1049,T_PlannedOrders[WeekIndex],7)=0,"",SUMIFS(T_PlannedOrders[EffectiveQty],T_PlannedOrders[Part Name],$A1049,T_PlannedOrders[WeekIndex],7)&amp;" ("&amp;TEXT(SUMPRODUCT(MAX((T_PlannedOrders[Part Name]=$A1049)*(T_PlannedOrders[WeekIndex]=7)*(T_PlannedOrders[EffectiveQty]&gt;0)*T_PlannedOrders[Order_Month])),"m月")&amp;"発注)")</f>
        <v/>
      </c>
      <c r="K1055">
        <f>IF(SUMIFS(T_PlannedOrders[EffectiveQty],T_PlannedOrders[Part Name],$A1049,T_PlannedOrders[WeekIndex],8)=0,"",SUMIFS(T_PlannedOrders[EffectiveQty],T_PlannedOrders[Part Name],$A1049,T_PlannedOrders[WeekIndex],8)&amp;" ("&amp;TEXT(SUMPRODUCT(MAX((T_PlannedOrders[Part Name]=$A1049)*(T_PlannedOrders[WeekIndex]=8)*(T_PlannedOrders[EffectiveQty]&gt;0)*T_PlannedOrders[Order_Month])),"m月")&amp;"発注)")</f>
        <v/>
      </c>
      <c r="L1055">
        <f>IF(SUMIFS(T_PlannedOrders[EffectiveQty],T_PlannedOrders[Part Name],$A1049,T_PlannedOrders[WeekIndex],9)=0,"",SUMIFS(T_PlannedOrders[EffectiveQty],T_PlannedOrders[Part Name],$A1049,T_PlannedOrders[WeekIndex],9)&amp;" ("&amp;TEXT(SUMPRODUCT(MAX((T_PlannedOrders[Part Name]=$A1049)*(T_PlannedOrders[WeekIndex]=9)*(T_PlannedOrders[EffectiveQty]&gt;0)*T_PlannedOrders[Order_Month])),"m月")&amp;"発注)")</f>
        <v/>
      </c>
      <c r="M1055">
        <f>IF(SUMIFS(T_PlannedOrders[EffectiveQty],T_PlannedOrders[Part Name],$A1049,T_PlannedOrders[WeekIndex],10)=0,"",SUMIFS(T_PlannedOrders[EffectiveQty],T_PlannedOrders[Part Name],$A1049,T_PlannedOrders[WeekIndex],10)&amp;" ("&amp;TEXT(SUMPRODUCT(MAX((T_PlannedOrders[Part Name]=$A1049)*(T_PlannedOrders[WeekIndex]=10)*(T_PlannedOrders[EffectiveQty]&gt;0)*T_PlannedOrders[Order_Month])),"m月")&amp;"発注)")</f>
        <v/>
      </c>
      <c r="N1055">
        <f>IF(SUMIFS(T_PlannedOrders[EffectiveQty],T_PlannedOrders[Part Name],$A1049,T_PlannedOrders[WeekIndex],11)=0,"",SUMIFS(T_PlannedOrders[EffectiveQty],T_PlannedOrders[Part Name],$A1049,T_PlannedOrders[WeekIndex],11)&amp;" ("&amp;TEXT(SUMPRODUCT(MAX((T_PlannedOrders[Part Name]=$A1049)*(T_PlannedOrders[WeekIndex]=11)*(T_PlannedOrders[EffectiveQty]&gt;0)*T_PlannedOrders[Order_Month])),"m月")&amp;"発注)")</f>
        <v/>
      </c>
      <c r="O1055">
        <f>IF(SUMIFS(T_PlannedOrders[EffectiveQty],T_PlannedOrders[Part Name],$A1049,T_PlannedOrders[WeekIndex],12)=0,"",SUMIFS(T_PlannedOrders[EffectiveQty],T_PlannedOrders[Part Name],$A1049,T_PlannedOrders[WeekIndex],12)&amp;" ("&amp;TEXT(SUMPRODUCT(MAX((T_PlannedOrders[Part Name]=$A1049)*(T_PlannedOrders[WeekIndex]=12)*(T_PlannedOrders[EffectiveQty]&gt;0)*T_PlannedOrders[Order_Month])),"m月")&amp;"発注)")</f>
        <v/>
      </c>
      <c r="P1055">
        <f>IF(SUMIFS(T_PlannedOrders[EffectiveQty],T_PlannedOrders[Part Name],$A1049,T_PlannedOrders[WeekIndex],13)=0,"",SUMIFS(T_PlannedOrders[EffectiveQty],T_PlannedOrders[Part Name],$A1049,T_PlannedOrders[WeekIndex],13)&amp;" ("&amp;TEXT(SUMPRODUCT(MAX((T_PlannedOrders[Part Name]=$A1049)*(T_PlannedOrders[WeekIndex]=13)*(T_PlannedOrders[EffectiveQty]&gt;0)*T_PlannedOrders[Order_Month])),"m月")&amp;"発注)")</f>
        <v/>
      </c>
      <c r="Q1055">
        <f>IF(SUMIFS(T_PlannedOrders[EffectiveQty],T_PlannedOrders[Part Name],$A1049,T_PlannedOrders[WeekIndex],14)=0,"",SUMIFS(T_PlannedOrders[EffectiveQty],T_PlannedOrders[Part Name],$A1049,T_PlannedOrders[WeekIndex],14)&amp;" ("&amp;TEXT(SUMPRODUCT(MAX((T_PlannedOrders[Part Name]=$A1049)*(T_PlannedOrders[WeekIndex]=14)*(T_PlannedOrders[EffectiveQty]&gt;0)*T_PlannedOrders[Order_Month])),"m月")&amp;"発注)")</f>
        <v/>
      </c>
      <c r="R1055">
        <f>IF(SUMIFS(T_PlannedOrders[EffectiveQty],T_PlannedOrders[Part Name],$A1049,T_PlannedOrders[WeekIndex],15)=0,"",SUMIFS(T_PlannedOrders[EffectiveQty],T_PlannedOrders[Part Name],$A1049,T_PlannedOrders[WeekIndex],15)&amp;" ("&amp;TEXT(SUMPRODUCT(MAX((T_PlannedOrders[Part Name]=$A1049)*(T_PlannedOrders[WeekIndex]=15)*(T_PlannedOrders[EffectiveQty]&gt;0)*T_PlannedOrders[Order_Month])),"m月")&amp;"発注)")</f>
        <v/>
      </c>
      <c r="S1055">
        <f>IF(SUMIFS(T_PlannedOrders[EffectiveQty],T_PlannedOrders[Part Name],$A1049,T_PlannedOrders[WeekIndex],16)=0,"",SUMIFS(T_PlannedOrders[EffectiveQty],T_PlannedOrders[Part Name],$A1049,T_PlannedOrders[WeekIndex],16)&amp;" ("&amp;TEXT(SUMPRODUCT(MAX((T_PlannedOrders[Part Name]=$A1049)*(T_PlannedOrders[WeekIndex]=16)*(T_PlannedOrders[EffectiveQty]&gt;0)*T_PlannedOrders[Order_Month])),"m月")&amp;"発注)")</f>
        <v/>
      </c>
      <c r="T1055">
        <f>IF(SUMIFS(T_PlannedOrders[EffectiveQty],T_PlannedOrders[Part Name],$A1049,T_PlannedOrders[WeekIndex],17)=0,"",SUMIFS(T_PlannedOrders[EffectiveQty],T_PlannedOrders[Part Name],$A1049,T_PlannedOrders[WeekIndex],17)&amp;" ("&amp;TEXT(SUMPRODUCT(MAX((T_PlannedOrders[Part Name]=$A1049)*(T_PlannedOrders[WeekIndex]=17)*(T_PlannedOrders[EffectiveQty]&gt;0)*T_PlannedOrders[Order_Month])),"m月")&amp;"発注)")</f>
        <v/>
      </c>
      <c r="U1055">
        <f>IF(SUMIFS(T_PlannedOrders[EffectiveQty],T_PlannedOrders[Part Name],$A1049,T_PlannedOrders[WeekIndex],18)=0,"",SUMIFS(T_PlannedOrders[EffectiveQty],T_PlannedOrders[Part Name],$A1049,T_PlannedOrders[WeekIndex],18)&amp;" ("&amp;TEXT(SUMPRODUCT(MAX((T_PlannedOrders[Part Name]=$A1049)*(T_PlannedOrders[WeekIndex]=18)*(T_PlannedOrders[EffectiveQty]&gt;0)*T_PlannedOrders[Order_Month])),"m月")&amp;"発注)")</f>
        <v/>
      </c>
      <c r="V1055">
        <f>IF(SUMIFS(T_PlannedOrders[EffectiveQty],T_PlannedOrders[Part Name],$A1049,T_PlannedOrders[WeekIndex],19)=0,"",SUMIFS(T_PlannedOrders[EffectiveQty],T_PlannedOrders[Part Name],$A1049,T_PlannedOrders[WeekIndex],19)&amp;" ("&amp;TEXT(SUMPRODUCT(MAX((T_PlannedOrders[Part Name]=$A1049)*(T_PlannedOrders[WeekIndex]=19)*(T_PlannedOrders[EffectiveQty]&gt;0)*T_PlannedOrders[Order_Month])),"m月")&amp;"発注)")</f>
        <v/>
      </c>
      <c r="W1055">
        <f>IF(SUMIFS(T_PlannedOrders[EffectiveQty],T_PlannedOrders[Part Name],$A1049,T_PlannedOrders[WeekIndex],20)=0,"",SUMIFS(T_PlannedOrders[EffectiveQty],T_PlannedOrders[Part Name],$A1049,T_PlannedOrders[WeekIndex],20)&amp;" ("&amp;TEXT(SUMPRODUCT(MAX((T_PlannedOrders[Part Name]=$A1049)*(T_PlannedOrders[WeekIndex]=20)*(T_PlannedOrders[EffectiveQty]&gt;0)*T_PlannedOrders[Order_Month])),"m月")&amp;"発注)")</f>
        <v/>
      </c>
      <c r="X1055">
        <f>IF(SUMIFS(T_PlannedOrders[EffectiveQty],T_PlannedOrders[Part Name],$A1049,T_PlannedOrders[WeekIndex],21)=0,"",SUMIFS(T_PlannedOrders[EffectiveQty],T_PlannedOrders[Part Name],$A1049,T_PlannedOrders[WeekIndex],21)&amp;" ("&amp;TEXT(SUMPRODUCT(MAX((T_PlannedOrders[Part Name]=$A1049)*(T_PlannedOrders[WeekIndex]=21)*(T_PlannedOrders[EffectiveQty]&gt;0)*T_PlannedOrders[Order_Month])),"m月")&amp;"発注)")</f>
        <v/>
      </c>
      <c r="Y1055">
        <f>IF(SUMIFS(T_PlannedOrders[EffectiveQty],T_PlannedOrders[Part Name],$A1049,T_PlannedOrders[WeekIndex],22)=0,"",SUMIFS(T_PlannedOrders[EffectiveQty],T_PlannedOrders[Part Name],$A1049,T_PlannedOrders[WeekIndex],22)&amp;" ("&amp;TEXT(SUMPRODUCT(MAX((T_PlannedOrders[Part Name]=$A1049)*(T_PlannedOrders[WeekIndex]=22)*(T_PlannedOrders[EffectiveQty]&gt;0)*T_PlannedOrders[Order_Month])),"m月")&amp;"発注)")</f>
        <v/>
      </c>
      <c r="Z1055">
        <f>IF(SUMIFS(T_PlannedOrders[EffectiveQty],T_PlannedOrders[Part Name],$A1049,T_PlannedOrders[WeekIndex],23)=0,"",SUMIFS(T_PlannedOrders[EffectiveQty],T_PlannedOrders[Part Name],$A1049,T_PlannedOrders[WeekIndex],23)&amp;" ("&amp;TEXT(SUMPRODUCT(MAX((T_PlannedOrders[Part Name]=$A1049)*(T_PlannedOrders[WeekIndex]=23)*(T_PlannedOrders[EffectiveQty]&gt;0)*T_PlannedOrders[Order_Month])),"m月")&amp;"発注)")</f>
        <v/>
      </c>
      <c r="AA1055">
        <f>IF(SUMIFS(T_PlannedOrders[EffectiveQty],T_PlannedOrders[Part Name],$A1049,T_PlannedOrders[WeekIndex],24)=0,"",SUMIFS(T_PlannedOrders[EffectiveQty],T_PlannedOrders[Part Name],$A1049,T_PlannedOrders[WeekIndex],24)&amp;" ("&amp;TEXT(SUMPRODUCT(MAX((T_PlannedOrders[Part Name]=$A1049)*(T_PlannedOrders[WeekIndex]=24)*(T_PlannedOrders[EffectiveQty]&gt;0)*T_PlannedOrders[Order_Month])),"m月")&amp;"発注)")</f>
        <v/>
      </c>
      <c r="AB1055">
        <f>IF(SUMIFS(T_PlannedOrders[EffectiveQty],T_PlannedOrders[Part Name],$A1049,T_PlannedOrders[WeekIndex],25)=0,"",SUMIFS(T_PlannedOrders[EffectiveQty],T_PlannedOrders[Part Name],$A1049,T_PlannedOrders[WeekIndex],25)&amp;" ("&amp;TEXT(SUMPRODUCT(MAX((T_PlannedOrders[Part Name]=$A1049)*(T_PlannedOrders[WeekIndex]=25)*(T_PlannedOrders[EffectiveQty]&gt;0)*T_PlannedOrders[Order_Month])),"m月")&amp;"発注)")</f>
        <v/>
      </c>
      <c r="AC1055">
        <f>IF(SUMIFS(T_PlannedOrders[EffectiveQty],T_PlannedOrders[Part Name],$A1049,T_PlannedOrders[WeekIndex],26)=0,"",SUMIFS(T_PlannedOrders[EffectiveQty],T_PlannedOrders[Part Name],$A1049,T_PlannedOrders[WeekIndex],26)&amp;" ("&amp;TEXT(SUMPRODUCT(MAX((T_PlannedOrders[Part Name]=$A1049)*(T_PlannedOrders[WeekIndex]=26)*(T_PlannedOrders[EffectiveQty]&gt;0)*T_PlannedOrders[Order_Month])),"m月")&amp;"発注)")</f>
        <v/>
      </c>
      <c r="AD1055">
        <f>IF(SUMIFS(T_PlannedOrders[EffectiveQty],T_PlannedOrders[Part Name],$A1049,T_PlannedOrders[WeekIndex],27)=0,"",SUMIFS(T_PlannedOrders[EffectiveQty],T_PlannedOrders[Part Name],$A1049,T_PlannedOrders[WeekIndex],27)&amp;" ("&amp;TEXT(SUMPRODUCT(MAX((T_PlannedOrders[Part Name]=$A1049)*(T_PlannedOrders[WeekIndex]=27)*(T_PlannedOrders[EffectiveQty]&gt;0)*T_PlannedOrders[Order_Month])),"m月")&amp;"発注)")</f>
        <v/>
      </c>
      <c r="AE1055">
        <f>IF(SUMIFS(T_PlannedOrders[EffectiveQty],T_PlannedOrders[Part Name],$A1049,T_PlannedOrders[WeekIndex],28)=0,"",SUMIFS(T_PlannedOrders[EffectiveQty],T_PlannedOrders[Part Name],$A1049,T_PlannedOrders[WeekIndex],28)&amp;" ("&amp;TEXT(SUMPRODUCT(MAX((T_PlannedOrders[Part Name]=$A1049)*(T_PlannedOrders[WeekIndex]=28)*(T_PlannedOrders[EffectiveQty]&gt;0)*T_PlannedOrders[Order_Month])),"m月")&amp;"発注)")</f>
        <v/>
      </c>
      <c r="AF1055">
        <f>IF(SUMIFS(T_PlannedOrders[EffectiveQty],T_PlannedOrders[Part Name],$A1049,T_PlannedOrders[WeekIndex],29)=0,"",SUMIFS(T_PlannedOrders[EffectiveQty],T_PlannedOrders[Part Name],$A1049,T_PlannedOrders[WeekIndex],29)&amp;" ("&amp;TEXT(SUMPRODUCT(MAX((T_PlannedOrders[Part Name]=$A1049)*(T_PlannedOrders[WeekIndex]=29)*(T_PlannedOrders[EffectiveQty]&gt;0)*T_PlannedOrders[Order_Month])),"m月")&amp;"発注)")</f>
        <v/>
      </c>
      <c r="AG1055">
        <f>IF(SUMIFS(T_PlannedOrders[EffectiveQty],T_PlannedOrders[Part Name],$A1049,T_PlannedOrders[WeekIndex],30)=0,"",SUMIFS(T_PlannedOrders[EffectiveQty],T_PlannedOrders[Part Name],$A1049,T_PlannedOrders[WeekIndex],30)&amp;" ("&amp;TEXT(SUMPRODUCT(MAX((T_PlannedOrders[Part Name]=$A1049)*(T_PlannedOrders[WeekIndex]=30)*(T_PlannedOrders[EffectiveQty]&gt;0)*T_PlannedOrders[Order_Month])),"m月")&amp;"発注)")</f>
        <v/>
      </c>
      <c r="AH1055">
        <f>IF(SUMIFS(T_PlannedOrders[EffectiveQty],T_PlannedOrders[Part Name],$A1049,T_PlannedOrders[WeekIndex],31)=0,"",SUMIFS(T_PlannedOrders[EffectiveQty],T_PlannedOrders[Part Name],$A1049,T_PlannedOrders[WeekIndex],31)&amp;" ("&amp;TEXT(SUMPRODUCT(MAX((T_PlannedOrders[Part Name]=$A1049)*(T_PlannedOrders[WeekIndex]=31)*(T_PlannedOrders[EffectiveQty]&gt;0)*T_PlannedOrders[Order_Month])),"m月")&amp;"発注)")</f>
        <v/>
      </c>
      <c r="AI1055">
        <f>IF(SUMIFS(T_PlannedOrders[EffectiveQty],T_PlannedOrders[Part Name],$A1049,T_PlannedOrders[WeekIndex],32)=0,"",SUMIFS(T_PlannedOrders[EffectiveQty],T_PlannedOrders[Part Name],$A1049,T_PlannedOrders[WeekIndex],32)&amp;" ("&amp;TEXT(SUMPRODUCT(MAX((T_PlannedOrders[Part Name]=$A1049)*(T_PlannedOrders[WeekIndex]=32)*(T_PlannedOrders[EffectiveQty]&gt;0)*T_PlannedOrders[Order_Month])),"m月")&amp;"発注)")</f>
        <v/>
      </c>
      <c r="AJ1055">
        <f>IF(SUMIFS(T_PlannedOrders[EffectiveQty],T_PlannedOrders[Part Name],$A1049,T_PlannedOrders[WeekIndex],33)=0,"",SUMIFS(T_PlannedOrders[EffectiveQty],T_PlannedOrders[Part Name],$A1049,T_PlannedOrders[WeekIndex],33)&amp;" ("&amp;TEXT(SUMPRODUCT(MAX((T_PlannedOrders[Part Name]=$A1049)*(T_PlannedOrders[WeekIndex]=33)*(T_PlannedOrders[EffectiveQty]&gt;0)*T_PlannedOrders[Order_Month])),"m月")&amp;"発注)")</f>
        <v/>
      </c>
      <c r="AK1055">
        <f>IF(SUMIFS(T_PlannedOrders[EffectiveQty],T_PlannedOrders[Part Name],$A1049,T_PlannedOrders[WeekIndex],34)=0,"",SUMIFS(T_PlannedOrders[EffectiveQty],T_PlannedOrders[Part Name],$A1049,T_PlannedOrders[WeekIndex],34)&amp;" ("&amp;TEXT(SUMPRODUCT(MAX((T_PlannedOrders[Part Name]=$A1049)*(T_PlannedOrders[WeekIndex]=34)*(T_PlannedOrders[EffectiveQty]&gt;0)*T_PlannedOrders[Order_Month])),"m月")&amp;"発注)")</f>
        <v/>
      </c>
      <c r="AL1055">
        <f>IF(SUMIFS(T_PlannedOrders[EffectiveQty],T_PlannedOrders[Part Name],$A1049,T_PlannedOrders[WeekIndex],35)=0,"",SUMIFS(T_PlannedOrders[EffectiveQty],T_PlannedOrders[Part Name],$A1049,T_PlannedOrders[WeekIndex],35)&amp;" ("&amp;TEXT(SUMPRODUCT(MAX((T_PlannedOrders[Part Name]=$A1049)*(T_PlannedOrders[WeekIndex]=35)*(T_PlannedOrders[EffectiveQty]&gt;0)*T_PlannedOrders[Order_Month])),"m月")&amp;"発注)")</f>
        <v/>
      </c>
      <c r="AM1055">
        <f>IF(SUMIFS(T_PlannedOrders[EffectiveQty],T_PlannedOrders[Part Name],$A1049,T_PlannedOrders[WeekIndex],36)=0,"",SUMIFS(T_PlannedOrders[EffectiveQty],T_PlannedOrders[Part Name],$A1049,T_PlannedOrders[WeekIndex],36)&amp;" ("&amp;TEXT(SUMPRODUCT(MAX((T_PlannedOrders[Part Name]=$A1049)*(T_PlannedOrders[WeekIndex]=36)*(T_PlannedOrders[EffectiveQty]&gt;0)*T_PlannedOrders[Order_Month])),"m月")&amp;"発注)")</f>
        <v/>
      </c>
      <c r="AN1055">
        <f>IF(SUMIFS(T_PlannedOrders[EffectiveQty],T_PlannedOrders[Part Name],$A1049,T_PlannedOrders[WeekIndex],37)=0,"",SUMIFS(T_PlannedOrders[EffectiveQty],T_PlannedOrders[Part Name],$A1049,T_PlannedOrders[WeekIndex],37)&amp;" ("&amp;TEXT(SUMPRODUCT(MAX((T_PlannedOrders[Part Name]=$A1049)*(T_PlannedOrders[WeekIndex]=37)*(T_PlannedOrders[EffectiveQty]&gt;0)*T_PlannedOrders[Order_Month])),"m月")&amp;"発注)")</f>
        <v/>
      </c>
      <c r="AO1055">
        <f>IF(SUMIFS(T_PlannedOrders[EffectiveQty],T_PlannedOrders[Part Name],$A1049,T_PlannedOrders[WeekIndex],38)=0,"",SUMIFS(T_PlannedOrders[EffectiveQty],T_PlannedOrders[Part Name],$A1049,T_PlannedOrders[WeekIndex],38)&amp;" ("&amp;TEXT(SUMPRODUCT(MAX((T_PlannedOrders[Part Name]=$A1049)*(T_PlannedOrders[WeekIndex]=38)*(T_PlannedOrders[EffectiveQty]&gt;0)*T_PlannedOrders[Order_Month])),"m月")&amp;"発注)")</f>
        <v/>
      </c>
      <c r="AP1055">
        <f>IF(SUMIFS(T_PlannedOrders[EffectiveQty],T_PlannedOrders[Part Name],$A1049,T_PlannedOrders[WeekIndex],39)=0,"",SUMIFS(T_PlannedOrders[EffectiveQty],T_PlannedOrders[Part Name],$A1049,T_PlannedOrders[WeekIndex],39)&amp;" ("&amp;TEXT(SUMPRODUCT(MAX((T_PlannedOrders[Part Name]=$A1049)*(T_PlannedOrders[WeekIndex]=39)*(T_PlannedOrders[EffectiveQty]&gt;0)*T_PlannedOrders[Order_Month])),"m月")&amp;"発注)")</f>
        <v/>
      </c>
      <c r="AQ1055">
        <f>IF(SUMIFS(T_PlannedOrders[EffectiveQty],T_PlannedOrders[Part Name],$A1049,T_PlannedOrders[WeekIndex],40)=0,"",SUMIFS(T_PlannedOrders[EffectiveQty],T_PlannedOrders[Part Name],$A1049,T_PlannedOrders[WeekIndex],40)&amp;" ("&amp;TEXT(SUMPRODUCT(MAX((T_PlannedOrders[Part Name]=$A1049)*(T_PlannedOrders[WeekIndex]=40)*(T_PlannedOrders[EffectiveQty]&gt;0)*T_PlannedOrders[Order_Month])),"m月")&amp;"発注)")</f>
        <v/>
      </c>
      <c r="AR1055">
        <f>IF(SUMIFS(T_PlannedOrders[EffectiveQty],T_PlannedOrders[Part Name],$A1049,T_PlannedOrders[WeekIndex],41)=0,"",SUMIFS(T_PlannedOrders[EffectiveQty],T_PlannedOrders[Part Name],$A1049,T_PlannedOrders[WeekIndex],41)&amp;" ("&amp;TEXT(SUMPRODUCT(MAX((T_PlannedOrders[Part Name]=$A1049)*(T_PlannedOrders[WeekIndex]=41)*(T_PlannedOrders[EffectiveQty]&gt;0)*T_PlannedOrders[Order_Month])),"m月")&amp;"発注)")</f>
        <v/>
      </c>
      <c r="AS1055">
        <f>IF(SUMIFS(T_PlannedOrders[EffectiveQty],T_PlannedOrders[Part Name],$A1049,T_PlannedOrders[WeekIndex],42)=0,"",SUMIFS(T_PlannedOrders[EffectiveQty],T_PlannedOrders[Part Name],$A1049,T_PlannedOrders[WeekIndex],42)&amp;" ("&amp;TEXT(SUMPRODUCT(MAX((T_PlannedOrders[Part Name]=$A1049)*(T_PlannedOrders[WeekIndex]=42)*(T_PlannedOrders[EffectiveQty]&gt;0)*T_PlannedOrders[Order_Month])),"m月")&amp;"発注)")</f>
        <v/>
      </c>
      <c r="AT1055">
        <f>IF(SUMIFS(T_PlannedOrders[EffectiveQty],T_PlannedOrders[Part Name],$A1049,T_PlannedOrders[WeekIndex],43)=0,"",SUMIFS(T_PlannedOrders[EffectiveQty],T_PlannedOrders[Part Name],$A1049,T_PlannedOrders[WeekIndex],43)&amp;" ("&amp;TEXT(SUMPRODUCT(MAX((T_PlannedOrders[Part Name]=$A1049)*(T_PlannedOrders[WeekIndex]=43)*(T_PlannedOrders[EffectiveQty]&gt;0)*T_PlannedOrders[Order_Month])),"m月")&amp;"発注)")</f>
        <v/>
      </c>
      <c r="AU1055">
        <f>IF(SUMIFS(T_PlannedOrders[EffectiveQty],T_PlannedOrders[Part Name],$A1049,T_PlannedOrders[WeekIndex],44)=0,"",SUMIFS(T_PlannedOrders[EffectiveQty],T_PlannedOrders[Part Name],$A1049,T_PlannedOrders[WeekIndex],44)&amp;" ("&amp;TEXT(SUMPRODUCT(MAX((T_PlannedOrders[Part Name]=$A1049)*(T_PlannedOrders[WeekIndex]=44)*(T_PlannedOrders[EffectiveQty]&gt;0)*T_PlannedOrders[Order_Month])),"m月")&amp;"発注)")</f>
        <v/>
      </c>
      <c r="AV1055">
        <f>IF(SUMIFS(T_PlannedOrders[EffectiveQty],T_PlannedOrders[Part Name],$A1049,T_PlannedOrders[WeekIndex],45)=0,"",SUMIFS(T_PlannedOrders[EffectiveQty],T_PlannedOrders[Part Name],$A1049,T_PlannedOrders[WeekIndex],45)&amp;" ("&amp;TEXT(SUMPRODUCT(MAX((T_PlannedOrders[Part Name]=$A1049)*(T_PlannedOrders[WeekIndex]=45)*(T_PlannedOrders[EffectiveQty]&gt;0)*T_PlannedOrders[Order_Month])),"m月")&amp;"発注)")</f>
        <v/>
      </c>
      <c r="AW1055">
        <f>IF(SUMIFS(T_PlannedOrders[EffectiveQty],T_PlannedOrders[Part Name],$A1049,T_PlannedOrders[WeekIndex],46)=0,"",SUMIFS(T_PlannedOrders[EffectiveQty],T_PlannedOrders[Part Name],$A1049,T_PlannedOrders[WeekIndex],46)&amp;" ("&amp;TEXT(SUMPRODUCT(MAX((T_PlannedOrders[Part Name]=$A1049)*(T_PlannedOrders[WeekIndex]=46)*(T_PlannedOrders[EffectiveQty]&gt;0)*T_PlannedOrders[Order_Month])),"m月")&amp;"発注)")</f>
        <v/>
      </c>
      <c r="AX1055">
        <f>IF(SUMIFS(T_PlannedOrders[EffectiveQty],T_PlannedOrders[Part Name],$A1049,T_PlannedOrders[WeekIndex],47)=0,"",SUMIFS(T_PlannedOrders[EffectiveQty],T_PlannedOrders[Part Name],$A1049,T_PlannedOrders[WeekIndex],47)&amp;" ("&amp;TEXT(SUMPRODUCT(MAX((T_PlannedOrders[Part Name]=$A1049)*(T_PlannedOrders[WeekIndex]=47)*(T_PlannedOrders[EffectiveQty]&gt;0)*T_PlannedOrders[Order_Month])),"m月")&amp;"発注)")</f>
        <v/>
      </c>
      <c r="AY1055">
        <f>IF(SUMIFS(T_PlannedOrders[EffectiveQty],T_PlannedOrders[Part Name],$A1049,T_PlannedOrders[WeekIndex],48)=0,"",SUMIFS(T_PlannedOrders[EffectiveQty],T_PlannedOrders[Part Name],$A1049,T_PlannedOrders[WeekIndex],48)&amp;" ("&amp;TEXT(SUMPRODUCT(MAX((T_PlannedOrders[Part Name]=$A1049)*(T_PlannedOrders[WeekIndex]=48)*(T_PlannedOrders[EffectiveQty]&gt;0)*T_PlannedOrders[Order_Month])),"m月")&amp;"発注)")</f>
        <v/>
      </c>
      <c r="AZ1055">
        <f>IF(SUMIFS(T_PlannedOrders[EffectiveQty],T_PlannedOrders[Part Name],$A1049,T_PlannedOrders[WeekIndex],49)=0,"",SUMIFS(T_PlannedOrders[EffectiveQty],T_PlannedOrders[Part Name],$A1049,T_PlannedOrders[WeekIndex],49)&amp;" ("&amp;TEXT(SUMPRODUCT(MAX((T_PlannedOrders[Part Name]=$A1049)*(T_PlannedOrders[WeekIndex]=49)*(T_PlannedOrders[EffectiveQty]&gt;0)*T_PlannedOrders[Order_Month])),"m月")&amp;"発注)")</f>
        <v/>
      </c>
      <c r="BA1055">
        <f>IF(SUMIFS(T_PlannedOrders[EffectiveQty],T_PlannedOrders[Part Name],$A1049,T_PlannedOrders[WeekIndex],50)=0,"",SUMIFS(T_PlannedOrders[EffectiveQty],T_PlannedOrders[Part Name],$A1049,T_PlannedOrders[WeekIndex],50)&amp;" ("&amp;TEXT(SUMPRODUCT(MAX((T_PlannedOrders[Part Name]=$A1049)*(T_PlannedOrders[WeekIndex]=50)*(T_PlannedOrders[EffectiveQty]&gt;0)*T_PlannedOrders[Order_Month])),"m月")&amp;"発注)")</f>
        <v/>
      </c>
      <c r="BB1055">
        <f>IF(SUMIFS(T_PlannedOrders[EffectiveQty],T_PlannedOrders[Part Name],$A1049,T_PlannedOrders[WeekIndex],51)=0,"",SUMIFS(T_PlannedOrders[EffectiveQty],T_PlannedOrders[Part Name],$A1049,T_PlannedOrders[WeekIndex],51)&amp;" ("&amp;TEXT(SUMPRODUCT(MAX((T_PlannedOrders[Part Name]=$A1049)*(T_PlannedOrders[WeekIndex]=51)*(T_PlannedOrders[EffectiveQty]&gt;0)*T_PlannedOrders[Order_Month])),"m月")&amp;"発注)")</f>
        <v/>
      </c>
      <c r="BC1055">
        <f>IF(SUMIFS(T_PlannedOrders[EffectiveQty],T_PlannedOrders[Part Name],$A1049,T_PlannedOrders[WeekIndex],52)=0,"",SUMIFS(T_PlannedOrders[EffectiveQty],T_PlannedOrders[Part Name],$A1049,T_PlannedOrders[WeekIndex],52)&amp;" ("&amp;TEXT(SUMPRODUCT(MAX((T_PlannedOrders[Part Name]=$A1049)*(T_PlannedOrders[WeekIndex]=52)*(T_PlannedOrders[EffectiveQty]&gt;0)*T_PlannedOrders[Order_Month])),"m月")&amp;"発注)")</f>
        <v/>
      </c>
      <c r="BD1055">
        <f>IF(SUMIFS(T_PlannedOrders[EffectiveQty],T_PlannedOrders[Part Name],$A1049,T_PlannedOrders[WeekIndex],53)=0,"",SUMIFS(T_PlannedOrders[EffectiveQty],T_PlannedOrders[Part Name],$A1049,T_PlannedOrders[WeekIndex],53)&amp;" ("&amp;TEXT(SUMPRODUCT(MAX((T_PlannedOrders[Part Name]=$A1049)*(T_PlannedOrders[WeekIndex]=53)*(T_PlannedOrders[EffectiveQty]&gt;0)*T_PlannedOrders[Order_Month])),"m月")&amp;"発注)")</f>
        <v/>
      </c>
      <c r="BE1055">
        <f>IF(SUMIFS(T_PlannedOrders[EffectiveQty],T_PlannedOrders[Part Name],$A1049,T_PlannedOrders[WeekIndex],54)=0,"",SUMIFS(T_PlannedOrders[EffectiveQty],T_PlannedOrders[Part Name],$A1049,T_PlannedOrders[WeekIndex],54)&amp;" ("&amp;TEXT(SUMPRODUCT(MAX((T_PlannedOrders[Part Name]=$A1049)*(T_PlannedOrders[WeekIndex]=54)*(T_PlannedOrders[EffectiveQty]&gt;0)*T_PlannedOrders[Order_Month])),"m月")&amp;"発注)")</f>
        <v/>
      </c>
      <c r="BF1055">
        <f>IF(SUMIFS(T_PlannedOrders[EffectiveQty],T_PlannedOrders[Part Name],$A1049,T_PlannedOrders[WeekIndex],55)=0,"",SUMIFS(T_PlannedOrders[EffectiveQty],T_PlannedOrders[Part Name],$A1049,T_PlannedOrders[WeekIndex],55)&amp;" ("&amp;TEXT(SUMPRODUCT(MAX((T_PlannedOrders[Part Name]=$A1049)*(T_PlannedOrders[WeekIndex]=55)*(T_PlannedOrders[EffectiveQty]&gt;0)*T_PlannedOrders[Order_Month])),"m月")&amp;"発注)")</f>
        <v/>
      </c>
      <c r="BG1055">
        <f>IF(SUMIFS(T_PlannedOrders[EffectiveQty],T_PlannedOrders[Part Name],$A1049,T_PlannedOrders[WeekIndex],56)=0,"",SUMIFS(T_PlannedOrders[EffectiveQty],T_PlannedOrders[Part Name],$A1049,T_PlannedOrders[WeekIndex],56)&amp;" ("&amp;TEXT(SUMPRODUCT(MAX((T_PlannedOrders[Part Name]=$A1049)*(T_PlannedOrders[WeekIndex]=56)*(T_PlannedOrders[EffectiveQty]&gt;0)*T_PlannedOrders[Order_Month])),"m月")&amp;"発注)")</f>
        <v/>
      </c>
      <c r="BH1055">
        <f>IF(SUMIFS(T_PlannedOrders[EffectiveQty],T_PlannedOrders[Part Name],$A1049,T_PlannedOrders[WeekIndex],57)=0,"",SUMIFS(T_PlannedOrders[EffectiveQty],T_PlannedOrders[Part Name],$A1049,T_PlannedOrders[WeekIndex],57)&amp;" ("&amp;TEXT(SUMPRODUCT(MAX((T_PlannedOrders[Part Name]=$A1049)*(T_PlannedOrders[WeekIndex]=57)*(T_PlannedOrders[EffectiveQty]&gt;0)*T_PlannedOrders[Order_Month])),"m月")&amp;"発注)")</f>
        <v/>
      </c>
      <c r="BI1055">
        <f>IF(SUMIFS(T_PlannedOrders[EffectiveQty],T_PlannedOrders[Part Name],$A1049,T_PlannedOrders[WeekIndex],58)=0,"",SUMIFS(T_PlannedOrders[EffectiveQty],T_PlannedOrders[Part Name],$A1049,T_PlannedOrders[WeekIndex],58)&amp;" ("&amp;TEXT(SUMPRODUCT(MAX((T_PlannedOrders[Part Name]=$A1049)*(T_PlannedOrders[WeekIndex]=58)*(T_PlannedOrders[EffectiveQty]&gt;0)*T_PlannedOrders[Order_Month])),"m月")&amp;"発注)")</f>
        <v/>
      </c>
      <c r="BJ1055">
        <f>IF(SUMIFS(T_PlannedOrders[EffectiveQty],T_PlannedOrders[Part Name],$A1049,T_PlannedOrders[WeekIndex],59)=0,"",SUMIFS(T_PlannedOrders[EffectiveQty],T_PlannedOrders[Part Name],$A1049,T_PlannedOrders[WeekIndex],59)&amp;" ("&amp;TEXT(SUMPRODUCT(MAX((T_PlannedOrders[Part Name]=$A1049)*(T_PlannedOrders[WeekIndex]=59)*(T_PlannedOrders[EffectiveQty]&gt;0)*T_PlannedOrders[Order_Month])),"m月")&amp;"発注)")</f>
        <v/>
      </c>
      <c r="BK1055">
        <f>IF(SUMIFS(T_PlannedOrders[EffectiveQty],T_PlannedOrders[Part Name],$A1049,T_PlannedOrders[WeekIndex],60)=0,"",SUMIFS(T_PlannedOrders[EffectiveQty],T_PlannedOrders[Part Name],$A1049,T_PlannedOrders[WeekIndex],60)&amp;" ("&amp;TEXT(SUMPRODUCT(MAX((T_PlannedOrders[Part Name]=$A1049)*(T_PlannedOrders[WeekIndex]=60)*(T_PlannedOrders[EffectiveQty]&gt;0)*T_PlannedOrders[Order_Month])),"m月")&amp;"発注)")</f>
        <v/>
      </c>
      <c r="BL1055">
        <f>IF(SUMIFS(T_PlannedOrders[EffectiveQty],T_PlannedOrders[Part Name],$A1049,T_PlannedOrders[WeekIndex],61)=0,"",SUMIFS(T_PlannedOrders[EffectiveQty],T_PlannedOrders[Part Name],$A1049,T_PlannedOrders[WeekIndex],61)&amp;" ("&amp;TEXT(SUMPRODUCT(MAX((T_PlannedOrders[Part Name]=$A1049)*(T_PlannedOrders[WeekIndex]=61)*(T_PlannedOrders[EffectiveQty]&gt;0)*T_PlannedOrders[Order_Month])),"m月")&amp;"発注)")</f>
        <v/>
      </c>
      <c r="BM1055">
        <f>IF(SUMIFS(T_PlannedOrders[EffectiveQty],T_PlannedOrders[Part Name],$A1049,T_PlannedOrders[WeekIndex],62)=0,"",SUMIFS(T_PlannedOrders[EffectiveQty],T_PlannedOrders[Part Name],$A1049,T_PlannedOrders[WeekIndex],62)&amp;" ("&amp;TEXT(SUMPRODUCT(MAX((T_PlannedOrders[Part Name]=$A1049)*(T_PlannedOrders[WeekIndex]=62)*(T_PlannedOrders[EffectiveQty]&gt;0)*T_PlannedOrders[Order_Month])),"m月")&amp;"発注)")</f>
        <v/>
      </c>
      <c r="BN1055">
        <f>IF(SUMIFS(T_PlannedOrders[EffectiveQty],T_PlannedOrders[Part Name],$A1049,T_PlannedOrders[WeekIndex],63)=0,"",SUMIFS(T_PlannedOrders[EffectiveQty],T_PlannedOrders[Part Name],$A1049,T_PlannedOrders[WeekIndex],63)&amp;" ("&amp;TEXT(SUMPRODUCT(MAX((T_PlannedOrders[Part Name]=$A1049)*(T_PlannedOrders[WeekIndex]=63)*(T_PlannedOrders[EffectiveQty]&gt;0)*T_PlannedOrders[Order_Month])),"m月")&amp;"発注)")</f>
        <v/>
      </c>
      <c r="BO1055">
        <f>IF(SUMIFS(T_PlannedOrders[EffectiveQty],T_PlannedOrders[Part Name],$A1049,T_PlannedOrders[WeekIndex],64)=0,"",SUMIFS(T_PlannedOrders[EffectiveQty],T_PlannedOrders[Part Name],$A1049,T_PlannedOrders[WeekIndex],64)&amp;" ("&amp;TEXT(SUMPRODUCT(MAX((T_PlannedOrders[Part Name]=$A1049)*(T_PlannedOrders[WeekIndex]=64)*(T_PlannedOrders[EffectiveQty]&gt;0)*T_PlannedOrders[Order_Month])),"m月")&amp;"発注)")</f>
        <v/>
      </c>
      <c r="BP1055">
        <f>IF(SUMIFS(T_PlannedOrders[EffectiveQty],T_PlannedOrders[Part Name],$A1049,T_PlannedOrders[WeekIndex],65)=0,"",SUMIFS(T_PlannedOrders[EffectiveQty],T_PlannedOrders[Part Name],$A1049,T_PlannedOrders[WeekIndex],65)&amp;" ("&amp;TEXT(SUMPRODUCT(MAX((T_PlannedOrders[Part Name]=$A1049)*(T_PlannedOrders[WeekIndex]=65)*(T_PlannedOrders[EffectiveQty]&gt;0)*T_PlannedOrders[Order_Month])),"m月")&amp;"発注)")</f>
        <v/>
      </c>
      <c r="BQ1055">
        <f>IF(SUMIFS(T_PlannedOrders[EffectiveQty],T_PlannedOrders[Part Name],$A1049,T_PlannedOrders[WeekIndex],66)=0,"",SUMIFS(T_PlannedOrders[EffectiveQty],T_PlannedOrders[Part Name],$A1049,T_PlannedOrders[WeekIndex],66)&amp;" ("&amp;TEXT(SUMPRODUCT(MAX((T_PlannedOrders[Part Name]=$A1049)*(T_PlannedOrders[WeekIndex]=66)*(T_PlannedOrders[EffectiveQty]&gt;0)*T_PlannedOrders[Order_Month])),"m月")&amp;"発注)")</f>
        <v/>
      </c>
      <c r="BR1055">
        <f>IF(SUMIFS(T_PlannedOrders[EffectiveQty],T_PlannedOrders[Part Name],$A1049,T_PlannedOrders[WeekIndex],67)=0,"",SUMIFS(T_PlannedOrders[EffectiveQty],T_PlannedOrders[Part Name],$A1049,T_PlannedOrders[WeekIndex],67)&amp;" ("&amp;TEXT(SUMPRODUCT(MAX((T_PlannedOrders[Part Name]=$A1049)*(T_PlannedOrders[WeekIndex]=67)*(T_PlannedOrders[EffectiveQty]&gt;0)*T_PlannedOrders[Order_Month])),"m月")&amp;"発注)")</f>
        <v/>
      </c>
      <c r="BS1055">
        <f>IF(SUMIFS(T_PlannedOrders[EffectiveQty],T_PlannedOrders[Part Name],$A1049,T_PlannedOrders[WeekIndex],68)=0,"",SUMIFS(T_PlannedOrders[EffectiveQty],T_PlannedOrders[Part Name],$A1049,T_PlannedOrders[WeekIndex],68)&amp;" ("&amp;TEXT(SUMPRODUCT(MAX((T_PlannedOrders[Part Name]=$A1049)*(T_PlannedOrders[WeekIndex]=68)*(T_PlannedOrders[EffectiveQty]&gt;0)*T_PlannedOrders[Order_Month])),"m月")&amp;"発注)")</f>
        <v/>
      </c>
      <c r="BT1055">
        <f>IF(SUMIFS(T_PlannedOrders[EffectiveQty],T_PlannedOrders[Part Name],$A1049,T_PlannedOrders[WeekIndex],69)=0,"",SUMIFS(T_PlannedOrders[EffectiveQty],T_PlannedOrders[Part Name],$A1049,T_PlannedOrders[WeekIndex],69)&amp;" ("&amp;TEXT(SUMPRODUCT(MAX((T_PlannedOrders[Part Name]=$A1049)*(T_PlannedOrders[WeekIndex]=69)*(T_PlannedOrders[EffectiveQty]&gt;0)*T_PlannedOrders[Order_Month])),"m月")&amp;"発注)")</f>
        <v/>
      </c>
      <c r="BU1055">
        <f>IF(SUMIFS(T_PlannedOrders[EffectiveQty],T_PlannedOrders[Part Name],$A1049,T_PlannedOrders[WeekIndex],70)=0,"",SUMIFS(T_PlannedOrders[EffectiveQty],T_PlannedOrders[Part Name],$A1049,T_PlannedOrders[WeekIndex],70)&amp;" ("&amp;TEXT(SUMPRODUCT(MAX((T_PlannedOrders[Part Name]=$A1049)*(T_PlannedOrders[WeekIndex]=70)*(T_PlannedOrders[EffectiveQty]&gt;0)*T_PlannedOrders[Order_Month])),"m月")&amp;"発注)")</f>
        <v/>
      </c>
      <c r="BV1055">
        <f>IF(SUMIFS(T_PlannedOrders[EffectiveQty],T_PlannedOrders[Part Name],$A1049,T_PlannedOrders[WeekIndex],71)=0,"",SUMIFS(T_PlannedOrders[EffectiveQty],T_PlannedOrders[Part Name],$A1049,T_PlannedOrders[WeekIndex],71)&amp;" ("&amp;TEXT(SUMPRODUCT(MAX((T_PlannedOrders[Part Name]=$A1049)*(T_PlannedOrders[WeekIndex]=71)*(T_PlannedOrders[EffectiveQty]&gt;0)*T_PlannedOrders[Order_Month])),"m月")&amp;"発注)")</f>
        <v/>
      </c>
      <c r="BW1055">
        <f>IF(SUMIFS(T_PlannedOrders[EffectiveQty],T_PlannedOrders[Part Name],$A1049,T_PlannedOrders[WeekIndex],72)=0,"",SUMIFS(T_PlannedOrders[EffectiveQty],T_PlannedOrders[Part Name],$A1049,T_PlannedOrders[WeekIndex],72)&amp;" ("&amp;TEXT(SUMPRODUCT(MAX((T_PlannedOrders[Part Name]=$A1049)*(T_PlannedOrders[WeekIndex]=72)*(T_PlannedOrders[EffectiveQty]&gt;0)*T_PlannedOrders[Order_Month])),"m月")&amp;"発注)")</f>
        <v/>
      </c>
      <c r="BX1055">
        <f>IF(SUMIFS(T_PlannedOrders[EffectiveQty],T_PlannedOrders[Part Name],$A1049,T_PlannedOrders[WeekIndex],73)=0,"",SUMIFS(T_PlannedOrders[EffectiveQty],T_PlannedOrders[Part Name],$A1049,T_PlannedOrders[WeekIndex],73)&amp;" ("&amp;TEXT(SUMPRODUCT(MAX((T_PlannedOrders[Part Name]=$A1049)*(T_PlannedOrders[WeekIndex]=73)*(T_PlannedOrders[EffectiveQty]&gt;0)*T_PlannedOrders[Order_Month])),"m月")&amp;"発注)")</f>
        <v/>
      </c>
      <c r="BY1055">
        <f>IF(SUMIFS(T_PlannedOrders[EffectiveQty],T_PlannedOrders[Part Name],$A1049,T_PlannedOrders[WeekIndex],74)=0,"",SUMIFS(T_PlannedOrders[EffectiveQty],T_PlannedOrders[Part Name],$A1049,T_PlannedOrders[WeekIndex],74)&amp;" ("&amp;TEXT(SUMPRODUCT(MAX((T_PlannedOrders[Part Name]=$A1049)*(T_PlannedOrders[WeekIndex]=74)*(T_PlannedOrders[EffectiveQty]&gt;0)*T_PlannedOrders[Order_Month])),"m月")&amp;"発注)")</f>
        <v/>
      </c>
      <c r="BZ1055">
        <f>IF(SUMIFS(T_PlannedOrders[EffectiveQty],T_PlannedOrders[Part Name],$A1049,T_PlannedOrders[WeekIndex],75)=0,"",SUMIFS(T_PlannedOrders[EffectiveQty],T_PlannedOrders[Part Name],$A1049,T_PlannedOrders[WeekIndex],75)&amp;" ("&amp;TEXT(SUMPRODUCT(MAX((T_PlannedOrders[Part Name]=$A1049)*(T_PlannedOrders[WeekIndex]=75)*(T_PlannedOrders[EffectiveQty]&gt;0)*T_PlannedOrders[Order_Month])),"m月")&amp;"発注)")</f>
        <v/>
      </c>
      <c r="CA1055">
        <f>IF(SUMIFS(T_PlannedOrders[EffectiveQty],T_PlannedOrders[Part Name],$A1049,T_PlannedOrders[WeekIndex],76)=0,"",SUMIFS(T_PlannedOrders[EffectiveQty],T_PlannedOrders[Part Name],$A1049,T_PlannedOrders[WeekIndex],76)&amp;" ("&amp;TEXT(SUMPRODUCT(MAX((T_PlannedOrders[Part Name]=$A1049)*(T_PlannedOrders[WeekIndex]=76)*(T_PlannedOrders[EffectiveQty]&gt;0)*T_PlannedOrders[Order_Month])),"m月")&amp;"発注)")</f>
        <v/>
      </c>
      <c r="CB1055">
        <f>IF(SUMIFS(T_PlannedOrders[EffectiveQty],T_PlannedOrders[Part Name],$A1049,T_PlannedOrders[WeekIndex],77)=0,"",SUMIFS(T_PlannedOrders[EffectiveQty],T_PlannedOrders[Part Name],$A1049,T_PlannedOrders[WeekIndex],77)&amp;" ("&amp;TEXT(SUMPRODUCT(MAX((T_PlannedOrders[Part Name]=$A1049)*(T_PlannedOrders[WeekIndex]=77)*(T_PlannedOrders[EffectiveQty]&gt;0)*T_PlannedOrders[Order_Month])),"m月")&amp;"発注)")</f>
        <v/>
      </c>
      <c r="CC1055">
        <f>IF(SUMIFS(T_PlannedOrders[EffectiveQty],T_PlannedOrders[Part Name],$A1049,T_PlannedOrders[WeekIndex],78)=0,"",SUMIFS(T_PlannedOrders[EffectiveQty],T_PlannedOrders[Part Name],$A1049,T_PlannedOrders[WeekIndex],78)&amp;" ("&amp;TEXT(SUMPRODUCT(MAX((T_PlannedOrders[Part Name]=$A1049)*(T_PlannedOrders[WeekIndex]=78)*(T_PlannedOrders[EffectiveQty]&gt;0)*T_PlannedOrders[Order_Month])),"m月")&amp;"発注)")</f>
        <v/>
      </c>
      <c r="CD1055">
        <f>IF(SUMIFS(T_PlannedOrders[EffectiveQty],T_PlannedOrders[Part Name],$A1049,T_PlannedOrders[WeekIndex],79)=0,"",SUMIFS(T_PlannedOrders[EffectiveQty],T_PlannedOrders[Part Name],$A1049,T_PlannedOrders[WeekIndex],79)&amp;" ("&amp;TEXT(SUMPRODUCT(MAX((T_PlannedOrders[Part Name]=$A1049)*(T_PlannedOrders[WeekIndex]=79)*(T_PlannedOrders[EffectiveQty]&gt;0)*T_PlannedOrders[Order_Month])),"m月")&amp;"発注)")</f>
        <v/>
      </c>
      <c r="CE1055">
        <f>IF(SUMIFS(T_PlannedOrders[EffectiveQty],T_PlannedOrders[Part Name],$A1049,T_PlannedOrders[WeekIndex],80)=0,"",SUMIFS(T_PlannedOrders[EffectiveQty],T_PlannedOrders[Part Name],$A1049,T_PlannedOrders[WeekIndex],80)&amp;" ("&amp;TEXT(SUMPRODUCT(MAX((T_PlannedOrders[Part Name]=$A1049)*(T_PlannedOrders[WeekIndex]=80)*(T_PlannedOrders[EffectiveQty]&gt;0)*T_PlannedOrders[Order_Month])),"m月")&amp;"発注)")</f>
        <v/>
      </c>
      <c r="CF1055">
        <f>IF(SUMIFS(T_PlannedOrders[EffectiveQty],T_PlannedOrders[Part Name],$A1049,T_PlannedOrders[WeekIndex],81)=0,"",SUMIFS(T_PlannedOrders[EffectiveQty],T_PlannedOrders[Part Name],$A1049,T_PlannedOrders[WeekIndex],81)&amp;" ("&amp;TEXT(SUMPRODUCT(MAX((T_PlannedOrders[Part Name]=$A1049)*(T_PlannedOrders[WeekIndex]=81)*(T_PlannedOrders[EffectiveQty]&gt;0)*T_PlannedOrders[Order_Month])),"m月")&amp;"発注)")</f>
        <v/>
      </c>
      <c r="CG1055">
        <f>IF(SUMIFS(T_PlannedOrders[EffectiveQty],T_PlannedOrders[Part Name],$A1049,T_PlannedOrders[WeekIndex],82)=0,"",SUMIFS(T_PlannedOrders[EffectiveQty],T_PlannedOrders[Part Name],$A1049,T_PlannedOrders[WeekIndex],82)&amp;" ("&amp;TEXT(SUMPRODUCT(MAX((T_PlannedOrders[Part Name]=$A1049)*(T_PlannedOrders[WeekIndex]=82)*(T_PlannedOrders[EffectiveQty]&gt;0)*T_PlannedOrders[Order_Month])),"m月")&amp;"発注)")</f>
        <v/>
      </c>
      <c r="CH1055">
        <f>IF(SUMIFS(T_PlannedOrders[EffectiveQty],T_PlannedOrders[Part Name],$A1049,T_PlannedOrders[WeekIndex],83)=0,"",SUMIFS(T_PlannedOrders[EffectiveQty],T_PlannedOrders[Part Name],$A1049,T_PlannedOrders[WeekIndex],83)&amp;" ("&amp;TEXT(SUMPRODUCT(MAX((T_PlannedOrders[Part Name]=$A1049)*(T_PlannedOrders[WeekIndex]=83)*(T_PlannedOrders[EffectiveQty]&gt;0)*T_PlannedOrders[Order_Month])),"m月")&amp;"発注)")</f>
        <v/>
      </c>
      <c r="CI1055">
        <f>IF(SUMIFS(T_PlannedOrders[EffectiveQty],T_PlannedOrders[Part Name],$A1049,T_PlannedOrders[WeekIndex],84)=0,"",SUMIFS(T_PlannedOrders[EffectiveQty],T_PlannedOrders[Part Name],$A1049,T_PlannedOrders[WeekIndex],84)&amp;" ("&amp;TEXT(SUMPRODUCT(MAX((T_PlannedOrders[Part Name]=$A1049)*(T_PlannedOrders[WeekIndex]=84)*(T_PlannedOrders[EffectiveQty]&gt;0)*T_PlannedOrders[Order_Month])),"m月")&amp;"発注)")</f>
        <v/>
      </c>
      <c r="CJ1055">
        <f>IF(SUMIFS(T_PlannedOrders[EffectiveQty],T_PlannedOrders[Part Name],$A1049,T_PlannedOrders[WeekIndex],85)=0,"",SUMIFS(T_PlannedOrders[EffectiveQty],T_PlannedOrders[Part Name],$A1049,T_PlannedOrders[WeekIndex],85)&amp;" ("&amp;TEXT(SUMPRODUCT(MAX((T_PlannedOrders[Part Name]=$A1049)*(T_PlannedOrders[WeekIndex]=85)*(T_PlannedOrders[EffectiveQty]&gt;0)*T_PlannedOrders[Order_Month])),"m月")&amp;"発注)")</f>
        <v/>
      </c>
      <c r="CK1055">
        <f>IF(SUMIFS(T_PlannedOrders[EffectiveQty],T_PlannedOrders[Part Name],$A1049,T_PlannedOrders[WeekIndex],86)=0,"",SUMIFS(T_PlannedOrders[EffectiveQty],T_PlannedOrders[Part Name],$A1049,T_PlannedOrders[WeekIndex],86)&amp;" ("&amp;TEXT(SUMPRODUCT(MAX((T_PlannedOrders[Part Name]=$A1049)*(T_PlannedOrders[WeekIndex]=86)*(T_PlannedOrders[EffectiveQty]&gt;0)*T_PlannedOrders[Order_Month])),"m月")&amp;"発注)")</f>
        <v/>
      </c>
      <c r="CL1055">
        <f>IF(SUMIFS(T_PlannedOrders[EffectiveQty],T_PlannedOrders[Part Name],$A1049,T_PlannedOrders[WeekIndex],87)=0,"",SUMIFS(T_PlannedOrders[EffectiveQty],T_PlannedOrders[Part Name],$A1049,T_PlannedOrders[WeekIndex],87)&amp;" ("&amp;TEXT(SUMPRODUCT(MAX((T_PlannedOrders[Part Name]=$A1049)*(T_PlannedOrders[WeekIndex]=87)*(T_PlannedOrders[EffectiveQty]&gt;0)*T_PlannedOrders[Order_Month])),"m月")&amp;"発注)")</f>
        <v/>
      </c>
      <c r="CM1055">
        <f>IF(SUMIFS(T_PlannedOrders[EffectiveQty],T_PlannedOrders[Part Name],$A1049,T_PlannedOrders[WeekIndex],88)=0,"",SUMIFS(T_PlannedOrders[EffectiveQty],T_PlannedOrders[Part Name],$A1049,T_PlannedOrders[WeekIndex],88)&amp;" ("&amp;TEXT(SUMPRODUCT(MAX((T_PlannedOrders[Part Name]=$A1049)*(T_PlannedOrders[WeekIndex]=88)*(T_PlannedOrders[EffectiveQty]&gt;0)*T_PlannedOrders[Order_Month])),"m月")&amp;"発注)")</f>
        <v/>
      </c>
      <c r="CN1055">
        <f>IF(SUMIFS(T_PlannedOrders[EffectiveQty],T_PlannedOrders[Part Name],$A1049,T_PlannedOrders[WeekIndex],89)=0,"",SUMIFS(T_PlannedOrders[EffectiveQty],T_PlannedOrders[Part Name],$A1049,T_PlannedOrders[WeekIndex],89)&amp;" ("&amp;TEXT(SUMPRODUCT(MAX((T_PlannedOrders[Part Name]=$A1049)*(T_PlannedOrders[WeekIndex]=89)*(T_PlannedOrders[EffectiveQty]&gt;0)*T_PlannedOrders[Order_Month])),"m月")&amp;"発注)")</f>
        <v/>
      </c>
      <c r="CO1055">
        <f>IF(SUMIFS(T_PlannedOrders[EffectiveQty],T_PlannedOrders[Part Name],$A1049,T_PlannedOrders[WeekIndex],90)=0,"",SUMIFS(T_PlannedOrders[EffectiveQty],T_PlannedOrders[Part Name],$A1049,T_PlannedOrders[WeekIndex],90)&amp;" ("&amp;TEXT(SUMPRODUCT(MAX((T_PlannedOrders[Part Name]=$A1049)*(T_PlannedOrders[WeekIndex]=90)*(T_PlannedOrders[EffectiveQty]&gt;0)*T_PlannedOrders[Order_Month])),"m月")&amp;"発注)")</f>
        <v/>
      </c>
      <c r="CP1055">
        <f>IF(SUMIFS(T_PlannedOrders[EffectiveQty],T_PlannedOrders[Part Name],$A1049,T_PlannedOrders[WeekIndex],91)=0,"",SUMIFS(T_PlannedOrders[EffectiveQty],T_PlannedOrders[Part Name],$A1049,T_PlannedOrders[WeekIndex],91)&amp;" ("&amp;TEXT(SUMPRODUCT(MAX((T_PlannedOrders[Part Name]=$A1049)*(T_PlannedOrders[WeekIndex]=91)*(T_PlannedOrders[EffectiveQty]&gt;0)*T_PlannedOrders[Order_Month])),"m月")&amp;"発注)")</f>
        <v/>
      </c>
      <c r="CQ1055">
        <f>IF(SUMIFS(T_PlannedOrders[EffectiveQty],T_PlannedOrders[Part Name],$A1049,T_PlannedOrders[WeekIndex],92)=0,"",SUMIFS(T_PlannedOrders[EffectiveQty],T_PlannedOrders[Part Name],$A1049,T_PlannedOrders[WeekIndex],92)&amp;" ("&amp;TEXT(SUMPRODUCT(MAX((T_PlannedOrders[Part Name]=$A1049)*(T_PlannedOrders[WeekIndex]=92)*(T_PlannedOrders[EffectiveQty]&gt;0)*T_PlannedOrders[Order_Month])),"m月")&amp;"発注)")</f>
        <v/>
      </c>
      <c r="CR1055">
        <f>IF(SUMIFS(T_PlannedOrders[EffectiveQty],T_PlannedOrders[Part Name],$A1049,T_PlannedOrders[WeekIndex],93)=0,"",SUMIFS(T_PlannedOrders[EffectiveQty],T_PlannedOrders[Part Name],$A1049,T_PlannedOrders[WeekIndex],93)&amp;" ("&amp;TEXT(SUMPRODUCT(MAX((T_PlannedOrders[Part Name]=$A1049)*(T_PlannedOrders[WeekIndex]=93)*(T_PlannedOrders[EffectiveQty]&gt;0)*T_PlannedOrders[Order_Month])),"m月")&amp;"発注)")</f>
        <v/>
      </c>
      <c r="CS1055">
        <f>IF(SUMIFS(T_PlannedOrders[EffectiveQty],T_PlannedOrders[Part Name],$A1049,T_PlannedOrders[WeekIndex],94)=0,"",SUMIFS(T_PlannedOrders[EffectiveQty],T_PlannedOrders[Part Name],$A1049,T_PlannedOrders[WeekIndex],94)&amp;" ("&amp;TEXT(SUMPRODUCT(MAX((T_PlannedOrders[Part Name]=$A1049)*(T_PlannedOrders[WeekIndex]=94)*(T_PlannedOrders[EffectiveQty]&gt;0)*T_PlannedOrders[Order_Month])),"m月")&amp;"発注)")</f>
        <v/>
      </c>
      <c r="CT1055">
        <f>IF(SUMIFS(T_PlannedOrders[EffectiveQty],T_PlannedOrders[Part Name],$A1049,T_PlannedOrders[WeekIndex],95)=0,"",SUMIFS(T_PlannedOrders[EffectiveQty],T_PlannedOrders[Part Name],$A1049,T_PlannedOrders[WeekIndex],95)&amp;" ("&amp;TEXT(SUMPRODUCT(MAX((T_PlannedOrders[Part Name]=$A1049)*(T_PlannedOrders[WeekIndex]=95)*(T_PlannedOrders[EffectiveQty]&gt;0)*T_PlannedOrders[Order_Month])),"m月")&amp;"発注)")</f>
        <v/>
      </c>
      <c r="CU1055">
        <f>IF(SUMIFS(T_PlannedOrders[EffectiveQty],T_PlannedOrders[Part Name],$A1049,T_PlannedOrders[WeekIndex],96)=0,"",SUMIFS(T_PlannedOrders[EffectiveQty],T_PlannedOrders[Part Name],$A1049,T_PlannedOrders[WeekIndex],96)&amp;" ("&amp;TEXT(SUMPRODUCT(MAX((T_PlannedOrders[Part Name]=$A1049)*(T_PlannedOrders[WeekIndex]=96)*(T_PlannedOrders[EffectiveQty]&gt;0)*T_PlannedOrders[Order_Month])),"m月")&amp;"発注)")</f>
        <v/>
      </c>
      <c r="CV1055">
        <f>IF(SUMIFS(T_PlannedOrders[EffectiveQty],T_PlannedOrders[Part Name],$A1049,T_PlannedOrders[WeekIndex],97)=0,"",SUMIFS(T_PlannedOrders[EffectiveQty],T_PlannedOrders[Part Name],$A1049,T_PlannedOrders[WeekIndex],97)&amp;" ("&amp;TEXT(SUMPRODUCT(MAX((T_PlannedOrders[Part Name]=$A1049)*(T_PlannedOrders[WeekIndex]=97)*(T_PlannedOrders[EffectiveQty]&gt;0)*T_PlannedOrders[Order_Month])),"m月")&amp;"発注)")</f>
        <v/>
      </c>
      <c r="CW1055">
        <f>IF(SUMIFS(T_PlannedOrders[EffectiveQty],T_PlannedOrders[Part Name],$A1049,T_PlannedOrders[WeekIndex],98)=0,"",SUMIFS(T_PlannedOrders[EffectiveQty],T_PlannedOrders[Part Name],$A1049,T_PlannedOrders[WeekIndex],98)&amp;" ("&amp;TEXT(SUMPRODUCT(MAX((T_PlannedOrders[Part Name]=$A1049)*(T_PlannedOrders[WeekIndex]=98)*(T_PlannedOrders[EffectiveQty]&gt;0)*T_PlannedOrders[Order_Month])),"m月")&amp;"発注)")</f>
        <v/>
      </c>
      <c r="CX1055">
        <f>IF(SUMIFS(T_PlannedOrders[EffectiveQty],T_PlannedOrders[Part Name],$A1049,T_PlannedOrders[WeekIndex],99)=0,"",SUMIFS(T_PlannedOrders[EffectiveQty],T_PlannedOrders[Part Name],$A1049,T_PlannedOrders[WeekIndex],99)&amp;" ("&amp;TEXT(SUMPRODUCT(MAX((T_PlannedOrders[Part Name]=$A1049)*(T_PlannedOrders[WeekIndex]=99)*(T_PlannedOrders[EffectiveQty]&gt;0)*T_PlannedOrders[Order_Month])),"m月")&amp;"発注)")</f>
        <v/>
      </c>
      <c r="CY1055">
        <f>IF(SUMIFS(T_PlannedOrders[EffectiveQty],T_PlannedOrders[Part Name],$A1049,T_PlannedOrders[WeekIndex],100)=0,"",SUMIFS(T_PlannedOrders[EffectiveQty],T_PlannedOrders[Part Name],$A1049,T_PlannedOrders[WeekIndex],100)&amp;" ("&amp;TEXT(SUMPRODUCT(MAX((T_PlannedOrders[Part Name]=$A1049)*(T_PlannedOrders[WeekIndex]=100)*(T_PlannedOrders[EffectiveQty]&gt;0)*T_PlannedOrders[Order_Month])),"m月")&amp;"発注)")</f>
        <v/>
      </c>
      <c r="CZ1055">
        <f>IF(SUMIFS(T_PlannedOrders[EffectiveQty],T_PlannedOrders[Part Name],$A1049,T_PlannedOrders[WeekIndex],101)=0,"",SUMIFS(T_PlannedOrders[EffectiveQty],T_PlannedOrders[Part Name],$A1049,T_PlannedOrders[WeekIndex],101)&amp;" ("&amp;TEXT(SUMPRODUCT(MAX((T_PlannedOrders[Part Name]=$A1049)*(T_PlannedOrders[WeekIndex]=101)*(T_PlannedOrders[EffectiveQty]&gt;0)*T_PlannedOrders[Order_Month])),"m月")&amp;"発注)")</f>
        <v/>
      </c>
      <c r="DA1055">
        <f>IF(SUMIFS(T_PlannedOrders[EffectiveQty],T_PlannedOrders[Part Name],$A1049,T_PlannedOrders[WeekIndex],102)=0,"",SUMIFS(T_PlannedOrders[EffectiveQty],T_PlannedOrders[Part Name],$A1049,T_PlannedOrders[WeekIndex],102)&amp;" ("&amp;TEXT(SUMPRODUCT(MAX((T_PlannedOrders[Part Name]=$A1049)*(T_PlannedOrders[WeekIndex]=102)*(T_PlannedOrders[EffectiveQty]&gt;0)*T_PlannedOrders[Order_Month])),"m月")&amp;"発注)")</f>
        <v/>
      </c>
      <c r="DB1055">
        <f>IF(SUMIFS(T_PlannedOrders[EffectiveQty],T_PlannedOrders[Part Name],$A1049,T_PlannedOrders[WeekIndex],103)=0,"",SUMIFS(T_PlannedOrders[EffectiveQty],T_PlannedOrders[Part Name],$A1049,T_PlannedOrders[WeekIndex],103)&amp;" ("&amp;TEXT(SUMPRODUCT(MAX((T_PlannedOrders[Part Name]=$A1049)*(T_PlannedOrders[WeekIndex]=103)*(T_PlannedOrders[EffectiveQty]&gt;0)*T_PlannedOrders[Order_Month])),"m月")&amp;"発注)")</f>
        <v/>
      </c>
      <c r="DC1055">
        <f>IF(SUMIFS(T_PlannedOrders[EffectiveQty],T_PlannedOrders[Part Name],$A1049,T_PlannedOrders[WeekIndex],104)=0,"",SUMIFS(T_PlannedOrders[EffectiveQty],T_PlannedOrders[Part Name],$A1049,T_PlannedOrders[WeekIndex],104)&amp;" ("&amp;TEXT(SUMPRODUCT(MAX((T_PlannedOrders[Part Name]=$A1049)*(T_PlannedOrders[WeekIndex]=104)*(T_PlannedOrders[EffectiveQty]&gt;0)*T_PlannedOrders[Order_Month])),"m月")&amp;"発注)")</f>
        <v/>
      </c>
    </row>
    <row r="1056">
      <c r="B1056" s="5" t="inlineStr">
        <is>
          <t>合計在庫(週末時点,kg)</t>
        </is>
      </c>
      <c r="D1056">
        <f>'Grid_Stock'!B35</f>
        <v/>
      </c>
      <c r="E1056">
        <f>'Grid_Stock'!C35</f>
        <v/>
      </c>
      <c r="F1056">
        <f>'Grid_Stock'!D35</f>
        <v/>
      </c>
      <c r="G1056">
        <f>'Grid_Stock'!E35</f>
        <v/>
      </c>
      <c r="H1056">
        <f>'Grid_Stock'!F35</f>
        <v/>
      </c>
      <c r="I1056">
        <f>'Grid_Stock'!G35</f>
        <v/>
      </c>
      <c r="J1056">
        <f>'Grid_Stock'!H35</f>
        <v/>
      </c>
      <c r="K1056">
        <f>'Grid_Stock'!I35</f>
        <v/>
      </c>
      <c r="L1056">
        <f>'Grid_Stock'!J35</f>
        <v/>
      </c>
      <c r="M1056">
        <f>'Grid_Stock'!K35</f>
        <v/>
      </c>
      <c r="N1056">
        <f>'Grid_Stock'!L35</f>
        <v/>
      </c>
      <c r="O1056">
        <f>'Grid_Stock'!M35</f>
        <v/>
      </c>
      <c r="P1056">
        <f>'Grid_Stock'!N35</f>
        <v/>
      </c>
      <c r="Q1056">
        <f>'Grid_Stock'!O35</f>
        <v/>
      </c>
      <c r="R1056">
        <f>'Grid_Stock'!P35</f>
        <v/>
      </c>
      <c r="S1056">
        <f>'Grid_Stock'!Q35</f>
        <v/>
      </c>
      <c r="T1056">
        <f>'Grid_Stock'!R35</f>
        <v/>
      </c>
      <c r="U1056">
        <f>'Grid_Stock'!S35</f>
        <v/>
      </c>
      <c r="V1056">
        <f>'Grid_Stock'!T35</f>
        <v/>
      </c>
      <c r="W1056">
        <f>'Grid_Stock'!U35</f>
        <v/>
      </c>
      <c r="X1056">
        <f>'Grid_Stock'!V35</f>
        <v/>
      </c>
      <c r="Y1056">
        <f>'Grid_Stock'!W35</f>
        <v/>
      </c>
      <c r="Z1056">
        <f>'Grid_Stock'!X35</f>
        <v/>
      </c>
      <c r="AA1056">
        <f>'Grid_Stock'!Y35</f>
        <v/>
      </c>
      <c r="AB1056">
        <f>'Grid_Stock'!Z35</f>
        <v/>
      </c>
      <c r="AC1056">
        <f>'Grid_Stock'!AA35</f>
        <v/>
      </c>
      <c r="AD1056">
        <f>'Grid_Stock'!AB35</f>
        <v/>
      </c>
      <c r="AE1056">
        <f>'Grid_Stock'!AC35</f>
        <v/>
      </c>
      <c r="AF1056">
        <f>'Grid_Stock'!AD35</f>
        <v/>
      </c>
      <c r="AG1056">
        <f>'Grid_Stock'!AE35</f>
        <v/>
      </c>
      <c r="AH1056">
        <f>'Grid_Stock'!AF35</f>
        <v/>
      </c>
      <c r="AI1056">
        <f>'Grid_Stock'!AG35</f>
        <v/>
      </c>
      <c r="AJ1056">
        <f>'Grid_Stock'!AH35</f>
        <v/>
      </c>
      <c r="AK1056">
        <f>'Grid_Stock'!AI35</f>
        <v/>
      </c>
      <c r="AL1056">
        <f>'Grid_Stock'!AJ35</f>
        <v/>
      </c>
      <c r="AM1056">
        <f>'Grid_Stock'!AK35</f>
        <v/>
      </c>
      <c r="AN1056">
        <f>'Grid_Stock'!AL35</f>
        <v/>
      </c>
      <c r="AO1056">
        <f>'Grid_Stock'!AM35</f>
        <v/>
      </c>
      <c r="AP1056">
        <f>'Grid_Stock'!AN35</f>
        <v/>
      </c>
      <c r="AQ1056">
        <f>'Grid_Stock'!AO35</f>
        <v/>
      </c>
      <c r="AR1056">
        <f>'Grid_Stock'!AP35</f>
        <v/>
      </c>
      <c r="AS1056">
        <f>'Grid_Stock'!AQ35</f>
        <v/>
      </c>
      <c r="AT1056">
        <f>'Grid_Stock'!AR35</f>
        <v/>
      </c>
      <c r="AU1056">
        <f>'Grid_Stock'!AS35</f>
        <v/>
      </c>
      <c r="AV1056">
        <f>'Grid_Stock'!AT35</f>
        <v/>
      </c>
      <c r="AW1056">
        <f>'Grid_Stock'!AU35</f>
        <v/>
      </c>
      <c r="AX1056">
        <f>'Grid_Stock'!AV35</f>
        <v/>
      </c>
      <c r="AY1056">
        <f>'Grid_Stock'!AW35</f>
        <v/>
      </c>
      <c r="AZ1056">
        <f>'Grid_Stock'!AX35</f>
        <v/>
      </c>
      <c r="BA1056">
        <f>'Grid_Stock'!AY35</f>
        <v/>
      </c>
      <c r="BB1056">
        <f>'Grid_Stock'!AZ35</f>
        <v/>
      </c>
      <c r="BC1056">
        <f>'Grid_Stock'!BA35</f>
        <v/>
      </c>
      <c r="BD1056">
        <f>'Grid_Stock'!BB35</f>
        <v/>
      </c>
      <c r="BE1056">
        <f>'Grid_Stock'!BC35</f>
        <v/>
      </c>
      <c r="BF1056">
        <f>'Grid_Stock'!BD35</f>
        <v/>
      </c>
      <c r="BG1056">
        <f>'Grid_Stock'!BE35</f>
        <v/>
      </c>
      <c r="BH1056">
        <f>'Grid_Stock'!BF35</f>
        <v/>
      </c>
      <c r="BI1056">
        <f>'Grid_Stock'!BG35</f>
        <v/>
      </c>
      <c r="BJ1056">
        <f>'Grid_Stock'!BH35</f>
        <v/>
      </c>
      <c r="BK1056">
        <f>'Grid_Stock'!BI35</f>
        <v/>
      </c>
      <c r="BL1056">
        <f>'Grid_Stock'!BJ35</f>
        <v/>
      </c>
      <c r="BM1056">
        <f>'Grid_Stock'!BK35</f>
        <v/>
      </c>
      <c r="BN1056">
        <f>'Grid_Stock'!BL35</f>
        <v/>
      </c>
      <c r="BO1056">
        <f>'Grid_Stock'!BM35</f>
        <v/>
      </c>
      <c r="BP1056">
        <f>'Grid_Stock'!BN35</f>
        <v/>
      </c>
      <c r="BQ1056">
        <f>'Grid_Stock'!BO35</f>
        <v/>
      </c>
      <c r="BR1056">
        <f>'Grid_Stock'!BP35</f>
        <v/>
      </c>
      <c r="BS1056">
        <f>'Grid_Stock'!BQ35</f>
        <v/>
      </c>
      <c r="BT1056">
        <f>'Grid_Stock'!BR35</f>
        <v/>
      </c>
      <c r="BU1056">
        <f>'Grid_Stock'!BS35</f>
        <v/>
      </c>
      <c r="BV1056">
        <f>'Grid_Stock'!BT35</f>
        <v/>
      </c>
      <c r="BW1056">
        <f>'Grid_Stock'!BU35</f>
        <v/>
      </c>
      <c r="BX1056">
        <f>'Grid_Stock'!BV35</f>
        <v/>
      </c>
      <c r="BY1056">
        <f>'Grid_Stock'!BW35</f>
        <v/>
      </c>
      <c r="BZ1056">
        <f>'Grid_Stock'!BX35</f>
        <v/>
      </c>
      <c r="CA1056">
        <f>'Grid_Stock'!BY35</f>
        <v/>
      </c>
      <c r="CB1056">
        <f>'Grid_Stock'!BZ35</f>
        <v/>
      </c>
      <c r="CC1056">
        <f>'Grid_Stock'!CA35</f>
        <v/>
      </c>
      <c r="CD1056">
        <f>'Grid_Stock'!CB35</f>
        <v/>
      </c>
      <c r="CE1056">
        <f>'Grid_Stock'!CC35</f>
        <v/>
      </c>
      <c r="CF1056">
        <f>'Grid_Stock'!CD35</f>
        <v/>
      </c>
      <c r="CG1056">
        <f>'Grid_Stock'!CE35</f>
        <v/>
      </c>
      <c r="CH1056">
        <f>'Grid_Stock'!CF35</f>
        <v/>
      </c>
      <c r="CI1056">
        <f>'Grid_Stock'!CG35</f>
        <v/>
      </c>
      <c r="CJ1056">
        <f>'Grid_Stock'!CH35</f>
        <v/>
      </c>
      <c r="CK1056">
        <f>'Grid_Stock'!CI35</f>
        <v/>
      </c>
      <c r="CL1056">
        <f>'Grid_Stock'!CJ35</f>
        <v/>
      </c>
      <c r="CM1056">
        <f>'Grid_Stock'!CK35</f>
        <v/>
      </c>
      <c r="CN1056">
        <f>'Grid_Stock'!CL35</f>
        <v/>
      </c>
      <c r="CO1056">
        <f>'Grid_Stock'!CM35</f>
        <v/>
      </c>
      <c r="CP1056">
        <f>'Grid_Stock'!CN35</f>
        <v/>
      </c>
      <c r="CQ1056">
        <f>'Grid_Stock'!CO35</f>
        <v/>
      </c>
      <c r="CR1056">
        <f>'Grid_Stock'!CP35</f>
        <v/>
      </c>
      <c r="CS1056">
        <f>'Grid_Stock'!CQ35</f>
        <v/>
      </c>
      <c r="CT1056">
        <f>'Grid_Stock'!CR35</f>
        <v/>
      </c>
      <c r="CU1056">
        <f>'Grid_Stock'!CS35</f>
        <v/>
      </c>
      <c r="CV1056">
        <f>'Grid_Stock'!CT35</f>
        <v/>
      </c>
      <c r="CW1056">
        <f>'Grid_Stock'!CU35</f>
        <v/>
      </c>
      <c r="CX1056">
        <f>'Grid_Stock'!CV35</f>
        <v/>
      </c>
      <c r="CY1056">
        <f>'Grid_Stock'!CW35</f>
        <v/>
      </c>
      <c r="CZ1056">
        <f>'Grid_Stock'!CX35</f>
        <v/>
      </c>
      <c r="DA1056">
        <f>'Grid_Stock'!CY35</f>
        <v/>
      </c>
      <c r="DB1056">
        <f>'Grid_Stock'!CZ35</f>
        <v/>
      </c>
      <c r="DC1056">
        <f>'Grid_Stock'!DA35</f>
        <v/>
      </c>
    </row>
    <row r="1057">
      <c r="B1057" s="23" t="inlineStr">
        <is>
          <t>（発注の目安はDashboardの基準在庫[下限/上限]と色分けを参照）</t>
        </is>
      </c>
    </row>
    <row r="1059">
      <c r="A1059" s="21" t="inlineStr">
        <is>
          <t>PP Film</t>
        </is>
      </c>
      <c r="B1059" s="21" t="inlineStr">
        <is>
          <t>PP Film</t>
        </is>
      </c>
      <c r="C1059" s="22" t="n"/>
      <c r="D1059" s="21" t="n"/>
      <c r="E1059" s="21" t="n"/>
      <c r="F1059" s="21" t="n"/>
      <c r="G1059" s="21" t="n"/>
      <c r="H1059" s="21" t="n"/>
      <c r="I1059" s="21" t="n"/>
      <c r="J1059" s="21" t="n"/>
      <c r="K1059" s="21" t="n"/>
      <c r="L1059" s="21" t="n"/>
      <c r="M1059" s="21" t="n"/>
      <c r="N1059" s="21" t="n"/>
      <c r="O1059" s="21" t="n"/>
      <c r="P1059" s="21" t="n"/>
      <c r="Q1059" s="21" t="n"/>
      <c r="R1059" s="21" t="n"/>
      <c r="S1059" s="21" t="n"/>
      <c r="T1059" s="21" t="n"/>
      <c r="U1059" s="21" t="n"/>
      <c r="V1059" s="21" t="n"/>
      <c r="W1059" s="21" t="n"/>
      <c r="X1059" s="21" t="n"/>
      <c r="Y1059" s="21" t="n"/>
      <c r="Z1059" s="21" t="n"/>
      <c r="AA1059" s="21" t="n"/>
      <c r="AB1059" s="21" t="n"/>
      <c r="AC1059" s="21" t="n"/>
      <c r="AD1059" s="21" t="n"/>
      <c r="AE1059" s="21" t="n"/>
      <c r="AF1059" s="21" t="n"/>
      <c r="AG1059" s="21" t="n"/>
      <c r="AH1059" s="21" t="n"/>
      <c r="AI1059" s="21" t="n"/>
      <c r="AJ1059" s="21" t="n"/>
      <c r="AK1059" s="21" t="n"/>
      <c r="AL1059" s="21" t="n"/>
      <c r="AM1059" s="21" t="n"/>
      <c r="AN1059" s="21" t="n"/>
      <c r="AO1059" s="21" t="n"/>
      <c r="AP1059" s="21" t="n"/>
      <c r="AQ1059" s="21" t="n"/>
      <c r="AR1059" s="21" t="n"/>
      <c r="AS1059" s="21" t="n"/>
      <c r="AT1059" s="21" t="n"/>
      <c r="AU1059" s="21" t="n"/>
      <c r="AV1059" s="21" t="n"/>
      <c r="AW1059" s="21" t="n"/>
      <c r="AX1059" s="21" t="n"/>
      <c r="AY1059" s="21" t="n"/>
      <c r="AZ1059" s="21" t="n"/>
      <c r="BA1059" s="21" t="n"/>
      <c r="BB1059" s="21" t="n"/>
      <c r="BC1059" s="21" t="n"/>
      <c r="BD1059" s="21" t="n"/>
      <c r="BE1059" s="21" t="n"/>
      <c r="BF1059" s="21" t="n"/>
      <c r="BG1059" s="21" t="n"/>
      <c r="BH1059" s="21" t="n"/>
      <c r="BI1059" s="21" t="n"/>
      <c r="BJ1059" s="21" t="n"/>
      <c r="BK1059" s="21" t="n"/>
      <c r="BL1059" s="21" t="n"/>
      <c r="BM1059" s="21" t="n"/>
      <c r="BN1059" s="21" t="n"/>
      <c r="BO1059" s="21" t="n"/>
      <c r="BP1059" s="21" t="n"/>
      <c r="BQ1059" s="21" t="n"/>
      <c r="BR1059" s="21" t="n"/>
      <c r="BS1059" s="21" t="n"/>
      <c r="BT1059" s="21" t="n"/>
      <c r="BU1059" s="21" t="n"/>
      <c r="BV1059" s="21" t="n"/>
      <c r="BW1059" s="21" t="n"/>
      <c r="BX1059" s="21" t="n"/>
      <c r="BY1059" s="21" t="n"/>
      <c r="BZ1059" s="21" t="n"/>
      <c r="CA1059" s="21" t="n"/>
      <c r="CB1059" s="21" t="n"/>
      <c r="CC1059" s="21" t="n"/>
      <c r="CD1059" s="21" t="n"/>
      <c r="CE1059" s="21" t="n"/>
      <c r="CF1059" s="21" t="n"/>
      <c r="CG1059" s="21" t="n"/>
      <c r="CH1059" s="21" t="n"/>
      <c r="CI1059" s="21" t="n"/>
      <c r="CJ1059" s="21" t="n"/>
      <c r="CK1059" s="21" t="n"/>
      <c r="CL1059" s="21" t="n"/>
      <c r="CM1059" s="21" t="n"/>
      <c r="CN1059" s="21" t="n"/>
      <c r="CO1059" s="21" t="n"/>
      <c r="CP1059" s="21" t="n"/>
      <c r="CQ1059" s="21" t="n"/>
      <c r="CR1059" s="21" t="n"/>
      <c r="CS1059" s="21" t="n"/>
      <c r="CT1059" s="21" t="n"/>
      <c r="CU1059" s="21" t="n"/>
      <c r="CV1059" s="21" t="n"/>
      <c r="CW1059" s="21" t="n"/>
      <c r="CX1059" s="21" t="n"/>
      <c r="CY1059" s="21" t="n"/>
      <c r="CZ1059" s="21" t="n"/>
      <c r="DA1059" s="21" t="n"/>
      <c r="DB1059" s="21" t="n"/>
      <c r="DC1059" s="21" t="n"/>
    </row>
    <row r="1060">
      <c r="B1060" t="inlineStr">
        <is>
          <t>PP Film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12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Name],$A1059)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s="5" t="inlineStr">
        <is>
          <t>合計使用量(kg)/週</t>
        </is>
      </c>
      <c r="D1062">
        <f>'Grid_Requirement'!B37</f>
        <v/>
      </c>
      <c r="E1062">
        <f>'Grid_Requirement'!C37</f>
        <v/>
      </c>
      <c r="F1062">
        <f>'Grid_Requirement'!D37</f>
        <v/>
      </c>
      <c r="G1062">
        <f>'Grid_Requirement'!E37</f>
        <v/>
      </c>
      <c r="H1062">
        <f>'Grid_Requirement'!F37</f>
        <v/>
      </c>
      <c r="I1062">
        <f>'Grid_Requirement'!G37</f>
        <v/>
      </c>
      <c r="J1062">
        <f>'Grid_Requirement'!H37</f>
        <v/>
      </c>
      <c r="K1062">
        <f>'Grid_Requirement'!I37</f>
        <v/>
      </c>
      <c r="L1062">
        <f>'Grid_Requirement'!J37</f>
        <v/>
      </c>
      <c r="M1062">
        <f>'Grid_Requirement'!K37</f>
        <v/>
      </c>
      <c r="N1062">
        <f>'Grid_Requirement'!L37</f>
        <v/>
      </c>
      <c r="O1062">
        <f>'Grid_Requirement'!M37</f>
        <v/>
      </c>
      <c r="P1062">
        <f>'Grid_Requirement'!N37</f>
        <v/>
      </c>
      <c r="Q1062">
        <f>'Grid_Requirement'!O37</f>
        <v/>
      </c>
      <c r="R1062">
        <f>'Grid_Requirement'!P37</f>
        <v/>
      </c>
      <c r="S1062">
        <f>'Grid_Requirement'!Q37</f>
        <v/>
      </c>
      <c r="T1062">
        <f>'Grid_Requirement'!R37</f>
        <v/>
      </c>
      <c r="U1062">
        <f>'Grid_Requirement'!S37</f>
        <v/>
      </c>
      <c r="V1062">
        <f>'Grid_Requirement'!T37</f>
        <v/>
      </c>
      <c r="W1062">
        <f>'Grid_Requirement'!U37</f>
        <v/>
      </c>
      <c r="X1062">
        <f>'Grid_Requirement'!V37</f>
        <v/>
      </c>
      <c r="Y1062">
        <f>'Grid_Requirement'!W37</f>
        <v/>
      </c>
      <c r="Z1062">
        <f>'Grid_Requirement'!X37</f>
        <v/>
      </c>
      <c r="AA1062">
        <f>'Grid_Requirement'!Y37</f>
        <v/>
      </c>
      <c r="AB1062">
        <f>'Grid_Requirement'!Z37</f>
        <v/>
      </c>
      <c r="AC1062">
        <f>'Grid_Requirement'!AA37</f>
        <v/>
      </c>
      <c r="AD1062">
        <f>'Grid_Requirement'!AB37</f>
        <v/>
      </c>
      <c r="AE1062">
        <f>'Grid_Requirement'!AC37</f>
        <v/>
      </c>
      <c r="AF1062">
        <f>'Grid_Requirement'!AD37</f>
        <v/>
      </c>
      <c r="AG1062">
        <f>'Grid_Requirement'!AE37</f>
        <v/>
      </c>
      <c r="AH1062">
        <f>'Grid_Requirement'!AF37</f>
        <v/>
      </c>
      <c r="AI1062">
        <f>'Grid_Requirement'!AG37</f>
        <v/>
      </c>
      <c r="AJ1062">
        <f>'Grid_Requirement'!AH37</f>
        <v/>
      </c>
      <c r="AK1062">
        <f>'Grid_Requirement'!AI37</f>
        <v/>
      </c>
      <c r="AL1062">
        <f>'Grid_Requirement'!AJ37</f>
        <v/>
      </c>
      <c r="AM1062">
        <f>'Grid_Requirement'!AK37</f>
        <v/>
      </c>
      <c r="AN1062">
        <f>'Grid_Requirement'!AL37</f>
        <v/>
      </c>
      <c r="AO1062">
        <f>'Grid_Requirement'!AM37</f>
        <v/>
      </c>
      <c r="AP1062">
        <f>'Grid_Requirement'!AN37</f>
        <v/>
      </c>
      <c r="AQ1062">
        <f>'Grid_Requirement'!AO37</f>
        <v/>
      </c>
      <c r="AR1062">
        <f>'Grid_Requirement'!AP37</f>
        <v/>
      </c>
      <c r="AS1062">
        <f>'Grid_Requirement'!AQ37</f>
        <v/>
      </c>
      <c r="AT1062">
        <f>'Grid_Requirement'!AR37</f>
        <v/>
      </c>
      <c r="AU1062">
        <f>'Grid_Requirement'!AS37</f>
        <v/>
      </c>
      <c r="AV1062">
        <f>'Grid_Requirement'!AT37</f>
        <v/>
      </c>
      <c r="AW1062">
        <f>'Grid_Requirement'!AU37</f>
        <v/>
      </c>
      <c r="AX1062">
        <f>'Grid_Requirement'!AV37</f>
        <v/>
      </c>
      <c r="AY1062">
        <f>'Grid_Requirement'!AW37</f>
        <v/>
      </c>
      <c r="AZ1062">
        <f>'Grid_Requirement'!AX37</f>
        <v/>
      </c>
      <c r="BA1062">
        <f>'Grid_Requirement'!AY37</f>
        <v/>
      </c>
      <c r="BB1062">
        <f>'Grid_Requirement'!AZ37</f>
        <v/>
      </c>
      <c r="BC1062">
        <f>'Grid_Requirement'!BA37</f>
        <v/>
      </c>
      <c r="BD1062">
        <f>'Grid_Requirement'!BB37</f>
        <v/>
      </c>
      <c r="BE1062">
        <f>'Grid_Requirement'!BC37</f>
        <v/>
      </c>
      <c r="BF1062">
        <f>'Grid_Requirement'!BD37</f>
        <v/>
      </c>
      <c r="BG1062">
        <f>'Grid_Requirement'!BE37</f>
        <v/>
      </c>
      <c r="BH1062">
        <f>'Grid_Requirement'!BF37</f>
        <v/>
      </c>
      <c r="BI1062">
        <f>'Grid_Requirement'!BG37</f>
        <v/>
      </c>
      <c r="BJ1062">
        <f>'Grid_Requirement'!BH37</f>
        <v/>
      </c>
      <c r="BK1062">
        <f>'Grid_Requirement'!BI37</f>
        <v/>
      </c>
      <c r="BL1062">
        <f>'Grid_Requirement'!BJ37</f>
        <v/>
      </c>
      <c r="BM1062">
        <f>'Grid_Requirement'!BK37</f>
        <v/>
      </c>
      <c r="BN1062">
        <f>'Grid_Requirement'!BL37</f>
        <v/>
      </c>
      <c r="BO1062">
        <f>'Grid_Requirement'!BM37</f>
        <v/>
      </c>
      <c r="BP1062">
        <f>'Grid_Requirement'!BN37</f>
        <v/>
      </c>
      <c r="BQ1062">
        <f>'Grid_Requirement'!BO37</f>
        <v/>
      </c>
      <c r="BR1062">
        <f>'Grid_Requirement'!BP37</f>
        <v/>
      </c>
      <c r="BS1062">
        <f>'Grid_Requirement'!BQ37</f>
        <v/>
      </c>
      <c r="BT1062">
        <f>'Grid_Requirement'!BR37</f>
        <v/>
      </c>
      <c r="BU1062">
        <f>'Grid_Requirement'!BS37</f>
        <v/>
      </c>
      <c r="BV1062">
        <f>'Grid_Requirement'!BT37</f>
        <v/>
      </c>
      <c r="BW1062">
        <f>'Grid_Requirement'!BU37</f>
        <v/>
      </c>
      <c r="BX1062">
        <f>'Grid_Requirement'!BV37</f>
        <v/>
      </c>
      <c r="BY1062">
        <f>'Grid_Requirement'!BW37</f>
        <v/>
      </c>
      <c r="BZ1062">
        <f>'Grid_Requirement'!BX37</f>
        <v/>
      </c>
      <c r="CA1062">
        <f>'Grid_Requirement'!BY37</f>
        <v/>
      </c>
      <c r="CB1062">
        <f>'Grid_Requirement'!BZ37</f>
        <v/>
      </c>
      <c r="CC1062">
        <f>'Grid_Requirement'!CA37</f>
        <v/>
      </c>
      <c r="CD1062">
        <f>'Grid_Requirement'!CB37</f>
        <v/>
      </c>
      <c r="CE1062">
        <f>'Grid_Requirement'!CC37</f>
        <v/>
      </c>
      <c r="CF1062">
        <f>'Grid_Requirement'!CD37</f>
        <v/>
      </c>
      <c r="CG1062">
        <f>'Grid_Requirement'!CE37</f>
        <v/>
      </c>
      <c r="CH1062">
        <f>'Grid_Requirement'!CF37</f>
        <v/>
      </c>
      <c r="CI1062">
        <f>'Grid_Requirement'!CG37</f>
        <v/>
      </c>
      <c r="CJ1062">
        <f>'Grid_Requirement'!CH37</f>
        <v/>
      </c>
      <c r="CK1062">
        <f>'Grid_Requirement'!CI37</f>
        <v/>
      </c>
      <c r="CL1062">
        <f>'Grid_Requirement'!CJ37</f>
        <v/>
      </c>
      <c r="CM1062">
        <f>'Grid_Requirement'!CK37</f>
        <v/>
      </c>
      <c r="CN1062">
        <f>'Grid_Requirement'!CL37</f>
        <v/>
      </c>
      <c r="CO1062">
        <f>'Grid_Requirement'!CM37</f>
        <v/>
      </c>
      <c r="CP1062">
        <f>'Grid_Requirement'!CN37</f>
        <v/>
      </c>
      <c r="CQ1062">
        <f>'Grid_Requirement'!CO37</f>
        <v/>
      </c>
      <c r="CR1062">
        <f>'Grid_Requirement'!CP37</f>
        <v/>
      </c>
      <c r="CS1062">
        <f>'Grid_Requirement'!CQ37</f>
        <v/>
      </c>
      <c r="CT1062">
        <f>'Grid_Requirement'!CR37</f>
        <v/>
      </c>
      <c r="CU1062">
        <f>'Grid_Requirement'!CS37</f>
        <v/>
      </c>
      <c r="CV1062">
        <f>'Grid_Requirement'!CT37</f>
        <v/>
      </c>
      <c r="CW1062">
        <f>'Grid_Requirement'!CU37</f>
        <v/>
      </c>
      <c r="CX1062">
        <f>'Grid_Requirement'!CV37</f>
        <v/>
      </c>
      <c r="CY1062">
        <f>'Grid_Requirement'!CW37</f>
        <v/>
      </c>
      <c r="CZ1062">
        <f>'Grid_Requirement'!CX37</f>
        <v/>
      </c>
      <c r="DA1062">
        <f>'Grid_Requirement'!CY37</f>
        <v/>
      </c>
      <c r="DB1062">
        <f>'Grid_Requirement'!CZ37</f>
        <v/>
      </c>
      <c r="DC1062">
        <f>'Grid_Requirement'!DA37</f>
        <v/>
      </c>
    </row>
    <row r="1063">
      <c r="B1063" t="inlineStr">
        <is>
          <t>TTAF在庫(実績,kg)</t>
        </is>
      </c>
      <c r="D1063">
        <f>'T_TTAFStock'!B41</f>
        <v/>
      </c>
      <c r="E1063">
        <f>'T_TTAFStock'!C41</f>
        <v/>
      </c>
      <c r="F1063">
        <f>'T_TTAFStock'!D41</f>
        <v/>
      </c>
      <c r="G1063">
        <f>'T_TTAFStock'!E41</f>
        <v/>
      </c>
      <c r="H1063">
        <f>'T_TTAFStock'!F41</f>
        <v/>
      </c>
      <c r="I1063">
        <f>'T_TTAFStock'!G41</f>
        <v/>
      </c>
      <c r="J1063">
        <f>'T_TTAFStock'!H41</f>
        <v/>
      </c>
      <c r="K1063">
        <f>'T_TTAFStock'!I41</f>
        <v/>
      </c>
      <c r="L1063">
        <f>'T_TTAFStock'!J41</f>
        <v/>
      </c>
      <c r="M1063">
        <f>'T_TTAFStock'!K41</f>
        <v/>
      </c>
      <c r="N1063">
        <f>'T_TTAFStock'!L41</f>
        <v/>
      </c>
      <c r="O1063">
        <f>'T_TTAFStock'!M41</f>
        <v/>
      </c>
      <c r="P1063">
        <f>'T_TTAFStock'!N41</f>
        <v/>
      </c>
      <c r="Q1063">
        <f>'T_TTAFStock'!O41</f>
        <v/>
      </c>
      <c r="R1063">
        <f>'T_TTAFStock'!P41</f>
        <v/>
      </c>
      <c r="S1063">
        <f>'T_TTAFStock'!Q41</f>
        <v/>
      </c>
      <c r="T1063">
        <f>'T_TTAFStock'!R41</f>
        <v/>
      </c>
      <c r="U1063">
        <f>'T_TTAFStock'!S41</f>
        <v/>
      </c>
      <c r="V1063">
        <f>'T_TTAFStock'!T41</f>
        <v/>
      </c>
      <c r="W1063">
        <f>'T_TTAFStock'!U41</f>
        <v/>
      </c>
      <c r="X1063">
        <f>'T_TTAFStock'!V41</f>
        <v/>
      </c>
      <c r="Y1063">
        <f>'T_TTAFStock'!W41</f>
        <v/>
      </c>
      <c r="Z1063">
        <f>'T_TTAFStock'!X41</f>
        <v/>
      </c>
      <c r="AA1063">
        <f>'T_TTAFStock'!Y41</f>
        <v/>
      </c>
      <c r="AB1063">
        <f>'T_TTAFStock'!Z41</f>
        <v/>
      </c>
      <c r="AC1063">
        <f>'T_TTAFStock'!AA41</f>
        <v/>
      </c>
      <c r="AD1063">
        <f>'T_TTAFStock'!AB41</f>
        <v/>
      </c>
      <c r="AE1063">
        <f>'T_TTAFStock'!AC41</f>
        <v/>
      </c>
      <c r="AF1063">
        <f>'T_TTAFStock'!AD41</f>
        <v/>
      </c>
      <c r="AG1063">
        <f>'T_TTAFStock'!AE41</f>
        <v/>
      </c>
      <c r="AH1063">
        <f>'T_TTAFStock'!AF41</f>
        <v/>
      </c>
      <c r="AI1063">
        <f>'T_TTAFStock'!AG41</f>
        <v/>
      </c>
      <c r="AJ1063">
        <f>'T_TTAFStock'!AH41</f>
        <v/>
      </c>
      <c r="AK1063">
        <f>'T_TTAFStock'!AI41</f>
        <v/>
      </c>
      <c r="AL1063">
        <f>'T_TTAFStock'!AJ41</f>
        <v/>
      </c>
      <c r="AM1063">
        <f>'T_TTAFStock'!AK41</f>
        <v/>
      </c>
      <c r="AN1063">
        <f>'T_TTAFStock'!AL41</f>
        <v/>
      </c>
      <c r="AO1063">
        <f>'T_TTAFStock'!AM41</f>
        <v/>
      </c>
      <c r="AP1063">
        <f>'T_TTAFStock'!AN41</f>
        <v/>
      </c>
      <c r="AQ1063">
        <f>'T_TTAFStock'!AO41</f>
        <v/>
      </c>
      <c r="AR1063">
        <f>'T_TTAFStock'!AP41</f>
        <v/>
      </c>
      <c r="AS1063">
        <f>'T_TTAFStock'!AQ41</f>
        <v/>
      </c>
      <c r="AT1063">
        <f>'T_TTAFStock'!AR41</f>
        <v/>
      </c>
      <c r="AU1063">
        <f>'T_TTAFStock'!AS41</f>
        <v/>
      </c>
      <c r="AV1063">
        <f>'T_TTAFStock'!AT41</f>
        <v/>
      </c>
      <c r="AW1063">
        <f>'T_TTAFStock'!AU41</f>
        <v/>
      </c>
      <c r="AX1063">
        <f>'T_TTAFStock'!AV41</f>
        <v/>
      </c>
      <c r="AY1063">
        <f>'T_TTAFStock'!AW41</f>
        <v/>
      </c>
      <c r="AZ1063">
        <f>'T_TTAFStock'!AX41</f>
        <v/>
      </c>
      <c r="BA1063">
        <f>'T_TTAFStock'!AY41</f>
        <v/>
      </c>
      <c r="BB1063">
        <f>'T_TTAFStock'!AZ41</f>
        <v/>
      </c>
      <c r="BC1063">
        <f>'T_TTAFStock'!BA41</f>
        <v/>
      </c>
      <c r="BD1063">
        <f>'T_TTAFStock'!BB41</f>
        <v/>
      </c>
      <c r="BE1063">
        <f>'T_TTAFStock'!BC41</f>
        <v/>
      </c>
      <c r="BF1063">
        <f>'T_TTAFStock'!BD41</f>
        <v/>
      </c>
      <c r="BG1063">
        <f>'T_TTAFStock'!BE41</f>
        <v/>
      </c>
      <c r="BH1063">
        <f>'T_TTAFStock'!BF41</f>
        <v/>
      </c>
      <c r="BI1063">
        <f>'T_TTAFStock'!BG41</f>
        <v/>
      </c>
      <c r="BJ1063">
        <f>'T_TTAFStock'!BH41</f>
        <v/>
      </c>
      <c r="BK1063">
        <f>'T_TTAFStock'!BI41</f>
        <v/>
      </c>
      <c r="BL1063">
        <f>'T_TTAFStock'!BJ41</f>
        <v/>
      </c>
      <c r="BM1063">
        <f>'T_TTAFStock'!BK41</f>
        <v/>
      </c>
      <c r="BN1063">
        <f>'T_TTAFStock'!BL41</f>
        <v/>
      </c>
      <c r="BO1063">
        <f>'T_TTAFStock'!BM41</f>
        <v/>
      </c>
      <c r="BP1063">
        <f>'T_TTAFStock'!BN41</f>
        <v/>
      </c>
      <c r="BQ1063">
        <f>'T_TTAFStock'!BO41</f>
        <v/>
      </c>
      <c r="BR1063">
        <f>'T_TTAFStock'!BP41</f>
        <v/>
      </c>
      <c r="BS1063">
        <f>'T_TTAFStock'!BQ41</f>
        <v/>
      </c>
      <c r="BT1063">
        <f>'T_TTAFStock'!BR41</f>
        <v/>
      </c>
      <c r="BU1063">
        <f>'T_TTAFStock'!BS41</f>
        <v/>
      </c>
      <c r="BV1063">
        <f>'T_TTAFStock'!BT41</f>
        <v/>
      </c>
      <c r="BW1063">
        <f>'T_TTAFStock'!BU41</f>
        <v/>
      </c>
      <c r="BX1063">
        <f>'T_TTAFStock'!BV41</f>
        <v/>
      </c>
      <c r="BY1063">
        <f>'T_TTAFStock'!BW41</f>
        <v/>
      </c>
      <c r="BZ1063">
        <f>'T_TTAFStock'!BX41</f>
        <v/>
      </c>
      <c r="CA1063">
        <f>'T_TTAFStock'!BY41</f>
        <v/>
      </c>
      <c r="CB1063">
        <f>'T_TTAFStock'!BZ41</f>
        <v/>
      </c>
      <c r="CC1063">
        <f>'T_TTAFStock'!CA41</f>
        <v/>
      </c>
      <c r="CD1063">
        <f>'T_TTAFStock'!CB41</f>
        <v/>
      </c>
      <c r="CE1063">
        <f>'T_TTAFStock'!CC41</f>
        <v/>
      </c>
      <c r="CF1063">
        <f>'T_TTAFStock'!CD41</f>
        <v/>
      </c>
      <c r="CG1063">
        <f>'T_TTAFStock'!CE41</f>
        <v/>
      </c>
      <c r="CH1063">
        <f>'T_TTAFStock'!CF41</f>
        <v/>
      </c>
      <c r="CI1063">
        <f>'T_TTAFStock'!CG41</f>
        <v/>
      </c>
      <c r="CJ1063">
        <f>'T_TTAFStock'!CH41</f>
        <v/>
      </c>
      <c r="CK1063">
        <f>'T_TTAFStock'!CI41</f>
        <v/>
      </c>
      <c r="CL1063">
        <f>'T_TTAFStock'!CJ41</f>
        <v/>
      </c>
      <c r="CM1063">
        <f>'T_TTAFStock'!CK41</f>
        <v/>
      </c>
      <c r="CN1063">
        <f>'T_TTAFStock'!CL41</f>
        <v/>
      </c>
      <c r="CO1063">
        <f>'T_TTAFStock'!CM41</f>
        <v/>
      </c>
      <c r="CP1063">
        <f>'T_TTAFStock'!CN41</f>
        <v/>
      </c>
      <c r="CQ1063">
        <f>'T_TTAFStock'!CO41</f>
        <v/>
      </c>
      <c r="CR1063">
        <f>'T_TTAFStock'!CP41</f>
        <v/>
      </c>
      <c r="CS1063">
        <f>'T_TTAFStock'!CQ41</f>
        <v/>
      </c>
      <c r="CT1063">
        <f>'T_TTAFStock'!CR41</f>
        <v/>
      </c>
      <c r="CU1063">
        <f>'T_TTAFStock'!CS41</f>
        <v/>
      </c>
      <c r="CV1063">
        <f>'T_TTAFStock'!CT41</f>
        <v/>
      </c>
      <c r="CW1063">
        <f>'T_TTAFStock'!CU41</f>
        <v/>
      </c>
      <c r="CX1063">
        <f>'T_TTAFStock'!CV41</f>
        <v/>
      </c>
      <c r="CY1063">
        <f>'T_TTAFStock'!CW41</f>
        <v/>
      </c>
      <c r="CZ1063">
        <f>'T_TTAFStock'!CX41</f>
        <v/>
      </c>
      <c r="DA1063">
        <f>'T_TTAFStock'!CY41</f>
        <v/>
      </c>
      <c r="DB1063">
        <f>'T_TTAFStock'!CZ41</f>
        <v/>
      </c>
      <c r="DC1063">
        <f>'T_TTAFStock'!DA41</f>
        <v/>
      </c>
    </row>
    <row r="1064">
      <c r="B1064" t="inlineStr">
        <is>
          <t>自社在庫(実績,kg)</t>
        </is>
      </c>
      <c r="D1064">
        <f>'T_SelfStock'!B41</f>
        <v/>
      </c>
      <c r="E1064">
        <f>'T_SelfStock'!C41</f>
        <v/>
      </c>
      <c r="F1064">
        <f>'T_SelfStock'!D41</f>
        <v/>
      </c>
      <c r="G1064">
        <f>'T_SelfStock'!E41</f>
        <v/>
      </c>
      <c r="H1064">
        <f>'T_SelfStock'!F41</f>
        <v/>
      </c>
      <c r="I1064">
        <f>'T_SelfStock'!G41</f>
        <v/>
      </c>
      <c r="J1064">
        <f>'T_SelfStock'!H41</f>
        <v/>
      </c>
      <c r="K1064">
        <f>'T_SelfStock'!I41</f>
        <v/>
      </c>
      <c r="L1064">
        <f>'T_SelfStock'!J41</f>
        <v/>
      </c>
      <c r="M1064">
        <f>'T_SelfStock'!K41</f>
        <v/>
      </c>
      <c r="N1064">
        <f>'T_SelfStock'!L41</f>
        <v/>
      </c>
      <c r="O1064">
        <f>'T_SelfStock'!M41</f>
        <v/>
      </c>
      <c r="P1064">
        <f>'T_SelfStock'!N41</f>
        <v/>
      </c>
      <c r="Q1064">
        <f>'T_SelfStock'!O41</f>
        <v/>
      </c>
      <c r="R1064">
        <f>'T_SelfStock'!P41</f>
        <v/>
      </c>
      <c r="S1064">
        <f>'T_SelfStock'!Q41</f>
        <v/>
      </c>
      <c r="T1064">
        <f>'T_SelfStock'!R41</f>
        <v/>
      </c>
      <c r="U1064">
        <f>'T_SelfStock'!S41</f>
        <v/>
      </c>
      <c r="V1064">
        <f>'T_SelfStock'!T41</f>
        <v/>
      </c>
      <c r="W1064">
        <f>'T_SelfStock'!U41</f>
        <v/>
      </c>
      <c r="X1064">
        <f>'T_SelfStock'!V41</f>
        <v/>
      </c>
      <c r="Y1064">
        <f>'T_SelfStock'!W41</f>
        <v/>
      </c>
      <c r="Z1064">
        <f>'T_SelfStock'!X41</f>
        <v/>
      </c>
      <c r="AA1064">
        <f>'T_SelfStock'!Y41</f>
        <v/>
      </c>
      <c r="AB1064">
        <f>'T_SelfStock'!Z41</f>
        <v/>
      </c>
      <c r="AC1064">
        <f>'T_SelfStock'!AA41</f>
        <v/>
      </c>
      <c r="AD1064">
        <f>'T_SelfStock'!AB41</f>
        <v/>
      </c>
      <c r="AE1064">
        <f>'T_SelfStock'!AC41</f>
        <v/>
      </c>
      <c r="AF1064">
        <f>'T_SelfStock'!AD41</f>
        <v/>
      </c>
      <c r="AG1064">
        <f>'T_SelfStock'!AE41</f>
        <v/>
      </c>
      <c r="AH1064">
        <f>'T_SelfStock'!AF41</f>
        <v/>
      </c>
      <c r="AI1064">
        <f>'T_SelfStock'!AG41</f>
        <v/>
      </c>
      <c r="AJ1064">
        <f>'T_SelfStock'!AH41</f>
        <v/>
      </c>
      <c r="AK1064">
        <f>'T_SelfStock'!AI41</f>
        <v/>
      </c>
      <c r="AL1064">
        <f>'T_SelfStock'!AJ41</f>
        <v/>
      </c>
      <c r="AM1064">
        <f>'T_SelfStock'!AK41</f>
        <v/>
      </c>
      <c r="AN1064">
        <f>'T_SelfStock'!AL41</f>
        <v/>
      </c>
      <c r="AO1064">
        <f>'T_SelfStock'!AM41</f>
        <v/>
      </c>
      <c r="AP1064">
        <f>'T_SelfStock'!AN41</f>
        <v/>
      </c>
      <c r="AQ1064">
        <f>'T_SelfStock'!AO41</f>
        <v/>
      </c>
      <c r="AR1064">
        <f>'T_SelfStock'!AP41</f>
        <v/>
      </c>
      <c r="AS1064">
        <f>'T_SelfStock'!AQ41</f>
        <v/>
      </c>
      <c r="AT1064">
        <f>'T_SelfStock'!AR41</f>
        <v/>
      </c>
      <c r="AU1064">
        <f>'T_SelfStock'!AS41</f>
        <v/>
      </c>
      <c r="AV1064">
        <f>'T_SelfStock'!AT41</f>
        <v/>
      </c>
      <c r="AW1064">
        <f>'T_SelfStock'!AU41</f>
        <v/>
      </c>
      <c r="AX1064">
        <f>'T_SelfStock'!AV41</f>
        <v/>
      </c>
      <c r="AY1064">
        <f>'T_SelfStock'!AW41</f>
        <v/>
      </c>
      <c r="AZ1064">
        <f>'T_SelfStock'!AX41</f>
        <v/>
      </c>
      <c r="BA1064">
        <f>'T_SelfStock'!AY41</f>
        <v/>
      </c>
      <c r="BB1064">
        <f>'T_SelfStock'!AZ41</f>
        <v/>
      </c>
      <c r="BC1064">
        <f>'T_SelfStock'!BA41</f>
        <v/>
      </c>
      <c r="BD1064">
        <f>'T_SelfStock'!BB41</f>
        <v/>
      </c>
      <c r="BE1064">
        <f>'T_SelfStock'!BC41</f>
        <v/>
      </c>
      <c r="BF1064">
        <f>'T_SelfStock'!BD41</f>
        <v/>
      </c>
      <c r="BG1064">
        <f>'T_SelfStock'!BE41</f>
        <v/>
      </c>
      <c r="BH1064">
        <f>'T_SelfStock'!BF41</f>
        <v/>
      </c>
      <c r="BI1064">
        <f>'T_SelfStock'!BG41</f>
        <v/>
      </c>
      <c r="BJ1064">
        <f>'T_SelfStock'!BH41</f>
        <v/>
      </c>
      <c r="BK1064">
        <f>'T_SelfStock'!BI41</f>
        <v/>
      </c>
      <c r="BL1064">
        <f>'T_SelfStock'!BJ41</f>
        <v/>
      </c>
      <c r="BM1064">
        <f>'T_SelfStock'!BK41</f>
        <v/>
      </c>
      <c r="BN1064">
        <f>'T_SelfStock'!BL41</f>
        <v/>
      </c>
      <c r="BO1064">
        <f>'T_SelfStock'!BM41</f>
        <v/>
      </c>
      <c r="BP1064">
        <f>'T_SelfStock'!BN41</f>
        <v/>
      </c>
      <c r="BQ1064">
        <f>'T_SelfStock'!BO41</f>
        <v/>
      </c>
      <c r="BR1064">
        <f>'T_SelfStock'!BP41</f>
        <v/>
      </c>
      <c r="BS1064">
        <f>'T_SelfStock'!BQ41</f>
        <v/>
      </c>
      <c r="BT1064">
        <f>'T_SelfStock'!BR41</f>
        <v/>
      </c>
      <c r="BU1064">
        <f>'T_SelfStock'!BS41</f>
        <v/>
      </c>
      <c r="BV1064">
        <f>'T_SelfStock'!BT41</f>
        <v/>
      </c>
      <c r="BW1064">
        <f>'T_SelfStock'!BU41</f>
        <v/>
      </c>
      <c r="BX1064">
        <f>'T_SelfStock'!BV41</f>
        <v/>
      </c>
      <c r="BY1064">
        <f>'T_SelfStock'!BW41</f>
        <v/>
      </c>
      <c r="BZ1064">
        <f>'T_SelfStock'!BX41</f>
        <v/>
      </c>
      <c r="CA1064">
        <f>'T_SelfStock'!BY41</f>
        <v/>
      </c>
      <c r="CB1064">
        <f>'T_SelfStock'!BZ41</f>
        <v/>
      </c>
      <c r="CC1064">
        <f>'T_SelfStock'!CA41</f>
        <v/>
      </c>
      <c r="CD1064">
        <f>'T_SelfStock'!CB41</f>
        <v/>
      </c>
      <c r="CE1064">
        <f>'T_SelfStock'!CC41</f>
        <v/>
      </c>
      <c r="CF1064">
        <f>'T_SelfStock'!CD41</f>
        <v/>
      </c>
      <c r="CG1064">
        <f>'T_SelfStock'!CE41</f>
        <v/>
      </c>
      <c r="CH1064">
        <f>'T_SelfStock'!CF41</f>
        <v/>
      </c>
      <c r="CI1064">
        <f>'T_SelfStock'!CG41</f>
        <v/>
      </c>
      <c r="CJ1064">
        <f>'T_SelfStock'!CH41</f>
        <v/>
      </c>
      <c r="CK1064">
        <f>'T_SelfStock'!CI41</f>
        <v/>
      </c>
      <c r="CL1064">
        <f>'T_SelfStock'!CJ41</f>
        <v/>
      </c>
      <c r="CM1064">
        <f>'T_SelfStock'!CK41</f>
        <v/>
      </c>
      <c r="CN1064">
        <f>'T_SelfStock'!CL41</f>
        <v/>
      </c>
      <c r="CO1064">
        <f>'T_SelfStock'!CM41</f>
        <v/>
      </c>
      <c r="CP1064">
        <f>'T_SelfStock'!CN41</f>
        <v/>
      </c>
      <c r="CQ1064">
        <f>'T_SelfStock'!CO41</f>
        <v/>
      </c>
      <c r="CR1064">
        <f>'T_SelfStock'!CP41</f>
        <v/>
      </c>
      <c r="CS1064">
        <f>'T_SelfStock'!CQ41</f>
        <v/>
      </c>
      <c r="CT1064">
        <f>'T_SelfStock'!CR41</f>
        <v/>
      </c>
      <c r="CU1064">
        <f>'T_SelfStock'!CS41</f>
        <v/>
      </c>
      <c r="CV1064">
        <f>'T_SelfStock'!CT41</f>
        <v/>
      </c>
      <c r="CW1064">
        <f>'T_SelfStock'!CU41</f>
        <v/>
      </c>
      <c r="CX1064">
        <f>'T_SelfStock'!CV41</f>
        <v/>
      </c>
      <c r="CY1064">
        <f>'T_SelfStock'!CW41</f>
        <v/>
      </c>
      <c r="CZ1064">
        <f>'T_SelfStock'!CX41</f>
        <v/>
      </c>
      <c r="DA1064">
        <f>'T_SelfStock'!CY41</f>
        <v/>
      </c>
      <c r="DB1064">
        <f>'T_SelfStock'!CZ41</f>
        <v/>
      </c>
      <c r="DC1064">
        <f>'T_SelfStock'!DA41</f>
        <v/>
      </c>
    </row>
    <row r="1065">
      <c r="B1065" t="inlineStr">
        <is>
          <t>Order(発注予定,kg)</t>
        </is>
      </c>
      <c r="D1065">
        <f>IF(SUMIFS(T_PlannedOrders[EffectiveQty],T_PlannedOrders[Part Name],$A1059,T_PlannedOrders[WeekIndex],1)=0,"",SUMIFS(T_PlannedOrders[EffectiveQty],T_PlannedOrders[Part Name],$A1059,T_PlannedOrders[WeekIndex],1)&amp;" ("&amp;TEXT(SUMPRODUCT(MAX((T_PlannedOrders[Part Name]=$A1059)*(T_PlannedOrders[WeekIndex]=1)*(T_PlannedOrders[EffectiveQty]&gt;0)*T_PlannedOrders[Order_Month])),"m月")&amp;"発注)")</f>
        <v/>
      </c>
      <c r="E1065">
        <f>IF(SUMIFS(T_PlannedOrders[EffectiveQty],T_PlannedOrders[Part Name],$A1059,T_PlannedOrders[WeekIndex],2)=0,"",SUMIFS(T_PlannedOrders[EffectiveQty],T_PlannedOrders[Part Name],$A1059,T_PlannedOrders[WeekIndex],2)&amp;" ("&amp;TEXT(SUMPRODUCT(MAX((T_PlannedOrders[Part Name]=$A1059)*(T_PlannedOrders[WeekIndex]=2)*(T_PlannedOrders[EffectiveQty]&gt;0)*T_PlannedOrders[Order_Month])),"m月")&amp;"発注)")</f>
        <v/>
      </c>
      <c r="F1065">
        <f>IF(SUMIFS(T_PlannedOrders[EffectiveQty],T_PlannedOrders[Part Name],$A1059,T_PlannedOrders[WeekIndex],3)=0,"",SUMIFS(T_PlannedOrders[EffectiveQty],T_PlannedOrders[Part Name],$A1059,T_PlannedOrders[WeekIndex],3)&amp;" ("&amp;TEXT(SUMPRODUCT(MAX((T_PlannedOrders[Part Name]=$A1059)*(T_PlannedOrders[WeekIndex]=3)*(T_PlannedOrders[EffectiveQty]&gt;0)*T_PlannedOrders[Order_Month])),"m月")&amp;"発注)")</f>
        <v/>
      </c>
      <c r="G1065">
        <f>IF(SUMIFS(T_PlannedOrders[EffectiveQty],T_PlannedOrders[Part Name],$A1059,T_PlannedOrders[WeekIndex],4)=0,"",SUMIFS(T_PlannedOrders[EffectiveQty],T_PlannedOrders[Part Name],$A1059,T_PlannedOrders[WeekIndex],4)&amp;" ("&amp;TEXT(SUMPRODUCT(MAX((T_PlannedOrders[Part Name]=$A1059)*(T_PlannedOrders[WeekIndex]=4)*(T_PlannedOrders[EffectiveQty]&gt;0)*T_PlannedOrders[Order_Month])),"m月")&amp;"発注)")</f>
        <v/>
      </c>
      <c r="H1065">
        <f>IF(SUMIFS(T_PlannedOrders[EffectiveQty],T_PlannedOrders[Part Name],$A1059,T_PlannedOrders[WeekIndex],5)=0,"",SUMIFS(T_PlannedOrders[EffectiveQty],T_PlannedOrders[Part Name],$A1059,T_PlannedOrders[WeekIndex],5)&amp;" ("&amp;TEXT(SUMPRODUCT(MAX((T_PlannedOrders[Part Name]=$A1059)*(T_PlannedOrders[WeekIndex]=5)*(T_PlannedOrders[EffectiveQty]&gt;0)*T_PlannedOrders[Order_Month])),"m月")&amp;"発注)")</f>
        <v/>
      </c>
      <c r="I1065">
        <f>IF(SUMIFS(T_PlannedOrders[EffectiveQty],T_PlannedOrders[Part Name],$A1059,T_PlannedOrders[WeekIndex],6)=0,"",SUMIFS(T_PlannedOrders[EffectiveQty],T_PlannedOrders[Part Name],$A1059,T_PlannedOrders[WeekIndex],6)&amp;" ("&amp;TEXT(SUMPRODUCT(MAX((T_PlannedOrders[Part Name]=$A1059)*(T_PlannedOrders[WeekIndex]=6)*(T_PlannedOrders[EffectiveQty]&gt;0)*T_PlannedOrders[Order_Month])),"m月")&amp;"発注)")</f>
        <v/>
      </c>
      <c r="J1065">
        <f>IF(SUMIFS(T_PlannedOrders[EffectiveQty],T_PlannedOrders[Part Name],$A1059,T_PlannedOrders[WeekIndex],7)=0,"",SUMIFS(T_PlannedOrders[EffectiveQty],T_PlannedOrders[Part Name],$A1059,T_PlannedOrders[WeekIndex],7)&amp;" ("&amp;TEXT(SUMPRODUCT(MAX((T_PlannedOrders[Part Name]=$A1059)*(T_PlannedOrders[WeekIndex]=7)*(T_PlannedOrders[EffectiveQty]&gt;0)*T_PlannedOrders[Order_Month])),"m月")&amp;"発注)")</f>
        <v/>
      </c>
      <c r="K1065">
        <f>IF(SUMIFS(T_PlannedOrders[EffectiveQty],T_PlannedOrders[Part Name],$A1059,T_PlannedOrders[WeekIndex],8)=0,"",SUMIFS(T_PlannedOrders[EffectiveQty],T_PlannedOrders[Part Name],$A1059,T_PlannedOrders[WeekIndex],8)&amp;" ("&amp;TEXT(SUMPRODUCT(MAX((T_PlannedOrders[Part Name]=$A1059)*(T_PlannedOrders[WeekIndex]=8)*(T_PlannedOrders[EffectiveQty]&gt;0)*T_PlannedOrders[Order_Month])),"m月")&amp;"発注)")</f>
        <v/>
      </c>
      <c r="L1065">
        <f>IF(SUMIFS(T_PlannedOrders[EffectiveQty],T_PlannedOrders[Part Name],$A1059,T_PlannedOrders[WeekIndex],9)=0,"",SUMIFS(T_PlannedOrders[EffectiveQty],T_PlannedOrders[Part Name],$A1059,T_PlannedOrders[WeekIndex],9)&amp;" ("&amp;TEXT(SUMPRODUCT(MAX((T_PlannedOrders[Part Name]=$A1059)*(T_PlannedOrders[WeekIndex]=9)*(T_PlannedOrders[EffectiveQty]&gt;0)*T_PlannedOrders[Order_Month])),"m月")&amp;"発注)")</f>
        <v/>
      </c>
      <c r="M1065">
        <f>IF(SUMIFS(T_PlannedOrders[EffectiveQty],T_PlannedOrders[Part Name],$A1059,T_PlannedOrders[WeekIndex],10)=0,"",SUMIFS(T_PlannedOrders[EffectiveQty],T_PlannedOrders[Part Name],$A1059,T_PlannedOrders[WeekIndex],10)&amp;" ("&amp;TEXT(SUMPRODUCT(MAX((T_PlannedOrders[Part Name]=$A1059)*(T_PlannedOrders[WeekIndex]=10)*(T_PlannedOrders[EffectiveQty]&gt;0)*T_PlannedOrders[Order_Month])),"m月")&amp;"発注)")</f>
        <v/>
      </c>
      <c r="N1065">
        <f>IF(SUMIFS(T_PlannedOrders[EffectiveQty],T_PlannedOrders[Part Name],$A1059,T_PlannedOrders[WeekIndex],11)=0,"",SUMIFS(T_PlannedOrders[EffectiveQty],T_PlannedOrders[Part Name],$A1059,T_PlannedOrders[WeekIndex],11)&amp;" ("&amp;TEXT(SUMPRODUCT(MAX((T_PlannedOrders[Part Name]=$A1059)*(T_PlannedOrders[WeekIndex]=11)*(T_PlannedOrders[EffectiveQty]&gt;0)*T_PlannedOrders[Order_Month])),"m月")&amp;"発注)")</f>
        <v/>
      </c>
      <c r="O1065">
        <f>IF(SUMIFS(T_PlannedOrders[EffectiveQty],T_PlannedOrders[Part Name],$A1059,T_PlannedOrders[WeekIndex],12)=0,"",SUMIFS(T_PlannedOrders[EffectiveQty],T_PlannedOrders[Part Name],$A1059,T_PlannedOrders[WeekIndex],12)&amp;" ("&amp;TEXT(SUMPRODUCT(MAX((T_PlannedOrders[Part Name]=$A1059)*(T_PlannedOrders[WeekIndex]=12)*(T_PlannedOrders[EffectiveQty]&gt;0)*T_PlannedOrders[Order_Month])),"m月")&amp;"発注)")</f>
        <v/>
      </c>
      <c r="P1065">
        <f>IF(SUMIFS(T_PlannedOrders[EffectiveQty],T_PlannedOrders[Part Name],$A1059,T_PlannedOrders[WeekIndex],13)=0,"",SUMIFS(T_PlannedOrders[EffectiveQty],T_PlannedOrders[Part Name],$A1059,T_PlannedOrders[WeekIndex],13)&amp;" ("&amp;TEXT(SUMPRODUCT(MAX((T_PlannedOrders[Part Name]=$A1059)*(T_PlannedOrders[WeekIndex]=13)*(T_PlannedOrders[EffectiveQty]&gt;0)*T_PlannedOrders[Order_Month])),"m月")&amp;"発注)")</f>
        <v/>
      </c>
      <c r="Q1065">
        <f>IF(SUMIFS(T_PlannedOrders[EffectiveQty],T_PlannedOrders[Part Name],$A1059,T_PlannedOrders[WeekIndex],14)=0,"",SUMIFS(T_PlannedOrders[EffectiveQty],T_PlannedOrders[Part Name],$A1059,T_PlannedOrders[WeekIndex],14)&amp;" ("&amp;TEXT(SUMPRODUCT(MAX((T_PlannedOrders[Part Name]=$A1059)*(T_PlannedOrders[WeekIndex]=14)*(T_PlannedOrders[EffectiveQty]&gt;0)*T_PlannedOrders[Order_Month])),"m月")&amp;"発注)")</f>
        <v/>
      </c>
      <c r="R1065">
        <f>IF(SUMIFS(T_PlannedOrders[EffectiveQty],T_PlannedOrders[Part Name],$A1059,T_PlannedOrders[WeekIndex],15)=0,"",SUMIFS(T_PlannedOrders[EffectiveQty],T_PlannedOrders[Part Name],$A1059,T_PlannedOrders[WeekIndex],15)&amp;" ("&amp;TEXT(SUMPRODUCT(MAX((T_PlannedOrders[Part Name]=$A1059)*(T_PlannedOrders[WeekIndex]=15)*(T_PlannedOrders[EffectiveQty]&gt;0)*T_PlannedOrders[Order_Month])),"m月")&amp;"発注)")</f>
        <v/>
      </c>
      <c r="S1065">
        <f>IF(SUMIFS(T_PlannedOrders[EffectiveQty],T_PlannedOrders[Part Name],$A1059,T_PlannedOrders[WeekIndex],16)=0,"",SUMIFS(T_PlannedOrders[EffectiveQty],T_PlannedOrders[Part Name],$A1059,T_PlannedOrders[WeekIndex],16)&amp;" ("&amp;TEXT(SUMPRODUCT(MAX((T_PlannedOrders[Part Name]=$A1059)*(T_PlannedOrders[WeekIndex]=16)*(T_PlannedOrders[EffectiveQty]&gt;0)*T_PlannedOrders[Order_Month])),"m月")&amp;"発注)")</f>
        <v/>
      </c>
      <c r="T1065">
        <f>IF(SUMIFS(T_PlannedOrders[EffectiveQty],T_PlannedOrders[Part Name],$A1059,T_PlannedOrders[WeekIndex],17)=0,"",SUMIFS(T_PlannedOrders[EffectiveQty],T_PlannedOrders[Part Name],$A1059,T_PlannedOrders[WeekIndex],17)&amp;" ("&amp;TEXT(SUMPRODUCT(MAX((T_PlannedOrders[Part Name]=$A1059)*(T_PlannedOrders[WeekIndex]=17)*(T_PlannedOrders[EffectiveQty]&gt;0)*T_PlannedOrders[Order_Month])),"m月")&amp;"発注)")</f>
        <v/>
      </c>
      <c r="U1065">
        <f>IF(SUMIFS(T_PlannedOrders[EffectiveQty],T_PlannedOrders[Part Name],$A1059,T_PlannedOrders[WeekIndex],18)=0,"",SUMIFS(T_PlannedOrders[EffectiveQty],T_PlannedOrders[Part Name],$A1059,T_PlannedOrders[WeekIndex],18)&amp;" ("&amp;TEXT(SUMPRODUCT(MAX((T_PlannedOrders[Part Name]=$A1059)*(T_PlannedOrders[WeekIndex]=18)*(T_PlannedOrders[EffectiveQty]&gt;0)*T_PlannedOrders[Order_Month])),"m月")&amp;"発注)")</f>
        <v/>
      </c>
      <c r="V1065">
        <f>IF(SUMIFS(T_PlannedOrders[EffectiveQty],T_PlannedOrders[Part Name],$A1059,T_PlannedOrders[WeekIndex],19)=0,"",SUMIFS(T_PlannedOrders[EffectiveQty],T_PlannedOrders[Part Name],$A1059,T_PlannedOrders[WeekIndex],19)&amp;" ("&amp;TEXT(SUMPRODUCT(MAX((T_PlannedOrders[Part Name]=$A1059)*(T_PlannedOrders[WeekIndex]=19)*(T_PlannedOrders[EffectiveQty]&gt;0)*T_PlannedOrders[Order_Month])),"m月")&amp;"発注)")</f>
        <v/>
      </c>
      <c r="W1065">
        <f>IF(SUMIFS(T_PlannedOrders[EffectiveQty],T_PlannedOrders[Part Name],$A1059,T_PlannedOrders[WeekIndex],20)=0,"",SUMIFS(T_PlannedOrders[EffectiveQty],T_PlannedOrders[Part Name],$A1059,T_PlannedOrders[WeekIndex],20)&amp;" ("&amp;TEXT(SUMPRODUCT(MAX((T_PlannedOrders[Part Name]=$A1059)*(T_PlannedOrders[WeekIndex]=20)*(T_PlannedOrders[EffectiveQty]&gt;0)*T_PlannedOrders[Order_Month])),"m月")&amp;"発注)")</f>
        <v/>
      </c>
      <c r="X1065">
        <f>IF(SUMIFS(T_PlannedOrders[EffectiveQty],T_PlannedOrders[Part Name],$A1059,T_PlannedOrders[WeekIndex],21)=0,"",SUMIFS(T_PlannedOrders[EffectiveQty],T_PlannedOrders[Part Name],$A1059,T_PlannedOrders[WeekIndex],21)&amp;" ("&amp;TEXT(SUMPRODUCT(MAX((T_PlannedOrders[Part Name]=$A1059)*(T_PlannedOrders[WeekIndex]=21)*(T_PlannedOrders[EffectiveQty]&gt;0)*T_PlannedOrders[Order_Month])),"m月")&amp;"発注)")</f>
        <v/>
      </c>
      <c r="Y1065">
        <f>IF(SUMIFS(T_PlannedOrders[EffectiveQty],T_PlannedOrders[Part Name],$A1059,T_PlannedOrders[WeekIndex],22)=0,"",SUMIFS(T_PlannedOrders[EffectiveQty],T_PlannedOrders[Part Name],$A1059,T_PlannedOrders[WeekIndex],22)&amp;" ("&amp;TEXT(SUMPRODUCT(MAX((T_PlannedOrders[Part Name]=$A1059)*(T_PlannedOrders[WeekIndex]=22)*(T_PlannedOrders[EffectiveQty]&gt;0)*T_PlannedOrders[Order_Month])),"m月")&amp;"発注)")</f>
        <v/>
      </c>
      <c r="Z1065">
        <f>IF(SUMIFS(T_PlannedOrders[EffectiveQty],T_PlannedOrders[Part Name],$A1059,T_PlannedOrders[WeekIndex],23)=0,"",SUMIFS(T_PlannedOrders[EffectiveQty],T_PlannedOrders[Part Name],$A1059,T_PlannedOrders[WeekIndex],23)&amp;" ("&amp;TEXT(SUMPRODUCT(MAX((T_PlannedOrders[Part Name]=$A1059)*(T_PlannedOrders[WeekIndex]=23)*(T_PlannedOrders[EffectiveQty]&gt;0)*T_PlannedOrders[Order_Month])),"m月")&amp;"発注)")</f>
        <v/>
      </c>
      <c r="AA1065">
        <f>IF(SUMIFS(T_PlannedOrders[EffectiveQty],T_PlannedOrders[Part Name],$A1059,T_PlannedOrders[WeekIndex],24)=0,"",SUMIFS(T_PlannedOrders[EffectiveQty],T_PlannedOrders[Part Name],$A1059,T_PlannedOrders[WeekIndex],24)&amp;" ("&amp;TEXT(SUMPRODUCT(MAX((T_PlannedOrders[Part Name]=$A1059)*(T_PlannedOrders[WeekIndex]=24)*(T_PlannedOrders[EffectiveQty]&gt;0)*T_PlannedOrders[Order_Month])),"m月")&amp;"発注)")</f>
        <v/>
      </c>
      <c r="AB1065">
        <f>IF(SUMIFS(T_PlannedOrders[EffectiveQty],T_PlannedOrders[Part Name],$A1059,T_PlannedOrders[WeekIndex],25)=0,"",SUMIFS(T_PlannedOrders[EffectiveQty],T_PlannedOrders[Part Name],$A1059,T_PlannedOrders[WeekIndex],25)&amp;" ("&amp;TEXT(SUMPRODUCT(MAX((T_PlannedOrders[Part Name]=$A1059)*(T_PlannedOrders[WeekIndex]=25)*(T_PlannedOrders[EffectiveQty]&gt;0)*T_PlannedOrders[Order_Month])),"m月")&amp;"発注)")</f>
        <v/>
      </c>
      <c r="AC1065">
        <f>IF(SUMIFS(T_PlannedOrders[EffectiveQty],T_PlannedOrders[Part Name],$A1059,T_PlannedOrders[WeekIndex],26)=0,"",SUMIFS(T_PlannedOrders[EffectiveQty],T_PlannedOrders[Part Name],$A1059,T_PlannedOrders[WeekIndex],26)&amp;" ("&amp;TEXT(SUMPRODUCT(MAX((T_PlannedOrders[Part Name]=$A1059)*(T_PlannedOrders[WeekIndex]=26)*(T_PlannedOrders[EffectiveQty]&gt;0)*T_PlannedOrders[Order_Month])),"m月")&amp;"発注)")</f>
        <v/>
      </c>
      <c r="AD1065">
        <f>IF(SUMIFS(T_PlannedOrders[EffectiveQty],T_PlannedOrders[Part Name],$A1059,T_PlannedOrders[WeekIndex],27)=0,"",SUMIFS(T_PlannedOrders[EffectiveQty],T_PlannedOrders[Part Name],$A1059,T_PlannedOrders[WeekIndex],27)&amp;" ("&amp;TEXT(SUMPRODUCT(MAX((T_PlannedOrders[Part Name]=$A1059)*(T_PlannedOrders[WeekIndex]=27)*(T_PlannedOrders[EffectiveQty]&gt;0)*T_PlannedOrders[Order_Month])),"m月")&amp;"発注)")</f>
        <v/>
      </c>
      <c r="AE1065">
        <f>IF(SUMIFS(T_PlannedOrders[EffectiveQty],T_PlannedOrders[Part Name],$A1059,T_PlannedOrders[WeekIndex],28)=0,"",SUMIFS(T_PlannedOrders[EffectiveQty],T_PlannedOrders[Part Name],$A1059,T_PlannedOrders[WeekIndex],28)&amp;" ("&amp;TEXT(SUMPRODUCT(MAX((T_PlannedOrders[Part Name]=$A1059)*(T_PlannedOrders[WeekIndex]=28)*(T_PlannedOrders[EffectiveQty]&gt;0)*T_PlannedOrders[Order_Month])),"m月")&amp;"発注)")</f>
        <v/>
      </c>
      <c r="AF1065">
        <f>IF(SUMIFS(T_PlannedOrders[EffectiveQty],T_PlannedOrders[Part Name],$A1059,T_PlannedOrders[WeekIndex],29)=0,"",SUMIFS(T_PlannedOrders[EffectiveQty],T_PlannedOrders[Part Name],$A1059,T_PlannedOrders[WeekIndex],29)&amp;" ("&amp;TEXT(SUMPRODUCT(MAX((T_PlannedOrders[Part Name]=$A1059)*(T_PlannedOrders[WeekIndex]=29)*(T_PlannedOrders[EffectiveQty]&gt;0)*T_PlannedOrders[Order_Month])),"m月")&amp;"発注)")</f>
        <v/>
      </c>
      <c r="AG1065">
        <f>IF(SUMIFS(T_PlannedOrders[EffectiveQty],T_PlannedOrders[Part Name],$A1059,T_PlannedOrders[WeekIndex],30)=0,"",SUMIFS(T_PlannedOrders[EffectiveQty],T_PlannedOrders[Part Name],$A1059,T_PlannedOrders[WeekIndex],30)&amp;" ("&amp;TEXT(SUMPRODUCT(MAX((T_PlannedOrders[Part Name]=$A1059)*(T_PlannedOrders[WeekIndex]=30)*(T_PlannedOrders[EffectiveQty]&gt;0)*T_PlannedOrders[Order_Month])),"m月")&amp;"発注)")</f>
        <v/>
      </c>
      <c r="AH1065">
        <f>IF(SUMIFS(T_PlannedOrders[EffectiveQty],T_PlannedOrders[Part Name],$A1059,T_PlannedOrders[WeekIndex],31)=0,"",SUMIFS(T_PlannedOrders[EffectiveQty],T_PlannedOrders[Part Name],$A1059,T_PlannedOrders[WeekIndex],31)&amp;" ("&amp;TEXT(SUMPRODUCT(MAX((T_PlannedOrders[Part Name]=$A1059)*(T_PlannedOrders[WeekIndex]=31)*(T_PlannedOrders[EffectiveQty]&gt;0)*T_PlannedOrders[Order_Month])),"m月")&amp;"発注)")</f>
        <v/>
      </c>
      <c r="AI1065">
        <f>IF(SUMIFS(T_PlannedOrders[EffectiveQty],T_PlannedOrders[Part Name],$A1059,T_PlannedOrders[WeekIndex],32)=0,"",SUMIFS(T_PlannedOrders[EffectiveQty],T_PlannedOrders[Part Name],$A1059,T_PlannedOrders[WeekIndex],32)&amp;" ("&amp;TEXT(SUMPRODUCT(MAX((T_PlannedOrders[Part Name]=$A1059)*(T_PlannedOrders[WeekIndex]=32)*(T_PlannedOrders[EffectiveQty]&gt;0)*T_PlannedOrders[Order_Month])),"m月")&amp;"発注)")</f>
        <v/>
      </c>
      <c r="AJ1065">
        <f>IF(SUMIFS(T_PlannedOrders[EffectiveQty],T_PlannedOrders[Part Name],$A1059,T_PlannedOrders[WeekIndex],33)=0,"",SUMIFS(T_PlannedOrders[EffectiveQty],T_PlannedOrders[Part Name],$A1059,T_PlannedOrders[WeekIndex],33)&amp;" ("&amp;TEXT(SUMPRODUCT(MAX((T_PlannedOrders[Part Name]=$A1059)*(T_PlannedOrders[WeekIndex]=33)*(T_PlannedOrders[EffectiveQty]&gt;0)*T_PlannedOrders[Order_Month])),"m月")&amp;"発注)")</f>
        <v/>
      </c>
      <c r="AK1065">
        <f>IF(SUMIFS(T_PlannedOrders[EffectiveQty],T_PlannedOrders[Part Name],$A1059,T_PlannedOrders[WeekIndex],34)=0,"",SUMIFS(T_PlannedOrders[EffectiveQty],T_PlannedOrders[Part Name],$A1059,T_PlannedOrders[WeekIndex],34)&amp;" ("&amp;TEXT(SUMPRODUCT(MAX((T_PlannedOrders[Part Name]=$A1059)*(T_PlannedOrders[WeekIndex]=34)*(T_PlannedOrders[EffectiveQty]&gt;0)*T_PlannedOrders[Order_Month])),"m月")&amp;"発注)")</f>
        <v/>
      </c>
      <c r="AL1065">
        <f>IF(SUMIFS(T_PlannedOrders[EffectiveQty],T_PlannedOrders[Part Name],$A1059,T_PlannedOrders[WeekIndex],35)=0,"",SUMIFS(T_PlannedOrders[EffectiveQty],T_PlannedOrders[Part Name],$A1059,T_PlannedOrders[WeekIndex],35)&amp;" ("&amp;TEXT(SUMPRODUCT(MAX((T_PlannedOrders[Part Name]=$A1059)*(T_PlannedOrders[WeekIndex]=35)*(T_PlannedOrders[EffectiveQty]&gt;0)*T_PlannedOrders[Order_Month])),"m月")&amp;"発注)")</f>
        <v/>
      </c>
      <c r="AM1065">
        <f>IF(SUMIFS(T_PlannedOrders[EffectiveQty],T_PlannedOrders[Part Name],$A1059,T_PlannedOrders[WeekIndex],36)=0,"",SUMIFS(T_PlannedOrders[EffectiveQty],T_PlannedOrders[Part Name],$A1059,T_PlannedOrders[WeekIndex],36)&amp;" ("&amp;TEXT(SUMPRODUCT(MAX((T_PlannedOrders[Part Name]=$A1059)*(T_PlannedOrders[WeekIndex]=36)*(T_PlannedOrders[EffectiveQty]&gt;0)*T_PlannedOrders[Order_Month])),"m月")&amp;"発注)")</f>
        <v/>
      </c>
      <c r="AN1065">
        <f>IF(SUMIFS(T_PlannedOrders[EffectiveQty],T_PlannedOrders[Part Name],$A1059,T_PlannedOrders[WeekIndex],37)=0,"",SUMIFS(T_PlannedOrders[EffectiveQty],T_PlannedOrders[Part Name],$A1059,T_PlannedOrders[WeekIndex],37)&amp;" ("&amp;TEXT(SUMPRODUCT(MAX((T_PlannedOrders[Part Name]=$A1059)*(T_PlannedOrders[WeekIndex]=37)*(T_PlannedOrders[EffectiveQty]&gt;0)*T_PlannedOrders[Order_Month])),"m月")&amp;"発注)")</f>
        <v/>
      </c>
      <c r="AO1065">
        <f>IF(SUMIFS(T_PlannedOrders[EffectiveQty],T_PlannedOrders[Part Name],$A1059,T_PlannedOrders[WeekIndex],38)=0,"",SUMIFS(T_PlannedOrders[EffectiveQty],T_PlannedOrders[Part Name],$A1059,T_PlannedOrders[WeekIndex],38)&amp;" ("&amp;TEXT(SUMPRODUCT(MAX((T_PlannedOrders[Part Name]=$A1059)*(T_PlannedOrders[WeekIndex]=38)*(T_PlannedOrders[EffectiveQty]&gt;0)*T_PlannedOrders[Order_Month])),"m月")&amp;"発注)")</f>
        <v/>
      </c>
      <c r="AP1065">
        <f>IF(SUMIFS(T_PlannedOrders[EffectiveQty],T_PlannedOrders[Part Name],$A1059,T_PlannedOrders[WeekIndex],39)=0,"",SUMIFS(T_PlannedOrders[EffectiveQty],T_PlannedOrders[Part Name],$A1059,T_PlannedOrders[WeekIndex],39)&amp;" ("&amp;TEXT(SUMPRODUCT(MAX((T_PlannedOrders[Part Name]=$A1059)*(T_PlannedOrders[WeekIndex]=39)*(T_PlannedOrders[EffectiveQty]&gt;0)*T_PlannedOrders[Order_Month])),"m月")&amp;"発注)")</f>
        <v/>
      </c>
      <c r="AQ1065">
        <f>IF(SUMIFS(T_PlannedOrders[EffectiveQty],T_PlannedOrders[Part Name],$A1059,T_PlannedOrders[WeekIndex],40)=0,"",SUMIFS(T_PlannedOrders[EffectiveQty],T_PlannedOrders[Part Name],$A1059,T_PlannedOrders[WeekIndex],40)&amp;" ("&amp;TEXT(SUMPRODUCT(MAX((T_PlannedOrders[Part Name]=$A1059)*(T_PlannedOrders[WeekIndex]=40)*(T_PlannedOrders[EffectiveQty]&gt;0)*T_PlannedOrders[Order_Month])),"m月")&amp;"発注)")</f>
        <v/>
      </c>
      <c r="AR1065">
        <f>IF(SUMIFS(T_PlannedOrders[EffectiveQty],T_PlannedOrders[Part Name],$A1059,T_PlannedOrders[WeekIndex],41)=0,"",SUMIFS(T_PlannedOrders[EffectiveQty],T_PlannedOrders[Part Name],$A1059,T_PlannedOrders[WeekIndex],41)&amp;" ("&amp;TEXT(SUMPRODUCT(MAX((T_PlannedOrders[Part Name]=$A1059)*(T_PlannedOrders[WeekIndex]=41)*(T_PlannedOrders[EffectiveQty]&gt;0)*T_PlannedOrders[Order_Month])),"m月")&amp;"発注)")</f>
        <v/>
      </c>
      <c r="AS1065">
        <f>IF(SUMIFS(T_PlannedOrders[EffectiveQty],T_PlannedOrders[Part Name],$A1059,T_PlannedOrders[WeekIndex],42)=0,"",SUMIFS(T_PlannedOrders[EffectiveQty],T_PlannedOrders[Part Name],$A1059,T_PlannedOrders[WeekIndex],42)&amp;" ("&amp;TEXT(SUMPRODUCT(MAX((T_PlannedOrders[Part Name]=$A1059)*(T_PlannedOrders[WeekIndex]=42)*(T_PlannedOrders[EffectiveQty]&gt;0)*T_PlannedOrders[Order_Month])),"m月")&amp;"発注)")</f>
        <v/>
      </c>
      <c r="AT1065">
        <f>IF(SUMIFS(T_PlannedOrders[EffectiveQty],T_PlannedOrders[Part Name],$A1059,T_PlannedOrders[WeekIndex],43)=0,"",SUMIFS(T_PlannedOrders[EffectiveQty],T_PlannedOrders[Part Name],$A1059,T_PlannedOrders[WeekIndex],43)&amp;" ("&amp;TEXT(SUMPRODUCT(MAX((T_PlannedOrders[Part Name]=$A1059)*(T_PlannedOrders[WeekIndex]=43)*(T_PlannedOrders[EffectiveQty]&gt;0)*T_PlannedOrders[Order_Month])),"m月")&amp;"発注)")</f>
        <v/>
      </c>
      <c r="AU1065">
        <f>IF(SUMIFS(T_PlannedOrders[EffectiveQty],T_PlannedOrders[Part Name],$A1059,T_PlannedOrders[WeekIndex],44)=0,"",SUMIFS(T_PlannedOrders[EffectiveQty],T_PlannedOrders[Part Name],$A1059,T_PlannedOrders[WeekIndex],44)&amp;" ("&amp;TEXT(SUMPRODUCT(MAX((T_PlannedOrders[Part Name]=$A1059)*(T_PlannedOrders[WeekIndex]=44)*(T_PlannedOrders[EffectiveQty]&gt;0)*T_PlannedOrders[Order_Month])),"m月")&amp;"発注)")</f>
        <v/>
      </c>
      <c r="AV1065">
        <f>IF(SUMIFS(T_PlannedOrders[EffectiveQty],T_PlannedOrders[Part Name],$A1059,T_PlannedOrders[WeekIndex],45)=0,"",SUMIFS(T_PlannedOrders[EffectiveQty],T_PlannedOrders[Part Name],$A1059,T_PlannedOrders[WeekIndex],45)&amp;" ("&amp;TEXT(SUMPRODUCT(MAX((T_PlannedOrders[Part Name]=$A1059)*(T_PlannedOrders[WeekIndex]=45)*(T_PlannedOrders[EffectiveQty]&gt;0)*T_PlannedOrders[Order_Month])),"m月")&amp;"発注)")</f>
        <v/>
      </c>
      <c r="AW1065">
        <f>IF(SUMIFS(T_PlannedOrders[EffectiveQty],T_PlannedOrders[Part Name],$A1059,T_PlannedOrders[WeekIndex],46)=0,"",SUMIFS(T_PlannedOrders[EffectiveQty],T_PlannedOrders[Part Name],$A1059,T_PlannedOrders[WeekIndex],46)&amp;" ("&amp;TEXT(SUMPRODUCT(MAX((T_PlannedOrders[Part Name]=$A1059)*(T_PlannedOrders[WeekIndex]=46)*(T_PlannedOrders[EffectiveQty]&gt;0)*T_PlannedOrders[Order_Month])),"m月")&amp;"発注)")</f>
        <v/>
      </c>
      <c r="AX1065">
        <f>IF(SUMIFS(T_PlannedOrders[EffectiveQty],T_PlannedOrders[Part Name],$A1059,T_PlannedOrders[WeekIndex],47)=0,"",SUMIFS(T_PlannedOrders[EffectiveQty],T_PlannedOrders[Part Name],$A1059,T_PlannedOrders[WeekIndex],47)&amp;" ("&amp;TEXT(SUMPRODUCT(MAX((T_PlannedOrders[Part Name]=$A1059)*(T_PlannedOrders[WeekIndex]=47)*(T_PlannedOrders[EffectiveQty]&gt;0)*T_PlannedOrders[Order_Month])),"m月")&amp;"発注)")</f>
        <v/>
      </c>
      <c r="AY1065">
        <f>IF(SUMIFS(T_PlannedOrders[EffectiveQty],T_PlannedOrders[Part Name],$A1059,T_PlannedOrders[WeekIndex],48)=0,"",SUMIFS(T_PlannedOrders[EffectiveQty],T_PlannedOrders[Part Name],$A1059,T_PlannedOrders[WeekIndex],48)&amp;" ("&amp;TEXT(SUMPRODUCT(MAX((T_PlannedOrders[Part Name]=$A1059)*(T_PlannedOrders[WeekIndex]=48)*(T_PlannedOrders[EffectiveQty]&gt;0)*T_PlannedOrders[Order_Month])),"m月")&amp;"発注)")</f>
        <v/>
      </c>
      <c r="AZ1065">
        <f>IF(SUMIFS(T_PlannedOrders[EffectiveQty],T_PlannedOrders[Part Name],$A1059,T_PlannedOrders[WeekIndex],49)=0,"",SUMIFS(T_PlannedOrders[EffectiveQty],T_PlannedOrders[Part Name],$A1059,T_PlannedOrders[WeekIndex],49)&amp;" ("&amp;TEXT(SUMPRODUCT(MAX((T_PlannedOrders[Part Name]=$A1059)*(T_PlannedOrders[WeekIndex]=49)*(T_PlannedOrders[EffectiveQty]&gt;0)*T_PlannedOrders[Order_Month])),"m月")&amp;"発注)")</f>
        <v/>
      </c>
      <c r="BA1065">
        <f>IF(SUMIFS(T_PlannedOrders[EffectiveQty],T_PlannedOrders[Part Name],$A1059,T_PlannedOrders[WeekIndex],50)=0,"",SUMIFS(T_PlannedOrders[EffectiveQty],T_PlannedOrders[Part Name],$A1059,T_PlannedOrders[WeekIndex],50)&amp;" ("&amp;TEXT(SUMPRODUCT(MAX((T_PlannedOrders[Part Name]=$A1059)*(T_PlannedOrders[WeekIndex]=50)*(T_PlannedOrders[EffectiveQty]&gt;0)*T_PlannedOrders[Order_Month])),"m月")&amp;"発注)")</f>
        <v/>
      </c>
      <c r="BB1065">
        <f>IF(SUMIFS(T_PlannedOrders[EffectiveQty],T_PlannedOrders[Part Name],$A1059,T_PlannedOrders[WeekIndex],51)=0,"",SUMIFS(T_PlannedOrders[EffectiveQty],T_PlannedOrders[Part Name],$A1059,T_PlannedOrders[WeekIndex],51)&amp;" ("&amp;TEXT(SUMPRODUCT(MAX((T_PlannedOrders[Part Name]=$A1059)*(T_PlannedOrders[WeekIndex]=51)*(T_PlannedOrders[EffectiveQty]&gt;0)*T_PlannedOrders[Order_Month])),"m月")&amp;"発注)")</f>
        <v/>
      </c>
      <c r="BC1065">
        <f>IF(SUMIFS(T_PlannedOrders[EffectiveQty],T_PlannedOrders[Part Name],$A1059,T_PlannedOrders[WeekIndex],52)=0,"",SUMIFS(T_PlannedOrders[EffectiveQty],T_PlannedOrders[Part Name],$A1059,T_PlannedOrders[WeekIndex],52)&amp;" ("&amp;TEXT(SUMPRODUCT(MAX((T_PlannedOrders[Part Name]=$A1059)*(T_PlannedOrders[WeekIndex]=52)*(T_PlannedOrders[EffectiveQty]&gt;0)*T_PlannedOrders[Order_Month])),"m月")&amp;"発注)")</f>
        <v/>
      </c>
      <c r="BD1065">
        <f>IF(SUMIFS(T_PlannedOrders[EffectiveQty],T_PlannedOrders[Part Name],$A1059,T_PlannedOrders[WeekIndex],53)=0,"",SUMIFS(T_PlannedOrders[EffectiveQty],T_PlannedOrders[Part Name],$A1059,T_PlannedOrders[WeekIndex],53)&amp;" ("&amp;TEXT(SUMPRODUCT(MAX((T_PlannedOrders[Part Name]=$A1059)*(T_PlannedOrders[WeekIndex]=53)*(T_PlannedOrders[EffectiveQty]&gt;0)*T_PlannedOrders[Order_Month])),"m月")&amp;"発注)")</f>
        <v/>
      </c>
      <c r="BE1065">
        <f>IF(SUMIFS(T_PlannedOrders[EffectiveQty],T_PlannedOrders[Part Name],$A1059,T_PlannedOrders[WeekIndex],54)=0,"",SUMIFS(T_PlannedOrders[EffectiveQty],T_PlannedOrders[Part Name],$A1059,T_PlannedOrders[WeekIndex],54)&amp;" ("&amp;TEXT(SUMPRODUCT(MAX((T_PlannedOrders[Part Name]=$A1059)*(T_PlannedOrders[WeekIndex]=54)*(T_PlannedOrders[EffectiveQty]&gt;0)*T_PlannedOrders[Order_Month])),"m月")&amp;"発注)")</f>
        <v/>
      </c>
      <c r="BF1065">
        <f>IF(SUMIFS(T_PlannedOrders[EffectiveQty],T_PlannedOrders[Part Name],$A1059,T_PlannedOrders[WeekIndex],55)=0,"",SUMIFS(T_PlannedOrders[EffectiveQty],T_PlannedOrders[Part Name],$A1059,T_PlannedOrders[WeekIndex],55)&amp;" ("&amp;TEXT(SUMPRODUCT(MAX((T_PlannedOrders[Part Name]=$A1059)*(T_PlannedOrders[WeekIndex]=55)*(T_PlannedOrders[EffectiveQty]&gt;0)*T_PlannedOrders[Order_Month])),"m月")&amp;"発注)")</f>
        <v/>
      </c>
      <c r="BG1065">
        <f>IF(SUMIFS(T_PlannedOrders[EffectiveQty],T_PlannedOrders[Part Name],$A1059,T_PlannedOrders[WeekIndex],56)=0,"",SUMIFS(T_PlannedOrders[EffectiveQty],T_PlannedOrders[Part Name],$A1059,T_PlannedOrders[WeekIndex],56)&amp;" ("&amp;TEXT(SUMPRODUCT(MAX((T_PlannedOrders[Part Name]=$A1059)*(T_PlannedOrders[WeekIndex]=56)*(T_PlannedOrders[EffectiveQty]&gt;0)*T_PlannedOrders[Order_Month])),"m月")&amp;"発注)")</f>
        <v/>
      </c>
      <c r="BH1065">
        <f>IF(SUMIFS(T_PlannedOrders[EffectiveQty],T_PlannedOrders[Part Name],$A1059,T_PlannedOrders[WeekIndex],57)=0,"",SUMIFS(T_PlannedOrders[EffectiveQty],T_PlannedOrders[Part Name],$A1059,T_PlannedOrders[WeekIndex],57)&amp;" ("&amp;TEXT(SUMPRODUCT(MAX((T_PlannedOrders[Part Name]=$A1059)*(T_PlannedOrders[WeekIndex]=57)*(T_PlannedOrders[EffectiveQty]&gt;0)*T_PlannedOrders[Order_Month])),"m月")&amp;"発注)")</f>
        <v/>
      </c>
      <c r="BI1065">
        <f>IF(SUMIFS(T_PlannedOrders[EffectiveQty],T_PlannedOrders[Part Name],$A1059,T_PlannedOrders[WeekIndex],58)=0,"",SUMIFS(T_PlannedOrders[EffectiveQty],T_PlannedOrders[Part Name],$A1059,T_PlannedOrders[WeekIndex],58)&amp;" ("&amp;TEXT(SUMPRODUCT(MAX((T_PlannedOrders[Part Name]=$A1059)*(T_PlannedOrders[WeekIndex]=58)*(T_PlannedOrders[EffectiveQty]&gt;0)*T_PlannedOrders[Order_Month])),"m月")&amp;"発注)")</f>
        <v/>
      </c>
      <c r="BJ1065">
        <f>IF(SUMIFS(T_PlannedOrders[EffectiveQty],T_PlannedOrders[Part Name],$A1059,T_PlannedOrders[WeekIndex],59)=0,"",SUMIFS(T_PlannedOrders[EffectiveQty],T_PlannedOrders[Part Name],$A1059,T_PlannedOrders[WeekIndex],59)&amp;" ("&amp;TEXT(SUMPRODUCT(MAX((T_PlannedOrders[Part Name]=$A1059)*(T_PlannedOrders[WeekIndex]=59)*(T_PlannedOrders[EffectiveQty]&gt;0)*T_PlannedOrders[Order_Month])),"m月")&amp;"発注)")</f>
        <v/>
      </c>
      <c r="BK1065">
        <f>IF(SUMIFS(T_PlannedOrders[EffectiveQty],T_PlannedOrders[Part Name],$A1059,T_PlannedOrders[WeekIndex],60)=0,"",SUMIFS(T_PlannedOrders[EffectiveQty],T_PlannedOrders[Part Name],$A1059,T_PlannedOrders[WeekIndex],60)&amp;" ("&amp;TEXT(SUMPRODUCT(MAX((T_PlannedOrders[Part Name]=$A1059)*(T_PlannedOrders[WeekIndex]=60)*(T_PlannedOrders[EffectiveQty]&gt;0)*T_PlannedOrders[Order_Month])),"m月")&amp;"発注)")</f>
        <v/>
      </c>
      <c r="BL1065">
        <f>IF(SUMIFS(T_PlannedOrders[EffectiveQty],T_PlannedOrders[Part Name],$A1059,T_PlannedOrders[WeekIndex],61)=0,"",SUMIFS(T_PlannedOrders[EffectiveQty],T_PlannedOrders[Part Name],$A1059,T_PlannedOrders[WeekIndex],61)&amp;" ("&amp;TEXT(SUMPRODUCT(MAX((T_PlannedOrders[Part Name]=$A1059)*(T_PlannedOrders[WeekIndex]=61)*(T_PlannedOrders[EffectiveQty]&gt;0)*T_PlannedOrders[Order_Month])),"m月")&amp;"発注)")</f>
        <v/>
      </c>
      <c r="BM1065">
        <f>IF(SUMIFS(T_PlannedOrders[EffectiveQty],T_PlannedOrders[Part Name],$A1059,T_PlannedOrders[WeekIndex],62)=0,"",SUMIFS(T_PlannedOrders[EffectiveQty],T_PlannedOrders[Part Name],$A1059,T_PlannedOrders[WeekIndex],62)&amp;" ("&amp;TEXT(SUMPRODUCT(MAX((T_PlannedOrders[Part Name]=$A1059)*(T_PlannedOrders[WeekIndex]=62)*(T_PlannedOrders[EffectiveQty]&gt;0)*T_PlannedOrders[Order_Month])),"m月")&amp;"発注)")</f>
        <v/>
      </c>
      <c r="BN1065">
        <f>IF(SUMIFS(T_PlannedOrders[EffectiveQty],T_PlannedOrders[Part Name],$A1059,T_PlannedOrders[WeekIndex],63)=0,"",SUMIFS(T_PlannedOrders[EffectiveQty],T_PlannedOrders[Part Name],$A1059,T_PlannedOrders[WeekIndex],63)&amp;" ("&amp;TEXT(SUMPRODUCT(MAX((T_PlannedOrders[Part Name]=$A1059)*(T_PlannedOrders[WeekIndex]=63)*(T_PlannedOrders[EffectiveQty]&gt;0)*T_PlannedOrders[Order_Month])),"m月")&amp;"発注)")</f>
        <v/>
      </c>
      <c r="BO1065">
        <f>IF(SUMIFS(T_PlannedOrders[EffectiveQty],T_PlannedOrders[Part Name],$A1059,T_PlannedOrders[WeekIndex],64)=0,"",SUMIFS(T_PlannedOrders[EffectiveQty],T_PlannedOrders[Part Name],$A1059,T_PlannedOrders[WeekIndex],64)&amp;" ("&amp;TEXT(SUMPRODUCT(MAX((T_PlannedOrders[Part Name]=$A1059)*(T_PlannedOrders[WeekIndex]=64)*(T_PlannedOrders[EffectiveQty]&gt;0)*T_PlannedOrders[Order_Month])),"m月")&amp;"発注)")</f>
        <v/>
      </c>
      <c r="BP1065">
        <f>IF(SUMIFS(T_PlannedOrders[EffectiveQty],T_PlannedOrders[Part Name],$A1059,T_PlannedOrders[WeekIndex],65)=0,"",SUMIFS(T_PlannedOrders[EffectiveQty],T_PlannedOrders[Part Name],$A1059,T_PlannedOrders[WeekIndex],65)&amp;" ("&amp;TEXT(SUMPRODUCT(MAX((T_PlannedOrders[Part Name]=$A1059)*(T_PlannedOrders[WeekIndex]=65)*(T_PlannedOrders[EffectiveQty]&gt;0)*T_PlannedOrders[Order_Month])),"m月")&amp;"発注)")</f>
        <v/>
      </c>
      <c r="BQ1065">
        <f>IF(SUMIFS(T_PlannedOrders[EffectiveQty],T_PlannedOrders[Part Name],$A1059,T_PlannedOrders[WeekIndex],66)=0,"",SUMIFS(T_PlannedOrders[EffectiveQty],T_PlannedOrders[Part Name],$A1059,T_PlannedOrders[WeekIndex],66)&amp;" ("&amp;TEXT(SUMPRODUCT(MAX((T_PlannedOrders[Part Name]=$A1059)*(T_PlannedOrders[WeekIndex]=66)*(T_PlannedOrders[EffectiveQty]&gt;0)*T_PlannedOrders[Order_Month])),"m月")&amp;"発注)")</f>
        <v/>
      </c>
      <c r="BR1065">
        <f>IF(SUMIFS(T_PlannedOrders[EffectiveQty],T_PlannedOrders[Part Name],$A1059,T_PlannedOrders[WeekIndex],67)=0,"",SUMIFS(T_PlannedOrders[EffectiveQty],T_PlannedOrders[Part Name],$A1059,T_PlannedOrders[WeekIndex],67)&amp;" ("&amp;TEXT(SUMPRODUCT(MAX((T_PlannedOrders[Part Name]=$A1059)*(T_PlannedOrders[WeekIndex]=67)*(T_PlannedOrders[EffectiveQty]&gt;0)*T_PlannedOrders[Order_Month])),"m月")&amp;"発注)")</f>
        <v/>
      </c>
      <c r="BS1065">
        <f>IF(SUMIFS(T_PlannedOrders[EffectiveQty],T_PlannedOrders[Part Name],$A1059,T_PlannedOrders[WeekIndex],68)=0,"",SUMIFS(T_PlannedOrders[EffectiveQty],T_PlannedOrders[Part Name],$A1059,T_PlannedOrders[WeekIndex],68)&amp;" ("&amp;TEXT(SUMPRODUCT(MAX((T_PlannedOrders[Part Name]=$A1059)*(T_PlannedOrders[WeekIndex]=68)*(T_PlannedOrders[EffectiveQty]&gt;0)*T_PlannedOrders[Order_Month])),"m月")&amp;"発注)")</f>
        <v/>
      </c>
      <c r="BT1065">
        <f>IF(SUMIFS(T_PlannedOrders[EffectiveQty],T_PlannedOrders[Part Name],$A1059,T_PlannedOrders[WeekIndex],69)=0,"",SUMIFS(T_PlannedOrders[EffectiveQty],T_PlannedOrders[Part Name],$A1059,T_PlannedOrders[WeekIndex],69)&amp;" ("&amp;TEXT(SUMPRODUCT(MAX((T_PlannedOrders[Part Name]=$A1059)*(T_PlannedOrders[WeekIndex]=69)*(T_PlannedOrders[EffectiveQty]&gt;0)*T_PlannedOrders[Order_Month])),"m月")&amp;"発注)")</f>
        <v/>
      </c>
      <c r="BU1065">
        <f>IF(SUMIFS(T_PlannedOrders[EffectiveQty],T_PlannedOrders[Part Name],$A1059,T_PlannedOrders[WeekIndex],70)=0,"",SUMIFS(T_PlannedOrders[EffectiveQty],T_PlannedOrders[Part Name],$A1059,T_PlannedOrders[WeekIndex],70)&amp;" ("&amp;TEXT(SUMPRODUCT(MAX((T_PlannedOrders[Part Name]=$A1059)*(T_PlannedOrders[WeekIndex]=70)*(T_PlannedOrders[EffectiveQty]&gt;0)*T_PlannedOrders[Order_Month])),"m月")&amp;"発注)")</f>
        <v/>
      </c>
      <c r="BV1065">
        <f>IF(SUMIFS(T_PlannedOrders[EffectiveQty],T_PlannedOrders[Part Name],$A1059,T_PlannedOrders[WeekIndex],71)=0,"",SUMIFS(T_PlannedOrders[EffectiveQty],T_PlannedOrders[Part Name],$A1059,T_PlannedOrders[WeekIndex],71)&amp;" ("&amp;TEXT(SUMPRODUCT(MAX((T_PlannedOrders[Part Name]=$A1059)*(T_PlannedOrders[WeekIndex]=71)*(T_PlannedOrders[EffectiveQty]&gt;0)*T_PlannedOrders[Order_Month])),"m月")&amp;"発注)")</f>
        <v/>
      </c>
      <c r="BW1065">
        <f>IF(SUMIFS(T_PlannedOrders[EffectiveQty],T_PlannedOrders[Part Name],$A1059,T_PlannedOrders[WeekIndex],72)=0,"",SUMIFS(T_PlannedOrders[EffectiveQty],T_PlannedOrders[Part Name],$A1059,T_PlannedOrders[WeekIndex],72)&amp;" ("&amp;TEXT(SUMPRODUCT(MAX((T_PlannedOrders[Part Name]=$A1059)*(T_PlannedOrders[WeekIndex]=72)*(T_PlannedOrders[EffectiveQty]&gt;0)*T_PlannedOrders[Order_Month])),"m月")&amp;"発注)")</f>
        <v/>
      </c>
      <c r="BX1065">
        <f>IF(SUMIFS(T_PlannedOrders[EffectiveQty],T_PlannedOrders[Part Name],$A1059,T_PlannedOrders[WeekIndex],73)=0,"",SUMIFS(T_PlannedOrders[EffectiveQty],T_PlannedOrders[Part Name],$A1059,T_PlannedOrders[WeekIndex],73)&amp;" ("&amp;TEXT(SUMPRODUCT(MAX((T_PlannedOrders[Part Name]=$A1059)*(T_PlannedOrders[WeekIndex]=73)*(T_PlannedOrders[EffectiveQty]&gt;0)*T_PlannedOrders[Order_Month])),"m月")&amp;"発注)")</f>
        <v/>
      </c>
      <c r="BY1065">
        <f>IF(SUMIFS(T_PlannedOrders[EffectiveQty],T_PlannedOrders[Part Name],$A1059,T_PlannedOrders[WeekIndex],74)=0,"",SUMIFS(T_PlannedOrders[EffectiveQty],T_PlannedOrders[Part Name],$A1059,T_PlannedOrders[WeekIndex],74)&amp;" ("&amp;TEXT(SUMPRODUCT(MAX((T_PlannedOrders[Part Name]=$A1059)*(T_PlannedOrders[WeekIndex]=74)*(T_PlannedOrders[EffectiveQty]&gt;0)*T_PlannedOrders[Order_Month])),"m月")&amp;"発注)")</f>
        <v/>
      </c>
      <c r="BZ1065">
        <f>IF(SUMIFS(T_PlannedOrders[EffectiveQty],T_PlannedOrders[Part Name],$A1059,T_PlannedOrders[WeekIndex],75)=0,"",SUMIFS(T_PlannedOrders[EffectiveQty],T_PlannedOrders[Part Name],$A1059,T_PlannedOrders[WeekIndex],75)&amp;" ("&amp;TEXT(SUMPRODUCT(MAX((T_PlannedOrders[Part Name]=$A1059)*(T_PlannedOrders[WeekIndex]=75)*(T_PlannedOrders[EffectiveQty]&gt;0)*T_PlannedOrders[Order_Month])),"m月")&amp;"発注)")</f>
        <v/>
      </c>
      <c r="CA1065">
        <f>IF(SUMIFS(T_PlannedOrders[EffectiveQty],T_PlannedOrders[Part Name],$A1059,T_PlannedOrders[WeekIndex],76)=0,"",SUMIFS(T_PlannedOrders[EffectiveQty],T_PlannedOrders[Part Name],$A1059,T_PlannedOrders[WeekIndex],76)&amp;" ("&amp;TEXT(SUMPRODUCT(MAX((T_PlannedOrders[Part Name]=$A1059)*(T_PlannedOrders[WeekIndex]=76)*(T_PlannedOrders[EffectiveQty]&gt;0)*T_PlannedOrders[Order_Month])),"m月")&amp;"発注)")</f>
        <v/>
      </c>
      <c r="CB1065">
        <f>IF(SUMIFS(T_PlannedOrders[EffectiveQty],T_PlannedOrders[Part Name],$A1059,T_PlannedOrders[WeekIndex],77)=0,"",SUMIFS(T_PlannedOrders[EffectiveQty],T_PlannedOrders[Part Name],$A1059,T_PlannedOrders[WeekIndex],77)&amp;" ("&amp;TEXT(SUMPRODUCT(MAX((T_PlannedOrders[Part Name]=$A1059)*(T_PlannedOrders[WeekIndex]=77)*(T_PlannedOrders[EffectiveQty]&gt;0)*T_PlannedOrders[Order_Month])),"m月")&amp;"発注)")</f>
        <v/>
      </c>
      <c r="CC1065">
        <f>IF(SUMIFS(T_PlannedOrders[EffectiveQty],T_PlannedOrders[Part Name],$A1059,T_PlannedOrders[WeekIndex],78)=0,"",SUMIFS(T_PlannedOrders[EffectiveQty],T_PlannedOrders[Part Name],$A1059,T_PlannedOrders[WeekIndex],78)&amp;" ("&amp;TEXT(SUMPRODUCT(MAX((T_PlannedOrders[Part Name]=$A1059)*(T_PlannedOrders[WeekIndex]=78)*(T_PlannedOrders[EffectiveQty]&gt;0)*T_PlannedOrders[Order_Month])),"m月")&amp;"発注)")</f>
        <v/>
      </c>
      <c r="CD1065">
        <f>IF(SUMIFS(T_PlannedOrders[EffectiveQty],T_PlannedOrders[Part Name],$A1059,T_PlannedOrders[WeekIndex],79)=0,"",SUMIFS(T_PlannedOrders[EffectiveQty],T_PlannedOrders[Part Name],$A1059,T_PlannedOrders[WeekIndex],79)&amp;" ("&amp;TEXT(SUMPRODUCT(MAX((T_PlannedOrders[Part Name]=$A1059)*(T_PlannedOrders[WeekIndex]=79)*(T_PlannedOrders[EffectiveQty]&gt;0)*T_PlannedOrders[Order_Month])),"m月")&amp;"発注)")</f>
        <v/>
      </c>
      <c r="CE1065">
        <f>IF(SUMIFS(T_PlannedOrders[EffectiveQty],T_PlannedOrders[Part Name],$A1059,T_PlannedOrders[WeekIndex],80)=0,"",SUMIFS(T_PlannedOrders[EffectiveQty],T_PlannedOrders[Part Name],$A1059,T_PlannedOrders[WeekIndex],80)&amp;" ("&amp;TEXT(SUMPRODUCT(MAX((T_PlannedOrders[Part Name]=$A1059)*(T_PlannedOrders[WeekIndex]=80)*(T_PlannedOrders[EffectiveQty]&gt;0)*T_PlannedOrders[Order_Month])),"m月")&amp;"発注)")</f>
        <v/>
      </c>
      <c r="CF1065">
        <f>IF(SUMIFS(T_PlannedOrders[EffectiveQty],T_PlannedOrders[Part Name],$A1059,T_PlannedOrders[WeekIndex],81)=0,"",SUMIFS(T_PlannedOrders[EffectiveQty],T_PlannedOrders[Part Name],$A1059,T_PlannedOrders[WeekIndex],81)&amp;" ("&amp;TEXT(SUMPRODUCT(MAX((T_PlannedOrders[Part Name]=$A1059)*(T_PlannedOrders[WeekIndex]=81)*(T_PlannedOrders[EffectiveQty]&gt;0)*T_PlannedOrders[Order_Month])),"m月")&amp;"発注)")</f>
        <v/>
      </c>
      <c r="CG1065">
        <f>IF(SUMIFS(T_PlannedOrders[EffectiveQty],T_PlannedOrders[Part Name],$A1059,T_PlannedOrders[WeekIndex],82)=0,"",SUMIFS(T_PlannedOrders[EffectiveQty],T_PlannedOrders[Part Name],$A1059,T_PlannedOrders[WeekIndex],82)&amp;" ("&amp;TEXT(SUMPRODUCT(MAX((T_PlannedOrders[Part Name]=$A1059)*(T_PlannedOrders[WeekIndex]=82)*(T_PlannedOrders[EffectiveQty]&gt;0)*T_PlannedOrders[Order_Month])),"m月")&amp;"発注)")</f>
        <v/>
      </c>
      <c r="CH1065">
        <f>IF(SUMIFS(T_PlannedOrders[EffectiveQty],T_PlannedOrders[Part Name],$A1059,T_PlannedOrders[WeekIndex],83)=0,"",SUMIFS(T_PlannedOrders[EffectiveQty],T_PlannedOrders[Part Name],$A1059,T_PlannedOrders[WeekIndex],83)&amp;" ("&amp;TEXT(SUMPRODUCT(MAX((T_PlannedOrders[Part Name]=$A1059)*(T_PlannedOrders[WeekIndex]=83)*(T_PlannedOrders[EffectiveQty]&gt;0)*T_PlannedOrders[Order_Month])),"m月")&amp;"発注)")</f>
        <v/>
      </c>
      <c r="CI1065">
        <f>IF(SUMIFS(T_PlannedOrders[EffectiveQty],T_PlannedOrders[Part Name],$A1059,T_PlannedOrders[WeekIndex],84)=0,"",SUMIFS(T_PlannedOrders[EffectiveQty],T_PlannedOrders[Part Name],$A1059,T_PlannedOrders[WeekIndex],84)&amp;" ("&amp;TEXT(SUMPRODUCT(MAX((T_PlannedOrders[Part Name]=$A1059)*(T_PlannedOrders[WeekIndex]=84)*(T_PlannedOrders[EffectiveQty]&gt;0)*T_PlannedOrders[Order_Month])),"m月")&amp;"発注)")</f>
        <v/>
      </c>
      <c r="CJ1065">
        <f>IF(SUMIFS(T_PlannedOrders[EffectiveQty],T_PlannedOrders[Part Name],$A1059,T_PlannedOrders[WeekIndex],85)=0,"",SUMIFS(T_PlannedOrders[EffectiveQty],T_PlannedOrders[Part Name],$A1059,T_PlannedOrders[WeekIndex],85)&amp;" ("&amp;TEXT(SUMPRODUCT(MAX((T_PlannedOrders[Part Name]=$A1059)*(T_PlannedOrders[WeekIndex]=85)*(T_PlannedOrders[EffectiveQty]&gt;0)*T_PlannedOrders[Order_Month])),"m月")&amp;"発注)")</f>
        <v/>
      </c>
      <c r="CK1065">
        <f>IF(SUMIFS(T_PlannedOrders[EffectiveQty],T_PlannedOrders[Part Name],$A1059,T_PlannedOrders[WeekIndex],86)=0,"",SUMIFS(T_PlannedOrders[EffectiveQty],T_PlannedOrders[Part Name],$A1059,T_PlannedOrders[WeekIndex],86)&amp;" ("&amp;TEXT(SUMPRODUCT(MAX((T_PlannedOrders[Part Name]=$A1059)*(T_PlannedOrders[WeekIndex]=86)*(T_PlannedOrders[EffectiveQty]&gt;0)*T_PlannedOrders[Order_Month])),"m月")&amp;"発注)")</f>
        <v/>
      </c>
      <c r="CL1065">
        <f>IF(SUMIFS(T_PlannedOrders[EffectiveQty],T_PlannedOrders[Part Name],$A1059,T_PlannedOrders[WeekIndex],87)=0,"",SUMIFS(T_PlannedOrders[EffectiveQty],T_PlannedOrders[Part Name],$A1059,T_PlannedOrders[WeekIndex],87)&amp;" ("&amp;TEXT(SUMPRODUCT(MAX((T_PlannedOrders[Part Name]=$A1059)*(T_PlannedOrders[WeekIndex]=87)*(T_PlannedOrders[EffectiveQty]&gt;0)*T_PlannedOrders[Order_Month])),"m月")&amp;"発注)")</f>
        <v/>
      </c>
      <c r="CM1065">
        <f>IF(SUMIFS(T_PlannedOrders[EffectiveQty],T_PlannedOrders[Part Name],$A1059,T_PlannedOrders[WeekIndex],88)=0,"",SUMIFS(T_PlannedOrders[EffectiveQty],T_PlannedOrders[Part Name],$A1059,T_PlannedOrders[WeekIndex],88)&amp;" ("&amp;TEXT(SUMPRODUCT(MAX((T_PlannedOrders[Part Name]=$A1059)*(T_PlannedOrders[WeekIndex]=88)*(T_PlannedOrders[EffectiveQty]&gt;0)*T_PlannedOrders[Order_Month])),"m月")&amp;"発注)")</f>
        <v/>
      </c>
      <c r="CN1065">
        <f>IF(SUMIFS(T_PlannedOrders[EffectiveQty],T_PlannedOrders[Part Name],$A1059,T_PlannedOrders[WeekIndex],89)=0,"",SUMIFS(T_PlannedOrders[EffectiveQty],T_PlannedOrders[Part Name],$A1059,T_PlannedOrders[WeekIndex],89)&amp;" ("&amp;TEXT(SUMPRODUCT(MAX((T_PlannedOrders[Part Name]=$A1059)*(T_PlannedOrders[WeekIndex]=89)*(T_PlannedOrders[EffectiveQty]&gt;0)*T_PlannedOrders[Order_Month])),"m月")&amp;"発注)")</f>
        <v/>
      </c>
      <c r="CO1065">
        <f>IF(SUMIFS(T_PlannedOrders[EffectiveQty],T_PlannedOrders[Part Name],$A1059,T_PlannedOrders[WeekIndex],90)=0,"",SUMIFS(T_PlannedOrders[EffectiveQty],T_PlannedOrders[Part Name],$A1059,T_PlannedOrders[WeekIndex],90)&amp;" ("&amp;TEXT(SUMPRODUCT(MAX((T_PlannedOrders[Part Name]=$A1059)*(T_PlannedOrders[WeekIndex]=90)*(T_PlannedOrders[EffectiveQty]&gt;0)*T_PlannedOrders[Order_Month])),"m月")&amp;"発注)")</f>
        <v/>
      </c>
      <c r="CP1065">
        <f>IF(SUMIFS(T_PlannedOrders[EffectiveQty],T_PlannedOrders[Part Name],$A1059,T_PlannedOrders[WeekIndex],91)=0,"",SUMIFS(T_PlannedOrders[EffectiveQty],T_PlannedOrders[Part Name],$A1059,T_PlannedOrders[WeekIndex],91)&amp;" ("&amp;TEXT(SUMPRODUCT(MAX((T_PlannedOrders[Part Name]=$A1059)*(T_PlannedOrders[WeekIndex]=91)*(T_PlannedOrders[EffectiveQty]&gt;0)*T_PlannedOrders[Order_Month])),"m月")&amp;"発注)")</f>
        <v/>
      </c>
      <c r="CQ1065">
        <f>IF(SUMIFS(T_PlannedOrders[EffectiveQty],T_PlannedOrders[Part Name],$A1059,T_PlannedOrders[WeekIndex],92)=0,"",SUMIFS(T_PlannedOrders[EffectiveQty],T_PlannedOrders[Part Name],$A1059,T_PlannedOrders[WeekIndex],92)&amp;" ("&amp;TEXT(SUMPRODUCT(MAX((T_PlannedOrders[Part Name]=$A1059)*(T_PlannedOrders[WeekIndex]=92)*(T_PlannedOrders[EffectiveQty]&gt;0)*T_PlannedOrders[Order_Month])),"m月")&amp;"発注)")</f>
        <v/>
      </c>
      <c r="CR1065">
        <f>IF(SUMIFS(T_PlannedOrders[EffectiveQty],T_PlannedOrders[Part Name],$A1059,T_PlannedOrders[WeekIndex],93)=0,"",SUMIFS(T_PlannedOrders[EffectiveQty],T_PlannedOrders[Part Name],$A1059,T_PlannedOrders[WeekIndex],93)&amp;" ("&amp;TEXT(SUMPRODUCT(MAX((T_PlannedOrders[Part Name]=$A1059)*(T_PlannedOrders[WeekIndex]=93)*(T_PlannedOrders[EffectiveQty]&gt;0)*T_PlannedOrders[Order_Month])),"m月")&amp;"発注)")</f>
        <v/>
      </c>
      <c r="CS1065">
        <f>IF(SUMIFS(T_PlannedOrders[EffectiveQty],T_PlannedOrders[Part Name],$A1059,T_PlannedOrders[WeekIndex],94)=0,"",SUMIFS(T_PlannedOrders[EffectiveQty],T_PlannedOrders[Part Name],$A1059,T_PlannedOrders[WeekIndex],94)&amp;" ("&amp;TEXT(SUMPRODUCT(MAX((T_PlannedOrders[Part Name]=$A1059)*(T_PlannedOrders[WeekIndex]=94)*(T_PlannedOrders[EffectiveQty]&gt;0)*T_PlannedOrders[Order_Month])),"m月")&amp;"発注)")</f>
        <v/>
      </c>
      <c r="CT1065">
        <f>IF(SUMIFS(T_PlannedOrders[EffectiveQty],T_PlannedOrders[Part Name],$A1059,T_PlannedOrders[WeekIndex],95)=0,"",SUMIFS(T_PlannedOrders[EffectiveQty],T_PlannedOrders[Part Name],$A1059,T_PlannedOrders[WeekIndex],95)&amp;" ("&amp;TEXT(SUMPRODUCT(MAX((T_PlannedOrders[Part Name]=$A1059)*(T_PlannedOrders[WeekIndex]=95)*(T_PlannedOrders[EffectiveQty]&gt;0)*T_PlannedOrders[Order_Month])),"m月")&amp;"発注)")</f>
        <v/>
      </c>
      <c r="CU1065">
        <f>IF(SUMIFS(T_PlannedOrders[EffectiveQty],T_PlannedOrders[Part Name],$A1059,T_PlannedOrders[WeekIndex],96)=0,"",SUMIFS(T_PlannedOrders[EffectiveQty],T_PlannedOrders[Part Name],$A1059,T_PlannedOrders[WeekIndex],96)&amp;" ("&amp;TEXT(SUMPRODUCT(MAX((T_PlannedOrders[Part Name]=$A1059)*(T_PlannedOrders[WeekIndex]=96)*(T_PlannedOrders[EffectiveQty]&gt;0)*T_PlannedOrders[Order_Month])),"m月")&amp;"発注)")</f>
        <v/>
      </c>
      <c r="CV1065">
        <f>IF(SUMIFS(T_PlannedOrders[EffectiveQty],T_PlannedOrders[Part Name],$A1059,T_PlannedOrders[WeekIndex],97)=0,"",SUMIFS(T_PlannedOrders[EffectiveQty],T_PlannedOrders[Part Name],$A1059,T_PlannedOrders[WeekIndex],97)&amp;" ("&amp;TEXT(SUMPRODUCT(MAX((T_PlannedOrders[Part Name]=$A1059)*(T_PlannedOrders[WeekIndex]=97)*(T_PlannedOrders[EffectiveQty]&gt;0)*T_PlannedOrders[Order_Month])),"m月")&amp;"発注)")</f>
        <v/>
      </c>
      <c r="CW1065">
        <f>IF(SUMIFS(T_PlannedOrders[EffectiveQty],T_PlannedOrders[Part Name],$A1059,T_PlannedOrders[WeekIndex],98)=0,"",SUMIFS(T_PlannedOrders[EffectiveQty],T_PlannedOrders[Part Name],$A1059,T_PlannedOrders[WeekIndex],98)&amp;" ("&amp;TEXT(SUMPRODUCT(MAX((T_PlannedOrders[Part Name]=$A1059)*(T_PlannedOrders[WeekIndex]=98)*(T_PlannedOrders[EffectiveQty]&gt;0)*T_PlannedOrders[Order_Month])),"m月")&amp;"発注)")</f>
        <v/>
      </c>
      <c r="CX1065">
        <f>IF(SUMIFS(T_PlannedOrders[EffectiveQty],T_PlannedOrders[Part Name],$A1059,T_PlannedOrders[WeekIndex],99)=0,"",SUMIFS(T_PlannedOrders[EffectiveQty],T_PlannedOrders[Part Name],$A1059,T_PlannedOrders[WeekIndex],99)&amp;" ("&amp;TEXT(SUMPRODUCT(MAX((T_PlannedOrders[Part Name]=$A1059)*(T_PlannedOrders[WeekIndex]=99)*(T_PlannedOrders[EffectiveQty]&gt;0)*T_PlannedOrders[Order_Month])),"m月")&amp;"発注)")</f>
        <v/>
      </c>
      <c r="CY1065">
        <f>IF(SUMIFS(T_PlannedOrders[EffectiveQty],T_PlannedOrders[Part Name],$A1059,T_PlannedOrders[WeekIndex],100)=0,"",SUMIFS(T_PlannedOrders[EffectiveQty],T_PlannedOrders[Part Name],$A1059,T_PlannedOrders[WeekIndex],100)&amp;" ("&amp;TEXT(SUMPRODUCT(MAX((T_PlannedOrders[Part Name]=$A1059)*(T_PlannedOrders[WeekIndex]=100)*(T_PlannedOrders[EffectiveQty]&gt;0)*T_PlannedOrders[Order_Month])),"m月")&amp;"発注)")</f>
        <v/>
      </c>
      <c r="CZ1065">
        <f>IF(SUMIFS(T_PlannedOrders[EffectiveQty],T_PlannedOrders[Part Name],$A1059,T_PlannedOrders[WeekIndex],101)=0,"",SUMIFS(T_PlannedOrders[EffectiveQty],T_PlannedOrders[Part Name],$A1059,T_PlannedOrders[WeekIndex],101)&amp;" ("&amp;TEXT(SUMPRODUCT(MAX((T_PlannedOrders[Part Name]=$A1059)*(T_PlannedOrders[WeekIndex]=101)*(T_PlannedOrders[EffectiveQty]&gt;0)*T_PlannedOrders[Order_Month])),"m月")&amp;"発注)")</f>
        <v/>
      </c>
      <c r="DA1065">
        <f>IF(SUMIFS(T_PlannedOrders[EffectiveQty],T_PlannedOrders[Part Name],$A1059,T_PlannedOrders[WeekIndex],102)=0,"",SUMIFS(T_PlannedOrders[EffectiveQty],T_PlannedOrders[Part Name],$A1059,T_PlannedOrders[WeekIndex],102)&amp;" ("&amp;TEXT(SUMPRODUCT(MAX((T_PlannedOrders[Part Name]=$A1059)*(T_PlannedOrders[WeekIndex]=102)*(T_PlannedOrders[EffectiveQty]&gt;0)*T_PlannedOrders[Order_Month])),"m月")&amp;"発注)")</f>
        <v/>
      </c>
      <c r="DB1065">
        <f>IF(SUMIFS(T_PlannedOrders[EffectiveQty],T_PlannedOrders[Part Name],$A1059,T_PlannedOrders[WeekIndex],103)=0,"",SUMIFS(T_PlannedOrders[EffectiveQty],T_PlannedOrders[Part Name],$A1059,T_PlannedOrders[WeekIndex],103)&amp;" ("&amp;TEXT(SUMPRODUCT(MAX((T_PlannedOrders[Part Name]=$A1059)*(T_PlannedOrders[WeekIndex]=103)*(T_PlannedOrders[EffectiveQty]&gt;0)*T_PlannedOrders[Order_Month])),"m月")&amp;"発注)")</f>
        <v/>
      </c>
      <c r="DC1065">
        <f>IF(SUMIFS(T_PlannedOrders[EffectiveQty],T_PlannedOrders[Part Name],$A1059,T_PlannedOrders[WeekIndex],104)=0,"",SUMIFS(T_PlannedOrders[EffectiveQty],T_PlannedOrders[Part Name],$A1059,T_PlannedOrders[WeekIndex],104)&amp;" ("&amp;TEXT(SUMPRODUCT(MAX((T_PlannedOrders[Part Name]=$A1059)*(T_PlannedOrders[WeekIndex]=104)*(T_PlannedOrders[EffectiveQty]&gt;0)*T_PlannedOrders[Order_Month])),"m月")&amp;"発注)")</f>
        <v/>
      </c>
    </row>
    <row r="1066">
      <c r="B1066" s="5" t="inlineStr">
        <is>
          <t>合計在庫(週末時点,kg)</t>
        </is>
      </c>
      <c r="D1066">
        <f>'Grid_Stock'!B37</f>
        <v/>
      </c>
      <c r="E1066">
        <f>'Grid_Stock'!C37</f>
        <v/>
      </c>
      <c r="F1066">
        <f>'Grid_Stock'!D37</f>
        <v/>
      </c>
      <c r="G1066">
        <f>'Grid_Stock'!E37</f>
        <v/>
      </c>
      <c r="H1066">
        <f>'Grid_Stock'!F37</f>
        <v/>
      </c>
      <c r="I1066">
        <f>'Grid_Stock'!G37</f>
        <v/>
      </c>
      <c r="J1066">
        <f>'Grid_Stock'!H37</f>
        <v/>
      </c>
      <c r="K1066">
        <f>'Grid_Stock'!I37</f>
        <v/>
      </c>
      <c r="L1066">
        <f>'Grid_Stock'!J37</f>
        <v/>
      </c>
      <c r="M1066">
        <f>'Grid_Stock'!K37</f>
        <v/>
      </c>
      <c r="N1066">
        <f>'Grid_Stock'!L37</f>
        <v/>
      </c>
      <c r="O1066">
        <f>'Grid_Stock'!M37</f>
        <v/>
      </c>
      <c r="P1066">
        <f>'Grid_Stock'!N37</f>
        <v/>
      </c>
      <c r="Q1066">
        <f>'Grid_Stock'!O37</f>
        <v/>
      </c>
      <c r="R1066">
        <f>'Grid_Stock'!P37</f>
        <v/>
      </c>
      <c r="S1066">
        <f>'Grid_Stock'!Q37</f>
        <v/>
      </c>
      <c r="T1066">
        <f>'Grid_Stock'!R37</f>
        <v/>
      </c>
      <c r="U1066">
        <f>'Grid_Stock'!S37</f>
        <v/>
      </c>
      <c r="V1066">
        <f>'Grid_Stock'!T37</f>
        <v/>
      </c>
      <c r="W1066">
        <f>'Grid_Stock'!U37</f>
        <v/>
      </c>
      <c r="X1066">
        <f>'Grid_Stock'!V37</f>
        <v/>
      </c>
      <c r="Y1066">
        <f>'Grid_Stock'!W37</f>
        <v/>
      </c>
      <c r="Z1066">
        <f>'Grid_Stock'!X37</f>
        <v/>
      </c>
      <c r="AA1066">
        <f>'Grid_Stock'!Y37</f>
        <v/>
      </c>
      <c r="AB1066">
        <f>'Grid_Stock'!Z37</f>
        <v/>
      </c>
      <c r="AC1066">
        <f>'Grid_Stock'!AA37</f>
        <v/>
      </c>
      <c r="AD1066">
        <f>'Grid_Stock'!AB37</f>
        <v/>
      </c>
      <c r="AE1066">
        <f>'Grid_Stock'!AC37</f>
        <v/>
      </c>
      <c r="AF1066">
        <f>'Grid_Stock'!AD37</f>
        <v/>
      </c>
      <c r="AG1066">
        <f>'Grid_Stock'!AE37</f>
        <v/>
      </c>
      <c r="AH1066">
        <f>'Grid_Stock'!AF37</f>
        <v/>
      </c>
      <c r="AI1066">
        <f>'Grid_Stock'!AG37</f>
        <v/>
      </c>
      <c r="AJ1066">
        <f>'Grid_Stock'!AH37</f>
        <v/>
      </c>
      <c r="AK1066">
        <f>'Grid_Stock'!AI37</f>
        <v/>
      </c>
      <c r="AL1066">
        <f>'Grid_Stock'!AJ37</f>
        <v/>
      </c>
      <c r="AM1066">
        <f>'Grid_Stock'!AK37</f>
        <v/>
      </c>
      <c r="AN1066">
        <f>'Grid_Stock'!AL37</f>
        <v/>
      </c>
      <c r="AO1066">
        <f>'Grid_Stock'!AM37</f>
        <v/>
      </c>
      <c r="AP1066">
        <f>'Grid_Stock'!AN37</f>
        <v/>
      </c>
      <c r="AQ1066">
        <f>'Grid_Stock'!AO37</f>
        <v/>
      </c>
      <c r="AR1066">
        <f>'Grid_Stock'!AP37</f>
        <v/>
      </c>
      <c r="AS1066">
        <f>'Grid_Stock'!AQ37</f>
        <v/>
      </c>
      <c r="AT1066">
        <f>'Grid_Stock'!AR37</f>
        <v/>
      </c>
      <c r="AU1066">
        <f>'Grid_Stock'!AS37</f>
        <v/>
      </c>
      <c r="AV1066">
        <f>'Grid_Stock'!AT37</f>
        <v/>
      </c>
      <c r="AW1066">
        <f>'Grid_Stock'!AU37</f>
        <v/>
      </c>
      <c r="AX1066">
        <f>'Grid_Stock'!AV37</f>
        <v/>
      </c>
      <c r="AY1066">
        <f>'Grid_Stock'!AW37</f>
        <v/>
      </c>
      <c r="AZ1066">
        <f>'Grid_Stock'!AX37</f>
        <v/>
      </c>
      <c r="BA1066">
        <f>'Grid_Stock'!AY37</f>
        <v/>
      </c>
      <c r="BB1066">
        <f>'Grid_Stock'!AZ37</f>
        <v/>
      </c>
      <c r="BC1066">
        <f>'Grid_Stock'!BA37</f>
        <v/>
      </c>
      <c r="BD1066">
        <f>'Grid_Stock'!BB37</f>
        <v/>
      </c>
      <c r="BE1066">
        <f>'Grid_Stock'!BC37</f>
        <v/>
      </c>
      <c r="BF1066">
        <f>'Grid_Stock'!BD37</f>
        <v/>
      </c>
      <c r="BG1066">
        <f>'Grid_Stock'!BE37</f>
        <v/>
      </c>
      <c r="BH1066">
        <f>'Grid_Stock'!BF37</f>
        <v/>
      </c>
      <c r="BI1066">
        <f>'Grid_Stock'!BG37</f>
        <v/>
      </c>
      <c r="BJ1066">
        <f>'Grid_Stock'!BH37</f>
        <v/>
      </c>
      <c r="BK1066">
        <f>'Grid_Stock'!BI37</f>
        <v/>
      </c>
      <c r="BL1066">
        <f>'Grid_Stock'!BJ37</f>
        <v/>
      </c>
      <c r="BM1066">
        <f>'Grid_Stock'!BK37</f>
        <v/>
      </c>
      <c r="BN1066">
        <f>'Grid_Stock'!BL37</f>
        <v/>
      </c>
      <c r="BO1066">
        <f>'Grid_Stock'!BM37</f>
        <v/>
      </c>
      <c r="BP1066">
        <f>'Grid_Stock'!BN37</f>
        <v/>
      </c>
      <c r="BQ1066">
        <f>'Grid_Stock'!BO37</f>
        <v/>
      </c>
      <c r="BR1066">
        <f>'Grid_Stock'!BP37</f>
        <v/>
      </c>
      <c r="BS1066">
        <f>'Grid_Stock'!BQ37</f>
        <v/>
      </c>
      <c r="BT1066">
        <f>'Grid_Stock'!BR37</f>
        <v/>
      </c>
      <c r="BU1066">
        <f>'Grid_Stock'!BS37</f>
        <v/>
      </c>
      <c r="BV1066">
        <f>'Grid_Stock'!BT37</f>
        <v/>
      </c>
      <c r="BW1066">
        <f>'Grid_Stock'!BU37</f>
        <v/>
      </c>
      <c r="BX1066">
        <f>'Grid_Stock'!BV37</f>
        <v/>
      </c>
      <c r="BY1066">
        <f>'Grid_Stock'!BW37</f>
        <v/>
      </c>
      <c r="BZ1066">
        <f>'Grid_Stock'!BX37</f>
        <v/>
      </c>
      <c r="CA1066">
        <f>'Grid_Stock'!BY37</f>
        <v/>
      </c>
      <c r="CB1066">
        <f>'Grid_Stock'!BZ37</f>
        <v/>
      </c>
      <c r="CC1066">
        <f>'Grid_Stock'!CA37</f>
        <v/>
      </c>
      <c r="CD1066">
        <f>'Grid_Stock'!CB37</f>
        <v/>
      </c>
      <c r="CE1066">
        <f>'Grid_Stock'!CC37</f>
        <v/>
      </c>
      <c r="CF1066">
        <f>'Grid_Stock'!CD37</f>
        <v/>
      </c>
      <c r="CG1066">
        <f>'Grid_Stock'!CE37</f>
        <v/>
      </c>
      <c r="CH1066">
        <f>'Grid_Stock'!CF37</f>
        <v/>
      </c>
      <c r="CI1066">
        <f>'Grid_Stock'!CG37</f>
        <v/>
      </c>
      <c r="CJ1066">
        <f>'Grid_Stock'!CH37</f>
        <v/>
      </c>
      <c r="CK1066">
        <f>'Grid_Stock'!CI37</f>
        <v/>
      </c>
      <c r="CL1066">
        <f>'Grid_Stock'!CJ37</f>
        <v/>
      </c>
      <c r="CM1066">
        <f>'Grid_Stock'!CK37</f>
        <v/>
      </c>
      <c r="CN1066">
        <f>'Grid_Stock'!CL37</f>
        <v/>
      </c>
      <c r="CO1066">
        <f>'Grid_Stock'!CM37</f>
        <v/>
      </c>
      <c r="CP1066">
        <f>'Grid_Stock'!CN37</f>
        <v/>
      </c>
      <c r="CQ1066">
        <f>'Grid_Stock'!CO37</f>
        <v/>
      </c>
      <c r="CR1066">
        <f>'Grid_Stock'!CP37</f>
        <v/>
      </c>
      <c r="CS1066">
        <f>'Grid_Stock'!CQ37</f>
        <v/>
      </c>
      <c r="CT1066">
        <f>'Grid_Stock'!CR37</f>
        <v/>
      </c>
      <c r="CU1066">
        <f>'Grid_Stock'!CS37</f>
        <v/>
      </c>
      <c r="CV1066">
        <f>'Grid_Stock'!CT37</f>
        <v/>
      </c>
      <c r="CW1066">
        <f>'Grid_Stock'!CU37</f>
        <v/>
      </c>
      <c r="CX1066">
        <f>'Grid_Stock'!CV37</f>
        <v/>
      </c>
      <c r="CY1066">
        <f>'Grid_Stock'!CW37</f>
        <v/>
      </c>
      <c r="CZ1066">
        <f>'Grid_Stock'!CX37</f>
        <v/>
      </c>
      <c r="DA1066">
        <f>'Grid_Stock'!CY37</f>
        <v/>
      </c>
      <c r="DB1066">
        <f>'Grid_Stock'!CZ37</f>
        <v/>
      </c>
      <c r="DC1066">
        <f>'Grid_Stock'!DA37</f>
        <v/>
      </c>
    </row>
    <row r="1067">
      <c r="B1067" s="23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48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MAX(0,$F18-INDEX(Grid_Stock[#Data],MATCH($D18,Grid_Stock[Part Name],0),$P$7+0))</f>
        <v/>
      </c>
      <c r="I18" s="19">
        <f>MAX(0,$F18-INDEX(Grid_Stock[#Data],MATCH($D18,Grid_Stock[Part Name],0),$P$7+1))</f>
        <v/>
      </c>
      <c r="J18" s="19">
        <f>MAX(0,$F18-INDEX(Grid_Stock[#Data],MATCH($D18,Grid_Stock[Part Name],0),$P$7+2))</f>
        <v/>
      </c>
      <c r="K18" s="19">
        <f>MAX(0,$F18-INDEX(Grid_Stock[#Data],MATCH($D18,Grid_Stock[Part Name],0),$P$7+3))</f>
        <v/>
      </c>
      <c r="L18" s="19">
        <f>MAX(0,$F18-INDEX(Grid_Stock[#Data],MATCH($D18,Grid_Stock[Part Name],0),$P$7+4))</f>
        <v/>
      </c>
      <c r="M18" s="19">
        <f>MAX(0,$F18-INDEX(Grid_Stock[#Data],MATCH($D18,Grid_Stock[Part Name],0),$P$7+5))</f>
        <v/>
      </c>
      <c r="N18" s="19">
        <f>MAX(0,$F18-INDEX(Grid_Stock[#Data],MATCH($D18,Grid_Stock[Part Name],0),$P$7+6))</f>
        <v/>
      </c>
      <c r="O18" s="19">
        <f>MAX(0,$F18-INDEX(Grid_Stock[#Data],MATCH($D18,Grid_Stock[Part Name],0),$P$7+7))</f>
        <v/>
      </c>
      <c r="P18" s="19">
        <f>MAX(0,$F18-INDEX(Grid_Stock[#Data],MATCH($D18,Grid_Stock[Part Name],0),$P$7+8))</f>
        <v/>
      </c>
      <c r="Q18" s="19">
        <f>MAX(0,$F18-INDEX(Grid_Stock[#Data],MATCH($D18,Grid_Stock[Part Name],0),$P$7+9))</f>
        <v/>
      </c>
      <c r="R18" s="19">
        <f>MAX(0,$F18-INDEX(Grid_Stock[#Data],MATCH($D18,Grid_Stock[Part Name],0),$P$7+10))</f>
        <v/>
      </c>
      <c r="S18" s="19">
        <f>MAX(0,$F18-INDEX(Grid_Stock[#Data],MATCH($D18,Grid_Stock[Part Name],0),$P$7+11))</f>
        <v/>
      </c>
      <c r="T18" s="19">
        <f>MAX(0,$F18-INDEX(Grid_Stock[#Data],MATCH($D18,Grid_Stock[Part Name],0),$P$7+12))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MAX(0,$F20-INDEX(Grid_Stock[#Data],MATCH($D20,Grid_Stock[Part Name],0),$P$7+0))</f>
        <v/>
      </c>
      <c r="I20" s="19">
        <f>MAX(0,$F20-INDEX(Grid_Stock[#Data],MATCH($D20,Grid_Stock[Part Name],0),$P$7+1))</f>
        <v/>
      </c>
      <c r="J20" s="19">
        <f>MAX(0,$F20-INDEX(Grid_Stock[#Data],MATCH($D20,Grid_Stock[Part Name],0),$P$7+2))</f>
        <v/>
      </c>
      <c r="K20" s="19">
        <f>MAX(0,$F20-INDEX(Grid_Stock[#Data],MATCH($D20,Grid_Stock[Part Name],0),$P$7+3))</f>
        <v/>
      </c>
      <c r="L20" s="19">
        <f>MAX(0,$F20-INDEX(Grid_Stock[#Data],MATCH($D20,Grid_Stock[Part Name],0),$P$7+4))</f>
        <v/>
      </c>
      <c r="M20" s="19">
        <f>MAX(0,$F20-INDEX(Grid_Stock[#Data],MATCH($D20,Grid_Stock[Part Name],0),$P$7+5))</f>
        <v/>
      </c>
      <c r="N20" s="19">
        <f>MAX(0,$F20-INDEX(Grid_Stock[#Data],MATCH($D20,Grid_Stock[Part Name],0),$P$7+6))</f>
        <v/>
      </c>
      <c r="O20" s="19">
        <f>MAX(0,$F20-INDEX(Grid_Stock[#Data],MATCH($D20,Grid_Stock[Part Name],0),$P$7+7))</f>
        <v/>
      </c>
      <c r="P20" s="19">
        <f>MAX(0,$F20-INDEX(Grid_Stock[#Data],MATCH($D20,Grid_Stock[Part Name],0),$P$7+8))</f>
        <v/>
      </c>
      <c r="Q20" s="19">
        <f>MAX(0,$F20-INDEX(Grid_Stock[#Data],MATCH($D20,Grid_Stock[Part Name],0),$P$7+9))</f>
        <v/>
      </c>
      <c r="R20" s="19">
        <f>MAX(0,$F20-INDEX(Grid_Stock[#Data],MATCH($D20,Grid_Stock[Part Name],0),$P$7+10))</f>
        <v/>
      </c>
      <c r="S20" s="19">
        <f>MAX(0,$F20-INDEX(Grid_Stock[#Data],MATCH($D20,Grid_Stock[Part Name],0),$P$7+11))</f>
        <v/>
      </c>
      <c r="T20" s="19">
        <f>MAX(0,$F20-INDEX(Grid_Stock[#Data],MATCH($D20,Grid_Stock[Part Name],0),$P$7+12))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MAX(0,$F22-INDEX(Grid_Stock[#Data],MATCH($D22,Grid_Stock[Part Name],0),$P$7+0))</f>
        <v/>
      </c>
      <c r="I22" s="19">
        <f>MAX(0,$F22-INDEX(Grid_Stock[#Data],MATCH($D22,Grid_Stock[Part Name],0),$P$7+1))</f>
        <v/>
      </c>
      <c r="J22" s="19">
        <f>MAX(0,$F22-INDEX(Grid_Stock[#Data],MATCH($D22,Grid_Stock[Part Name],0),$P$7+2))</f>
        <v/>
      </c>
      <c r="K22" s="19">
        <f>MAX(0,$F22-INDEX(Grid_Stock[#Data],MATCH($D22,Grid_Stock[Part Name],0),$P$7+3))</f>
        <v/>
      </c>
      <c r="L22" s="19">
        <f>MAX(0,$F22-INDEX(Grid_Stock[#Data],MATCH($D22,Grid_Stock[Part Name],0),$P$7+4))</f>
        <v/>
      </c>
      <c r="M22" s="19">
        <f>MAX(0,$F22-INDEX(Grid_Stock[#Data],MATCH($D22,Grid_Stock[Part Name],0),$P$7+5))</f>
        <v/>
      </c>
      <c r="N22" s="19">
        <f>MAX(0,$F22-INDEX(Grid_Stock[#Data],MATCH($D22,Grid_Stock[Part Name],0),$P$7+6))</f>
        <v/>
      </c>
      <c r="O22" s="19">
        <f>MAX(0,$F22-INDEX(Grid_Stock[#Data],MATCH($D22,Grid_Stock[Part Name],0),$P$7+7))</f>
        <v/>
      </c>
      <c r="P22" s="19">
        <f>MAX(0,$F22-INDEX(Grid_Stock[#Data],MATCH($D22,Grid_Stock[Part Name],0),$P$7+8))</f>
        <v/>
      </c>
      <c r="Q22" s="19">
        <f>MAX(0,$F22-INDEX(Grid_Stock[#Data],MATCH($D22,Grid_Stock[Part Name],0),$P$7+9))</f>
        <v/>
      </c>
      <c r="R22" s="19">
        <f>MAX(0,$F22-INDEX(Grid_Stock[#Data],MATCH($D22,Grid_Stock[Part Name],0),$P$7+10))</f>
        <v/>
      </c>
      <c r="S22" s="19">
        <f>MAX(0,$F22-INDEX(Grid_Stock[#Data],MATCH($D22,Grid_Stock[Part Name],0),$P$7+11))</f>
        <v/>
      </c>
      <c r="T22" s="19">
        <f>MAX(0,$F22-INDEX(Grid_Stock[#Data],MATCH($D22,Grid_Stock[Part Name],0),$P$7+12))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MAX(0,$F23-INDEX(Grid_Stock[#Data],MATCH($D23,Grid_Stock[Part Name],0),$P$7+0))</f>
        <v/>
      </c>
      <c r="I23" s="17">
        <f>MAX(0,$F23-INDEX(Grid_Stock[#Data],MATCH($D23,Grid_Stock[Part Name],0),$P$7+1))</f>
        <v/>
      </c>
      <c r="J23" s="17">
        <f>MAX(0,$F23-INDEX(Grid_Stock[#Data],MATCH($D23,Grid_Stock[Part Name],0),$P$7+2))</f>
        <v/>
      </c>
      <c r="K23" s="17">
        <f>MAX(0,$F23-INDEX(Grid_Stock[#Data],MATCH($D23,Grid_Stock[Part Name],0),$P$7+3))</f>
        <v/>
      </c>
      <c r="L23" s="17">
        <f>MAX(0,$F23-INDEX(Grid_Stock[#Data],MATCH($D23,Grid_Stock[Part Name],0),$P$7+4))</f>
        <v/>
      </c>
      <c r="M23" s="17">
        <f>MAX(0,$F23-INDEX(Grid_Stock[#Data],MATCH($D23,Grid_Stock[Part Name],0),$P$7+5))</f>
        <v/>
      </c>
      <c r="N23" s="17">
        <f>MAX(0,$F23-INDEX(Grid_Stock[#Data],MATCH($D23,Grid_Stock[Part Name],0),$P$7+6))</f>
        <v/>
      </c>
      <c r="O23" s="17">
        <f>MAX(0,$F23-INDEX(Grid_Stock[#Data],MATCH($D23,Grid_Stock[Part Name],0),$P$7+7))</f>
        <v/>
      </c>
      <c r="P23" s="17">
        <f>MAX(0,$F23-INDEX(Grid_Stock[#Data],MATCH($D23,Grid_Stock[Part Name],0),$P$7+8))</f>
        <v/>
      </c>
      <c r="Q23" s="17">
        <f>MAX(0,$F23-INDEX(Grid_Stock[#Data],MATCH($D23,Grid_Stock[Part Name],0),$P$7+9))</f>
        <v/>
      </c>
      <c r="R23" s="17">
        <f>MAX(0,$F23-INDEX(Grid_Stock[#Data],MATCH($D23,Grid_Stock[Part Name],0),$P$7+10))</f>
        <v/>
      </c>
      <c r="S23" s="17">
        <f>MAX(0,$F23-INDEX(Grid_Stock[#Data],MATCH($D23,Grid_Stock[Part Name],0),$P$7+11))</f>
        <v/>
      </c>
      <c r="T23" s="17">
        <f>MAX(0,$F23-INDEX(Grid_Stock[#Data],MATCH($D23,Grid_Stock[Part Name],0),$P$7+12))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MAX(0,$F24-INDEX(Grid_Stock[#Data],MATCH($D24,Grid_Stock[Part Name],0),$P$7+0))</f>
        <v/>
      </c>
      <c r="I24" s="19">
        <f>MAX(0,$F24-INDEX(Grid_Stock[#Data],MATCH($D24,Grid_Stock[Part Name],0),$P$7+1))</f>
        <v/>
      </c>
      <c r="J24" s="19">
        <f>MAX(0,$F24-INDEX(Grid_Stock[#Data],MATCH($D24,Grid_Stock[Part Name],0),$P$7+2))</f>
        <v/>
      </c>
      <c r="K24" s="19">
        <f>MAX(0,$F24-INDEX(Grid_Stock[#Data],MATCH($D24,Grid_Stock[Part Name],0),$P$7+3))</f>
        <v/>
      </c>
      <c r="L24" s="19">
        <f>MAX(0,$F24-INDEX(Grid_Stock[#Data],MATCH($D24,Grid_Stock[Part Name],0),$P$7+4))</f>
        <v/>
      </c>
      <c r="M24" s="19">
        <f>MAX(0,$F24-INDEX(Grid_Stock[#Data],MATCH($D24,Grid_Stock[Part Name],0),$P$7+5))</f>
        <v/>
      </c>
      <c r="N24" s="19">
        <f>MAX(0,$F24-INDEX(Grid_Stock[#Data],MATCH($D24,Grid_Stock[Part Name],0),$P$7+6))</f>
        <v/>
      </c>
      <c r="O24" s="19">
        <f>MAX(0,$F24-INDEX(Grid_Stock[#Data],MATCH($D24,Grid_Stock[Part Name],0),$P$7+7))</f>
        <v/>
      </c>
      <c r="P24" s="19">
        <f>MAX(0,$F24-INDEX(Grid_Stock[#Data],MATCH($D24,Grid_Stock[Part Name],0),$P$7+8))</f>
        <v/>
      </c>
      <c r="Q24" s="19">
        <f>MAX(0,$F24-INDEX(Grid_Stock[#Data],MATCH($D24,Grid_Stock[Part Name],0),$P$7+9))</f>
        <v/>
      </c>
      <c r="R24" s="19">
        <f>MAX(0,$F24-INDEX(Grid_Stock[#Data],MATCH($D24,Grid_Stock[Part Name],0),$P$7+10))</f>
        <v/>
      </c>
      <c r="S24" s="19">
        <f>MAX(0,$F24-INDEX(Grid_Stock[#Data],MATCH($D24,Grid_Stock[Part Name],0),$P$7+11))</f>
        <v/>
      </c>
      <c r="T24" s="19">
        <f>MAX(0,$F24-INDEX(Grid_Stock[#Data],MATCH($D24,Grid_Stock[Part Name],0),$P$7+12))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MAX(0,$F25-INDEX(Grid_Stock[#Data],MATCH($D25,Grid_Stock[Part Name],0),$P$7+0))</f>
        <v/>
      </c>
      <c r="I25" s="17">
        <f>MAX(0,$F25-INDEX(Grid_Stock[#Data],MATCH($D25,Grid_Stock[Part Name],0),$P$7+1))</f>
        <v/>
      </c>
      <c r="J25" s="17">
        <f>MAX(0,$F25-INDEX(Grid_Stock[#Data],MATCH($D25,Grid_Stock[Part Name],0),$P$7+2))</f>
        <v/>
      </c>
      <c r="K25" s="17">
        <f>MAX(0,$F25-INDEX(Grid_Stock[#Data],MATCH($D25,Grid_Stock[Part Name],0),$P$7+3))</f>
        <v/>
      </c>
      <c r="L25" s="17">
        <f>MAX(0,$F25-INDEX(Grid_Stock[#Data],MATCH($D25,Grid_Stock[Part Name],0),$P$7+4))</f>
        <v/>
      </c>
      <c r="M25" s="17">
        <f>MAX(0,$F25-INDEX(Grid_Stock[#Data],MATCH($D25,Grid_Stock[Part Name],0),$P$7+5))</f>
        <v/>
      </c>
      <c r="N25" s="17">
        <f>MAX(0,$F25-INDEX(Grid_Stock[#Data],MATCH($D25,Grid_Stock[Part Name],0),$P$7+6))</f>
        <v/>
      </c>
      <c r="O25" s="17">
        <f>MAX(0,$F25-INDEX(Grid_Stock[#Data],MATCH($D25,Grid_Stock[Part Name],0),$P$7+7))</f>
        <v/>
      </c>
      <c r="P25" s="17">
        <f>MAX(0,$F25-INDEX(Grid_Stock[#Data],MATCH($D25,Grid_Stock[Part Name],0),$P$7+8))</f>
        <v/>
      </c>
      <c r="Q25" s="17">
        <f>MAX(0,$F25-INDEX(Grid_Stock[#Data],MATCH($D25,Grid_Stock[Part Name],0),$P$7+9))</f>
        <v/>
      </c>
      <c r="R25" s="17">
        <f>MAX(0,$F25-INDEX(Grid_Stock[#Data],MATCH($D25,Grid_Stock[Part Name],0),$P$7+10))</f>
        <v/>
      </c>
      <c r="S25" s="17">
        <f>MAX(0,$F25-INDEX(Grid_Stock[#Data],MATCH($D25,Grid_Stock[Part Name],0),$P$7+11))</f>
        <v/>
      </c>
      <c r="T25" s="17">
        <f>MAX(0,$F25-INDEX(Grid_Stock[#Data],MATCH($D25,Grid_Stock[Part Name],0),$P$7+12))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MAX(0,$F26-INDEX(Grid_Stock[#Data],MATCH($D26,Grid_Stock[Part Name],0),$P$7+0))</f>
        <v/>
      </c>
      <c r="I26" s="19">
        <f>MAX(0,$F26-INDEX(Grid_Stock[#Data],MATCH($D26,Grid_Stock[Part Name],0),$P$7+1))</f>
        <v/>
      </c>
      <c r="J26" s="19">
        <f>MAX(0,$F26-INDEX(Grid_Stock[#Data],MATCH($D26,Grid_Stock[Part Name],0),$P$7+2))</f>
        <v/>
      </c>
      <c r="K26" s="19">
        <f>MAX(0,$F26-INDEX(Grid_Stock[#Data],MATCH($D26,Grid_Stock[Part Name],0),$P$7+3))</f>
        <v/>
      </c>
      <c r="L26" s="19">
        <f>MAX(0,$F26-INDEX(Grid_Stock[#Data],MATCH($D26,Grid_Stock[Part Name],0),$P$7+4))</f>
        <v/>
      </c>
      <c r="M26" s="19">
        <f>MAX(0,$F26-INDEX(Grid_Stock[#Data],MATCH($D26,Grid_Stock[Part Name],0),$P$7+5))</f>
        <v/>
      </c>
      <c r="N26" s="19">
        <f>MAX(0,$F26-INDEX(Grid_Stock[#Data],MATCH($D26,Grid_Stock[Part Name],0),$P$7+6))</f>
        <v/>
      </c>
      <c r="O26" s="19">
        <f>MAX(0,$F26-INDEX(Grid_Stock[#Data],MATCH($D26,Grid_Stock[Part Name],0),$P$7+7))</f>
        <v/>
      </c>
      <c r="P26" s="19">
        <f>MAX(0,$F26-INDEX(Grid_Stock[#Data],MATCH($D26,Grid_Stock[Part Name],0),$P$7+8))</f>
        <v/>
      </c>
      <c r="Q26" s="19">
        <f>MAX(0,$F26-INDEX(Grid_Stock[#Data],MATCH($D26,Grid_Stock[Part Name],0),$P$7+9))</f>
        <v/>
      </c>
      <c r="R26" s="19">
        <f>MAX(0,$F26-INDEX(Grid_Stock[#Data],MATCH($D26,Grid_Stock[Part Name],0),$P$7+10))</f>
        <v/>
      </c>
      <c r="S26" s="19">
        <f>MAX(0,$F26-INDEX(Grid_Stock[#Data],MATCH($D26,Grid_Stock[Part Name],0),$P$7+11))</f>
        <v/>
      </c>
      <c r="T26" s="19">
        <f>MAX(0,$F26-INDEX(Grid_Stock[#Data],MATCH($D26,Grid_Stock[Part Name],0),$P$7+12))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MAX(0,$F27-INDEX(Grid_Stock[#Data],MATCH($D27,Grid_Stock[Part Name],0),$P$7+0))</f>
        <v/>
      </c>
      <c r="I27" s="17">
        <f>MAX(0,$F27-INDEX(Grid_Stock[#Data],MATCH($D27,Grid_Stock[Part Name],0),$P$7+1))</f>
        <v/>
      </c>
      <c r="J27" s="17">
        <f>MAX(0,$F27-INDEX(Grid_Stock[#Data],MATCH($D27,Grid_Stock[Part Name],0),$P$7+2))</f>
        <v/>
      </c>
      <c r="K27" s="17">
        <f>MAX(0,$F27-INDEX(Grid_Stock[#Data],MATCH($D27,Grid_Stock[Part Name],0),$P$7+3))</f>
        <v/>
      </c>
      <c r="L27" s="17">
        <f>MAX(0,$F27-INDEX(Grid_Stock[#Data],MATCH($D27,Grid_Stock[Part Name],0),$P$7+4))</f>
        <v/>
      </c>
      <c r="M27" s="17">
        <f>MAX(0,$F27-INDEX(Grid_Stock[#Data],MATCH($D27,Grid_Stock[Part Name],0),$P$7+5))</f>
        <v/>
      </c>
      <c r="N27" s="17">
        <f>MAX(0,$F27-INDEX(Grid_Stock[#Data],MATCH($D27,Grid_Stock[Part Name],0),$P$7+6))</f>
        <v/>
      </c>
      <c r="O27" s="17">
        <f>MAX(0,$F27-INDEX(Grid_Stock[#Data],MATCH($D27,Grid_Stock[Part Name],0),$P$7+7))</f>
        <v/>
      </c>
      <c r="P27" s="17">
        <f>MAX(0,$F27-INDEX(Grid_Stock[#Data],MATCH($D27,Grid_Stock[Part Name],0),$P$7+8))</f>
        <v/>
      </c>
      <c r="Q27" s="17">
        <f>MAX(0,$F27-INDEX(Grid_Stock[#Data],MATCH($D27,Grid_Stock[Part Name],0),$P$7+9))</f>
        <v/>
      </c>
      <c r="R27" s="17">
        <f>MAX(0,$F27-INDEX(Grid_Stock[#Data],MATCH($D27,Grid_Stock[Part Name],0),$P$7+10))</f>
        <v/>
      </c>
      <c r="S27" s="17">
        <f>MAX(0,$F27-INDEX(Grid_Stock[#Data],MATCH($D27,Grid_Stock[Part Name],0),$P$7+11))</f>
        <v/>
      </c>
      <c r="T27" s="17">
        <f>MAX(0,$F27-INDEX(Grid_Stock[#Data],MATCH($D27,Grid_Stock[Part Name],0),$P$7+12))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MAX(0,$F28-INDEX(Grid_Stock[#Data],MATCH($D28,Grid_Stock[Part Name],0),$P$7+0))</f>
        <v/>
      </c>
      <c r="I28" s="19">
        <f>MAX(0,$F28-INDEX(Grid_Stock[#Data],MATCH($D28,Grid_Stock[Part Name],0),$P$7+1))</f>
        <v/>
      </c>
      <c r="J28" s="19">
        <f>MAX(0,$F28-INDEX(Grid_Stock[#Data],MATCH($D28,Grid_Stock[Part Name],0),$P$7+2))</f>
        <v/>
      </c>
      <c r="K28" s="19">
        <f>MAX(0,$F28-INDEX(Grid_Stock[#Data],MATCH($D28,Grid_Stock[Part Name],0),$P$7+3))</f>
        <v/>
      </c>
      <c r="L28" s="19">
        <f>MAX(0,$F28-INDEX(Grid_Stock[#Data],MATCH($D28,Grid_Stock[Part Name],0),$P$7+4))</f>
        <v/>
      </c>
      <c r="M28" s="19">
        <f>MAX(0,$F28-INDEX(Grid_Stock[#Data],MATCH($D28,Grid_Stock[Part Name],0),$P$7+5))</f>
        <v/>
      </c>
      <c r="N28" s="19">
        <f>MAX(0,$F28-INDEX(Grid_Stock[#Data],MATCH($D28,Grid_Stock[Part Name],0),$P$7+6))</f>
        <v/>
      </c>
      <c r="O28" s="19">
        <f>MAX(0,$F28-INDEX(Grid_Stock[#Data],MATCH($D28,Grid_Stock[Part Name],0),$P$7+7))</f>
        <v/>
      </c>
      <c r="P28" s="19">
        <f>MAX(0,$F28-INDEX(Grid_Stock[#Data],MATCH($D28,Grid_Stock[Part Name],0),$P$7+8))</f>
        <v/>
      </c>
      <c r="Q28" s="19">
        <f>MAX(0,$F28-INDEX(Grid_Stock[#Data],MATCH($D28,Grid_Stock[Part Name],0),$P$7+9))</f>
        <v/>
      </c>
      <c r="R28" s="19">
        <f>MAX(0,$F28-INDEX(Grid_Stock[#Data],MATCH($D28,Grid_Stock[Part Name],0),$P$7+10))</f>
        <v/>
      </c>
      <c r="S28" s="19">
        <f>MAX(0,$F28-INDEX(Grid_Stock[#Data],MATCH($D28,Grid_Stock[Part Name],0),$P$7+11))</f>
        <v/>
      </c>
      <c r="T28" s="19">
        <f>MAX(0,$F28-INDEX(Grid_Stock[#Data],MATCH($D28,Grid_Stock[Part Name],0),$P$7+12))</f>
        <v/>
      </c>
      <c r="U28" s="19">
        <f>SUM(H28:T28)</f>
        <v/>
      </c>
    </row>
    <row r="29">
      <c r="B29" s="17">
        <f>IFERROR(INDEX(M_RawMaterials[Description],MATCH("CHEM-1530",M_RawMaterials[Part Name],0)),"")</f>
        <v/>
      </c>
      <c r="C29" s="17" t="inlineStr">
        <is>
          <t>71388003501</t>
        </is>
      </c>
      <c r="D29" s="17" t="inlineStr">
        <is>
          <t>CHEM-1530</t>
        </is>
      </c>
      <c r="E29" s="17" t="inlineStr">
        <is>
          <t>kg</t>
        </is>
      </c>
      <c r="F29" s="17">
        <f>IFERROR(INDEX(M_RawMaterials[基準在庫下限_要入力],MATCH("CHEM-1530",M_RawMaterials[Part Name],0)),0)</f>
        <v/>
      </c>
      <c r="G29" s="17">
        <f>INDEX(Grid_Stock[#Data],MATCH($D29,Grid_Stock[Part Name],0),$P$7)</f>
        <v/>
      </c>
      <c r="H29" s="17">
        <f>MAX(0,$F29-INDEX(Grid_Stock[#Data],MATCH($D29,Grid_Stock[Part Name],0),$P$7+0))</f>
        <v/>
      </c>
      <c r="I29" s="17">
        <f>MAX(0,$F29-INDEX(Grid_Stock[#Data],MATCH($D29,Grid_Stock[Part Name],0),$P$7+1))</f>
        <v/>
      </c>
      <c r="J29" s="17">
        <f>MAX(0,$F29-INDEX(Grid_Stock[#Data],MATCH($D29,Grid_Stock[Part Name],0),$P$7+2))</f>
        <v/>
      </c>
      <c r="K29" s="17">
        <f>MAX(0,$F29-INDEX(Grid_Stock[#Data],MATCH($D29,Grid_Stock[Part Name],0),$P$7+3))</f>
        <v/>
      </c>
      <c r="L29" s="17">
        <f>MAX(0,$F29-INDEX(Grid_Stock[#Data],MATCH($D29,Grid_Stock[Part Name],0),$P$7+4))</f>
        <v/>
      </c>
      <c r="M29" s="17">
        <f>MAX(0,$F29-INDEX(Grid_Stock[#Data],MATCH($D29,Grid_Stock[Part Name],0),$P$7+5))</f>
        <v/>
      </c>
      <c r="N29" s="17">
        <f>MAX(0,$F29-INDEX(Grid_Stock[#Data],MATCH($D29,Grid_Stock[Part Name],0),$P$7+6))</f>
        <v/>
      </c>
      <c r="O29" s="17">
        <f>MAX(0,$F29-INDEX(Grid_Stock[#Data],MATCH($D29,Grid_Stock[Part Name],0),$P$7+7))</f>
        <v/>
      </c>
      <c r="P29" s="17">
        <f>MAX(0,$F29-INDEX(Grid_Stock[#Data],MATCH($D29,Grid_Stock[Part Name],0),$P$7+8))</f>
        <v/>
      </c>
      <c r="Q29" s="17">
        <f>MAX(0,$F29-INDEX(Grid_Stock[#Data],MATCH($D29,Grid_Stock[Part Name],0),$P$7+9))</f>
        <v/>
      </c>
      <c r="R29" s="17">
        <f>MAX(0,$F29-INDEX(Grid_Stock[#Data],MATCH($D29,Grid_Stock[Part Name],0),$P$7+10))</f>
        <v/>
      </c>
      <c r="S29" s="17">
        <f>MAX(0,$F29-INDEX(Grid_Stock[#Data],MATCH($D29,Grid_Stock[Part Name],0),$P$7+11))</f>
        <v/>
      </c>
      <c r="T29" s="17">
        <f>MAX(0,$F29-INDEX(Grid_Stock[#Data],MATCH($D29,Grid_Stock[Part Name],0),$P$7+12))</f>
        <v/>
      </c>
      <c r="U29" s="17">
        <f>SUM(H29:T29)</f>
        <v/>
      </c>
    </row>
    <row r="30">
      <c r="B30" s="19">
        <f>IFERROR(INDEX(M_RawMaterials[Description],MATCH("CHEM-1480",M_RawMaterials[Part Name],0)),"")</f>
        <v/>
      </c>
      <c r="C30" s="19" t="inlineStr">
        <is>
          <t>NAT30</t>
        </is>
      </c>
      <c r="D30" s="19" t="inlineStr">
        <is>
          <t>CHEM-1480</t>
        </is>
      </c>
      <c r="E30" s="19" t="inlineStr">
        <is>
          <t>kg</t>
        </is>
      </c>
      <c r="F30" s="19">
        <f>IFERROR(INDEX(M_RawMaterials[基準在庫下限_要入力],MATCH("CHEM-1480",M_RawMaterials[Part Name],0)),0)</f>
        <v/>
      </c>
      <c r="G30" s="19">
        <f>INDEX(Grid_Stock[#Data],MATCH($D30,Grid_Stock[Part Name],0),$P$7)</f>
        <v/>
      </c>
      <c r="H30" s="19">
        <f>MAX(0,$F30-INDEX(Grid_Stock[#Data],MATCH($D30,Grid_Stock[Part Name],0),$P$7+0))</f>
        <v/>
      </c>
      <c r="I30" s="19">
        <f>MAX(0,$F30-INDEX(Grid_Stock[#Data],MATCH($D30,Grid_Stock[Part Name],0),$P$7+1))</f>
        <v/>
      </c>
      <c r="J30" s="19">
        <f>MAX(0,$F30-INDEX(Grid_Stock[#Data],MATCH($D30,Grid_Stock[Part Name],0),$P$7+2))</f>
        <v/>
      </c>
      <c r="K30" s="19">
        <f>MAX(0,$F30-INDEX(Grid_Stock[#Data],MATCH($D30,Grid_Stock[Part Name],0),$P$7+3))</f>
        <v/>
      </c>
      <c r="L30" s="19">
        <f>MAX(0,$F30-INDEX(Grid_Stock[#Data],MATCH($D30,Grid_Stock[Part Name],0),$P$7+4))</f>
        <v/>
      </c>
      <c r="M30" s="19">
        <f>MAX(0,$F30-INDEX(Grid_Stock[#Data],MATCH($D30,Grid_Stock[Part Name],0),$P$7+5))</f>
        <v/>
      </c>
      <c r="N30" s="19">
        <f>MAX(0,$F30-INDEX(Grid_Stock[#Data],MATCH($D30,Grid_Stock[Part Name],0),$P$7+6))</f>
        <v/>
      </c>
      <c r="O30" s="19">
        <f>MAX(0,$F30-INDEX(Grid_Stock[#Data],MATCH($D30,Grid_Stock[Part Name],0),$P$7+7))</f>
        <v/>
      </c>
      <c r="P30" s="19">
        <f>MAX(0,$F30-INDEX(Grid_Stock[#Data],MATCH($D30,Grid_Stock[Part Name],0),$P$7+8))</f>
        <v/>
      </c>
      <c r="Q30" s="19">
        <f>MAX(0,$F30-INDEX(Grid_Stock[#Data],MATCH($D30,Grid_Stock[Part Name],0),$P$7+9))</f>
        <v/>
      </c>
      <c r="R30" s="19">
        <f>MAX(0,$F30-INDEX(Grid_Stock[#Data],MATCH($D30,Grid_Stock[Part Name],0),$P$7+10))</f>
        <v/>
      </c>
      <c r="S30" s="19">
        <f>MAX(0,$F30-INDEX(Grid_Stock[#Data],MATCH($D30,Grid_Stock[Part Name],0),$P$7+11))</f>
        <v/>
      </c>
      <c r="T30" s="19">
        <f>MAX(0,$F30-INDEX(Grid_Stock[#Data],MATCH($D30,Grid_Stock[Part Name],0),$P$7+12))</f>
        <v/>
      </c>
      <c r="U30" s="19">
        <f>SUM(H30:T30)</f>
        <v/>
      </c>
    </row>
    <row r="31">
      <c r="B31" s="17">
        <f>IFERROR(INDEX(M_RawMaterials[Description],MATCH("CHEM-1540",M_RawMaterials[Part Name],0)),"")</f>
        <v/>
      </c>
      <c r="C31" s="17" t="inlineStr">
        <is>
          <t>71388005801</t>
        </is>
      </c>
      <c r="D31" s="17" t="inlineStr">
        <is>
          <t>CHEM-1540</t>
        </is>
      </c>
      <c r="E31" s="17" t="inlineStr">
        <is>
          <t>kg</t>
        </is>
      </c>
      <c r="F31" s="17">
        <f>IFERROR(INDEX(M_RawMaterials[基準在庫下限_要入力],MATCH("CHEM-1540",M_RawMaterials[Part Name],0)),0)</f>
        <v/>
      </c>
      <c r="G31" s="17">
        <f>INDEX(Grid_Stock[#Data],MATCH($D31,Grid_Stock[Part Name],0),$P$7)</f>
        <v/>
      </c>
      <c r="H31" s="17">
        <f>MAX(0,$F31-INDEX(Grid_Stock[#Data],MATCH($D31,Grid_Stock[Part Name],0),$P$7+0))</f>
        <v/>
      </c>
      <c r="I31" s="17">
        <f>MAX(0,$F31-INDEX(Grid_Stock[#Data],MATCH($D31,Grid_Stock[Part Name],0),$P$7+1))</f>
        <v/>
      </c>
      <c r="J31" s="17">
        <f>MAX(0,$F31-INDEX(Grid_Stock[#Data],MATCH($D31,Grid_Stock[Part Name],0),$P$7+2))</f>
        <v/>
      </c>
      <c r="K31" s="17">
        <f>MAX(0,$F31-INDEX(Grid_Stock[#Data],MATCH($D31,Grid_Stock[Part Name],0),$P$7+3))</f>
        <v/>
      </c>
      <c r="L31" s="17">
        <f>MAX(0,$F31-INDEX(Grid_Stock[#Data],MATCH($D31,Grid_Stock[Part Name],0),$P$7+4))</f>
        <v/>
      </c>
      <c r="M31" s="17">
        <f>MAX(0,$F31-INDEX(Grid_Stock[#Data],MATCH($D31,Grid_Stock[Part Name],0),$P$7+5))</f>
        <v/>
      </c>
      <c r="N31" s="17">
        <f>MAX(0,$F31-INDEX(Grid_Stock[#Data],MATCH($D31,Grid_Stock[Part Name],0),$P$7+6))</f>
        <v/>
      </c>
      <c r="O31" s="17">
        <f>MAX(0,$F31-INDEX(Grid_Stock[#Data],MATCH($D31,Grid_Stock[Part Name],0),$P$7+7))</f>
        <v/>
      </c>
      <c r="P31" s="17">
        <f>MAX(0,$F31-INDEX(Grid_Stock[#Data],MATCH($D31,Grid_Stock[Part Name],0),$P$7+8))</f>
        <v/>
      </c>
      <c r="Q31" s="17">
        <f>MAX(0,$F31-INDEX(Grid_Stock[#Data],MATCH($D31,Grid_Stock[Part Name],0),$P$7+9))</f>
        <v/>
      </c>
      <c r="R31" s="17">
        <f>MAX(0,$F31-INDEX(Grid_Stock[#Data],MATCH($D31,Grid_Stock[Part Name],0),$P$7+10))</f>
        <v/>
      </c>
      <c r="S31" s="17">
        <f>MAX(0,$F31-INDEX(Grid_Stock[#Data],MATCH($D31,Grid_Stock[Part Name],0),$P$7+11))</f>
        <v/>
      </c>
      <c r="T31" s="17">
        <f>MAX(0,$F31-INDEX(Grid_Stock[#Data],MATCH($D31,Grid_Stock[Part Name],0),$P$7+12))</f>
        <v/>
      </c>
      <c r="U31" s="17">
        <f>SUM(H31:T31)</f>
        <v/>
      </c>
    </row>
    <row r="32">
      <c r="B32" s="19">
        <f>IFERROR(INDEX(M_RawMaterials[Description],MATCH("CHEM-1680",M_RawMaterials[Part Name],0)),"")</f>
        <v/>
      </c>
      <c r="C32" s="19" t="inlineStr">
        <is>
          <t>713880069</t>
        </is>
      </c>
      <c r="D32" s="19" t="inlineStr">
        <is>
          <t>CHEM-1680</t>
        </is>
      </c>
      <c r="E32" s="19" t="inlineStr">
        <is>
          <t>kg</t>
        </is>
      </c>
      <c r="F32" s="19">
        <f>IFERROR(INDEX(M_RawMaterials[基準在庫下限_要入力],MATCH("CHEM-1680",M_RawMaterials[Part Name],0)),0)</f>
        <v/>
      </c>
      <c r="G32" s="19">
        <f>INDEX(Grid_Stock[#Data],MATCH($D32,Grid_Stock[Part Name],0),$P$7)</f>
        <v/>
      </c>
      <c r="H32" s="19">
        <f>MAX(0,$F32-INDEX(Grid_Stock[#Data],MATCH($D32,Grid_Stock[Part Name],0),$P$7+0))</f>
        <v/>
      </c>
      <c r="I32" s="19">
        <f>MAX(0,$F32-INDEX(Grid_Stock[#Data],MATCH($D32,Grid_Stock[Part Name],0),$P$7+1))</f>
        <v/>
      </c>
      <c r="J32" s="19">
        <f>MAX(0,$F32-INDEX(Grid_Stock[#Data],MATCH($D32,Grid_Stock[Part Name],0),$P$7+2))</f>
        <v/>
      </c>
      <c r="K32" s="19">
        <f>MAX(0,$F32-INDEX(Grid_Stock[#Data],MATCH($D32,Grid_Stock[Part Name],0),$P$7+3))</f>
        <v/>
      </c>
      <c r="L32" s="19">
        <f>MAX(0,$F32-INDEX(Grid_Stock[#Data],MATCH($D32,Grid_Stock[Part Name],0),$P$7+4))</f>
        <v/>
      </c>
      <c r="M32" s="19">
        <f>MAX(0,$F32-INDEX(Grid_Stock[#Data],MATCH($D32,Grid_Stock[Part Name],0),$P$7+5))</f>
        <v/>
      </c>
      <c r="N32" s="19">
        <f>MAX(0,$F32-INDEX(Grid_Stock[#Data],MATCH($D32,Grid_Stock[Part Name],0),$P$7+6))</f>
        <v/>
      </c>
      <c r="O32" s="19">
        <f>MAX(0,$F32-INDEX(Grid_Stock[#Data],MATCH($D32,Grid_Stock[Part Name],0),$P$7+7))</f>
        <v/>
      </c>
      <c r="P32" s="19">
        <f>MAX(0,$F32-INDEX(Grid_Stock[#Data],MATCH($D32,Grid_Stock[Part Name],0),$P$7+8))</f>
        <v/>
      </c>
      <c r="Q32" s="19">
        <f>MAX(0,$F32-INDEX(Grid_Stock[#Data],MATCH($D32,Grid_Stock[Part Name],0),$P$7+9))</f>
        <v/>
      </c>
      <c r="R32" s="19">
        <f>MAX(0,$F32-INDEX(Grid_Stock[#Data],MATCH($D32,Grid_Stock[Part Name],0),$P$7+10))</f>
        <v/>
      </c>
      <c r="S32" s="19">
        <f>MAX(0,$F32-INDEX(Grid_Stock[#Data],MATCH($D32,Grid_Stock[Part Name],0),$P$7+11))</f>
        <v/>
      </c>
      <c r="T32" s="19">
        <f>MAX(0,$F32-INDEX(Grid_Stock[#Data],MATCH($D32,Grid_Stock[Part Name],0),$P$7+12))</f>
        <v/>
      </c>
      <c r="U32" s="19">
        <f>SUM(H32:T32)</f>
        <v/>
      </c>
    </row>
    <row r="33">
      <c r="B33" s="17">
        <f>IFERROR(INDEX(M_RawMaterials[Description],MATCH("CHEM-1730",M_RawMaterials[Part Name],0)),"")</f>
        <v/>
      </c>
      <c r="C33" s="17" t="inlineStr">
        <is>
          <t>71388007701</t>
        </is>
      </c>
      <c r="D33" s="17" t="inlineStr">
        <is>
          <t>CHEM-1730</t>
        </is>
      </c>
      <c r="E33" s="17" t="inlineStr">
        <is>
          <t>kg</t>
        </is>
      </c>
      <c r="F33" s="17">
        <f>IFERROR(INDEX(M_RawMaterials[基準在庫下限_要入力],MATCH("CHEM-1730",M_RawMaterials[Part Name],0)),0)</f>
        <v/>
      </c>
      <c r="G33" s="17">
        <f>INDEX(Grid_Stock[#Data],MATCH($D33,Grid_Stock[Part Name],0),$P$7)</f>
        <v/>
      </c>
      <c r="H33" s="17">
        <f>MAX(0,$F33-INDEX(Grid_Stock[#Data],MATCH($D33,Grid_Stock[Part Name],0),$P$7+0))</f>
        <v/>
      </c>
      <c r="I33" s="17">
        <f>MAX(0,$F33-INDEX(Grid_Stock[#Data],MATCH($D33,Grid_Stock[Part Name],0),$P$7+1))</f>
        <v/>
      </c>
      <c r="J33" s="17">
        <f>MAX(0,$F33-INDEX(Grid_Stock[#Data],MATCH($D33,Grid_Stock[Part Name],0),$P$7+2))</f>
        <v/>
      </c>
      <c r="K33" s="17">
        <f>MAX(0,$F33-INDEX(Grid_Stock[#Data],MATCH($D33,Grid_Stock[Part Name],0),$P$7+3))</f>
        <v/>
      </c>
      <c r="L33" s="17">
        <f>MAX(0,$F33-INDEX(Grid_Stock[#Data],MATCH($D33,Grid_Stock[Part Name],0),$P$7+4))</f>
        <v/>
      </c>
      <c r="M33" s="17">
        <f>MAX(0,$F33-INDEX(Grid_Stock[#Data],MATCH($D33,Grid_Stock[Part Name],0),$P$7+5))</f>
        <v/>
      </c>
      <c r="N33" s="17">
        <f>MAX(0,$F33-INDEX(Grid_Stock[#Data],MATCH($D33,Grid_Stock[Part Name],0),$P$7+6))</f>
        <v/>
      </c>
      <c r="O33" s="17">
        <f>MAX(0,$F33-INDEX(Grid_Stock[#Data],MATCH($D33,Grid_Stock[Part Name],0),$P$7+7))</f>
        <v/>
      </c>
      <c r="P33" s="17">
        <f>MAX(0,$F33-INDEX(Grid_Stock[#Data],MATCH($D33,Grid_Stock[Part Name],0),$P$7+8))</f>
        <v/>
      </c>
      <c r="Q33" s="17">
        <f>MAX(0,$F33-INDEX(Grid_Stock[#Data],MATCH($D33,Grid_Stock[Part Name],0),$P$7+9))</f>
        <v/>
      </c>
      <c r="R33" s="17">
        <f>MAX(0,$F33-INDEX(Grid_Stock[#Data],MATCH($D33,Grid_Stock[Part Name],0),$P$7+10))</f>
        <v/>
      </c>
      <c r="S33" s="17">
        <f>MAX(0,$F33-INDEX(Grid_Stock[#Data],MATCH($D33,Grid_Stock[Part Name],0),$P$7+11))</f>
        <v/>
      </c>
      <c r="T33" s="17">
        <f>MAX(0,$F33-INDEX(Grid_Stock[#Data],MATCH($D33,Grid_Stock[Part Name],0),$P$7+12))</f>
        <v/>
      </c>
      <c r="U33" s="17">
        <f>SUM(H33:T33)</f>
        <v/>
      </c>
    </row>
    <row r="34">
      <c r="B34" s="19">
        <f>IFERROR(INDEX(M_RawMaterials[Description],MATCH("CHEM-1570",M_RawMaterials[Part Name],0)),"")</f>
        <v/>
      </c>
      <c r="C34" s="19" t="inlineStr">
        <is>
          <t>71288624802</t>
        </is>
      </c>
      <c r="D34" s="19" t="inlineStr">
        <is>
          <t>CHEM-1570</t>
        </is>
      </c>
      <c r="E34" s="19" t="inlineStr">
        <is>
          <t>kg</t>
        </is>
      </c>
      <c r="F34" s="19">
        <f>IFERROR(INDEX(M_RawMaterials[基準在庫下限_要入力],MATCH("CHEM-1570",M_RawMaterials[Part Name],0)),0)</f>
        <v/>
      </c>
      <c r="G34" s="19">
        <f>INDEX(Grid_Stock[#Data],MATCH($D34,Grid_Stock[Part Name],0),$P$7)</f>
        <v/>
      </c>
      <c r="H34" s="19">
        <f>MAX(0,$F34-INDEX(Grid_Stock[#Data],MATCH($D34,Grid_Stock[Part Name],0),$P$7+0))</f>
        <v/>
      </c>
      <c r="I34" s="19">
        <f>MAX(0,$F34-INDEX(Grid_Stock[#Data],MATCH($D34,Grid_Stock[Part Name],0),$P$7+1))</f>
        <v/>
      </c>
      <c r="J34" s="19">
        <f>MAX(0,$F34-INDEX(Grid_Stock[#Data],MATCH($D34,Grid_Stock[Part Name],0),$P$7+2))</f>
        <v/>
      </c>
      <c r="K34" s="19">
        <f>MAX(0,$F34-INDEX(Grid_Stock[#Data],MATCH($D34,Grid_Stock[Part Name],0),$P$7+3))</f>
        <v/>
      </c>
      <c r="L34" s="19">
        <f>MAX(0,$F34-INDEX(Grid_Stock[#Data],MATCH($D34,Grid_Stock[Part Name],0),$P$7+4))</f>
        <v/>
      </c>
      <c r="M34" s="19">
        <f>MAX(0,$F34-INDEX(Grid_Stock[#Data],MATCH($D34,Grid_Stock[Part Name],0),$P$7+5))</f>
        <v/>
      </c>
      <c r="N34" s="19">
        <f>MAX(0,$F34-INDEX(Grid_Stock[#Data],MATCH($D34,Grid_Stock[Part Name],0),$P$7+6))</f>
        <v/>
      </c>
      <c r="O34" s="19">
        <f>MAX(0,$F34-INDEX(Grid_Stock[#Data],MATCH($D34,Grid_Stock[Part Name],0),$P$7+7))</f>
        <v/>
      </c>
      <c r="P34" s="19">
        <f>MAX(0,$F34-INDEX(Grid_Stock[#Data],MATCH($D34,Grid_Stock[Part Name],0),$P$7+8))</f>
        <v/>
      </c>
      <c r="Q34" s="19">
        <f>MAX(0,$F34-INDEX(Grid_Stock[#Data],MATCH($D34,Grid_Stock[Part Name],0),$P$7+9))</f>
        <v/>
      </c>
      <c r="R34" s="19">
        <f>MAX(0,$F34-INDEX(Grid_Stock[#Data],MATCH($D34,Grid_Stock[Part Name],0),$P$7+10))</f>
        <v/>
      </c>
      <c r="S34" s="19">
        <f>MAX(0,$F34-INDEX(Grid_Stock[#Data],MATCH($D34,Grid_Stock[Part Name],0),$P$7+11))</f>
        <v/>
      </c>
      <c r="T34" s="19">
        <f>MAX(0,$F34-INDEX(Grid_Stock[#Data],MATCH($D34,Grid_Stock[Part Name],0),$P$7+12))</f>
        <v/>
      </c>
      <c r="U34" s="19">
        <f>SUM(H34:T34)</f>
        <v/>
      </c>
    </row>
    <row r="35">
      <c r="B35" s="17">
        <f>IFERROR(INDEX(M_RawMaterials[Description],MATCH("CHEM-1450",M_RawMaterials[Part Name],0)),"")</f>
        <v/>
      </c>
      <c r="C35" s="17" t="inlineStr">
        <is>
          <t>Noptechs</t>
        </is>
      </c>
      <c r="D35" s="17" t="inlineStr">
        <is>
          <t>CHEM-1450</t>
        </is>
      </c>
      <c r="E35" s="17" t="inlineStr">
        <is>
          <t>kg</t>
        </is>
      </c>
      <c r="F35" s="17">
        <f>IFERROR(INDEX(M_RawMaterials[基準在庫下限_要入力],MATCH("CHEM-1450",M_RawMaterials[Part Name],0)),0)</f>
        <v/>
      </c>
      <c r="G35" s="17">
        <f>INDEX(Grid_Stock[#Data],MATCH($D35,Grid_Stock[Part Name],0),$P$7)</f>
        <v/>
      </c>
      <c r="H35" s="17">
        <f>MAX(0,$F35-INDEX(Grid_Stock[#Data],MATCH($D35,Grid_Stock[Part Name],0),$P$7+0))</f>
        <v/>
      </c>
      <c r="I35" s="17">
        <f>MAX(0,$F35-INDEX(Grid_Stock[#Data],MATCH($D35,Grid_Stock[Part Name],0),$P$7+1))</f>
        <v/>
      </c>
      <c r="J35" s="17">
        <f>MAX(0,$F35-INDEX(Grid_Stock[#Data],MATCH($D35,Grid_Stock[Part Name],0),$P$7+2))</f>
        <v/>
      </c>
      <c r="K35" s="17">
        <f>MAX(0,$F35-INDEX(Grid_Stock[#Data],MATCH($D35,Grid_Stock[Part Name],0),$P$7+3))</f>
        <v/>
      </c>
      <c r="L35" s="17">
        <f>MAX(0,$F35-INDEX(Grid_Stock[#Data],MATCH($D35,Grid_Stock[Part Name],0),$P$7+4))</f>
        <v/>
      </c>
      <c r="M35" s="17">
        <f>MAX(0,$F35-INDEX(Grid_Stock[#Data],MATCH($D35,Grid_Stock[Part Name],0),$P$7+5))</f>
        <v/>
      </c>
      <c r="N35" s="17">
        <f>MAX(0,$F35-INDEX(Grid_Stock[#Data],MATCH($D35,Grid_Stock[Part Name],0),$P$7+6))</f>
        <v/>
      </c>
      <c r="O35" s="17">
        <f>MAX(0,$F35-INDEX(Grid_Stock[#Data],MATCH($D35,Grid_Stock[Part Name],0),$P$7+7))</f>
        <v/>
      </c>
      <c r="P35" s="17">
        <f>MAX(0,$F35-INDEX(Grid_Stock[#Data],MATCH($D35,Grid_Stock[Part Name],0),$P$7+8))</f>
        <v/>
      </c>
      <c r="Q35" s="17">
        <f>MAX(0,$F35-INDEX(Grid_Stock[#Data],MATCH($D35,Grid_Stock[Part Name],0),$P$7+9))</f>
        <v/>
      </c>
      <c r="R35" s="17">
        <f>MAX(0,$F35-INDEX(Grid_Stock[#Data],MATCH($D35,Grid_Stock[Part Name],0),$P$7+10))</f>
        <v/>
      </c>
      <c r="S35" s="17">
        <f>MAX(0,$F35-INDEX(Grid_Stock[#Data],MATCH($D35,Grid_Stock[Part Name],0),$P$7+11))</f>
        <v/>
      </c>
      <c r="T35" s="17">
        <f>MAX(0,$F35-INDEX(Grid_Stock[#Data],MATCH($D35,Grid_Stock[Part Name],0),$P$7+12))</f>
        <v/>
      </c>
      <c r="U35" s="17">
        <f>SUM(H35:T35)</f>
        <v/>
      </c>
    </row>
    <row r="36">
      <c r="B36" s="19">
        <f>IFERROR(INDEX(M_RawMaterials[Description],MATCH("CHEM-1770",M_RawMaterials[Part Name],0)),"")</f>
        <v/>
      </c>
      <c r="C36" s="19" t="inlineStr">
        <is>
          <t>New</t>
        </is>
      </c>
      <c r="D36" s="19" t="inlineStr">
        <is>
          <t>CHEM-1770</t>
        </is>
      </c>
      <c r="E36" s="19" t="inlineStr">
        <is>
          <t>kg</t>
        </is>
      </c>
      <c r="F36" s="19">
        <f>IFERROR(INDEX(M_RawMaterials[基準在庫下限_要入力],MATCH("CHEM-1770",M_RawMaterials[Part Name],0)),0)</f>
        <v/>
      </c>
      <c r="G36" s="19">
        <f>INDEX(Grid_Stock[#Data],MATCH($D36,Grid_Stock[Part Name],0),$P$7)</f>
        <v/>
      </c>
      <c r="H36" s="19">
        <f>MAX(0,$F36-INDEX(Grid_Stock[#Data],MATCH($D36,Grid_Stock[Part Name],0),$P$7+0))</f>
        <v/>
      </c>
      <c r="I36" s="19">
        <f>MAX(0,$F36-INDEX(Grid_Stock[#Data],MATCH($D36,Grid_Stock[Part Name],0),$P$7+1))</f>
        <v/>
      </c>
      <c r="J36" s="19">
        <f>MAX(0,$F36-INDEX(Grid_Stock[#Data],MATCH($D36,Grid_Stock[Part Name],0),$P$7+2))</f>
        <v/>
      </c>
      <c r="K36" s="19">
        <f>MAX(0,$F36-INDEX(Grid_Stock[#Data],MATCH($D36,Grid_Stock[Part Name],0),$P$7+3))</f>
        <v/>
      </c>
      <c r="L36" s="19">
        <f>MAX(0,$F36-INDEX(Grid_Stock[#Data],MATCH($D36,Grid_Stock[Part Name],0),$P$7+4))</f>
        <v/>
      </c>
      <c r="M36" s="19">
        <f>MAX(0,$F36-INDEX(Grid_Stock[#Data],MATCH($D36,Grid_Stock[Part Name],0),$P$7+5))</f>
        <v/>
      </c>
      <c r="N36" s="19">
        <f>MAX(0,$F36-INDEX(Grid_Stock[#Data],MATCH($D36,Grid_Stock[Part Name],0),$P$7+6))</f>
        <v/>
      </c>
      <c r="O36" s="19">
        <f>MAX(0,$F36-INDEX(Grid_Stock[#Data],MATCH($D36,Grid_Stock[Part Name],0),$P$7+7))</f>
        <v/>
      </c>
      <c r="P36" s="19">
        <f>MAX(0,$F36-INDEX(Grid_Stock[#Data],MATCH($D36,Grid_Stock[Part Name],0),$P$7+8))</f>
        <v/>
      </c>
      <c r="Q36" s="19">
        <f>MAX(0,$F36-INDEX(Grid_Stock[#Data],MATCH($D36,Grid_Stock[Part Name],0),$P$7+9))</f>
        <v/>
      </c>
      <c r="R36" s="19">
        <f>MAX(0,$F36-INDEX(Grid_Stock[#Data],MATCH($D36,Grid_Stock[Part Name],0),$P$7+10))</f>
        <v/>
      </c>
      <c r="S36" s="19">
        <f>MAX(0,$F36-INDEX(Grid_Stock[#Data],MATCH($D36,Grid_Stock[Part Name],0),$P$7+11))</f>
        <v/>
      </c>
      <c r="T36" s="19">
        <f>MAX(0,$F36-INDEX(Grid_Stock[#Data],MATCH($D36,Grid_Stock[Part Name],0),$P$7+12))</f>
        <v/>
      </c>
      <c r="U36" s="19">
        <f>SUM(H36:T36)</f>
        <v/>
      </c>
    </row>
    <row r="37">
      <c r="B37" s="17">
        <f>IFERROR(INDEX(M_RawMaterials[Description],MATCH("CHEM-1430",M_RawMaterials[Part Name],0)),"")</f>
        <v/>
      </c>
      <c r="C37" s="17" t="inlineStr">
        <is>
          <t>71388004301</t>
        </is>
      </c>
      <c r="D37" s="17" t="inlineStr">
        <is>
          <t>CHEM-1430</t>
        </is>
      </c>
      <c r="E37" s="17" t="inlineStr">
        <is>
          <t>kg</t>
        </is>
      </c>
      <c r="F37" s="17">
        <f>IFERROR(INDEX(M_RawMaterials[基準在庫下限_要入力],MATCH("CHEM-1430",M_RawMaterials[Part Name],0)),0)</f>
        <v/>
      </c>
      <c r="G37" s="17">
        <f>INDEX(Grid_Stock[#Data],MATCH($D37,Grid_Stock[Part Name],0),$P$7)</f>
        <v/>
      </c>
      <c r="H37" s="17">
        <f>MAX(0,$F37-INDEX(Grid_Stock[#Data],MATCH($D37,Grid_Stock[Part Name],0),$P$7+0))</f>
        <v/>
      </c>
      <c r="I37" s="17">
        <f>MAX(0,$F37-INDEX(Grid_Stock[#Data],MATCH($D37,Grid_Stock[Part Name],0),$P$7+1))</f>
        <v/>
      </c>
      <c r="J37" s="17">
        <f>MAX(0,$F37-INDEX(Grid_Stock[#Data],MATCH($D37,Grid_Stock[Part Name],0),$P$7+2))</f>
        <v/>
      </c>
      <c r="K37" s="17">
        <f>MAX(0,$F37-INDEX(Grid_Stock[#Data],MATCH($D37,Grid_Stock[Part Name],0),$P$7+3))</f>
        <v/>
      </c>
      <c r="L37" s="17">
        <f>MAX(0,$F37-INDEX(Grid_Stock[#Data],MATCH($D37,Grid_Stock[Part Name],0),$P$7+4))</f>
        <v/>
      </c>
      <c r="M37" s="17">
        <f>MAX(0,$F37-INDEX(Grid_Stock[#Data],MATCH($D37,Grid_Stock[Part Name],0),$P$7+5))</f>
        <v/>
      </c>
      <c r="N37" s="17">
        <f>MAX(0,$F37-INDEX(Grid_Stock[#Data],MATCH($D37,Grid_Stock[Part Name],0),$P$7+6))</f>
        <v/>
      </c>
      <c r="O37" s="17">
        <f>MAX(0,$F37-INDEX(Grid_Stock[#Data],MATCH($D37,Grid_Stock[Part Name],0),$P$7+7))</f>
        <v/>
      </c>
      <c r="P37" s="17">
        <f>MAX(0,$F37-INDEX(Grid_Stock[#Data],MATCH($D37,Grid_Stock[Part Name],0),$P$7+8))</f>
        <v/>
      </c>
      <c r="Q37" s="17">
        <f>MAX(0,$F37-INDEX(Grid_Stock[#Data],MATCH($D37,Grid_Stock[Part Name],0),$P$7+9))</f>
        <v/>
      </c>
      <c r="R37" s="17">
        <f>MAX(0,$F37-INDEX(Grid_Stock[#Data],MATCH($D37,Grid_Stock[Part Name],0),$P$7+10))</f>
        <v/>
      </c>
      <c r="S37" s="17">
        <f>MAX(0,$F37-INDEX(Grid_Stock[#Data],MATCH($D37,Grid_Stock[Part Name],0),$P$7+11))</f>
        <v/>
      </c>
      <c r="T37" s="17">
        <f>MAX(0,$F37-INDEX(Grid_Stock[#Data],MATCH($D37,Grid_Stock[Part Name],0),$P$7+12))</f>
        <v/>
      </c>
      <c r="U37" s="17">
        <f>SUM(H37:T37)</f>
        <v/>
      </c>
    </row>
    <row r="38">
      <c r="B38" s="19">
        <f>IFERROR(INDEX(M_RawMaterials[Description],MATCH("CHEM-1470",M_RawMaterials[Part Name],0)),"")</f>
        <v/>
      </c>
      <c r="C38" s="19" t="inlineStr">
        <is>
          <t>SCFA100</t>
        </is>
      </c>
      <c r="D38" s="19" t="inlineStr">
        <is>
          <t>CHEM-1470</t>
        </is>
      </c>
      <c r="E38" s="19" t="inlineStr">
        <is>
          <t>kg</t>
        </is>
      </c>
      <c r="F38" s="19">
        <f>IFERROR(INDEX(M_RawMaterials[基準在庫下限_要入力],MATCH("CHEM-1470",M_RawMaterials[Part Name],0)),0)</f>
        <v/>
      </c>
      <c r="G38" s="19">
        <f>INDEX(Grid_Stock[#Data],MATCH($D38,Grid_Stock[Part Name],0),$P$7)</f>
        <v/>
      </c>
      <c r="H38" s="19">
        <f>MAX(0,$F38-INDEX(Grid_Stock[#Data],MATCH($D38,Grid_Stock[Part Name],0),$P$7+0))</f>
        <v/>
      </c>
      <c r="I38" s="19">
        <f>MAX(0,$F38-INDEX(Grid_Stock[#Data],MATCH($D38,Grid_Stock[Part Name],0),$P$7+1))</f>
        <v/>
      </c>
      <c r="J38" s="19">
        <f>MAX(0,$F38-INDEX(Grid_Stock[#Data],MATCH($D38,Grid_Stock[Part Name],0),$P$7+2))</f>
        <v/>
      </c>
      <c r="K38" s="19">
        <f>MAX(0,$F38-INDEX(Grid_Stock[#Data],MATCH($D38,Grid_Stock[Part Name],0),$P$7+3))</f>
        <v/>
      </c>
      <c r="L38" s="19">
        <f>MAX(0,$F38-INDEX(Grid_Stock[#Data],MATCH($D38,Grid_Stock[Part Name],0),$P$7+4))</f>
        <v/>
      </c>
      <c r="M38" s="19">
        <f>MAX(0,$F38-INDEX(Grid_Stock[#Data],MATCH($D38,Grid_Stock[Part Name],0),$P$7+5))</f>
        <v/>
      </c>
      <c r="N38" s="19">
        <f>MAX(0,$F38-INDEX(Grid_Stock[#Data],MATCH($D38,Grid_Stock[Part Name],0),$P$7+6))</f>
        <v/>
      </c>
      <c r="O38" s="19">
        <f>MAX(0,$F38-INDEX(Grid_Stock[#Data],MATCH($D38,Grid_Stock[Part Name],0),$P$7+7))</f>
        <v/>
      </c>
      <c r="P38" s="19">
        <f>MAX(0,$F38-INDEX(Grid_Stock[#Data],MATCH($D38,Grid_Stock[Part Name],0),$P$7+8))</f>
        <v/>
      </c>
      <c r="Q38" s="19">
        <f>MAX(0,$F38-INDEX(Grid_Stock[#Data],MATCH($D38,Grid_Stock[Part Name],0),$P$7+9))</f>
        <v/>
      </c>
      <c r="R38" s="19">
        <f>MAX(0,$F38-INDEX(Grid_Stock[#Data],MATCH($D38,Grid_Stock[Part Name],0),$P$7+10))</f>
        <v/>
      </c>
      <c r="S38" s="19">
        <f>MAX(0,$F38-INDEX(Grid_Stock[#Data],MATCH($D38,Grid_Stock[Part Name],0),$P$7+11))</f>
        <v/>
      </c>
      <c r="T38" s="19">
        <f>MAX(0,$F38-INDEX(Grid_Stock[#Data],MATCH($D38,Grid_Stock[Part Name],0),$P$7+12))</f>
        <v/>
      </c>
      <c r="U38" s="19">
        <f>SUM(H38:T38)</f>
        <v/>
      </c>
    </row>
    <row r="39">
      <c r="B39" s="17">
        <f>IFERROR(INDEX(M_RawMaterials[Description],MATCH("CHEM-1010",M_RawMaterials[Part Name],0)),"")</f>
        <v/>
      </c>
      <c r="C39" s="17" t="inlineStr">
        <is>
          <t>Sodium Carbonate</t>
        </is>
      </c>
      <c r="D39" s="17" t="inlineStr">
        <is>
          <t>CHEM-1010</t>
        </is>
      </c>
      <c r="E39" s="17" t="inlineStr">
        <is>
          <t>kg</t>
        </is>
      </c>
      <c r="F39" s="17">
        <f>IFERROR(INDEX(M_RawMaterials[基準在庫下限_要入力],MATCH("CHEM-1010",M_RawMaterials[Part Name],0)),0)</f>
        <v/>
      </c>
      <c r="G39" s="17">
        <f>INDEX(Grid_Stock[#Data],MATCH($D39,Grid_Stock[Part Name],0),$P$7)</f>
        <v/>
      </c>
      <c r="H39" s="17">
        <f>MAX(0,$F39-INDEX(Grid_Stock[#Data],MATCH($D39,Grid_Stock[Part Name],0),$P$7+0))</f>
        <v/>
      </c>
      <c r="I39" s="17">
        <f>MAX(0,$F39-INDEX(Grid_Stock[#Data],MATCH($D39,Grid_Stock[Part Name],0),$P$7+1))</f>
        <v/>
      </c>
      <c r="J39" s="17">
        <f>MAX(0,$F39-INDEX(Grid_Stock[#Data],MATCH($D39,Grid_Stock[Part Name],0),$P$7+2))</f>
        <v/>
      </c>
      <c r="K39" s="17">
        <f>MAX(0,$F39-INDEX(Grid_Stock[#Data],MATCH($D39,Grid_Stock[Part Name],0),$P$7+3))</f>
        <v/>
      </c>
      <c r="L39" s="17">
        <f>MAX(0,$F39-INDEX(Grid_Stock[#Data],MATCH($D39,Grid_Stock[Part Name],0),$P$7+4))</f>
        <v/>
      </c>
      <c r="M39" s="17">
        <f>MAX(0,$F39-INDEX(Grid_Stock[#Data],MATCH($D39,Grid_Stock[Part Name],0),$P$7+5))</f>
        <v/>
      </c>
      <c r="N39" s="17">
        <f>MAX(0,$F39-INDEX(Grid_Stock[#Data],MATCH($D39,Grid_Stock[Part Name],0),$P$7+6))</f>
        <v/>
      </c>
      <c r="O39" s="17">
        <f>MAX(0,$F39-INDEX(Grid_Stock[#Data],MATCH($D39,Grid_Stock[Part Name],0),$P$7+7))</f>
        <v/>
      </c>
      <c r="P39" s="17">
        <f>MAX(0,$F39-INDEX(Grid_Stock[#Data],MATCH($D39,Grid_Stock[Part Name],0),$P$7+8))</f>
        <v/>
      </c>
      <c r="Q39" s="17">
        <f>MAX(0,$F39-INDEX(Grid_Stock[#Data],MATCH($D39,Grid_Stock[Part Name],0),$P$7+9))</f>
        <v/>
      </c>
      <c r="R39" s="17">
        <f>MAX(0,$F39-INDEX(Grid_Stock[#Data],MATCH($D39,Grid_Stock[Part Name],0),$P$7+10))</f>
        <v/>
      </c>
      <c r="S39" s="17">
        <f>MAX(0,$F39-INDEX(Grid_Stock[#Data],MATCH($D39,Grid_Stock[Part Name],0),$P$7+11))</f>
        <v/>
      </c>
      <c r="T39" s="17">
        <f>MAX(0,$F39-INDEX(Grid_Stock[#Data],MATCH($D39,Grid_Stock[Part Name],0),$P$7+12))</f>
        <v/>
      </c>
      <c r="U39" s="17">
        <f>SUM(H39:T39)</f>
        <v/>
      </c>
    </row>
    <row r="40">
      <c r="B40" s="19">
        <f>IFERROR(INDEX(M_RawMaterials[Description],MATCH("CHEM-1760",M_RawMaterials[Part Name],0)),"")</f>
        <v/>
      </c>
      <c r="C40" s="19" t="inlineStr">
        <is>
          <t>713880079</t>
        </is>
      </c>
      <c r="D40" s="19" t="inlineStr">
        <is>
          <t>CHEM-1760</t>
        </is>
      </c>
      <c r="E40" s="19" t="inlineStr">
        <is>
          <t>kg</t>
        </is>
      </c>
      <c r="F40" s="19">
        <f>IFERROR(INDEX(M_RawMaterials[基準在庫下限_要入力],MATCH("CHEM-1760",M_RawMaterials[Part Name],0)),0)</f>
        <v/>
      </c>
      <c r="G40" s="19">
        <f>INDEX(Grid_Stock[#Data],MATCH($D40,Grid_Stock[Part Name],0),$P$7)</f>
        <v/>
      </c>
      <c r="H40" s="19">
        <f>MAX(0,$F40-INDEX(Grid_Stock[#Data],MATCH($D40,Grid_Stock[Part Name],0),$P$7+0))</f>
        <v/>
      </c>
      <c r="I40" s="19">
        <f>MAX(0,$F40-INDEX(Grid_Stock[#Data],MATCH($D40,Grid_Stock[Part Name],0),$P$7+1))</f>
        <v/>
      </c>
      <c r="J40" s="19">
        <f>MAX(0,$F40-INDEX(Grid_Stock[#Data],MATCH($D40,Grid_Stock[Part Name],0),$P$7+2))</f>
        <v/>
      </c>
      <c r="K40" s="19">
        <f>MAX(0,$F40-INDEX(Grid_Stock[#Data],MATCH($D40,Grid_Stock[Part Name],0),$P$7+3))</f>
        <v/>
      </c>
      <c r="L40" s="19">
        <f>MAX(0,$F40-INDEX(Grid_Stock[#Data],MATCH($D40,Grid_Stock[Part Name],0),$P$7+4))</f>
        <v/>
      </c>
      <c r="M40" s="19">
        <f>MAX(0,$F40-INDEX(Grid_Stock[#Data],MATCH($D40,Grid_Stock[Part Name],0),$P$7+5))</f>
        <v/>
      </c>
      <c r="N40" s="19">
        <f>MAX(0,$F40-INDEX(Grid_Stock[#Data],MATCH($D40,Grid_Stock[Part Name],0),$P$7+6))</f>
        <v/>
      </c>
      <c r="O40" s="19">
        <f>MAX(0,$F40-INDEX(Grid_Stock[#Data],MATCH($D40,Grid_Stock[Part Name],0),$P$7+7))</f>
        <v/>
      </c>
      <c r="P40" s="19">
        <f>MAX(0,$F40-INDEX(Grid_Stock[#Data],MATCH($D40,Grid_Stock[Part Name],0),$P$7+8))</f>
        <v/>
      </c>
      <c r="Q40" s="19">
        <f>MAX(0,$F40-INDEX(Grid_Stock[#Data],MATCH($D40,Grid_Stock[Part Name],0),$P$7+9))</f>
        <v/>
      </c>
      <c r="R40" s="19">
        <f>MAX(0,$F40-INDEX(Grid_Stock[#Data],MATCH($D40,Grid_Stock[Part Name],0),$P$7+10))</f>
        <v/>
      </c>
      <c r="S40" s="19">
        <f>MAX(0,$F40-INDEX(Grid_Stock[#Data],MATCH($D40,Grid_Stock[Part Name],0),$P$7+11))</f>
        <v/>
      </c>
      <c r="T40" s="19">
        <f>MAX(0,$F40-INDEX(Grid_Stock[#Data],MATCH($D40,Grid_Stock[Part Name],0),$P$7+12))</f>
        <v/>
      </c>
      <c r="U40" s="19">
        <f>SUM(H40:T40)</f>
        <v/>
      </c>
    </row>
    <row r="41">
      <c r="B41" s="17">
        <f>IFERROR(INDEX(M_RawMaterials[Description],MATCH("CHEM-1700",M_RawMaterials[Part Name],0)),"")</f>
        <v/>
      </c>
      <c r="C41" s="17" t="inlineStr">
        <is>
          <t>712886270</t>
        </is>
      </c>
      <c r="D41" s="17" t="inlineStr">
        <is>
          <t>CHEM-1700</t>
        </is>
      </c>
      <c r="E41" s="17" t="inlineStr">
        <is>
          <t>kg</t>
        </is>
      </c>
      <c r="F41" s="17">
        <f>IFERROR(INDEX(M_RawMaterials[基準在庫下限_要入力],MATCH("CHEM-1700",M_RawMaterials[Part Name],0)),0)</f>
        <v/>
      </c>
      <c r="G41" s="17">
        <f>INDEX(Grid_Stock[#Data],MATCH($D41,Grid_Stock[Part Name],0),$P$7)</f>
        <v/>
      </c>
      <c r="H41" s="17">
        <f>MAX(0,$F41-INDEX(Grid_Stock[#Data],MATCH($D41,Grid_Stock[Part Name],0),$P$7+0))</f>
        <v/>
      </c>
      <c r="I41" s="17">
        <f>MAX(0,$F41-INDEX(Grid_Stock[#Data],MATCH($D41,Grid_Stock[Part Name],0),$P$7+1))</f>
        <v/>
      </c>
      <c r="J41" s="17">
        <f>MAX(0,$F41-INDEX(Grid_Stock[#Data],MATCH($D41,Grid_Stock[Part Name],0),$P$7+2))</f>
        <v/>
      </c>
      <c r="K41" s="17">
        <f>MAX(0,$F41-INDEX(Grid_Stock[#Data],MATCH($D41,Grid_Stock[Part Name],0),$P$7+3))</f>
        <v/>
      </c>
      <c r="L41" s="17">
        <f>MAX(0,$F41-INDEX(Grid_Stock[#Data],MATCH($D41,Grid_Stock[Part Name],0),$P$7+4))</f>
        <v/>
      </c>
      <c r="M41" s="17">
        <f>MAX(0,$F41-INDEX(Grid_Stock[#Data],MATCH($D41,Grid_Stock[Part Name],0),$P$7+5))</f>
        <v/>
      </c>
      <c r="N41" s="17">
        <f>MAX(0,$F41-INDEX(Grid_Stock[#Data],MATCH($D41,Grid_Stock[Part Name],0),$P$7+6))</f>
        <v/>
      </c>
      <c r="O41" s="17">
        <f>MAX(0,$F41-INDEX(Grid_Stock[#Data],MATCH($D41,Grid_Stock[Part Name],0),$P$7+7))</f>
        <v/>
      </c>
      <c r="P41" s="17">
        <f>MAX(0,$F41-INDEX(Grid_Stock[#Data],MATCH($D41,Grid_Stock[Part Name],0),$P$7+8))</f>
        <v/>
      </c>
      <c r="Q41" s="17">
        <f>MAX(0,$F41-INDEX(Grid_Stock[#Data],MATCH($D41,Grid_Stock[Part Name],0),$P$7+9))</f>
        <v/>
      </c>
      <c r="R41" s="17">
        <f>MAX(0,$F41-INDEX(Grid_Stock[#Data],MATCH($D41,Grid_Stock[Part Name],0),$P$7+10))</f>
        <v/>
      </c>
      <c r="S41" s="17">
        <f>MAX(0,$F41-INDEX(Grid_Stock[#Data],MATCH($D41,Grid_Stock[Part Name],0),$P$7+11))</f>
        <v/>
      </c>
      <c r="T41" s="17">
        <f>MAX(0,$F41-INDEX(Grid_Stock[#Data],MATCH($D41,Grid_Stock[Part Name],0),$P$7+12))</f>
        <v/>
      </c>
      <c r="U41" s="17">
        <f>SUM(H41:T41)</f>
        <v/>
      </c>
    </row>
    <row r="42">
      <c r="B42" s="19">
        <f>IFERROR(INDEX(M_RawMaterials[Description],MATCH("CHEM-1850",M_RawMaterials[Part Name],0)),"")</f>
        <v/>
      </c>
      <c r="C42" s="19" t="inlineStr">
        <is>
          <t>kg</t>
        </is>
      </c>
      <c r="D42" s="19" t="inlineStr">
        <is>
          <t>CHEM-1850</t>
        </is>
      </c>
      <c r="E42" s="19" t="inlineStr">
        <is>
          <t>kg</t>
        </is>
      </c>
      <c r="F42" s="19">
        <f>IFERROR(INDEX(M_RawMaterials[基準在庫下限_要入力],MATCH("CHEM-1850",M_RawMaterials[Part Name],0)),0)</f>
        <v/>
      </c>
      <c r="G42" s="19">
        <f>INDEX(Grid_Stock[#Data],MATCH($D42,Grid_Stock[Part Name],0),$P$7)</f>
        <v/>
      </c>
      <c r="H42" s="19">
        <f>MAX(0,$F42-INDEX(Grid_Stock[#Data],MATCH($D42,Grid_Stock[Part Name],0),$P$7+0))</f>
        <v/>
      </c>
      <c r="I42" s="19">
        <f>MAX(0,$F42-INDEX(Grid_Stock[#Data],MATCH($D42,Grid_Stock[Part Name],0),$P$7+1))</f>
        <v/>
      </c>
      <c r="J42" s="19">
        <f>MAX(0,$F42-INDEX(Grid_Stock[#Data],MATCH($D42,Grid_Stock[Part Name],0),$P$7+2))</f>
        <v/>
      </c>
      <c r="K42" s="19">
        <f>MAX(0,$F42-INDEX(Grid_Stock[#Data],MATCH($D42,Grid_Stock[Part Name],0),$P$7+3))</f>
        <v/>
      </c>
      <c r="L42" s="19">
        <f>MAX(0,$F42-INDEX(Grid_Stock[#Data],MATCH($D42,Grid_Stock[Part Name],0),$P$7+4))</f>
        <v/>
      </c>
      <c r="M42" s="19">
        <f>MAX(0,$F42-INDEX(Grid_Stock[#Data],MATCH($D42,Grid_Stock[Part Name],0),$P$7+5))</f>
        <v/>
      </c>
      <c r="N42" s="19">
        <f>MAX(0,$F42-INDEX(Grid_Stock[#Data],MATCH($D42,Grid_Stock[Part Name],0),$P$7+6))</f>
        <v/>
      </c>
      <c r="O42" s="19">
        <f>MAX(0,$F42-INDEX(Grid_Stock[#Data],MATCH($D42,Grid_Stock[Part Name],0),$P$7+7))</f>
        <v/>
      </c>
      <c r="P42" s="19">
        <f>MAX(0,$F42-INDEX(Grid_Stock[#Data],MATCH($D42,Grid_Stock[Part Name],0),$P$7+8))</f>
        <v/>
      </c>
      <c r="Q42" s="19">
        <f>MAX(0,$F42-INDEX(Grid_Stock[#Data],MATCH($D42,Grid_Stock[Part Name],0),$P$7+9))</f>
        <v/>
      </c>
      <c r="R42" s="19">
        <f>MAX(0,$F42-INDEX(Grid_Stock[#Data],MATCH($D42,Grid_Stock[Part Name],0),$P$7+10))</f>
        <v/>
      </c>
      <c r="S42" s="19">
        <f>MAX(0,$F42-INDEX(Grid_Stock[#Data],MATCH($D42,Grid_Stock[Part Name],0),$P$7+11))</f>
        <v/>
      </c>
      <c r="T42" s="19">
        <f>MAX(0,$F42-INDEX(Grid_Stock[#Data],MATCH($D42,Grid_Stock[Part Name],0),$P$7+12))</f>
        <v/>
      </c>
      <c r="U42" s="19">
        <f>SUM(H42:T42)</f>
        <v/>
      </c>
    </row>
    <row r="43">
      <c r="B43" s="17">
        <f>IFERROR(INDEX(M_RawMaterials[Description],MATCH("CHEM-1560",M_RawMaterials[Part Name],0)),"")</f>
        <v/>
      </c>
      <c r="C43" s="17" t="inlineStr">
        <is>
          <t>734831030</t>
        </is>
      </c>
      <c r="D43" s="17" t="inlineStr">
        <is>
          <t>CHEM-1560</t>
        </is>
      </c>
      <c r="E43" s="17" t="inlineStr">
        <is>
          <t>kg</t>
        </is>
      </c>
      <c r="F43" s="17">
        <f>IFERROR(INDEX(M_RawMaterials[基準在庫下限_要入力],MATCH("CHEM-1560",M_RawMaterials[Part Name],0)),0)</f>
        <v/>
      </c>
      <c r="G43" s="17">
        <f>INDEX(Grid_Stock[#Data],MATCH($D43,Grid_Stock[Part Name],0),$P$7)</f>
        <v/>
      </c>
      <c r="H43" s="17">
        <f>MAX(0,$F43-INDEX(Grid_Stock[#Data],MATCH($D43,Grid_Stock[Part Name],0),$P$7+0))</f>
        <v/>
      </c>
      <c r="I43" s="17">
        <f>MAX(0,$F43-INDEX(Grid_Stock[#Data],MATCH($D43,Grid_Stock[Part Name],0),$P$7+1))</f>
        <v/>
      </c>
      <c r="J43" s="17">
        <f>MAX(0,$F43-INDEX(Grid_Stock[#Data],MATCH($D43,Grid_Stock[Part Name],0),$P$7+2))</f>
        <v/>
      </c>
      <c r="K43" s="17">
        <f>MAX(0,$F43-INDEX(Grid_Stock[#Data],MATCH($D43,Grid_Stock[Part Name],0),$P$7+3))</f>
        <v/>
      </c>
      <c r="L43" s="17">
        <f>MAX(0,$F43-INDEX(Grid_Stock[#Data],MATCH($D43,Grid_Stock[Part Name],0),$P$7+4))</f>
        <v/>
      </c>
      <c r="M43" s="17">
        <f>MAX(0,$F43-INDEX(Grid_Stock[#Data],MATCH($D43,Grid_Stock[Part Name],0),$P$7+5))</f>
        <v/>
      </c>
      <c r="N43" s="17">
        <f>MAX(0,$F43-INDEX(Grid_Stock[#Data],MATCH($D43,Grid_Stock[Part Name],0),$P$7+6))</f>
        <v/>
      </c>
      <c r="O43" s="17">
        <f>MAX(0,$F43-INDEX(Grid_Stock[#Data],MATCH($D43,Grid_Stock[Part Name],0),$P$7+7))</f>
        <v/>
      </c>
      <c r="P43" s="17">
        <f>MAX(0,$F43-INDEX(Grid_Stock[#Data],MATCH($D43,Grid_Stock[Part Name],0),$P$7+8))</f>
        <v/>
      </c>
      <c r="Q43" s="17">
        <f>MAX(0,$F43-INDEX(Grid_Stock[#Data],MATCH($D43,Grid_Stock[Part Name],0),$P$7+9))</f>
        <v/>
      </c>
      <c r="R43" s="17">
        <f>MAX(0,$F43-INDEX(Grid_Stock[#Data],MATCH($D43,Grid_Stock[Part Name],0),$P$7+10))</f>
        <v/>
      </c>
      <c r="S43" s="17">
        <f>MAX(0,$F43-INDEX(Grid_Stock[#Data],MATCH($D43,Grid_Stock[Part Name],0),$P$7+11))</f>
        <v/>
      </c>
      <c r="T43" s="17">
        <f>MAX(0,$F43-INDEX(Grid_Stock[#Data],MATCH($D43,Grid_Stock[Part Name],0),$P$7+12))</f>
        <v/>
      </c>
      <c r="U43" s="17">
        <f>SUM(H43:T43)</f>
        <v/>
      </c>
    </row>
    <row r="44">
      <c r="B44" s="19">
        <f>IFERROR(INDEX(M_RawMaterials[Description],MATCH("CHEM-1690",M_RawMaterials[Part Name],0)),"")</f>
        <v/>
      </c>
      <c r="C44" s="19" t="inlineStr">
        <is>
          <t>734831040</t>
        </is>
      </c>
      <c r="D44" s="19" t="inlineStr">
        <is>
          <t>CHEM-1690</t>
        </is>
      </c>
      <c r="E44" s="19" t="inlineStr">
        <is>
          <t>kg</t>
        </is>
      </c>
      <c r="F44" s="19">
        <f>IFERROR(INDEX(M_RawMaterials[基準在庫下限_要入力],MATCH("CHEM-1690",M_RawMaterials[Part Name],0)),0)</f>
        <v/>
      </c>
      <c r="G44" s="19">
        <f>INDEX(Grid_Stock[#Data],MATCH($D44,Grid_Stock[Part Name],0),$P$7)</f>
        <v/>
      </c>
      <c r="H44" s="19">
        <f>MAX(0,$F44-INDEX(Grid_Stock[#Data],MATCH($D44,Grid_Stock[Part Name],0),$P$7+0))</f>
        <v/>
      </c>
      <c r="I44" s="19">
        <f>MAX(0,$F44-INDEX(Grid_Stock[#Data],MATCH($D44,Grid_Stock[Part Name],0),$P$7+1))</f>
        <v/>
      </c>
      <c r="J44" s="19">
        <f>MAX(0,$F44-INDEX(Grid_Stock[#Data],MATCH($D44,Grid_Stock[Part Name],0),$P$7+2))</f>
        <v/>
      </c>
      <c r="K44" s="19">
        <f>MAX(0,$F44-INDEX(Grid_Stock[#Data],MATCH($D44,Grid_Stock[Part Name],0),$P$7+3))</f>
        <v/>
      </c>
      <c r="L44" s="19">
        <f>MAX(0,$F44-INDEX(Grid_Stock[#Data],MATCH($D44,Grid_Stock[Part Name],0),$P$7+4))</f>
        <v/>
      </c>
      <c r="M44" s="19">
        <f>MAX(0,$F44-INDEX(Grid_Stock[#Data],MATCH($D44,Grid_Stock[Part Name],0),$P$7+5))</f>
        <v/>
      </c>
      <c r="N44" s="19">
        <f>MAX(0,$F44-INDEX(Grid_Stock[#Data],MATCH($D44,Grid_Stock[Part Name],0),$P$7+6))</f>
        <v/>
      </c>
      <c r="O44" s="19">
        <f>MAX(0,$F44-INDEX(Grid_Stock[#Data],MATCH($D44,Grid_Stock[Part Name],0),$P$7+7))</f>
        <v/>
      </c>
      <c r="P44" s="19">
        <f>MAX(0,$F44-INDEX(Grid_Stock[#Data],MATCH($D44,Grid_Stock[Part Name],0),$P$7+8))</f>
        <v/>
      </c>
      <c r="Q44" s="19">
        <f>MAX(0,$F44-INDEX(Grid_Stock[#Data],MATCH($D44,Grid_Stock[Part Name],0),$P$7+9))</f>
        <v/>
      </c>
      <c r="R44" s="19">
        <f>MAX(0,$F44-INDEX(Grid_Stock[#Data],MATCH($D44,Grid_Stock[Part Name],0),$P$7+10))</f>
        <v/>
      </c>
      <c r="S44" s="19">
        <f>MAX(0,$F44-INDEX(Grid_Stock[#Data],MATCH($D44,Grid_Stock[Part Name],0),$P$7+11))</f>
        <v/>
      </c>
      <c r="T44" s="19">
        <f>MAX(0,$F44-INDEX(Grid_Stock[#Data],MATCH($D44,Grid_Stock[Part Name],0),$P$7+12))</f>
        <v/>
      </c>
      <c r="U44" s="19">
        <f>SUM(H44:T44)</f>
        <v/>
      </c>
    </row>
    <row r="45">
      <c r="B45" s="17">
        <f>IFERROR(INDEX(M_RawMaterials[Description],MATCH("CHEM-1720",M_RawMaterials[Part Name],0)),"")</f>
        <v/>
      </c>
      <c r="C45" s="17" t="inlineStr">
        <is>
          <t>734831050</t>
        </is>
      </c>
      <c r="D45" s="17" t="inlineStr">
        <is>
          <t>CHEM-1720</t>
        </is>
      </c>
      <c r="E45" s="17" t="inlineStr">
        <is>
          <t>kg</t>
        </is>
      </c>
      <c r="F45" s="17">
        <f>IFERROR(INDEX(M_RawMaterials[基準在庫下限_要入力],MATCH("CHEM-1720",M_RawMaterials[Part Name],0)),0)</f>
        <v/>
      </c>
      <c r="G45" s="17">
        <f>INDEX(Grid_Stock[#Data],MATCH($D45,Grid_Stock[Part Name],0),$P$7)</f>
        <v/>
      </c>
      <c r="H45" s="17">
        <f>MAX(0,$F45-INDEX(Grid_Stock[#Data],MATCH($D45,Grid_Stock[Part Name],0),$P$7+0))</f>
        <v/>
      </c>
      <c r="I45" s="17">
        <f>MAX(0,$F45-INDEX(Grid_Stock[#Data],MATCH($D45,Grid_Stock[Part Name],0),$P$7+1))</f>
        <v/>
      </c>
      <c r="J45" s="17">
        <f>MAX(0,$F45-INDEX(Grid_Stock[#Data],MATCH($D45,Grid_Stock[Part Name],0),$P$7+2))</f>
        <v/>
      </c>
      <c r="K45" s="17">
        <f>MAX(0,$F45-INDEX(Grid_Stock[#Data],MATCH($D45,Grid_Stock[Part Name],0),$P$7+3))</f>
        <v/>
      </c>
      <c r="L45" s="17">
        <f>MAX(0,$F45-INDEX(Grid_Stock[#Data],MATCH($D45,Grid_Stock[Part Name],0),$P$7+4))</f>
        <v/>
      </c>
      <c r="M45" s="17">
        <f>MAX(0,$F45-INDEX(Grid_Stock[#Data],MATCH($D45,Grid_Stock[Part Name],0),$P$7+5))</f>
        <v/>
      </c>
      <c r="N45" s="17">
        <f>MAX(0,$F45-INDEX(Grid_Stock[#Data],MATCH($D45,Grid_Stock[Part Name],0),$P$7+6))</f>
        <v/>
      </c>
      <c r="O45" s="17">
        <f>MAX(0,$F45-INDEX(Grid_Stock[#Data],MATCH($D45,Grid_Stock[Part Name],0),$P$7+7))</f>
        <v/>
      </c>
      <c r="P45" s="17">
        <f>MAX(0,$F45-INDEX(Grid_Stock[#Data],MATCH($D45,Grid_Stock[Part Name],0),$P$7+8))</f>
        <v/>
      </c>
      <c r="Q45" s="17">
        <f>MAX(0,$F45-INDEX(Grid_Stock[#Data],MATCH($D45,Grid_Stock[Part Name],0),$P$7+9))</f>
        <v/>
      </c>
      <c r="R45" s="17">
        <f>MAX(0,$F45-INDEX(Grid_Stock[#Data],MATCH($D45,Grid_Stock[Part Name],0),$P$7+10))</f>
        <v/>
      </c>
      <c r="S45" s="17">
        <f>MAX(0,$F45-INDEX(Grid_Stock[#Data],MATCH($D45,Grid_Stock[Part Name],0),$P$7+11))</f>
        <v/>
      </c>
      <c r="T45" s="17">
        <f>MAX(0,$F45-INDEX(Grid_Stock[#Data],MATCH($D45,Grid_Stock[Part Name],0),$P$7+12))</f>
        <v/>
      </c>
      <c r="U45" s="17">
        <f>SUM(H45:T45)</f>
        <v/>
      </c>
    </row>
    <row r="46">
      <c r="B46" s="19">
        <f>IFERROR(INDEX(M_RawMaterials[Description],MATCH("Ester Film",M_RawMaterials[Part Name],0)),"")</f>
        <v/>
      </c>
      <c r="C46" s="19" t="inlineStr"/>
      <c r="D46" s="19" t="inlineStr">
        <is>
          <t>Ester Film</t>
        </is>
      </c>
      <c r="E46" s="19" t="inlineStr">
        <is>
          <t>kg</t>
        </is>
      </c>
      <c r="F46" s="19">
        <f>IFERROR(INDEX(M_RawMaterials[基準在庫下限_要入力],MATCH("Ester Film",M_RawMaterials[Part Name],0)),0)</f>
        <v/>
      </c>
      <c r="G46" s="19">
        <f>INDEX(Grid_Stock[#Data],MATCH($D46,Grid_Stock[Part Name],0),$P$7)</f>
        <v/>
      </c>
      <c r="H46" s="19">
        <f>MAX(0,$F46-INDEX(Grid_Stock[#Data],MATCH($D46,Grid_Stock[Part Name],0),$P$7+0))</f>
        <v/>
      </c>
      <c r="I46" s="19">
        <f>MAX(0,$F46-INDEX(Grid_Stock[#Data],MATCH($D46,Grid_Stock[Part Name],0),$P$7+1))</f>
        <v/>
      </c>
      <c r="J46" s="19">
        <f>MAX(0,$F46-INDEX(Grid_Stock[#Data],MATCH($D46,Grid_Stock[Part Name],0),$P$7+2))</f>
        <v/>
      </c>
      <c r="K46" s="19">
        <f>MAX(0,$F46-INDEX(Grid_Stock[#Data],MATCH($D46,Grid_Stock[Part Name],0),$P$7+3))</f>
        <v/>
      </c>
      <c r="L46" s="19">
        <f>MAX(0,$F46-INDEX(Grid_Stock[#Data],MATCH($D46,Grid_Stock[Part Name],0),$P$7+4))</f>
        <v/>
      </c>
      <c r="M46" s="19">
        <f>MAX(0,$F46-INDEX(Grid_Stock[#Data],MATCH($D46,Grid_Stock[Part Name],0),$P$7+5))</f>
        <v/>
      </c>
      <c r="N46" s="19">
        <f>MAX(0,$F46-INDEX(Grid_Stock[#Data],MATCH($D46,Grid_Stock[Part Name],0),$P$7+6))</f>
        <v/>
      </c>
      <c r="O46" s="19">
        <f>MAX(0,$F46-INDEX(Grid_Stock[#Data],MATCH($D46,Grid_Stock[Part Name],0),$P$7+7))</f>
        <v/>
      </c>
      <c r="P46" s="19">
        <f>MAX(0,$F46-INDEX(Grid_Stock[#Data],MATCH($D46,Grid_Stock[Part Name],0),$P$7+8))</f>
        <v/>
      </c>
      <c r="Q46" s="19">
        <f>MAX(0,$F46-INDEX(Grid_Stock[#Data],MATCH($D46,Grid_Stock[Part Name],0),$P$7+9))</f>
        <v/>
      </c>
      <c r="R46" s="19">
        <f>MAX(0,$F46-INDEX(Grid_Stock[#Data],MATCH($D46,Grid_Stock[Part Name],0),$P$7+10))</f>
        <v/>
      </c>
      <c r="S46" s="19">
        <f>MAX(0,$F46-INDEX(Grid_Stock[#Data],MATCH($D46,Grid_Stock[Part Name],0),$P$7+11))</f>
        <v/>
      </c>
      <c r="T46" s="19">
        <f>MAX(0,$F46-INDEX(Grid_Stock[#Data],MATCH($D46,Grid_Stock[Part Name],0),$P$7+12))</f>
        <v/>
      </c>
      <c r="U46" s="19">
        <f>SUM(H46:T46)</f>
        <v/>
      </c>
    </row>
    <row r="47">
      <c r="B47" s="17">
        <f>IFERROR(INDEX(M_RawMaterials[Description],MATCH("Original Towel",M_RawMaterials[Part Name],0)),"")</f>
        <v/>
      </c>
      <c r="C47" s="17" t="inlineStr">
        <is>
          <t>859882220</t>
        </is>
      </c>
      <c r="D47" s="17" t="inlineStr">
        <is>
          <t>Original Towel</t>
        </is>
      </c>
      <c r="E47" s="17" t="inlineStr">
        <is>
          <t>kg</t>
        </is>
      </c>
      <c r="F47" s="17">
        <f>IFERROR(INDEX(M_RawMaterials[基準在庫下限_要入力],MATCH("Original Towel",M_RawMaterials[Part Name],0)),0)</f>
        <v/>
      </c>
      <c r="G47" s="17">
        <f>INDEX(Grid_Stock[#Data],MATCH($D47,Grid_Stock[Part Name],0),$P$7)</f>
        <v/>
      </c>
      <c r="H47" s="17">
        <f>MAX(0,$F47-INDEX(Grid_Stock[#Data],MATCH($D47,Grid_Stock[Part Name],0),$P$7+0))</f>
        <v/>
      </c>
      <c r="I47" s="17">
        <f>MAX(0,$F47-INDEX(Grid_Stock[#Data],MATCH($D47,Grid_Stock[Part Name],0),$P$7+1))</f>
        <v/>
      </c>
      <c r="J47" s="17">
        <f>MAX(0,$F47-INDEX(Grid_Stock[#Data],MATCH($D47,Grid_Stock[Part Name],0),$P$7+2))</f>
        <v/>
      </c>
      <c r="K47" s="17">
        <f>MAX(0,$F47-INDEX(Grid_Stock[#Data],MATCH($D47,Grid_Stock[Part Name],0),$P$7+3))</f>
        <v/>
      </c>
      <c r="L47" s="17">
        <f>MAX(0,$F47-INDEX(Grid_Stock[#Data],MATCH($D47,Grid_Stock[Part Name],0),$P$7+4))</f>
        <v/>
      </c>
      <c r="M47" s="17">
        <f>MAX(0,$F47-INDEX(Grid_Stock[#Data],MATCH($D47,Grid_Stock[Part Name],0),$P$7+5))</f>
        <v/>
      </c>
      <c r="N47" s="17">
        <f>MAX(0,$F47-INDEX(Grid_Stock[#Data],MATCH($D47,Grid_Stock[Part Name],0),$P$7+6))</f>
        <v/>
      </c>
      <c r="O47" s="17">
        <f>MAX(0,$F47-INDEX(Grid_Stock[#Data],MATCH($D47,Grid_Stock[Part Name],0),$P$7+7))</f>
        <v/>
      </c>
      <c r="P47" s="17">
        <f>MAX(0,$F47-INDEX(Grid_Stock[#Data],MATCH($D47,Grid_Stock[Part Name],0),$P$7+8))</f>
        <v/>
      </c>
      <c r="Q47" s="17">
        <f>MAX(0,$F47-INDEX(Grid_Stock[#Data],MATCH($D47,Grid_Stock[Part Name],0),$P$7+9))</f>
        <v/>
      </c>
      <c r="R47" s="17">
        <f>MAX(0,$F47-INDEX(Grid_Stock[#Data],MATCH($D47,Grid_Stock[Part Name],0),$P$7+10))</f>
        <v/>
      </c>
      <c r="S47" s="17">
        <f>MAX(0,$F47-INDEX(Grid_Stock[#Data],MATCH($D47,Grid_Stock[Part Name],0),$P$7+11))</f>
        <v/>
      </c>
      <c r="T47" s="17">
        <f>MAX(0,$F47-INDEX(Grid_Stock[#Data],MATCH($D47,Grid_Stock[Part Name],0),$P$7+12))</f>
        <v/>
      </c>
      <c r="U47" s="17">
        <f>SUM(H47:T47)</f>
        <v/>
      </c>
    </row>
    <row r="48">
      <c r="B48" s="19">
        <f>IFERROR(INDEX(M_RawMaterials[Description],MATCH("PP Film",M_RawMaterials[Part Name],0)),"")</f>
        <v/>
      </c>
      <c r="C48" s="19" t="inlineStr">
        <is>
          <t>83988405701</t>
        </is>
      </c>
      <c r="D48" s="19" t="inlineStr">
        <is>
          <t>PP Film</t>
        </is>
      </c>
      <c r="E48" s="19" t="inlineStr">
        <is>
          <t>kg</t>
        </is>
      </c>
      <c r="F48" s="19">
        <f>IFERROR(INDEX(M_RawMaterials[基準在庫下限_要入力],MATCH("PP Film",M_RawMaterials[Part Name],0)),0)</f>
        <v/>
      </c>
      <c r="G48" s="19">
        <f>INDEX(Grid_Stock[#Data],MATCH($D48,Grid_Stock[Part Name],0),$P$7)</f>
        <v/>
      </c>
      <c r="H48" s="19">
        <f>MAX(0,$F48-INDEX(Grid_Stock[#Data],MATCH($D48,Grid_Stock[Part Name],0),$P$7+0))</f>
        <v/>
      </c>
      <c r="I48" s="19">
        <f>MAX(0,$F48-INDEX(Grid_Stock[#Data],MATCH($D48,Grid_Stock[Part Name],0),$P$7+1))</f>
        <v/>
      </c>
      <c r="J48" s="19">
        <f>MAX(0,$F48-INDEX(Grid_Stock[#Data],MATCH($D48,Grid_Stock[Part Name],0),$P$7+2))</f>
        <v/>
      </c>
      <c r="K48" s="19">
        <f>MAX(0,$F48-INDEX(Grid_Stock[#Data],MATCH($D48,Grid_Stock[Part Name],0),$P$7+3))</f>
        <v/>
      </c>
      <c r="L48" s="19">
        <f>MAX(0,$F48-INDEX(Grid_Stock[#Data],MATCH($D48,Grid_Stock[Part Name],0),$P$7+4))</f>
        <v/>
      </c>
      <c r="M48" s="19">
        <f>MAX(0,$F48-INDEX(Grid_Stock[#Data],MATCH($D48,Grid_Stock[Part Name],0),$P$7+5))</f>
        <v/>
      </c>
      <c r="N48" s="19">
        <f>MAX(0,$F48-INDEX(Grid_Stock[#Data],MATCH($D48,Grid_Stock[Part Name],0),$P$7+6))</f>
        <v/>
      </c>
      <c r="O48" s="19">
        <f>MAX(0,$F48-INDEX(Grid_Stock[#Data],MATCH($D48,Grid_Stock[Part Name],0),$P$7+7))</f>
        <v/>
      </c>
      <c r="P48" s="19">
        <f>MAX(0,$F48-INDEX(Grid_Stock[#Data],MATCH($D48,Grid_Stock[Part Name],0),$P$7+8))</f>
        <v/>
      </c>
      <c r="Q48" s="19">
        <f>MAX(0,$F48-INDEX(Grid_Stock[#Data],MATCH($D48,Grid_Stock[Part Name],0),$P$7+9))</f>
        <v/>
      </c>
      <c r="R48" s="19">
        <f>MAX(0,$F48-INDEX(Grid_Stock[#Data],MATCH($D48,Grid_Stock[Part Name],0),$P$7+10))</f>
        <v/>
      </c>
      <c r="S48" s="19">
        <f>MAX(0,$F48-INDEX(Grid_Stock[#Data],MATCH($D48,Grid_Stock[Part Name],0),$P$7+11))</f>
        <v/>
      </c>
      <c r="T48" s="19">
        <f>MAX(0,$F48-INDEX(Grid_Stock[#Data],MATCH($D48,Grid_Stock[Part Name],0),$P$7+12))</f>
        <v/>
      </c>
      <c r="U48" s="19">
        <f>SUM(H48:T48)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15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13" t="inlineStr">
        <is>
          <t>Part Name</t>
        </is>
      </c>
      <c r="C14" s="13" t="inlineStr">
        <is>
          <t>TTAF Code</t>
        </is>
      </c>
      <c r="D14" s="13" t="inlineStr">
        <is>
          <t>CSA Code</t>
        </is>
      </c>
      <c r="E14" s="13" t="inlineStr">
        <is>
          <t>UOM</t>
        </is>
      </c>
      <c r="F14" s="13" t="inlineStr">
        <is>
          <t>SafetyStock</t>
        </is>
      </c>
      <c r="G14" s="13" t="inlineStr">
        <is>
          <t>CurrentStock</t>
        </is>
      </c>
      <c r="H14" s="13">
        <f>INDEX(Cal_Weeks[Label],$P$7+0)</f>
        <v/>
      </c>
      <c r="I14" s="13">
        <f>INDEX(Cal_Weeks[Label],$P$7+1)</f>
        <v/>
      </c>
      <c r="J14" s="13">
        <f>INDEX(Cal_Weeks[Label],$P$7+2)</f>
        <v/>
      </c>
      <c r="K14" s="13">
        <f>INDEX(Cal_Weeks[Label],$P$7+3)</f>
        <v/>
      </c>
      <c r="L14" s="13">
        <f>INDEX(Cal_Weeks[Label],$P$7+4)</f>
        <v/>
      </c>
      <c r="M14" s="13">
        <f>INDEX(Cal_Weeks[Label],$P$7+5)</f>
        <v/>
      </c>
      <c r="N14" s="13">
        <f>INDEX(Cal_Weeks[Label],$P$7+6)</f>
        <v/>
      </c>
      <c r="O14" s="13">
        <f>INDEX(Cal_Weeks[Label],$P$7+7)</f>
        <v/>
      </c>
      <c r="P14" s="13">
        <f>INDEX(Cal_Weeks[Label],$P$7+8)</f>
        <v/>
      </c>
      <c r="Q14" s="13">
        <f>INDEX(Cal_Weeks[Label],$P$7+9)</f>
        <v/>
      </c>
      <c r="R14" s="13">
        <f>INDEX(Cal_Weeks[Label],$P$7+10)</f>
        <v/>
      </c>
      <c r="S14" s="13">
        <f>INDEX(Cal_Weeks[Label],$P$7+11)</f>
        <v/>
      </c>
      <c r="T14" s="13">
        <f>INDEX(Cal_Weeks[Label],$P$7+12)</f>
        <v/>
      </c>
      <c r="U14" s="13" t="inlineStr">
        <is>
          <t>Total</t>
        </is>
      </c>
    </row>
    <row r="15">
      <c r="B15" t="inlineStr">
        <is>
          <t>(該当品目なし)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CHEM-1250</t>
        </is>
      </c>
      <c r="B2" t="inlineStr">
        <is>
          <t>PO066524</t>
        </is>
      </c>
      <c r="C2" s="27" t="n"/>
      <c r="D2" t="n">
        <v>75</v>
      </c>
      <c r="E2" s="24" t="n">
        <v>46006</v>
      </c>
      <c r="F2" s="24" t="n">
        <v>46014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  <c r="I2" s="28" t="n"/>
    </row>
    <row r="3">
      <c r="A3" t="inlineStr">
        <is>
          <t>CHEM-1400</t>
        </is>
      </c>
      <c r="B3" t="inlineStr">
        <is>
          <t>PO066524</t>
        </is>
      </c>
      <c r="C3" s="27" t="n"/>
      <c r="D3" t="n">
        <v>400</v>
      </c>
      <c r="E3" s="24" t="n">
        <v>46006</v>
      </c>
      <c r="F3" s="24" t="n">
        <v>46014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  <c r="I3" s="28" t="n"/>
    </row>
    <row r="4">
      <c r="A4" t="inlineStr">
        <is>
          <t>CHEM-1570</t>
        </is>
      </c>
      <c r="B4" t="inlineStr">
        <is>
          <t>PO066524</t>
        </is>
      </c>
      <c r="C4" s="27" t="n"/>
      <c r="D4" t="n">
        <v>18</v>
      </c>
      <c r="E4" s="24" t="n">
        <v>46006</v>
      </c>
      <c r="F4" s="24" t="n">
        <v>46014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  <c r="I4" s="28" t="n"/>
    </row>
    <row r="5">
      <c r="A5" t="inlineStr">
        <is>
          <t>CHEM-1670</t>
        </is>
      </c>
      <c r="B5" t="inlineStr">
        <is>
          <t>PO066524</t>
        </is>
      </c>
      <c r="C5" s="27" t="n"/>
      <c r="D5" t="n">
        <v>360</v>
      </c>
      <c r="E5" s="24" t="n">
        <v>46006</v>
      </c>
      <c r="F5" s="24" t="n">
        <v>46014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  <c r="I5" s="28" t="n"/>
    </row>
    <row r="6">
      <c r="A6" t="inlineStr">
        <is>
          <t>CHEM-1700</t>
        </is>
      </c>
      <c r="B6" t="inlineStr">
        <is>
          <t>PO066524</t>
        </is>
      </c>
      <c r="C6" s="27" t="n"/>
      <c r="D6" t="n">
        <v>60</v>
      </c>
      <c r="E6" s="24" t="n">
        <v>46006</v>
      </c>
      <c r="F6" s="24" t="n">
        <v>46014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  <c r="I6" s="28" t="n"/>
    </row>
    <row r="7">
      <c r="A7" t="inlineStr">
        <is>
          <t>CHEM-1660</t>
        </is>
      </c>
      <c r="B7" t="inlineStr">
        <is>
          <t>PO066513</t>
        </is>
      </c>
      <c r="C7" s="27" t="n"/>
      <c r="D7" t="n">
        <v>135</v>
      </c>
      <c r="E7" s="24" t="n">
        <v>46006</v>
      </c>
      <c r="F7" s="24" t="n">
        <v>46010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  <c r="I7" s="28" t="n"/>
    </row>
    <row r="8">
      <c r="A8" t="inlineStr">
        <is>
          <t>CHEM-1420</t>
        </is>
      </c>
      <c r="B8" t="inlineStr">
        <is>
          <t>PO066524</t>
        </is>
      </c>
      <c r="C8" s="27" t="n"/>
      <c r="D8" t="n">
        <v>240</v>
      </c>
      <c r="E8" s="24" t="n">
        <v>46006</v>
      </c>
      <c r="F8" s="24" t="n">
        <v>46014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  <c r="I8" s="28" t="n"/>
    </row>
    <row r="9">
      <c r="A9" t="inlineStr">
        <is>
          <t>CHEM-1530</t>
        </is>
      </c>
      <c r="B9" t="inlineStr">
        <is>
          <t>PO066524</t>
        </is>
      </c>
      <c r="C9" s="27" t="n"/>
      <c r="D9" t="n">
        <v>2100</v>
      </c>
      <c r="E9" s="24" t="n">
        <v>46006</v>
      </c>
      <c r="F9" s="24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  <c r="I9" s="28" t="n"/>
    </row>
    <row r="10">
      <c r="A10" t="inlineStr">
        <is>
          <t>CHEM-1600</t>
        </is>
      </c>
      <c r="B10" t="inlineStr">
        <is>
          <t>PO066524</t>
        </is>
      </c>
      <c r="C10" s="27" t="n"/>
      <c r="D10" t="n">
        <v>425</v>
      </c>
      <c r="E10" s="24" t="n">
        <v>46006</v>
      </c>
      <c r="F10" s="24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  <c r="I10" s="28" t="n"/>
    </row>
    <row r="11">
      <c r="A11" t="inlineStr">
        <is>
          <t>CHEM-1540</t>
        </is>
      </c>
      <c r="B11" t="inlineStr">
        <is>
          <t>PO066524</t>
        </is>
      </c>
      <c r="C11" s="27" t="n"/>
      <c r="D11" t="n">
        <v>2500</v>
      </c>
      <c r="E11" s="24" t="n">
        <v>46006</v>
      </c>
      <c r="F11" s="24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  <c r="I11" s="28" t="n"/>
    </row>
    <row r="12">
      <c r="A12" t="inlineStr">
        <is>
          <t>CHEM-1720</t>
        </is>
      </c>
      <c r="B12" t="inlineStr">
        <is>
          <t>PO066524</t>
        </is>
      </c>
      <c r="C12" s="27" t="n"/>
      <c r="D12" t="n">
        <v>1200</v>
      </c>
      <c r="E12" s="24" t="n">
        <v>46006</v>
      </c>
      <c r="F12" s="24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  <c r="I12" s="28" t="n"/>
    </row>
    <row r="13">
      <c r="A13" t="inlineStr">
        <is>
          <t>CHEM-1280</t>
        </is>
      </c>
      <c r="B13" t="inlineStr">
        <is>
          <t>PO066513</t>
        </is>
      </c>
      <c r="C13" s="27" t="n"/>
      <c r="D13" t="n">
        <v>1000</v>
      </c>
      <c r="E13" s="24" t="n">
        <v>46006</v>
      </c>
      <c r="F13" s="24" t="n">
        <v>46010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  <c r="I13" s="28" t="n"/>
    </row>
    <row r="14">
      <c r="A14" t="inlineStr">
        <is>
          <t>CHEM-1440</t>
        </is>
      </c>
      <c r="B14" t="inlineStr">
        <is>
          <t>PO066524</t>
        </is>
      </c>
      <c r="C14" s="27" t="n"/>
      <c r="D14" t="n">
        <v>150</v>
      </c>
      <c r="E14" s="24" t="n">
        <v>46006</v>
      </c>
      <c r="F14" s="24" t="n">
        <v>46014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  <c r="I14" s="28" t="n"/>
    </row>
    <row r="15">
      <c r="A15" t="inlineStr">
        <is>
          <t>CHEM-1240</t>
        </is>
      </c>
      <c r="B15" t="inlineStr">
        <is>
          <t>PO066524</t>
        </is>
      </c>
      <c r="C15" s="27" t="n"/>
      <c r="D15" t="n">
        <v>440</v>
      </c>
      <c r="E15" s="24" t="n">
        <v>46006</v>
      </c>
      <c r="F15" s="24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  <c r="I15" s="28" t="n"/>
    </row>
    <row r="16">
      <c r="A16" t="inlineStr">
        <is>
          <t>CHEM-1250</t>
        </is>
      </c>
      <c r="B16" t="inlineStr">
        <is>
          <t>PO066734</t>
        </is>
      </c>
      <c r="C16" s="27" t="n"/>
      <c r="D16" t="n">
        <v>100</v>
      </c>
      <c r="E16" s="24" t="n">
        <v>46027</v>
      </c>
      <c r="F16" s="24" t="n">
        <v>46037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  <c r="I16" s="28" t="n"/>
    </row>
    <row r="17">
      <c r="A17" t="inlineStr">
        <is>
          <t>CHEM-1570</t>
        </is>
      </c>
      <c r="B17" t="inlineStr">
        <is>
          <t>PO066734</t>
        </is>
      </c>
      <c r="C17" s="27" t="n"/>
      <c r="D17" t="n">
        <v>36</v>
      </c>
      <c r="E17" s="24" t="n">
        <v>46027</v>
      </c>
      <c r="F17" s="24" t="n">
        <v>46037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  <c r="I17" s="28" t="n"/>
    </row>
    <row r="18">
      <c r="A18" t="inlineStr">
        <is>
          <t>CHEM-1670</t>
        </is>
      </c>
      <c r="B18" t="inlineStr">
        <is>
          <t>PO066734</t>
        </is>
      </c>
      <c r="C18" s="27" t="n"/>
      <c r="D18" t="n">
        <v>180</v>
      </c>
      <c r="E18" s="24" t="n">
        <v>46027</v>
      </c>
      <c r="F18" s="24" t="n">
        <v>46037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  <c r="I18" s="28" t="n"/>
    </row>
    <row r="19">
      <c r="A19" t="inlineStr">
        <is>
          <t>CHEM-1700</t>
        </is>
      </c>
      <c r="B19" t="inlineStr">
        <is>
          <t>PO066734</t>
        </is>
      </c>
      <c r="C19" s="27" t="n"/>
      <c r="D19" t="n">
        <v>90</v>
      </c>
      <c r="E19" s="24" t="n">
        <v>46027</v>
      </c>
      <c r="F19" s="24" t="n">
        <v>46037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  <c r="I19" s="28" t="n"/>
    </row>
    <row r="20">
      <c r="A20" t="inlineStr">
        <is>
          <t>CHEM-1660</t>
        </is>
      </c>
      <c r="B20" t="inlineStr"/>
      <c r="C20" s="27" t="n"/>
      <c r="D20" t="n">
        <v>60</v>
      </c>
      <c r="E20" s="24" t="n">
        <v>46027</v>
      </c>
      <c r="F20" s="24" t="n">
        <v>46037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  <c r="I20" s="28" t="n"/>
    </row>
    <row r="21">
      <c r="A21" t="inlineStr">
        <is>
          <t>CHEM-1420</t>
        </is>
      </c>
      <c r="B21" t="inlineStr">
        <is>
          <t>PO066734</t>
        </is>
      </c>
      <c r="C21" s="27" t="n"/>
      <c r="D21" t="n">
        <v>240</v>
      </c>
      <c r="E21" s="24" t="n">
        <v>46027</v>
      </c>
      <c r="F21" s="24" t="n">
        <v>46037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  <c r="I21" s="28" t="n"/>
    </row>
    <row r="22">
      <c r="A22" t="inlineStr">
        <is>
          <t>CHEM-1530</t>
        </is>
      </c>
      <c r="B22" t="inlineStr">
        <is>
          <t>PO066734</t>
        </is>
      </c>
      <c r="C22" s="27" t="n"/>
      <c r="D22" t="n">
        <v>1400</v>
      </c>
      <c r="E22" s="24" t="n">
        <v>46027</v>
      </c>
      <c r="F22" s="24" t="n">
        <v>46037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  <c r="I22" s="28" t="n"/>
    </row>
    <row r="23">
      <c r="A23" t="inlineStr">
        <is>
          <t>CHEM-1600</t>
        </is>
      </c>
      <c r="B23" t="inlineStr">
        <is>
          <t>PO066734</t>
        </is>
      </c>
      <c r="C23" s="27" t="n"/>
      <c r="D23" t="n">
        <v>250</v>
      </c>
      <c r="E23" s="24" t="n">
        <v>46027</v>
      </c>
      <c r="F23" s="24" t="n">
        <v>46037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  <c r="I23" s="28" t="n"/>
    </row>
    <row r="24">
      <c r="A24" t="inlineStr">
        <is>
          <t>CHEM-1540</t>
        </is>
      </c>
      <c r="B24" t="inlineStr">
        <is>
          <t>PO066734</t>
        </is>
      </c>
      <c r="C24" s="27" t="n"/>
      <c r="D24" t="n">
        <v>5000</v>
      </c>
      <c r="E24" s="24" t="n">
        <v>46027</v>
      </c>
      <c r="F24" s="24" t="n">
        <v>46037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  <c r="I24" s="28" t="n"/>
    </row>
    <row r="25">
      <c r="A25" t="inlineStr">
        <is>
          <t>CHEM-1720</t>
        </is>
      </c>
      <c r="B25" t="inlineStr">
        <is>
          <t>PO066734</t>
        </is>
      </c>
      <c r="C25" s="27" t="n"/>
      <c r="D25" t="n">
        <v>1920</v>
      </c>
      <c r="E25" s="24" t="n">
        <v>46027</v>
      </c>
      <c r="F25" s="24" t="n">
        <v>46037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  <c r="I25" s="28" t="n"/>
    </row>
    <row r="26">
      <c r="A26" t="inlineStr">
        <is>
          <t>CHEM-1280</t>
        </is>
      </c>
      <c r="B26" t="inlineStr"/>
      <c r="C26" s="27" t="n"/>
      <c r="D26" t="n">
        <v>1000</v>
      </c>
      <c r="E26" s="24" t="n">
        <v>46027</v>
      </c>
      <c r="F26" s="24" t="n">
        <v>46037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  <c r="I26" s="28" t="n"/>
    </row>
    <row r="27">
      <c r="A27" t="inlineStr">
        <is>
          <t>CHEM-1440</t>
        </is>
      </c>
      <c r="B27" t="inlineStr">
        <is>
          <t>PO066734</t>
        </is>
      </c>
      <c r="C27" s="27" t="n"/>
      <c r="D27" t="n">
        <v>200</v>
      </c>
      <c r="E27" s="24" t="n">
        <v>46027</v>
      </c>
      <c r="F27" s="24" t="n">
        <v>46037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  <c r="I27" s="28" t="n"/>
    </row>
    <row r="28">
      <c r="A28" t="inlineStr">
        <is>
          <t>CHEM-1240</t>
        </is>
      </c>
      <c r="B28" t="inlineStr">
        <is>
          <t>PO066734</t>
        </is>
      </c>
      <c r="C28" s="27" t="n"/>
      <c r="D28" t="n">
        <v>660</v>
      </c>
      <c r="E28" s="24" t="n">
        <v>46027</v>
      </c>
      <c r="F28" s="24" t="n">
        <v>46037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  <c r="I28" s="28" t="n"/>
    </row>
    <row r="29">
      <c r="A29" t="inlineStr">
        <is>
          <t>CHEM-1240</t>
        </is>
      </c>
      <c r="B29" t="inlineStr">
        <is>
          <t>PO066939</t>
        </is>
      </c>
      <c r="C29" s="27" t="n"/>
      <c r="D29" t="n">
        <v>880</v>
      </c>
      <c r="E29" s="24" t="n">
        <v>46068</v>
      </c>
      <c r="F29" s="24" t="n">
        <v>46072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  <c r="I29" s="28" t="n"/>
    </row>
    <row r="30">
      <c r="A30" t="inlineStr">
        <is>
          <t>CHEM-1250</t>
        </is>
      </c>
      <c r="B30" t="inlineStr">
        <is>
          <t>PO066939</t>
        </is>
      </c>
      <c r="C30" s="27" t="n"/>
      <c r="D30" t="n">
        <v>50</v>
      </c>
      <c r="E30" s="24" t="n">
        <v>46068</v>
      </c>
      <c r="F30" s="24" t="n">
        <v>46072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  <c r="I30" s="28" t="n"/>
    </row>
    <row r="31">
      <c r="A31" t="inlineStr">
        <is>
          <t>CHEM-1400</t>
        </is>
      </c>
      <c r="B31" t="inlineStr">
        <is>
          <t>PO066939</t>
        </is>
      </c>
      <c r="C31" s="27" t="n"/>
      <c r="D31" t="n">
        <v>250</v>
      </c>
      <c r="E31" s="24" t="n">
        <v>46068</v>
      </c>
      <c r="F31" s="24" t="n">
        <v>46072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  <c r="I31" s="28" t="n"/>
    </row>
    <row r="32">
      <c r="A32" t="inlineStr">
        <is>
          <t>CHEM-1420</t>
        </is>
      </c>
      <c r="B32" t="inlineStr">
        <is>
          <t>PO066939</t>
        </is>
      </c>
      <c r="C32" s="27" t="n"/>
      <c r="D32" t="n">
        <v>240</v>
      </c>
      <c r="E32" s="24" t="n">
        <v>46068</v>
      </c>
      <c r="F32" s="24" t="n">
        <v>46072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  <c r="I32" s="28" t="n"/>
    </row>
    <row r="33">
      <c r="A33" t="inlineStr">
        <is>
          <t>CHEM-1440</t>
        </is>
      </c>
      <c r="B33" t="inlineStr">
        <is>
          <t>PO066939</t>
        </is>
      </c>
      <c r="C33" s="27" t="n"/>
      <c r="D33" t="n">
        <v>200</v>
      </c>
      <c r="E33" s="24" t="n">
        <v>46068</v>
      </c>
      <c r="F33" s="24" t="n">
        <v>46072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  <c r="I33" s="28" t="n"/>
    </row>
    <row r="34">
      <c r="A34" t="inlineStr">
        <is>
          <t>CHEM-1540</t>
        </is>
      </c>
      <c r="B34" t="inlineStr">
        <is>
          <t>PO066939</t>
        </is>
      </c>
      <c r="C34" s="27" t="n"/>
      <c r="D34" t="n">
        <v>2500</v>
      </c>
      <c r="E34" s="24" t="n">
        <v>46068</v>
      </c>
      <c r="F34" s="24" t="n">
        <v>46072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  <c r="I34" s="28" t="n"/>
    </row>
    <row r="35">
      <c r="A35" t="inlineStr">
        <is>
          <t>CHEM-1530</t>
        </is>
      </c>
      <c r="B35" t="inlineStr">
        <is>
          <t>PO066939</t>
        </is>
      </c>
      <c r="C35" s="27" t="n"/>
      <c r="D35" t="n">
        <v>2100</v>
      </c>
      <c r="E35" s="24" t="n">
        <v>46068</v>
      </c>
      <c r="F35" s="24" t="n">
        <v>46072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  <c r="I35" s="28" t="n"/>
    </row>
    <row r="36">
      <c r="A36" t="inlineStr">
        <is>
          <t>CHEM-1600</t>
        </is>
      </c>
      <c r="B36" t="inlineStr">
        <is>
          <t>PO066939</t>
        </is>
      </c>
      <c r="C36" s="27" t="n"/>
      <c r="D36" t="n">
        <v>300</v>
      </c>
      <c r="E36" s="24" t="n">
        <v>46068</v>
      </c>
      <c r="F36" s="24" t="n">
        <v>46072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  <c r="I36" s="28" t="n"/>
    </row>
    <row r="37">
      <c r="A37" t="inlineStr">
        <is>
          <t>CHEM-1570</t>
        </is>
      </c>
      <c r="B37" t="inlineStr">
        <is>
          <t>PO066939</t>
        </is>
      </c>
      <c r="C37" s="27" t="n"/>
      <c r="D37" t="n">
        <v>36</v>
      </c>
      <c r="E37" s="24" t="n">
        <v>46068</v>
      </c>
      <c r="F37" s="24" t="n">
        <v>46072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  <c r="I37" s="28" t="n"/>
    </row>
    <row r="38">
      <c r="A38" t="inlineStr">
        <is>
          <t>CHEM-1670</t>
        </is>
      </c>
      <c r="B38" t="inlineStr">
        <is>
          <t>PO066939</t>
        </is>
      </c>
      <c r="C38" s="27" t="n"/>
      <c r="D38" t="n">
        <v>180</v>
      </c>
      <c r="E38" s="24" t="n">
        <v>46068</v>
      </c>
      <c r="F38" s="24" t="n">
        <v>46072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  <c r="I38" s="28" t="n"/>
    </row>
    <row r="39">
      <c r="A39" t="inlineStr">
        <is>
          <t>CHEM-1690</t>
        </is>
      </c>
      <c r="B39" t="inlineStr">
        <is>
          <t>PO066939</t>
        </is>
      </c>
      <c r="C39" s="27" t="n"/>
      <c r="D39" t="n">
        <v>135</v>
      </c>
      <c r="E39" s="24" t="n">
        <v>46068</v>
      </c>
      <c r="F39" s="24" t="n">
        <v>46072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  <c r="I39" s="28" t="n"/>
    </row>
    <row r="40">
      <c r="A40" t="inlineStr">
        <is>
          <t>CHEM-1700</t>
        </is>
      </c>
      <c r="B40" t="inlineStr">
        <is>
          <t>PO066939</t>
        </is>
      </c>
      <c r="C40" s="27" t="n"/>
      <c r="D40" t="n">
        <v>60</v>
      </c>
      <c r="E40" s="24" t="n">
        <v>46068</v>
      </c>
      <c r="F40" s="24" t="n">
        <v>46072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  <c r="I40" s="28" t="n"/>
    </row>
    <row r="41">
      <c r="A41" t="inlineStr">
        <is>
          <t>CHEM-1720</t>
        </is>
      </c>
      <c r="B41" t="inlineStr">
        <is>
          <t>PO066939</t>
        </is>
      </c>
      <c r="C41" s="27" t="n"/>
      <c r="D41" t="n">
        <v>2040</v>
      </c>
      <c r="E41" s="24" t="n">
        <v>46068</v>
      </c>
      <c r="F41" s="24" t="n">
        <v>46072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  <c r="I41" s="28" t="n"/>
    </row>
    <row r="42">
      <c r="A42" t="inlineStr">
        <is>
          <t>CHEM-1760</t>
        </is>
      </c>
      <c r="B42" t="inlineStr">
        <is>
          <t>PO066939</t>
        </is>
      </c>
      <c r="C42" s="27" t="n"/>
      <c r="D42" t="n">
        <v>17</v>
      </c>
      <c r="E42" s="24" t="n">
        <v>46068</v>
      </c>
      <c r="F42" s="24" t="n">
        <v>46072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  <c r="I42" s="28" t="n"/>
    </row>
    <row r="43">
      <c r="A43" t="inlineStr">
        <is>
          <t>CHEM-1680</t>
        </is>
      </c>
      <c r="B43" t="inlineStr">
        <is>
          <t>PO066939</t>
        </is>
      </c>
      <c r="C43" s="27" t="n"/>
      <c r="D43" t="n">
        <v>200</v>
      </c>
      <c r="E43" s="24" t="n">
        <v>46068</v>
      </c>
      <c r="F43" s="24" t="n">
        <v>46072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  <c r="I43" s="28" t="n"/>
    </row>
    <row r="44">
      <c r="A44" t="inlineStr">
        <is>
          <t>CHEM-1660</t>
        </is>
      </c>
      <c r="B44" t="inlineStr">
        <is>
          <t>PO066949</t>
        </is>
      </c>
      <c r="C44" s="27" t="n"/>
      <c r="D44" t="n">
        <v>60</v>
      </c>
      <c r="E44" s="24" t="n">
        <v>46056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  <c r="I44" s="28" t="n"/>
    </row>
    <row r="45">
      <c r="A45" t="inlineStr">
        <is>
          <t>CHEM-1850</t>
        </is>
      </c>
      <c r="B45" t="inlineStr"/>
      <c r="C45" s="27" t="n"/>
      <c r="D45" t="n">
        <v>18.64</v>
      </c>
      <c r="E45" s="24" t="n">
        <v>46068</v>
      </c>
      <c r="F45" s="24" t="n">
        <v>46072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  <c r="I45" s="28" t="n"/>
    </row>
    <row r="46">
      <c r="A46" t="inlineStr">
        <is>
          <t>CHEM-1240</t>
        </is>
      </c>
      <c r="B46" t="inlineStr">
        <is>
          <t>PO067067</t>
        </is>
      </c>
      <c r="C46" s="27" t="n"/>
      <c r="D46" t="n">
        <v>440</v>
      </c>
      <c r="E46" s="24" t="n">
        <v>46092</v>
      </c>
      <c r="F46" s="24" t="n">
        <v>46099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  <c r="I46" s="28" t="n"/>
    </row>
    <row r="47">
      <c r="A47" t="inlineStr">
        <is>
          <t>CHEM-1250</t>
        </is>
      </c>
      <c r="B47" t="inlineStr">
        <is>
          <t>PO067067</t>
        </is>
      </c>
      <c r="C47" s="27" t="n"/>
      <c r="D47" t="n">
        <v>100</v>
      </c>
      <c r="E47" s="24" t="n">
        <v>46092</v>
      </c>
      <c r="F47" s="24" t="n">
        <v>46099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  <c r="I47" s="28" t="n"/>
    </row>
    <row r="48">
      <c r="A48" t="inlineStr">
        <is>
          <t>CHEM-1400</t>
        </is>
      </c>
      <c r="B48" t="inlineStr">
        <is>
          <t>PO067067</t>
        </is>
      </c>
      <c r="C48" s="27" t="n"/>
      <c r="D48" t="n">
        <v>100</v>
      </c>
      <c r="E48" s="24" t="n">
        <v>46092</v>
      </c>
      <c r="F48" s="24" t="n">
        <v>46099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  <c r="I48" s="28" t="n"/>
    </row>
    <row r="49">
      <c r="A49" t="inlineStr">
        <is>
          <t>CHEM-1420</t>
        </is>
      </c>
      <c r="B49" t="inlineStr">
        <is>
          <t>PO067067</t>
        </is>
      </c>
      <c r="C49" s="27" t="n"/>
      <c r="D49" t="n">
        <v>160</v>
      </c>
      <c r="E49" s="24" t="n">
        <v>46092</v>
      </c>
      <c r="F49" s="24" t="n">
        <v>46099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  <c r="I49" s="28" t="n"/>
    </row>
    <row r="50">
      <c r="A50" t="inlineStr">
        <is>
          <t>CHEM-1440</t>
        </is>
      </c>
      <c r="B50" t="inlineStr">
        <is>
          <t>PO067067</t>
        </is>
      </c>
      <c r="C50" s="27" t="n"/>
      <c r="D50" t="n">
        <v>200</v>
      </c>
      <c r="E50" s="24" t="n">
        <v>46092</v>
      </c>
      <c r="F50" s="24" t="n">
        <v>46099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  <c r="I50" s="28" t="n"/>
    </row>
    <row r="51">
      <c r="A51" t="inlineStr">
        <is>
          <t>CHEM-1540</t>
        </is>
      </c>
      <c r="B51" t="inlineStr">
        <is>
          <t>PO067067</t>
        </is>
      </c>
      <c r="C51" s="27" t="n"/>
      <c r="D51" t="n">
        <v>3000</v>
      </c>
      <c r="E51" s="24" t="n">
        <v>46092</v>
      </c>
      <c r="F51" s="24" t="n">
        <v>46099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  <c r="I51" s="28" t="n"/>
    </row>
    <row r="52">
      <c r="A52" t="inlineStr">
        <is>
          <t>CHEM-1530</t>
        </is>
      </c>
      <c r="B52" t="inlineStr">
        <is>
          <t>PO067067</t>
        </is>
      </c>
      <c r="C52" s="27" t="n"/>
      <c r="D52" t="n">
        <v>2100</v>
      </c>
      <c r="E52" s="24" t="n">
        <v>46092</v>
      </c>
      <c r="F52" s="24" t="n">
        <v>46099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  <c r="I52" s="28" t="n"/>
    </row>
    <row r="53">
      <c r="A53" t="inlineStr">
        <is>
          <t>CHEM-1600</t>
        </is>
      </c>
      <c r="B53" t="inlineStr">
        <is>
          <t>PO067067</t>
        </is>
      </c>
      <c r="C53" s="27" t="n"/>
      <c r="D53" t="n">
        <v>100</v>
      </c>
      <c r="E53" s="24" t="n">
        <v>46092</v>
      </c>
      <c r="F53" s="24" t="n">
        <v>46099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  <c r="I53" s="28" t="n"/>
    </row>
    <row r="54">
      <c r="A54" t="inlineStr">
        <is>
          <t>CHEM-1570</t>
        </is>
      </c>
      <c r="B54" t="inlineStr">
        <is>
          <t>PO067067</t>
        </is>
      </c>
      <c r="C54" s="27" t="n"/>
      <c r="D54" t="n">
        <v>36</v>
      </c>
      <c r="E54" s="24" t="n">
        <v>46092</v>
      </c>
      <c r="F54" s="24" t="n">
        <v>46099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  <c r="I54" s="28" t="n"/>
    </row>
    <row r="55">
      <c r="A55" t="inlineStr">
        <is>
          <t>CHEM-1670</t>
        </is>
      </c>
      <c r="B55" t="inlineStr">
        <is>
          <t>PO067067</t>
        </is>
      </c>
      <c r="C55" s="27" t="n"/>
      <c r="D55" t="n">
        <v>180</v>
      </c>
      <c r="E55" s="24" t="n">
        <v>46092</v>
      </c>
      <c r="F55" s="24" t="n">
        <v>46099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  <c r="I55" s="28" t="n"/>
    </row>
    <row r="56">
      <c r="A56" t="inlineStr">
        <is>
          <t>CHEM-1700</t>
        </is>
      </c>
      <c r="B56" t="inlineStr">
        <is>
          <t>PO067067</t>
        </is>
      </c>
      <c r="C56" s="27" t="n"/>
      <c r="D56" t="n">
        <v>60</v>
      </c>
      <c r="E56" s="24" t="n">
        <v>46092</v>
      </c>
      <c r="F56" s="24" t="n">
        <v>46099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  <c r="I56" s="28" t="n"/>
    </row>
    <row r="57">
      <c r="A57" t="inlineStr">
        <is>
          <t>CHEM-1720</t>
        </is>
      </c>
      <c r="B57" t="inlineStr">
        <is>
          <t>PO067067</t>
        </is>
      </c>
      <c r="C57" s="27" t="n"/>
      <c r="D57" t="n">
        <v>720</v>
      </c>
      <c r="E57" s="24" t="n">
        <v>46092</v>
      </c>
      <c r="F57" s="24" t="n">
        <v>46099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  <c r="I57" s="28" t="n"/>
    </row>
    <row r="58">
      <c r="A58" t="inlineStr">
        <is>
          <t>PP Film</t>
        </is>
      </c>
      <c r="B58" t="inlineStr">
        <is>
          <t>PO067067</t>
        </is>
      </c>
      <c r="C58" s="27" t="n"/>
      <c r="D58" t="n">
        <v>3000</v>
      </c>
      <c r="E58" s="24" t="n">
        <v>46092</v>
      </c>
      <c r="F58" s="24" t="n">
        <v>46099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  <c r="I58" s="28" t="n"/>
    </row>
    <row r="59">
      <c r="A59" t="inlineStr">
        <is>
          <t>CHEM-1650</t>
        </is>
      </c>
      <c r="B59" t="inlineStr">
        <is>
          <t>PO067067</t>
        </is>
      </c>
      <c r="C59" s="27" t="n"/>
      <c r="D59" t="n">
        <v>25</v>
      </c>
      <c r="E59" s="24" t="n">
        <v>46092</v>
      </c>
      <c r="F59" s="24" t="n">
        <v>46099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  <c r="I59" s="28" t="n"/>
    </row>
    <row r="60">
      <c r="A60" t="inlineStr">
        <is>
          <t>Original Towel</t>
        </is>
      </c>
      <c r="B60" t="inlineStr">
        <is>
          <t>PO067067</t>
        </is>
      </c>
      <c r="C60" s="27" t="n"/>
      <c r="D60" t="n">
        <v>10000</v>
      </c>
      <c r="E60" s="24" t="n">
        <v>46092</v>
      </c>
      <c r="F60" s="24" t="n">
        <v>46099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  <c r="I60" s="28" t="n"/>
    </row>
    <row r="61">
      <c r="A61" t="inlineStr">
        <is>
          <t>CHEM-1850</t>
        </is>
      </c>
      <c r="B61" t="inlineStr"/>
      <c r="C61" s="27" t="n"/>
      <c r="D61" t="n">
        <v>18.7</v>
      </c>
      <c r="E61" s="24" t="n">
        <v>46092</v>
      </c>
      <c r="F61" s="24" t="n">
        <v>46099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  <c r="I61" s="28" t="n"/>
    </row>
    <row r="62">
      <c r="A62" t="inlineStr">
        <is>
          <t>CHEM-1660</t>
        </is>
      </c>
      <c r="B62" t="inlineStr">
        <is>
          <t>PO067070</t>
        </is>
      </c>
      <c r="C62" s="27" t="n"/>
      <c r="D62" t="n">
        <v>180</v>
      </c>
      <c r="E62" s="24" t="n">
        <v>46092</v>
      </c>
      <c r="F62" s="24" t="n">
        <v>46099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  <c r="I62" s="28" t="n"/>
    </row>
    <row r="63">
      <c r="A63" t="inlineStr">
        <is>
          <t>CHEM-1280</t>
        </is>
      </c>
      <c r="B63" t="inlineStr">
        <is>
          <t>PO067070</t>
        </is>
      </c>
      <c r="C63" s="27" t="n"/>
      <c r="D63" t="n">
        <v>1000</v>
      </c>
      <c r="E63" s="24" t="n">
        <v>46092</v>
      </c>
      <c r="F63" s="24" t="n">
        <v>46099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  <c r="I63" s="28" t="n"/>
    </row>
    <row r="64">
      <c r="A64" t="inlineStr">
        <is>
          <t>CHEM-1250</t>
        </is>
      </c>
      <c r="B64" t="inlineStr">
        <is>
          <t>PO067281</t>
        </is>
      </c>
      <c r="C64" s="27" t="n"/>
      <c r="D64" t="n">
        <v>150</v>
      </c>
      <c r="E64" s="24" t="n">
        <v>46117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  <c r="I64" s="28" t="n"/>
    </row>
    <row r="65">
      <c r="A65" t="inlineStr">
        <is>
          <t>CHEM-1400</t>
        </is>
      </c>
      <c r="B65" t="inlineStr">
        <is>
          <t>PO067281</t>
        </is>
      </c>
      <c r="C65" s="27" t="n"/>
      <c r="D65" t="n">
        <v>300</v>
      </c>
      <c r="E65" s="24" t="n">
        <v>46117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  <c r="I65" s="28" t="n"/>
    </row>
    <row r="66">
      <c r="A66" t="inlineStr">
        <is>
          <t>CHEM-1420</t>
        </is>
      </c>
      <c r="B66" t="inlineStr">
        <is>
          <t>PO067281</t>
        </is>
      </c>
      <c r="C66" s="27" t="n"/>
      <c r="D66" t="n">
        <v>240</v>
      </c>
      <c r="E66" s="24" t="n">
        <v>46117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  <c r="I66" s="28" t="n"/>
    </row>
    <row r="67">
      <c r="A67" t="inlineStr">
        <is>
          <t>CHEM-1440</t>
        </is>
      </c>
      <c r="B67" t="inlineStr">
        <is>
          <t>PO067281</t>
        </is>
      </c>
      <c r="C67" s="27" t="n"/>
      <c r="D67" t="n">
        <v>200</v>
      </c>
      <c r="E67" s="24" t="n">
        <v>46117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  <c r="I67" s="28" t="n"/>
    </row>
    <row r="68">
      <c r="A68" t="inlineStr">
        <is>
          <t>CHEM-1540</t>
        </is>
      </c>
      <c r="B68" t="inlineStr">
        <is>
          <t>PO067281</t>
        </is>
      </c>
      <c r="C68" s="27" t="n"/>
      <c r="D68" t="n">
        <v>2000</v>
      </c>
      <c r="E68" s="24" t="n">
        <v>46117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  <c r="I68" s="28" t="n"/>
    </row>
    <row r="69">
      <c r="A69" t="inlineStr">
        <is>
          <t>CHEM-1530</t>
        </is>
      </c>
      <c r="B69" t="inlineStr">
        <is>
          <t>PO067281</t>
        </is>
      </c>
      <c r="C69" s="27" t="n"/>
      <c r="D69" t="n">
        <v>2800</v>
      </c>
      <c r="E69" s="24" t="n">
        <v>46117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  <c r="I69" s="28" t="n"/>
    </row>
    <row r="70">
      <c r="A70" t="inlineStr">
        <is>
          <t>CHEM-1600</t>
        </is>
      </c>
      <c r="B70" t="inlineStr">
        <is>
          <t>PO067281</t>
        </is>
      </c>
      <c r="C70" s="27" t="n"/>
      <c r="D70" t="n">
        <v>250</v>
      </c>
      <c r="E70" s="24" t="n">
        <v>46117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  <c r="I70" s="28" t="n"/>
    </row>
    <row r="71">
      <c r="A71" t="inlineStr">
        <is>
          <t>CHEM-1570</t>
        </is>
      </c>
      <c r="B71" t="inlineStr">
        <is>
          <t>PO067281</t>
        </is>
      </c>
      <c r="C71" s="27" t="n"/>
      <c r="D71" t="n">
        <v>36</v>
      </c>
      <c r="E71" s="24" t="n">
        <v>46117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  <c r="I71" s="28" t="n"/>
    </row>
    <row r="72">
      <c r="A72" t="inlineStr">
        <is>
          <t>CHEM-1670</t>
        </is>
      </c>
      <c r="B72" t="inlineStr">
        <is>
          <t>PO067281</t>
        </is>
      </c>
      <c r="C72" s="27" t="n"/>
      <c r="D72" t="n">
        <v>180</v>
      </c>
      <c r="E72" s="24" t="n">
        <v>46117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  <c r="I72" s="28" t="n"/>
    </row>
    <row r="73">
      <c r="A73" t="inlineStr">
        <is>
          <t>CHEM-1690</t>
        </is>
      </c>
      <c r="B73" t="inlineStr">
        <is>
          <t>PO067281</t>
        </is>
      </c>
      <c r="C73" s="27" t="n"/>
      <c r="D73" t="n">
        <v>135</v>
      </c>
      <c r="E73" s="24" t="n">
        <v>46117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  <c r="I73" s="28" t="n"/>
    </row>
    <row r="74">
      <c r="A74" t="inlineStr">
        <is>
          <t>CHEM-1700</t>
        </is>
      </c>
      <c r="B74" t="inlineStr">
        <is>
          <t>PO067281</t>
        </is>
      </c>
      <c r="C74" s="27" t="n"/>
      <c r="D74" t="n">
        <v>60</v>
      </c>
      <c r="E74" s="24" t="n">
        <v>46117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  <c r="I74" s="28" t="n"/>
    </row>
    <row r="75">
      <c r="A75" t="inlineStr">
        <is>
          <t>CHEM-1720</t>
        </is>
      </c>
      <c r="B75" t="inlineStr">
        <is>
          <t>PO067281</t>
        </is>
      </c>
      <c r="C75" s="27" t="n"/>
      <c r="D75" t="n">
        <v>720</v>
      </c>
      <c r="E75" s="24" t="n">
        <v>46117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  <c r="I75" s="28" t="n"/>
    </row>
    <row r="76">
      <c r="A76" t="inlineStr">
        <is>
          <t>CHEM-1760</t>
        </is>
      </c>
      <c r="B76" t="inlineStr">
        <is>
          <t>PO067281</t>
        </is>
      </c>
      <c r="C76" s="27" t="n"/>
      <c r="D76" t="n">
        <v>17</v>
      </c>
      <c r="E76" s="24" t="n">
        <v>46117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  <c r="I76" s="28" t="n"/>
    </row>
    <row r="77">
      <c r="A77" t="inlineStr">
        <is>
          <t>CHEM-1680</t>
        </is>
      </c>
      <c r="B77" t="inlineStr">
        <is>
          <t>PO067281</t>
        </is>
      </c>
      <c r="C77" s="27" t="n"/>
      <c r="D77" t="n">
        <v>200</v>
      </c>
      <c r="E77" s="24" t="n">
        <v>46117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  <c r="I77" s="28" t="n"/>
    </row>
    <row r="78">
      <c r="A78" t="inlineStr">
        <is>
          <t>CHEM-1660</t>
        </is>
      </c>
      <c r="B78" t="inlineStr">
        <is>
          <t>PO067274</t>
        </is>
      </c>
      <c r="C78" s="27" t="n"/>
      <c r="D78" t="n">
        <v>180</v>
      </c>
      <c r="E78" s="24" t="n">
        <v>46117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  <c r="I78" s="28" t="n"/>
    </row>
    <row r="79">
      <c r="A79" t="inlineStr">
        <is>
          <t>CHEM-1240</t>
        </is>
      </c>
      <c r="B79" t="inlineStr">
        <is>
          <t>PO067529</t>
        </is>
      </c>
      <c r="C79" s="27" t="n"/>
      <c r="D79" t="n">
        <v>660</v>
      </c>
      <c r="E79" s="24" t="n">
        <v>46156</v>
      </c>
      <c r="F79" s="24" t="n">
        <v>46164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  <c r="I79" s="28" t="n"/>
    </row>
    <row r="80">
      <c r="A80" t="inlineStr">
        <is>
          <t>CHEM-1250</t>
        </is>
      </c>
      <c r="B80" t="inlineStr">
        <is>
          <t>PO067529</t>
        </is>
      </c>
      <c r="C80" s="27" t="n"/>
      <c r="D80" t="n">
        <v>150</v>
      </c>
      <c r="E80" s="24" t="n">
        <v>46156</v>
      </c>
      <c r="F80" s="24" t="n">
        <v>46164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  <c r="I80" s="28" t="n"/>
    </row>
    <row r="81">
      <c r="A81" t="inlineStr">
        <is>
          <t>CHEM-1400</t>
        </is>
      </c>
      <c r="B81" t="inlineStr">
        <is>
          <t>PO067529</t>
        </is>
      </c>
      <c r="C81" s="27" t="n"/>
      <c r="D81" t="n">
        <v>350</v>
      </c>
      <c r="E81" s="24" t="n">
        <v>46156</v>
      </c>
      <c r="F81" s="24" t="n">
        <v>46164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  <c r="I81" s="28" t="n"/>
    </row>
    <row r="82">
      <c r="A82" t="inlineStr">
        <is>
          <t>CHEM-1420</t>
        </is>
      </c>
      <c r="B82" t="inlineStr">
        <is>
          <t>PO067529</t>
        </is>
      </c>
      <c r="C82" s="27" t="n"/>
      <c r="D82" t="n">
        <v>320</v>
      </c>
      <c r="E82" s="24" t="n">
        <v>46156</v>
      </c>
      <c r="F82" s="24" t="n">
        <v>46164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  <c r="I82" s="28" t="n"/>
    </row>
    <row r="83">
      <c r="A83" t="inlineStr">
        <is>
          <t>CHEM-1440</t>
        </is>
      </c>
      <c r="B83" t="inlineStr">
        <is>
          <t>PO067529</t>
        </is>
      </c>
      <c r="C83" s="27" t="n"/>
      <c r="D83" t="n">
        <v>200</v>
      </c>
      <c r="E83" s="24" t="n">
        <v>46156</v>
      </c>
      <c r="F83" s="24" t="n">
        <v>46164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  <c r="I83" s="28" t="n"/>
    </row>
    <row r="84">
      <c r="A84" t="inlineStr">
        <is>
          <t>CHEM-1540</t>
        </is>
      </c>
      <c r="B84" t="inlineStr">
        <is>
          <t>PO067529</t>
        </is>
      </c>
      <c r="C84" s="27" t="n"/>
      <c r="D84" t="n">
        <v>2500</v>
      </c>
      <c r="E84" s="24" t="n">
        <v>46156</v>
      </c>
      <c r="F84" s="24" t="n">
        <v>46164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  <c r="I84" s="28" t="n"/>
    </row>
    <row r="85">
      <c r="A85" t="inlineStr">
        <is>
          <t>CHEM-1530</t>
        </is>
      </c>
      <c r="B85" t="inlineStr">
        <is>
          <t>PO067529</t>
        </is>
      </c>
      <c r="C85" s="27" t="n"/>
      <c r="D85" t="n">
        <v>3500</v>
      </c>
      <c r="E85" s="24" t="n">
        <v>46156</v>
      </c>
      <c r="F85" s="24" t="n">
        <v>46164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  <c r="I85" s="28" t="n"/>
    </row>
    <row r="86">
      <c r="A86" t="inlineStr">
        <is>
          <t>CHEM-1600</t>
        </is>
      </c>
      <c r="B86" t="inlineStr">
        <is>
          <t>PO067529</t>
        </is>
      </c>
      <c r="C86" s="27" t="n"/>
      <c r="D86" t="n">
        <v>350</v>
      </c>
      <c r="E86" s="24" t="n">
        <v>46156</v>
      </c>
      <c r="F86" s="24" t="n">
        <v>46164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  <c r="I86" s="28" t="n"/>
    </row>
    <row r="87">
      <c r="A87" t="inlineStr">
        <is>
          <t>CHEM-1570</t>
        </is>
      </c>
      <c r="B87" t="inlineStr">
        <is>
          <t>PO067529</t>
        </is>
      </c>
      <c r="C87" s="27" t="n"/>
      <c r="D87" t="n">
        <v>36</v>
      </c>
      <c r="E87" s="24" t="n">
        <v>46156</v>
      </c>
      <c r="F87" s="24" t="n">
        <v>46164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  <c r="I87" s="28" t="n"/>
    </row>
    <row r="88">
      <c r="A88" t="inlineStr">
        <is>
          <t>CHEM-1670</t>
        </is>
      </c>
      <c r="B88" t="inlineStr">
        <is>
          <t>PO067529</t>
        </is>
      </c>
      <c r="C88" s="27" t="n"/>
      <c r="D88" t="n">
        <v>180</v>
      </c>
      <c r="E88" s="24" t="n">
        <v>46156</v>
      </c>
      <c r="F88" s="24" t="n">
        <v>46164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  <c r="I88" s="28" t="n"/>
    </row>
    <row r="89">
      <c r="A89" t="inlineStr">
        <is>
          <t>CHEM-1690</t>
        </is>
      </c>
      <c r="B89" t="inlineStr">
        <is>
          <t>PO067529</t>
        </is>
      </c>
      <c r="C89" s="27" t="n"/>
      <c r="D89" t="n">
        <v>135</v>
      </c>
      <c r="E89" s="24" t="n">
        <v>46156</v>
      </c>
      <c r="F89" s="24" t="n">
        <v>46164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  <c r="I89" s="28" t="n"/>
    </row>
    <row r="90">
      <c r="A90" t="inlineStr">
        <is>
          <t>CHEM-1700</t>
        </is>
      </c>
      <c r="B90" t="inlineStr">
        <is>
          <t>PO067529</t>
        </is>
      </c>
      <c r="C90" s="27" t="n"/>
      <c r="D90" t="n">
        <v>60</v>
      </c>
      <c r="E90" s="24" t="n">
        <v>46156</v>
      </c>
      <c r="F90" s="24" t="n">
        <v>46164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  <c r="I90" s="28" t="n"/>
    </row>
    <row r="91">
      <c r="A91" t="inlineStr">
        <is>
          <t>CHEM-1720</t>
        </is>
      </c>
      <c r="B91" t="inlineStr">
        <is>
          <t>PO067529</t>
        </is>
      </c>
      <c r="C91" s="27" t="n"/>
      <c r="D91" t="n">
        <v>1080</v>
      </c>
      <c r="E91" s="24" t="n">
        <v>46156</v>
      </c>
      <c r="F91" s="24" t="n">
        <v>46164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  <c r="I91" s="28" t="n"/>
    </row>
    <row r="92">
      <c r="A92" t="inlineStr">
        <is>
          <t>CHEM-1680</t>
        </is>
      </c>
      <c r="B92" t="inlineStr">
        <is>
          <t>PO067529</t>
        </is>
      </c>
      <c r="C92" s="27" t="n"/>
      <c r="D92" t="n">
        <v>200</v>
      </c>
      <c r="E92" s="24" t="n">
        <v>46156</v>
      </c>
      <c r="F92" s="24" t="n">
        <v>46164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  <c r="I92" s="28" t="n"/>
    </row>
    <row r="93">
      <c r="A93" t="inlineStr">
        <is>
          <t>CHEM-1730</t>
        </is>
      </c>
      <c r="B93" t="inlineStr">
        <is>
          <t>PO067529</t>
        </is>
      </c>
      <c r="C93" s="27" t="n"/>
      <c r="D93" t="n">
        <v>200</v>
      </c>
      <c r="E93" s="24" t="n">
        <v>46156</v>
      </c>
      <c r="F93" s="24" t="n">
        <v>46164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  <c r="I93" s="28" t="n"/>
    </row>
    <row r="94">
      <c r="A94" t="inlineStr">
        <is>
          <t>CHEM-1660</t>
        </is>
      </c>
      <c r="B94" t="inlineStr">
        <is>
          <t>PO067514</t>
        </is>
      </c>
      <c r="C94" s="27" t="n"/>
      <c r="D94" t="n">
        <v>120</v>
      </c>
      <c r="E94" s="24" t="n">
        <v>46155</v>
      </c>
      <c r="F94" s="24" t="n">
        <v>46163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  <c r="I94" s="28" t="n"/>
    </row>
    <row r="95">
      <c r="A95" t="inlineStr">
        <is>
          <t>CHEM-1280</t>
        </is>
      </c>
      <c r="B95" t="inlineStr">
        <is>
          <t>PO067514</t>
        </is>
      </c>
      <c r="C95" s="27" t="n"/>
      <c r="D95" t="n">
        <v>1000</v>
      </c>
      <c r="E95" s="24" t="n">
        <v>46155</v>
      </c>
      <c r="F95" s="24" t="n">
        <v>46163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  <c r="I95" s="28" t="n"/>
    </row>
    <row r="96">
      <c r="A96" t="inlineStr">
        <is>
          <t>CHEM-1240</t>
        </is>
      </c>
      <c r="B96" t="inlineStr">
        <is>
          <t>PO068015</t>
        </is>
      </c>
      <c r="C96" s="27" t="n"/>
      <c r="D96" t="n">
        <v>660</v>
      </c>
      <c r="E96" s="24" t="n">
        <v>46181</v>
      </c>
      <c r="G96" t="inlineStr">
        <is>
          <t>In-transit</t>
        </is>
      </c>
      <c r="H96">
        <f>IFERROR(MAX(1,MIN(104,INT((IF(F96="",E96,F96)-(DATE(Cal_Weeks!$B$1,1,1)-WEEKDAY(DATE(Cal_Weeks!$B$1,1,1),3)))/7)+1)),"")</f>
        <v/>
      </c>
      <c r="I96" s="28" t="n"/>
    </row>
    <row r="97">
      <c r="A97" t="inlineStr">
        <is>
          <t>CHEM-1250</t>
        </is>
      </c>
      <c r="B97" t="inlineStr">
        <is>
          <t>PO068015</t>
        </is>
      </c>
      <c r="C97" s="27" t="n"/>
      <c r="D97" t="n">
        <v>50</v>
      </c>
      <c r="E97" s="24" t="n">
        <v>46181</v>
      </c>
      <c r="G97" t="inlineStr">
        <is>
          <t>In-transit</t>
        </is>
      </c>
      <c r="H97">
        <f>IFERROR(MAX(1,MIN(104,INT((IF(F97="",E97,F97)-(DATE(Cal_Weeks!$B$1,1,1)-WEEKDAY(DATE(Cal_Weeks!$B$1,1,1),3)))/7)+1)),"")</f>
        <v/>
      </c>
      <c r="I97" s="28" t="n"/>
    </row>
    <row r="98">
      <c r="A98" t="inlineStr">
        <is>
          <t>CHEM-1400</t>
        </is>
      </c>
      <c r="B98" t="inlineStr">
        <is>
          <t>PO068015</t>
        </is>
      </c>
      <c r="C98" s="27" t="n"/>
      <c r="D98" t="n">
        <v>200</v>
      </c>
      <c r="E98" s="24" t="n">
        <v>46181</v>
      </c>
      <c r="G98" t="inlineStr">
        <is>
          <t>In-transit</t>
        </is>
      </c>
      <c r="H98">
        <f>IFERROR(MAX(1,MIN(104,INT((IF(F98="",E98,F98)-(DATE(Cal_Weeks!$B$1,1,1)-WEEKDAY(DATE(Cal_Weeks!$B$1,1,1),3)))/7)+1)),"")</f>
        <v/>
      </c>
      <c r="I98" s="28" t="n"/>
    </row>
    <row r="99">
      <c r="A99" t="inlineStr">
        <is>
          <t>CHEM-1420</t>
        </is>
      </c>
      <c r="B99" t="inlineStr">
        <is>
          <t>PO068015</t>
        </is>
      </c>
      <c r="C99" s="27" t="n"/>
      <c r="D99" t="n">
        <v>240</v>
      </c>
      <c r="E99" s="24" t="n">
        <v>46181</v>
      </c>
      <c r="G99" t="inlineStr">
        <is>
          <t>In-transit</t>
        </is>
      </c>
      <c r="H99">
        <f>IFERROR(MAX(1,MIN(104,INT((IF(F99="",E99,F99)-(DATE(Cal_Weeks!$B$1,1,1)-WEEKDAY(DATE(Cal_Weeks!$B$1,1,1),3)))/7)+1)),"")</f>
        <v/>
      </c>
      <c r="I99" s="28" t="n"/>
    </row>
    <row r="100">
      <c r="A100" t="inlineStr">
        <is>
          <t>CHEM-1540</t>
        </is>
      </c>
      <c r="B100" t="inlineStr">
        <is>
          <t>PO068015</t>
        </is>
      </c>
      <c r="C100" s="27" t="n"/>
      <c r="D100" t="n">
        <v>4500</v>
      </c>
      <c r="E100" s="24" t="n">
        <v>46181</v>
      </c>
      <c r="G100" t="inlineStr">
        <is>
          <t>In-transit</t>
        </is>
      </c>
      <c r="H100">
        <f>IFERROR(MAX(1,MIN(104,INT((IF(F100="",E100,F100)-(DATE(Cal_Weeks!$B$1,1,1)-WEEKDAY(DATE(Cal_Weeks!$B$1,1,1),3)))/7)+1)),"")</f>
        <v/>
      </c>
      <c r="I100" s="28" t="n"/>
    </row>
    <row r="101">
      <c r="A101" t="inlineStr">
        <is>
          <t>CHEM-1530</t>
        </is>
      </c>
      <c r="B101" t="inlineStr">
        <is>
          <t>PO068015</t>
        </is>
      </c>
      <c r="C101" s="27" t="n"/>
      <c r="D101" t="n">
        <v>2100</v>
      </c>
      <c r="E101" s="24" t="n">
        <v>46181</v>
      </c>
      <c r="G101" t="inlineStr">
        <is>
          <t>In-transit</t>
        </is>
      </c>
      <c r="H101">
        <f>IFERROR(MAX(1,MIN(104,INT((IF(F101="",E101,F101)-(DATE(Cal_Weeks!$B$1,1,1)-WEEKDAY(DATE(Cal_Weeks!$B$1,1,1),3)))/7)+1)),"")</f>
        <v/>
      </c>
      <c r="I101" s="28" t="n"/>
    </row>
    <row r="102">
      <c r="A102" t="inlineStr">
        <is>
          <t>CHEM-1570</t>
        </is>
      </c>
      <c r="B102" t="inlineStr">
        <is>
          <t>PO068015</t>
        </is>
      </c>
      <c r="C102" s="27" t="n"/>
      <c r="D102" t="n">
        <v>18</v>
      </c>
      <c r="E102" s="24" t="n">
        <v>46181</v>
      </c>
      <c r="G102" t="inlineStr">
        <is>
          <t>In-transit</t>
        </is>
      </c>
      <c r="H102">
        <f>IFERROR(MAX(1,MIN(104,INT((IF(F102="",E102,F102)-(DATE(Cal_Weeks!$B$1,1,1)-WEEKDAY(DATE(Cal_Weeks!$B$1,1,1),3)))/7)+1)),"")</f>
        <v/>
      </c>
      <c r="I102" s="28" t="n"/>
    </row>
    <row r="103">
      <c r="A103" t="inlineStr">
        <is>
          <t>CHEM-1670</t>
        </is>
      </c>
      <c r="B103" t="inlineStr">
        <is>
          <t>PO068015</t>
        </is>
      </c>
      <c r="C103" s="27" t="n"/>
      <c r="D103" t="n">
        <v>360</v>
      </c>
      <c r="E103" s="24" t="n">
        <v>46181</v>
      </c>
      <c r="G103" t="inlineStr">
        <is>
          <t>In-transit</t>
        </is>
      </c>
      <c r="H103">
        <f>IFERROR(MAX(1,MIN(104,INT((IF(F103="",E103,F103)-(DATE(Cal_Weeks!$B$1,1,1)-WEEKDAY(DATE(Cal_Weeks!$B$1,1,1),3)))/7)+1)),"")</f>
        <v/>
      </c>
      <c r="I103" s="28" t="n"/>
    </row>
    <row r="104">
      <c r="A104" t="inlineStr">
        <is>
          <t>CHEM-1690</t>
        </is>
      </c>
      <c r="B104" t="inlineStr">
        <is>
          <t>PO068015</t>
        </is>
      </c>
      <c r="C104" s="27" t="n"/>
      <c r="D104" t="n">
        <v>135</v>
      </c>
      <c r="E104" s="24" t="n">
        <v>46181</v>
      </c>
      <c r="G104" t="inlineStr">
        <is>
          <t>In-transit</t>
        </is>
      </c>
      <c r="H104">
        <f>IFERROR(MAX(1,MIN(104,INT((IF(F104="",E104,F104)-(DATE(Cal_Weeks!$B$1,1,1)-WEEKDAY(DATE(Cal_Weeks!$B$1,1,1),3)))/7)+1)),"")</f>
        <v/>
      </c>
      <c r="I104" s="28" t="n"/>
    </row>
    <row r="105">
      <c r="A105" t="inlineStr">
        <is>
          <t>CHEM-1700</t>
        </is>
      </c>
      <c r="B105" t="inlineStr">
        <is>
          <t>PO068015</t>
        </is>
      </c>
      <c r="C105" s="27" t="n"/>
      <c r="D105" t="n">
        <v>60</v>
      </c>
      <c r="E105" s="24" t="n">
        <v>46181</v>
      </c>
      <c r="G105" t="inlineStr">
        <is>
          <t>In-transit</t>
        </is>
      </c>
      <c r="H105">
        <f>IFERROR(MAX(1,MIN(104,INT((IF(F105="",E105,F105)-(DATE(Cal_Weeks!$B$1,1,1)-WEEKDAY(DATE(Cal_Weeks!$B$1,1,1),3)))/7)+1)),"")</f>
        <v/>
      </c>
      <c r="I105" s="28" t="n"/>
    </row>
    <row r="106">
      <c r="A106" t="inlineStr">
        <is>
          <t>CHEM-1720</t>
        </is>
      </c>
      <c r="B106" t="inlineStr">
        <is>
          <t>PO068015</t>
        </is>
      </c>
      <c r="C106" s="27" t="n"/>
      <c r="D106" t="n">
        <v>1320</v>
      </c>
      <c r="E106" s="24" t="n">
        <v>46181</v>
      </c>
      <c r="G106" t="inlineStr">
        <is>
          <t>In-transit</t>
        </is>
      </c>
      <c r="H106">
        <f>IFERROR(MAX(1,MIN(104,INT((IF(F106="",E106,F106)-(DATE(Cal_Weeks!$B$1,1,1)-WEEKDAY(DATE(Cal_Weeks!$B$1,1,1),3)))/7)+1)),"")</f>
        <v/>
      </c>
      <c r="I106" s="28" t="n"/>
    </row>
    <row r="107">
      <c r="A107" t="inlineStr">
        <is>
          <t>CHEM-1760</t>
        </is>
      </c>
      <c r="B107" t="inlineStr">
        <is>
          <t>PO068015</t>
        </is>
      </c>
      <c r="C107" s="27" t="n"/>
      <c r="D107" t="n">
        <v>17</v>
      </c>
      <c r="E107" s="24" t="n">
        <v>46181</v>
      </c>
      <c r="G107" t="inlineStr">
        <is>
          <t>In-transit</t>
        </is>
      </c>
      <c r="H107">
        <f>IFERROR(MAX(1,MIN(104,INT((IF(F107="",E107,F107)-(DATE(Cal_Weeks!$B$1,1,1)-WEEKDAY(DATE(Cal_Weeks!$B$1,1,1),3)))/7)+1)),"")</f>
        <v/>
      </c>
      <c r="I107" s="28" t="n"/>
    </row>
    <row r="108">
      <c r="A108" t="inlineStr">
        <is>
          <t>CHEM-1850</t>
        </is>
      </c>
      <c r="B108" t="inlineStr"/>
      <c r="C108" s="27" t="n"/>
      <c r="D108" t="n">
        <v>74.56</v>
      </c>
      <c r="E108" s="24" t="n">
        <v>46181</v>
      </c>
      <c r="G108" t="inlineStr">
        <is>
          <t>In-transit</t>
        </is>
      </c>
      <c r="H108">
        <f>IFERROR(MAX(1,MIN(104,INT((IF(F108="",E108,F108)-(DATE(Cal_Weeks!$B$1,1,1)-WEEKDAY(DATE(Cal_Weeks!$B$1,1,1),3)))/7)+1)),"")</f>
        <v/>
      </c>
      <c r="I108" s="28" t="n"/>
    </row>
    <row r="109">
      <c r="A109" t="inlineStr">
        <is>
          <t>CHEM-1660</t>
        </is>
      </c>
      <c r="B109" t="inlineStr">
        <is>
          <t>PO067957</t>
        </is>
      </c>
      <c r="C109" s="27" t="n"/>
      <c r="D109" t="n">
        <v>180</v>
      </c>
      <c r="E109" s="24" t="n">
        <v>46181</v>
      </c>
      <c r="G109" t="inlineStr">
        <is>
          <t>In-transit</t>
        </is>
      </c>
      <c r="H109">
        <f>IFERROR(MAX(1,MIN(104,INT((IF(F109="",E109,F109)-(DATE(Cal_Weeks!$B$1,1,1)-WEEKDAY(DATE(Cal_Weeks!$B$1,1,1),3)))/7)+1)),"")</f>
        <v/>
      </c>
      <c r="I109" s="28" t="n"/>
    </row>
    <row r="110">
      <c r="A110" t="inlineStr">
        <is>
          <t>CHEM-1280</t>
        </is>
      </c>
      <c r="B110" t="inlineStr">
        <is>
          <t>PO067957</t>
        </is>
      </c>
      <c r="C110" s="27" t="n"/>
      <c r="D110" t="n">
        <v>1000</v>
      </c>
      <c r="E110" s="24" t="n">
        <v>46181</v>
      </c>
      <c r="G110" t="inlineStr">
        <is>
          <t>In-transit</t>
        </is>
      </c>
      <c r="H110">
        <f>IFERROR(MAX(1,MIN(104,INT((IF(F110="",E110,F110)-(DATE(Cal_Weeks!$B$1,1,1)-WEEKDAY(DATE(Cal_Weeks!$B$1,1,1),3)))/7)+1)),"")</f>
        <v/>
      </c>
      <c r="I110" s="28" t="n"/>
    </row>
    <row r="111">
      <c r="A111" t="inlineStr">
        <is>
          <t>CHEM-1240</t>
        </is>
      </c>
      <c r="B111" t="inlineStr">
        <is>
          <t>PO067960</t>
        </is>
      </c>
      <c r="C111" s="27" t="n"/>
      <c r="D111" t="n">
        <v>440</v>
      </c>
      <c r="E111" s="24" t="n">
        <v>46206</v>
      </c>
      <c r="G111" t="inlineStr">
        <is>
          <t>Unconfirmed</t>
        </is>
      </c>
      <c r="H111">
        <f>IFERROR(MAX(1,MIN(104,INT((IF(F111="",E111,F111)-(DATE(Cal_Weeks!$B$1,1,1)-WEEKDAY(DATE(Cal_Weeks!$B$1,1,1),3)))/7)+1)),"")</f>
        <v/>
      </c>
      <c r="I111" s="28" t="n"/>
    </row>
    <row r="112">
      <c r="A112" t="inlineStr">
        <is>
          <t>CHEM-1250</t>
        </is>
      </c>
      <c r="B112" t="inlineStr">
        <is>
          <t>PO067960</t>
        </is>
      </c>
      <c r="C112" s="27" t="n"/>
      <c r="D112" t="n">
        <v>125</v>
      </c>
      <c r="E112" s="24" t="n">
        <v>46206</v>
      </c>
      <c r="G112" t="inlineStr">
        <is>
          <t>Unconfirmed</t>
        </is>
      </c>
      <c r="H112">
        <f>IFERROR(MAX(1,MIN(104,INT((IF(F112="",E112,F112)-(DATE(Cal_Weeks!$B$1,1,1)-WEEKDAY(DATE(Cal_Weeks!$B$1,1,1),3)))/7)+1)),"")</f>
        <v/>
      </c>
      <c r="I112" s="28" t="n"/>
    </row>
    <row r="113">
      <c r="A113" t="inlineStr">
        <is>
          <t>CHEM-1400</t>
        </is>
      </c>
      <c r="B113" t="inlineStr">
        <is>
          <t>PO067960</t>
        </is>
      </c>
      <c r="C113" s="27" t="n"/>
      <c r="D113" t="n">
        <v>250</v>
      </c>
      <c r="E113" s="24" t="n">
        <v>46206</v>
      </c>
      <c r="G113" t="inlineStr">
        <is>
          <t>Unconfirmed</t>
        </is>
      </c>
      <c r="H113">
        <f>IFERROR(MAX(1,MIN(104,INT((IF(F113="",E113,F113)-(DATE(Cal_Weeks!$B$1,1,1)-WEEKDAY(DATE(Cal_Weeks!$B$1,1,1),3)))/7)+1)),"")</f>
        <v/>
      </c>
      <c r="I113" s="28" t="n"/>
    </row>
    <row r="114">
      <c r="A114" t="inlineStr">
        <is>
          <t>CHEM-1420</t>
        </is>
      </c>
      <c r="B114" t="inlineStr">
        <is>
          <t>PO067960</t>
        </is>
      </c>
      <c r="C114" s="27" t="n"/>
      <c r="D114" t="n">
        <v>240</v>
      </c>
      <c r="E114" s="24" t="n">
        <v>46206</v>
      </c>
      <c r="G114" t="inlineStr">
        <is>
          <t>Unconfirmed</t>
        </is>
      </c>
      <c r="H114">
        <f>IFERROR(MAX(1,MIN(104,INT((IF(F114="",E114,F114)-(DATE(Cal_Weeks!$B$1,1,1)-WEEKDAY(DATE(Cal_Weeks!$B$1,1,1),3)))/7)+1)),"")</f>
        <v/>
      </c>
      <c r="I114" s="28" t="n"/>
    </row>
    <row r="115">
      <c r="A115" t="inlineStr">
        <is>
          <t>CHEM-1440</t>
        </is>
      </c>
      <c r="B115" t="inlineStr">
        <is>
          <t>PO067960</t>
        </is>
      </c>
      <c r="C115" s="27" t="n"/>
      <c r="D115" t="n">
        <v>200</v>
      </c>
      <c r="E115" s="24" t="n">
        <v>46206</v>
      </c>
      <c r="G115" t="inlineStr">
        <is>
          <t>Unconfirmed</t>
        </is>
      </c>
      <c r="H115">
        <f>IFERROR(MAX(1,MIN(104,INT((IF(F115="",E115,F115)-(DATE(Cal_Weeks!$B$1,1,1)-WEEKDAY(DATE(Cal_Weeks!$B$1,1,1),3)))/7)+1)),"")</f>
        <v/>
      </c>
      <c r="I115" s="28" t="n"/>
    </row>
    <row r="116">
      <c r="A116" t="inlineStr">
        <is>
          <t>CHEM-1540</t>
        </is>
      </c>
      <c r="B116" t="inlineStr">
        <is>
          <t>PO067960</t>
        </is>
      </c>
      <c r="C116" s="27" t="n"/>
      <c r="D116" t="n">
        <v>2000</v>
      </c>
      <c r="E116" s="24" t="n">
        <v>46206</v>
      </c>
      <c r="G116" t="inlineStr">
        <is>
          <t>Unconfirmed</t>
        </is>
      </c>
      <c r="H116">
        <f>IFERROR(MAX(1,MIN(104,INT((IF(F116="",E116,F116)-(DATE(Cal_Weeks!$B$1,1,1)-WEEKDAY(DATE(Cal_Weeks!$B$1,1,1),3)))/7)+1)),"")</f>
        <v/>
      </c>
      <c r="I116" s="28" t="n"/>
    </row>
    <row r="117">
      <c r="A117" t="inlineStr">
        <is>
          <t>CHEM-1530</t>
        </is>
      </c>
      <c r="B117" t="inlineStr">
        <is>
          <t>PO067960</t>
        </is>
      </c>
      <c r="C117" s="27" t="n"/>
      <c r="D117" t="n">
        <v>2100</v>
      </c>
      <c r="E117" s="24" t="n">
        <v>46206</v>
      </c>
      <c r="G117" t="inlineStr">
        <is>
          <t>Unconfirmed</t>
        </is>
      </c>
      <c r="H117">
        <f>IFERROR(MAX(1,MIN(104,INT((IF(F117="",E117,F117)-(DATE(Cal_Weeks!$B$1,1,1)-WEEKDAY(DATE(Cal_Weeks!$B$1,1,1),3)))/7)+1)),"")</f>
        <v/>
      </c>
      <c r="I117" s="28" t="n"/>
    </row>
    <row r="118">
      <c r="A118" t="inlineStr">
        <is>
          <t>CHEM-1600</t>
        </is>
      </c>
      <c r="B118" t="inlineStr">
        <is>
          <t>PO067960</t>
        </is>
      </c>
      <c r="C118" s="27" t="n"/>
      <c r="D118" t="n">
        <v>300</v>
      </c>
      <c r="E118" s="24" t="n">
        <v>46206</v>
      </c>
      <c r="G118" t="inlineStr">
        <is>
          <t>Unconfirmed</t>
        </is>
      </c>
      <c r="H118">
        <f>IFERROR(MAX(1,MIN(104,INT((IF(F118="",E118,F118)-(DATE(Cal_Weeks!$B$1,1,1)-WEEKDAY(DATE(Cal_Weeks!$B$1,1,1),3)))/7)+1)),"")</f>
        <v/>
      </c>
      <c r="I118" s="28" t="n"/>
    </row>
    <row r="119">
      <c r="A119" t="inlineStr">
        <is>
          <t>CHEM-1570</t>
        </is>
      </c>
      <c r="B119" t="inlineStr">
        <is>
          <t>PO067960</t>
        </is>
      </c>
      <c r="C119" s="27" t="n"/>
      <c r="D119" t="n">
        <v>54</v>
      </c>
      <c r="E119" s="24" t="n">
        <v>46206</v>
      </c>
      <c r="G119" t="inlineStr">
        <is>
          <t>Unconfirmed</t>
        </is>
      </c>
      <c r="H119">
        <f>IFERROR(MAX(1,MIN(104,INT((IF(F119="",E119,F119)-(DATE(Cal_Weeks!$B$1,1,1)-WEEKDAY(DATE(Cal_Weeks!$B$1,1,1),3)))/7)+1)),"")</f>
        <v/>
      </c>
      <c r="I119" s="28" t="n"/>
    </row>
    <row r="120">
      <c r="A120" t="inlineStr">
        <is>
          <t>CHEM-1670</t>
        </is>
      </c>
      <c r="B120" t="inlineStr">
        <is>
          <t>PO067960</t>
        </is>
      </c>
      <c r="C120" s="27" t="n"/>
      <c r="D120" t="n">
        <v>180</v>
      </c>
      <c r="E120" s="24" t="n">
        <v>46206</v>
      </c>
      <c r="G120" t="inlineStr">
        <is>
          <t>Unconfirmed</t>
        </is>
      </c>
      <c r="H120">
        <f>IFERROR(MAX(1,MIN(104,INT((IF(F120="",E120,F120)-(DATE(Cal_Weeks!$B$1,1,1)-WEEKDAY(DATE(Cal_Weeks!$B$1,1,1),3)))/7)+1)),"")</f>
        <v/>
      </c>
      <c r="I120" s="28" t="n"/>
    </row>
    <row r="121">
      <c r="A121" t="inlineStr">
        <is>
          <t>CHEM-1700</t>
        </is>
      </c>
      <c r="B121" t="inlineStr">
        <is>
          <t>PO067960</t>
        </is>
      </c>
      <c r="C121" s="27" t="n"/>
      <c r="D121" t="n">
        <v>90</v>
      </c>
      <c r="E121" s="24" t="n">
        <v>46206</v>
      </c>
      <c r="G121" t="inlineStr">
        <is>
          <t>Unconfirmed</t>
        </is>
      </c>
      <c r="H121">
        <f>IFERROR(MAX(1,MIN(104,INT((IF(F121="",E121,F121)-(DATE(Cal_Weeks!$B$1,1,1)-WEEKDAY(DATE(Cal_Weeks!$B$1,1,1),3)))/7)+1)),"")</f>
        <v/>
      </c>
      <c r="I121" s="28" t="n"/>
    </row>
    <row r="122">
      <c r="A122" t="inlineStr">
        <is>
          <t>CHEM-1720</t>
        </is>
      </c>
      <c r="B122" t="inlineStr">
        <is>
          <t>PO067960</t>
        </is>
      </c>
      <c r="C122" s="27" t="n"/>
      <c r="D122" t="n">
        <v>960</v>
      </c>
      <c r="E122" s="24" t="n">
        <v>46206</v>
      </c>
      <c r="G122" t="inlineStr">
        <is>
          <t>Unconfirmed</t>
        </is>
      </c>
      <c r="H122">
        <f>IFERROR(MAX(1,MIN(104,INT((IF(F122="",E122,F122)-(DATE(Cal_Weeks!$B$1,1,1)-WEEKDAY(DATE(Cal_Weeks!$B$1,1,1),3)))/7)+1)),"")</f>
        <v/>
      </c>
      <c r="I122" s="28" t="n"/>
    </row>
    <row r="123">
      <c r="A123" t="inlineStr">
        <is>
          <t>CHEM-1680</t>
        </is>
      </c>
      <c r="B123" t="inlineStr">
        <is>
          <t>PO067960</t>
        </is>
      </c>
      <c r="C123" s="27" t="n"/>
      <c r="D123" t="n">
        <v>100</v>
      </c>
      <c r="E123" s="24" t="n">
        <v>46206</v>
      </c>
      <c r="G123" t="inlineStr">
        <is>
          <t>Unconfirmed</t>
        </is>
      </c>
      <c r="H123">
        <f>IFERROR(MAX(1,MIN(104,INT((IF(F123="",E123,F123)-(DATE(Cal_Weeks!$B$1,1,1)-WEEKDAY(DATE(Cal_Weeks!$B$1,1,1),3)))/7)+1)),"")</f>
        <v/>
      </c>
      <c r="I123" s="28" t="n"/>
    </row>
    <row r="124">
      <c r="A124" t="inlineStr">
        <is>
          <t>CHEM-1850</t>
        </is>
      </c>
      <c r="B124" t="inlineStr"/>
      <c r="C124" s="27" t="n"/>
      <c r="D124" t="n">
        <v>37.28</v>
      </c>
      <c r="E124" s="24" t="n">
        <v>46206</v>
      </c>
      <c r="G124" t="inlineStr">
        <is>
          <t>Unconfirmed</t>
        </is>
      </c>
      <c r="H124">
        <f>IFERROR(MAX(1,MIN(104,INT((IF(F124="",E124,F124)-(DATE(Cal_Weeks!$B$1,1,1)-WEEKDAY(DATE(Cal_Weeks!$B$1,1,1),3)))/7)+1)),"")</f>
        <v/>
      </c>
      <c r="I124" s="28" t="n"/>
    </row>
    <row r="125">
      <c r="A125" t="inlineStr">
        <is>
          <t>CHEM-1660</t>
        </is>
      </c>
      <c r="B125" t="inlineStr">
        <is>
          <t>PO067957</t>
        </is>
      </c>
      <c r="C125" s="27" t="n"/>
      <c r="D125" t="n">
        <v>150</v>
      </c>
      <c r="E125" s="24" t="n">
        <v>46205</v>
      </c>
      <c r="G125" t="inlineStr">
        <is>
          <t>Unconfirmed</t>
        </is>
      </c>
      <c r="H125">
        <f>IFERROR(MAX(1,MIN(104,INT((IF(F125="",E125,F125)-(DATE(Cal_Weeks!$B$1,1,1)-WEEKDAY(DATE(Cal_Weeks!$B$1,1,1),3)))/7)+1)),"")</f>
        <v/>
      </c>
      <c r="I125" s="28" t="n"/>
    </row>
    <row r="126">
      <c r="A126" t="inlineStr">
        <is>
          <t>CHEM-1280</t>
        </is>
      </c>
      <c r="B126" t="inlineStr">
        <is>
          <t>PO067957</t>
        </is>
      </c>
      <c r="C126" s="27" t="n"/>
      <c r="D126" t="n">
        <v>1500</v>
      </c>
      <c r="E126" s="24" t="n">
        <v>46205</v>
      </c>
      <c r="G126" t="inlineStr">
        <is>
          <t>Unconfirmed</t>
        </is>
      </c>
      <c r="H126">
        <f>IFERROR(MAX(1,MIN(104,INT((IF(F126="",E126,F126)-(DATE(Cal_Weeks!$B$1,1,1)-WEEKDAY(DATE(Cal_Weeks!$B$1,1,1),3)))/7)+1)),"")</f>
        <v/>
      </c>
      <c r="I126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6" t="inlineStr">
        <is>
          <t>Part Name</t>
        </is>
      </c>
      <c r="B1" s="6" t="inlineStr">
        <is>
          <t>Qty</t>
        </is>
      </c>
      <c r="C1" s="6" t="inlineStr">
        <is>
          <t>Target_Delivery_Date</t>
        </is>
      </c>
      <c r="D1" s="6" t="inlineStr">
        <is>
          <t>WeekIndex</t>
        </is>
      </c>
      <c r="E1" s="6" t="inlineStr">
        <is>
          <t>Order_Month</t>
        </is>
      </c>
      <c r="F1" s="6" t="inlineStr">
        <is>
          <t>IsReconciled</t>
        </is>
      </c>
      <c r="G1" s="6" t="inlineStr">
        <is>
          <t>EffectiveQty</t>
        </is>
      </c>
    </row>
    <row r="2">
      <c r="A2" s="27" t="inlineStr">
        <is>
          <t>(例) CHEM-1010</t>
        </is>
      </c>
      <c r="B2" s="27" t="n">
        <v>0</v>
      </c>
      <c r="C2" s="29" t="n">
        <v>46020</v>
      </c>
      <c r="D2">
        <f>IFERROR(MAX(1,MIN(104,INT(($C2-(DATE(Cal_Weeks!$B$1,1,1)-WEEKDAY(DATE(Cal_Weeks!$B$1,1,1),3)))/7)+1)),"")</f>
        <v/>
      </c>
      <c r="E2" s="30" t="n">
        <v>45992</v>
      </c>
      <c r="F2">
        <f>SUMPRODUCT((T_PlannedOrders[Part Name]=$A2)*(T_PlannedOrders[Order_Month]&lt;&gt;"")*(TEXT(T_PlannedOrders[Order_Month],"yyyy-mm")=TEXT($E2,"yyyy-mm"))*(T_PlannedOrders[Target_Delivery_Date]&lt;=$C2)*T_PlannedOrders[Qty])&lt;=SUMPRODUCT((T_Shipments[Part Name]=$A2)*(T_Shipments[Order_Month]&lt;&gt;"")*(TEXT(T_Shipments[Order_Month],"yyyy-mm")=TEXT($E2,"yyyy-mm"))*T_Shipments[Confirmed_Qty])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CHEM-1670</t>
        </is>
      </c>
      <c r="B2" s="27" t="n">
        <v>0</v>
      </c>
      <c r="C2" s="29" t="n">
        <v>46020</v>
      </c>
    </row>
    <row r="3">
      <c r="A3" t="inlineStr">
        <is>
          <t>CHEM-1110</t>
        </is>
      </c>
      <c r="B3" s="27" t="n">
        <v>0</v>
      </c>
      <c r="C3" s="29" t="n">
        <v>46020</v>
      </c>
    </row>
    <row r="4">
      <c r="A4" t="inlineStr">
        <is>
          <t>CHEM-1240</t>
        </is>
      </c>
      <c r="B4" s="27" t="n">
        <v>0</v>
      </c>
      <c r="C4" s="29" t="n">
        <v>46020</v>
      </c>
    </row>
    <row r="5">
      <c r="A5" t="inlineStr">
        <is>
          <t>CHEM-1510</t>
        </is>
      </c>
      <c r="B5" s="27" t="n">
        <v>0</v>
      </c>
      <c r="C5" s="29" t="n">
        <v>46020</v>
      </c>
    </row>
    <row r="6">
      <c r="A6" t="inlineStr">
        <is>
          <t>CHEM-1580</t>
        </is>
      </c>
      <c r="B6" s="27" t="n">
        <v>0</v>
      </c>
      <c r="C6" s="29" t="n">
        <v>46020</v>
      </c>
    </row>
    <row r="7">
      <c r="A7" t="inlineStr">
        <is>
          <t>CHEM-1250</t>
        </is>
      </c>
      <c r="B7" s="27" t="n">
        <v>0</v>
      </c>
      <c r="C7" s="29" t="n">
        <v>46020</v>
      </c>
    </row>
    <row r="8">
      <c r="A8" t="inlineStr">
        <is>
          <t>CHEM-1600</t>
        </is>
      </c>
      <c r="B8" s="27" t="n">
        <v>0</v>
      </c>
      <c r="C8" s="29" t="n">
        <v>46020</v>
      </c>
    </row>
    <row r="9">
      <c r="A9" t="inlineStr">
        <is>
          <t>CHEM-1120</t>
        </is>
      </c>
      <c r="B9" s="27" t="n">
        <v>0</v>
      </c>
      <c r="C9" s="29" t="n">
        <v>46020</v>
      </c>
    </row>
    <row r="10">
      <c r="A10" t="inlineStr">
        <is>
          <t>CHEM-1550</t>
        </is>
      </c>
      <c r="B10" s="27" t="n">
        <v>0</v>
      </c>
      <c r="C10" s="29" t="n">
        <v>46020</v>
      </c>
    </row>
    <row r="11">
      <c r="A11" t="inlineStr">
        <is>
          <t>CHEM-1440</t>
        </is>
      </c>
      <c r="B11" s="27" t="n">
        <v>0</v>
      </c>
      <c r="C11" s="29" t="n">
        <v>46020</v>
      </c>
    </row>
    <row r="12">
      <c r="A12" t="inlineStr">
        <is>
          <t>CHEM-1780</t>
        </is>
      </c>
      <c r="B12" s="27" t="n">
        <v>0</v>
      </c>
      <c r="C12" s="29" t="n">
        <v>46020</v>
      </c>
    </row>
    <row r="13">
      <c r="A13" t="inlineStr">
        <is>
          <t>CHEM-1400</t>
        </is>
      </c>
      <c r="B13" s="27" t="n">
        <v>0</v>
      </c>
      <c r="C13" s="29" t="n">
        <v>46020</v>
      </c>
    </row>
    <row r="14">
      <c r="A14" t="inlineStr">
        <is>
          <t>CHEM-1650</t>
        </is>
      </c>
      <c r="B14" s="27" t="n">
        <v>0</v>
      </c>
      <c r="C14" s="29" t="n">
        <v>46020</v>
      </c>
    </row>
    <row r="15">
      <c r="A15" t="inlineStr">
        <is>
          <t>CHEM-1660</t>
        </is>
      </c>
      <c r="B15" s="27" t="n">
        <v>0</v>
      </c>
      <c r="C15" s="29" t="n">
        <v>46020</v>
      </c>
    </row>
    <row r="16">
      <c r="A16" t="inlineStr">
        <is>
          <t>CHEM-1420</t>
        </is>
      </c>
      <c r="B16" s="27" t="n">
        <v>0</v>
      </c>
      <c r="C16" s="29" t="n">
        <v>46020</v>
      </c>
    </row>
    <row r="17">
      <c r="A17" t="inlineStr">
        <is>
          <t>CHEM-1530</t>
        </is>
      </c>
      <c r="B17" s="27" t="n">
        <v>0</v>
      </c>
      <c r="C17" s="29" t="n">
        <v>46020</v>
      </c>
    </row>
    <row r="18">
      <c r="A18" t="inlineStr">
        <is>
          <t>CHEM-1480</t>
        </is>
      </c>
      <c r="B18" s="27" t="n">
        <v>0</v>
      </c>
      <c r="C18" s="29" t="n">
        <v>46020</v>
      </c>
    </row>
    <row r="19">
      <c r="A19" t="inlineStr">
        <is>
          <t>CHEM-1540</t>
        </is>
      </c>
      <c r="B19" s="27" t="n">
        <v>0</v>
      </c>
      <c r="C19" s="29" t="n">
        <v>46020</v>
      </c>
    </row>
    <row r="20">
      <c r="A20" t="inlineStr">
        <is>
          <t>CHEM-1680</t>
        </is>
      </c>
      <c r="B20" s="27" t="n">
        <v>0</v>
      </c>
      <c r="C20" s="29" t="n">
        <v>46020</v>
      </c>
    </row>
    <row r="21">
      <c r="A21" t="inlineStr">
        <is>
          <t>CHEM-1730</t>
        </is>
      </c>
      <c r="B21" s="27" t="n">
        <v>0</v>
      </c>
      <c r="C21" s="29" t="n">
        <v>46020</v>
      </c>
    </row>
    <row r="22">
      <c r="A22" t="inlineStr">
        <is>
          <t>CHEM-1280</t>
        </is>
      </c>
      <c r="B22" s="27" t="n">
        <v>0</v>
      </c>
      <c r="C22" s="29" t="n">
        <v>46020</v>
      </c>
    </row>
    <row r="23">
      <c r="A23" t="inlineStr">
        <is>
          <t>CHEM-1570</t>
        </is>
      </c>
      <c r="B23" s="27" t="n">
        <v>0</v>
      </c>
      <c r="C23" s="29" t="n">
        <v>46020</v>
      </c>
    </row>
    <row r="24">
      <c r="A24" t="inlineStr">
        <is>
          <t>CHEM-1450</t>
        </is>
      </c>
      <c r="B24" s="27" t="n">
        <v>0</v>
      </c>
      <c r="C24" s="29" t="n">
        <v>46020</v>
      </c>
    </row>
    <row r="25">
      <c r="A25" t="inlineStr">
        <is>
          <t>CHEM-1770</t>
        </is>
      </c>
      <c r="B25" s="27" t="n">
        <v>0</v>
      </c>
      <c r="C25" s="29" t="n">
        <v>46020</v>
      </c>
    </row>
    <row r="26">
      <c r="A26" t="inlineStr">
        <is>
          <t>CHEM-1430</t>
        </is>
      </c>
      <c r="B26" s="27" t="n">
        <v>0</v>
      </c>
      <c r="C26" s="29" t="n">
        <v>46020</v>
      </c>
    </row>
    <row r="27">
      <c r="A27" t="inlineStr">
        <is>
          <t>CHEM-1470</t>
        </is>
      </c>
      <c r="B27" s="27" t="n">
        <v>0</v>
      </c>
      <c r="C27" s="29" t="n">
        <v>46020</v>
      </c>
    </row>
    <row r="28">
      <c r="A28" t="inlineStr">
        <is>
          <t>CHEM-1010</t>
        </is>
      </c>
      <c r="B28" s="27" t="n">
        <v>0</v>
      </c>
      <c r="C28" s="29" t="n">
        <v>46020</v>
      </c>
    </row>
    <row r="29">
      <c r="A29" t="inlineStr">
        <is>
          <t>CHEM-1760</t>
        </is>
      </c>
      <c r="B29" s="27" t="n">
        <v>0</v>
      </c>
      <c r="C29" s="29" t="n">
        <v>46020</v>
      </c>
    </row>
    <row r="30">
      <c r="A30" t="inlineStr">
        <is>
          <t>CHEM-1700</t>
        </is>
      </c>
      <c r="B30" s="27" t="n">
        <v>0</v>
      </c>
      <c r="C30" s="29" t="n">
        <v>46020</v>
      </c>
    </row>
    <row r="31">
      <c r="A31" t="inlineStr">
        <is>
          <t>CHEM-1850</t>
        </is>
      </c>
      <c r="B31" s="27" t="n">
        <v>0</v>
      </c>
      <c r="C31" s="29" t="n">
        <v>46020</v>
      </c>
    </row>
    <row r="32">
      <c r="A32" t="inlineStr">
        <is>
          <t>CHEM-1560</t>
        </is>
      </c>
      <c r="B32" s="27" t="n">
        <v>0</v>
      </c>
      <c r="C32" s="29" t="n">
        <v>46020</v>
      </c>
    </row>
    <row r="33">
      <c r="A33" t="inlineStr">
        <is>
          <t>CHEM-1690</t>
        </is>
      </c>
      <c r="B33" s="27" t="n">
        <v>0</v>
      </c>
      <c r="C33" s="29" t="n">
        <v>46020</v>
      </c>
    </row>
    <row r="34">
      <c r="A34" t="inlineStr">
        <is>
          <t>CHEM-1720</t>
        </is>
      </c>
      <c r="B34" s="27" t="n">
        <v>0</v>
      </c>
      <c r="C34" s="29" t="n">
        <v>46020</v>
      </c>
    </row>
    <row r="35">
      <c r="A35" t="inlineStr">
        <is>
          <t>Ester Film</t>
        </is>
      </c>
      <c r="B35" s="27" t="n">
        <v>0</v>
      </c>
      <c r="C35" s="29" t="n">
        <v>46020</v>
      </c>
    </row>
    <row r="36">
      <c r="A36" t="inlineStr">
        <is>
          <t>Original Towel</t>
        </is>
      </c>
      <c r="B36" s="27" t="n">
        <v>0</v>
      </c>
      <c r="C36" s="29" t="n">
        <v>46020</v>
      </c>
    </row>
    <row r="37">
      <c r="A37" t="inlineStr">
        <is>
          <t>PP Film</t>
        </is>
      </c>
      <c r="B37" s="27" t="n">
        <v>0</v>
      </c>
      <c r="C37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4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4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CHEM-1670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CHEM-1110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CHEM-1240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CHEM-1510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CHEM-1580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CHEM-1250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CHEM-1600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CHEM-1120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CHEM-1550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CHEM-1440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CHEM-1780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CHEM-1400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CHEM-1650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CHEM-1660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CHEM-1420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CHEM-1530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CHEM-1480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CHEM-1540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CHEM-1680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CHEM-1730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CHEM-1280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CHEM-1570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CHEM-1450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CHEM-1770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CHEM-1430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CHEM-1470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CHEM-1010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CHEM-1760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CHEM-1700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CHEM-1850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CHEM-1560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CHEM-1690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CHEM-1720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Ester Film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Original Towel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PP Film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</sheetData>
  <conditionalFormatting sqref="B5:DA4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A4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CHEM-1670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CHEM-1110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CHEM-1240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CHEM-1510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CHEM-1580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CHEM-1250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CHEM-1600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CHEM-1120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CHEM-1550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CHEM-1440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CHEM-1780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CHEM-1400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CHEM-1650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CHEM-1660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CHEM-1420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CHEM-1530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CHEM-1480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CHEM-1540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CHEM-1680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CHEM-1730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CHEM-1280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CHEM-1570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CHEM-1450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CHEM-1770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CHEM-1430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CHEM-1470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CHEM-1010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CHEM-1760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CHEM-1700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CHEM-1850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CHEM-1560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CHEM-1690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CHEM-1720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Ester Film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Original Towel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PP Film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</sheetData>
  <conditionalFormatting sqref="B5:DA4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CHEM-1670</t>
        </is>
      </c>
      <c r="B2" t="inlineStr">
        <is>
          <t>Alesper 1065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712886265</t>
        </is>
      </c>
      <c r="J2" t="n">
        <v>0</v>
      </c>
    </row>
    <row r="3">
      <c r="A3" t="inlineStr">
        <is>
          <t>CHEM-1110</t>
        </is>
      </c>
      <c r="B3" t="inlineStr">
        <is>
          <t>Alumina Powder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Alumina Powder</t>
        </is>
      </c>
      <c r="J3" t="n">
        <v>0</v>
      </c>
    </row>
    <row r="4">
      <c r="A4" t="inlineStr">
        <is>
          <t>CHEM-1240</t>
        </is>
      </c>
      <c r="B4" t="inlineStr">
        <is>
          <t>Alumina Sol [AS-200]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83988008101</t>
        </is>
      </c>
      <c r="J4" t="n">
        <v>0</v>
      </c>
    </row>
    <row r="5">
      <c r="A5" t="inlineStr">
        <is>
          <t>CHEM-1510</t>
        </is>
      </c>
      <c r="B5" t="inlineStr">
        <is>
          <t>BA-070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71288625001</t>
        </is>
      </c>
      <c r="J5" t="n">
        <v>0</v>
      </c>
    </row>
    <row r="6">
      <c r="A6" t="inlineStr">
        <is>
          <t>CHEM-1580</t>
        </is>
      </c>
      <c r="B6" t="inlineStr">
        <is>
          <t>Barium Acetate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71288614301</t>
        </is>
      </c>
      <c r="J6" t="n">
        <v>0</v>
      </c>
    </row>
    <row r="7">
      <c r="A7" t="inlineStr">
        <is>
          <t>CHEM-1250</t>
        </is>
      </c>
      <c r="B7" t="inlineStr">
        <is>
          <t>Barium Sulfate [B-55]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71288614901</t>
        </is>
      </c>
      <c r="J7" t="n">
        <v>0</v>
      </c>
    </row>
    <row r="8">
      <c r="A8" t="inlineStr">
        <is>
          <t>CHEM-1600</t>
        </is>
      </c>
      <c r="B8" t="inlineStr">
        <is>
          <t>BF-1P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71388005101</t>
        </is>
      </c>
      <c r="J8" t="n">
        <v>0</v>
      </c>
    </row>
    <row r="9">
      <c r="A9" t="inlineStr">
        <is>
          <t>CHEM-1120</t>
        </is>
      </c>
      <c r="B9" t="inlineStr">
        <is>
          <t>Catapal D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712886120</t>
        </is>
      </c>
      <c r="J9" t="n">
        <v>0</v>
      </c>
    </row>
    <row r="10">
      <c r="A10" t="inlineStr">
        <is>
          <t>CHEM-1550</t>
        </is>
      </c>
      <c r="B10" t="inlineStr">
        <is>
          <t>CHUPOL CC-6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71288624901</t>
        </is>
      </c>
      <c r="J10" t="n">
        <v>0</v>
      </c>
    </row>
    <row r="11">
      <c r="A11" t="inlineStr">
        <is>
          <t>CHEM-1440</t>
        </is>
      </c>
      <c r="B11" t="inlineStr">
        <is>
          <t>Citric Acid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83988005701</t>
        </is>
      </c>
      <c r="J11" t="n">
        <v>0</v>
      </c>
    </row>
    <row r="12">
      <c r="A12" t="inlineStr">
        <is>
          <t>CHEM-1780</t>
        </is>
      </c>
      <c r="B12" t="inlineStr">
        <is>
          <t>Diammonium Citrate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New</t>
        </is>
      </c>
      <c r="J12" t="n">
        <v>0</v>
      </c>
    </row>
    <row r="13">
      <c r="A13" t="inlineStr">
        <is>
          <t>CHEM-1400</t>
        </is>
      </c>
      <c r="B13" t="inlineStr">
        <is>
          <t>Dispal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71288617001</t>
        </is>
      </c>
      <c r="J13" t="n">
        <v>0</v>
      </c>
    </row>
    <row r="14">
      <c r="A14" t="inlineStr">
        <is>
          <t>CHEM-1650</t>
        </is>
      </c>
      <c r="B14" t="inlineStr">
        <is>
          <t>Duasyn Acid Blue</t>
        </is>
      </c>
      <c r="C14" t="inlineStr">
        <is>
          <t>TTAF</t>
        </is>
      </c>
      <c r="D14" t="inlineStr">
        <is>
          <t>Chemical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712886256</t>
        </is>
      </c>
      <c r="J14" t="n">
        <v>0</v>
      </c>
    </row>
    <row r="15">
      <c r="A15" t="inlineStr">
        <is>
          <t>CHEM-1660</t>
        </is>
      </c>
      <c r="B15" t="inlineStr">
        <is>
          <t>GW-3394</t>
        </is>
      </c>
      <c r="C15" t="inlineStr">
        <is>
          <t>TTAF</t>
        </is>
      </c>
      <c r="D15" t="inlineStr">
        <is>
          <t>Hazardous 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71288627101</t>
        </is>
      </c>
      <c r="J15" t="n">
        <v>0</v>
      </c>
    </row>
    <row r="16">
      <c r="A16" t="inlineStr">
        <is>
          <t>CHEM-1420</t>
        </is>
      </c>
      <c r="B16" t="inlineStr">
        <is>
          <t>HEC SE900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71288629601</t>
        </is>
      </c>
      <c r="J16" t="n">
        <v>0</v>
      </c>
    </row>
    <row r="17">
      <c r="A17" t="inlineStr">
        <is>
          <t>CHEM-1530</t>
        </is>
      </c>
      <c r="B17" t="inlineStr">
        <is>
          <t>JCK-97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71388003501</t>
        </is>
      </c>
      <c r="J17" t="n">
        <v>0</v>
      </c>
    </row>
    <row r="18">
      <c r="A18" t="inlineStr">
        <is>
          <t>CHEM-1480</t>
        </is>
      </c>
      <c r="B18" t="inlineStr">
        <is>
          <t>NAT 30</t>
        </is>
      </c>
      <c r="C18" t="inlineStr">
        <is>
          <t>TTAF</t>
        </is>
      </c>
      <c r="D18" t="inlineStr">
        <is>
          <t>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NAT30</t>
        </is>
      </c>
      <c r="J18" t="n">
        <v>0</v>
      </c>
    </row>
    <row r="19">
      <c r="A19" t="inlineStr">
        <is>
          <t>CHEM-1540</t>
        </is>
      </c>
      <c r="B19" t="inlineStr">
        <is>
          <t>NAT 35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71388005801</t>
        </is>
      </c>
      <c r="J19" t="n">
        <v>0</v>
      </c>
    </row>
    <row r="20">
      <c r="A20" t="inlineStr">
        <is>
          <t>CHEM-1680</t>
        </is>
      </c>
      <c r="B20" t="inlineStr">
        <is>
          <t>NAT 38</t>
        </is>
      </c>
      <c r="C20" t="inlineStr">
        <is>
          <t>TTAF</t>
        </is>
      </c>
      <c r="D20" t="inlineStr">
        <is>
          <t>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713880069</t>
        </is>
      </c>
      <c r="J20" t="n">
        <v>0</v>
      </c>
    </row>
    <row r="21">
      <c r="A21" t="inlineStr">
        <is>
          <t>CHEM-1730</t>
        </is>
      </c>
      <c r="B21" t="inlineStr">
        <is>
          <t>NAT 41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71388007701</t>
        </is>
      </c>
      <c r="J21" t="n">
        <v>0</v>
      </c>
    </row>
    <row r="22">
      <c r="A22" t="inlineStr">
        <is>
          <t>CHEM-1280</t>
        </is>
      </c>
      <c r="B22" t="inlineStr">
        <is>
          <t>N-Dodeoyl Trimethyl Ammonium Chloride</t>
        </is>
      </c>
      <c r="C22" t="inlineStr">
        <is>
          <t>TTAF</t>
        </is>
      </c>
      <c r="D22" t="inlineStr">
        <is>
          <t>Hazardous 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83988002202</t>
        </is>
      </c>
      <c r="J22" t="n">
        <v>0</v>
      </c>
    </row>
    <row r="23">
      <c r="A23" t="inlineStr">
        <is>
          <t>CHEM-1570</t>
        </is>
      </c>
      <c r="B23" t="inlineStr">
        <is>
          <t>NOPAGOAL A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71288624802</t>
        </is>
      </c>
      <c r="J23" t="n">
        <v>0</v>
      </c>
    </row>
    <row r="24">
      <c r="A24" t="inlineStr">
        <is>
          <t>CHEM-1450</t>
        </is>
      </c>
      <c r="B24" t="inlineStr">
        <is>
          <t>Noptechs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Noptechs</t>
        </is>
      </c>
      <c r="J24" t="n">
        <v>0</v>
      </c>
    </row>
    <row r="25">
      <c r="A25" t="inlineStr">
        <is>
          <t>CHEM-1770</t>
        </is>
      </c>
      <c r="B25" t="inlineStr">
        <is>
          <t>RCT39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New</t>
        </is>
      </c>
      <c r="J25" t="n">
        <v>0</v>
      </c>
    </row>
    <row r="26">
      <c r="A26" t="inlineStr">
        <is>
          <t>CHEM-1430</t>
        </is>
      </c>
      <c r="B26" t="inlineStr">
        <is>
          <t>RCT22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71388004301</t>
        </is>
      </c>
      <c r="J26" t="n">
        <v>0</v>
      </c>
    </row>
    <row r="27">
      <c r="A27" t="inlineStr">
        <is>
          <t>CHEM-1470</t>
        </is>
      </c>
      <c r="B27" t="inlineStr">
        <is>
          <t>Aluminium Oxide [SCFA-100] - NO LANTHANUM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SCFA100</t>
        </is>
      </c>
      <c r="J27" t="n">
        <v>0</v>
      </c>
    </row>
    <row r="28">
      <c r="A28" t="inlineStr">
        <is>
          <t>CHEM-1010</t>
        </is>
      </c>
      <c r="B28" t="inlineStr">
        <is>
          <t>Sodium Carbonate Anhydrous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Sodium Carbonate</t>
        </is>
      </c>
      <c r="J28" t="n">
        <v>0</v>
      </c>
    </row>
    <row r="29">
      <c r="A29" t="inlineStr">
        <is>
          <t>CHEM-1760</t>
        </is>
      </c>
      <c r="B29" t="inlineStr">
        <is>
          <t>Pigment TC RED FD (A)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713880079</t>
        </is>
      </c>
      <c r="J29" t="n">
        <v>0</v>
      </c>
    </row>
    <row r="30">
      <c r="A30" t="inlineStr">
        <is>
          <t>CHEM-1700</t>
        </is>
      </c>
      <c r="B30" t="inlineStr">
        <is>
          <t>Tepyrus CT38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712886270</t>
        </is>
      </c>
      <c r="J30" t="n">
        <v>0</v>
      </c>
    </row>
    <row r="31">
      <c r="A31" t="inlineStr">
        <is>
          <t>CHEM-1850</t>
        </is>
      </c>
      <c r="B31" t="inlineStr">
        <is>
          <t>TPP-1469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kg</t>
        </is>
      </c>
      <c r="J31" t="n">
        <v>0</v>
      </c>
    </row>
    <row r="32">
      <c r="A32" t="inlineStr">
        <is>
          <t>CHEM-1560</t>
        </is>
      </c>
      <c r="B32" t="inlineStr">
        <is>
          <t>TZP 511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734831030</t>
        </is>
      </c>
      <c r="J32" t="n">
        <v>0</v>
      </c>
    </row>
    <row r="33">
      <c r="A33" t="inlineStr">
        <is>
          <t>CHEM-1690</t>
        </is>
      </c>
      <c r="B33" t="inlineStr">
        <is>
          <t>TPZ 560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734831040</t>
        </is>
      </c>
      <c r="J33" t="n">
        <v>0</v>
      </c>
    </row>
    <row r="34">
      <c r="A34" t="inlineStr">
        <is>
          <t>CHEM-1720</t>
        </is>
      </c>
      <c r="B34" t="inlineStr">
        <is>
          <t>TPZ 868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734831050</t>
        </is>
      </c>
      <c r="J34" t="n">
        <v>0</v>
      </c>
    </row>
    <row r="35">
      <c r="A35" t="inlineStr">
        <is>
          <t>Ester Film</t>
        </is>
      </c>
      <c r="B35" t="inlineStr">
        <is>
          <t>Ester Film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/>
      <c r="J35" t="n">
        <v>0</v>
      </c>
    </row>
    <row r="36">
      <c r="A36" t="inlineStr">
        <is>
          <t>Original Towel</t>
        </is>
      </c>
      <c r="B36" t="inlineStr">
        <is>
          <t>Towel Paper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859882220</t>
        </is>
      </c>
      <c r="J36" t="n">
        <v>200</v>
      </c>
    </row>
    <row r="37">
      <c r="A37" t="inlineStr">
        <is>
          <t>PP Film</t>
        </is>
      </c>
      <c r="B37" t="inlineStr">
        <is>
          <t>PP Film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>
        <is>
          <t>83988405701</t>
        </is>
      </c>
      <c r="J3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SOL-20P</t>
        </is>
      </c>
      <c r="B2" t="inlineStr">
        <is>
          <t>CHEM-1010</t>
        </is>
      </c>
      <c r="C2" t="n">
        <v>4.874</v>
      </c>
      <c r="D2">
        <f>IFERROR(MATCH($A2,PP_Grid[Intermediate],0),99999)</f>
        <v/>
      </c>
    </row>
    <row r="3">
      <c r="A3" t="inlineStr">
        <is>
          <t>SOL-250D</t>
        </is>
      </c>
      <c r="B3" t="inlineStr">
        <is>
          <t>CHEM-1280</t>
        </is>
      </c>
      <c r="C3" t="n">
        <v>69.230002</v>
      </c>
      <c r="D3">
        <f>IFERROR(MATCH($A3,PP_Grid[Intermediate],0),99999)</f>
        <v/>
      </c>
    </row>
    <row r="4">
      <c r="A4" t="inlineStr">
        <is>
          <t>SOL-85D</t>
        </is>
      </c>
      <c r="B4" t="inlineStr">
        <is>
          <t>CHEM-1280</t>
        </is>
      </c>
      <c r="C4" t="n">
        <v>115.0004</v>
      </c>
      <c r="D4">
        <f>IFERROR(MATCH($A4,PP_Grid[Intermediate],0),99999)</f>
        <v/>
      </c>
    </row>
    <row r="5">
      <c r="A5" t="inlineStr">
        <is>
          <t>TPP-103</t>
        </is>
      </c>
      <c r="B5" t="inlineStr">
        <is>
          <t>CHEM-1110</t>
        </is>
      </c>
      <c r="C5" t="n">
        <v>23.498407</v>
      </c>
      <c r="D5">
        <f>IFERROR(MATCH($A5,PP_Grid[Intermediate],0),99999)</f>
        <v/>
      </c>
    </row>
    <row r="6">
      <c r="A6" t="inlineStr">
        <is>
          <t>TPP-358</t>
        </is>
      </c>
      <c r="B6" t="inlineStr">
        <is>
          <t>CHEM-1540</t>
        </is>
      </c>
      <c r="C6" t="n">
        <v>65.146396</v>
      </c>
      <c r="D6">
        <f>IFERROR(MATCH($A6,PP_Grid[Intermediate],0),99999)</f>
        <v/>
      </c>
    </row>
    <row r="7">
      <c r="A7" t="inlineStr">
        <is>
          <t>TPP-533</t>
        </is>
      </c>
      <c r="B7" t="inlineStr">
        <is>
          <t>CHEM-1540</t>
        </is>
      </c>
      <c r="C7" t="n">
        <v>59.283751</v>
      </c>
      <c r="D7">
        <f>IFERROR(MATCH($A7,PP_Grid[Intermediate],0),99999)</f>
        <v/>
      </c>
    </row>
    <row r="8">
      <c r="A8" t="inlineStr">
        <is>
          <t>TPP-611</t>
        </is>
      </c>
      <c r="B8" t="inlineStr">
        <is>
          <t>CHEM-1680</t>
        </is>
      </c>
      <c r="C8" t="n">
        <v>18.224726</v>
      </c>
      <c r="D8">
        <f>IFERROR(MATCH($A8,PP_Grid[Intermediate],0),99999)</f>
        <v/>
      </c>
    </row>
    <row r="9">
      <c r="A9" t="inlineStr">
        <is>
          <t>TPP-613</t>
        </is>
      </c>
      <c r="B9" t="inlineStr">
        <is>
          <t>CHEM-1680</t>
        </is>
      </c>
      <c r="C9" t="n">
        <v>18.246076</v>
      </c>
      <c r="D9">
        <f>IFERROR(MATCH($A9,PP_Grid[Intermediate],0),99999)</f>
        <v/>
      </c>
    </row>
    <row r="10">
      <c r="A10" t="inlineStr">
        <is>
          <t>TPP-635</t>
        </is>
      </c>
      <c r="B10" t="inlineStr">
        <is>
          <t>CHEM-1770</t>
        </is>
      </c>
      <c r="C10" t="n">
        <v>44.216183</v>
      </c>
      <c r="D10">
        <f>IFERROR(MATCH($A10,PP_Grid[Intermediate],0),99999)</f>
        <v/>
      </c>
    </row>
    <row r="11">
      <c r="A11" t="inlineStr">
        <is>
          <t>TPP-650</t>
        </is>
      </c>
      <c r="B11" t="inlineStr">
        <is>
          <t>CHEM-1530</t>
        </is>
      </c>
      <c r="C11" t="n">
        <v>36.211277</v>
      </c>
      <c r="D11">
        <f>IFERROR(MATCH($A11,PP_Grid[Intermediate],0),99999)</f>
        <v/>
      </c>
    </row>
    <row r="12">
      <c r="A12" t="inlineStr">
        <is>
          <t>TPP-699</t>
        </is>
      </c>
      <c r="B12" t="inlineStr">
        <is>
          <t>CHEM-1010</t>
        </is>
      </c>
      <c r="C12" t="n">
        <v>0.457141</v>
      </c>
      <c r="D12">
        <f>IFERROR(MATCH($A12,PP_Grid[Intermediate],0),99999)</f>
        <v/>
      </c>
    </row>
    <row r="13">
      <c r="A13" t="inlineStr">
        <is>
          <t>TPP-700</t>
        </is>
      </c>
      <c r="B13" t="inlineStr">
        <is>
          <t>CHEM-1010</t>
        </is>
      </c>
      <c r="C13" t="n">
        <v>0.389266</v>
      </c>
      <c r="D13">
        <f>IFERROR(MATCH($A13,PP_Grid[Intermediate],0),99999)</f>
        <v/>
      </c>
    </row>
    <row r="14">
      <c r="A14" t="inlineStr">
        <is>
          <t>TPP-701</t>
        </is>
      </c>
      <c r="B14" t="inlineStr">
        <is>
          <t>CHEM-1010</t>
        </is>
      </c>
      <c r="C14" t="n">
        <v>0.289077</v>
      </c>
      <c r="D14">
        <f>IFERROR(MATCH($A14,PP_Grid[Intermediate],0),99999)</f>
        <v/>
      </c>
    </row>
    <row r="15">
      <c r="A15" t="inlineStr">
        <is>
          <t>TPP-825</t>
        </is>
      </c>
      <c r="B15" t="inlineStr">
        <is>
          <t>CHEM-1010</t>
        </is>
      </c>
      <c r="C15" t="n">
        <v>0.17016</v>
      </c>
      <c r="D15">
        <f>IFERROR(MATCH($A15,PP_Grid[Intermediate],0),99999)</f>
        <v/>
      </c>
    </row>
    <row r="16">
      <c r="A16" t="inlineStr">
        <is>
          <t>TPP-911</t>
        </is>
      </c>
      <c r="B16" t="inlineStr">
        <is>
          <t>CHEM-1730</t>
        </is>
      </c>
      <c r="C16" t="n">
        <v>51.793294</v>
      </c>
      <c r="D16">
        <f>IFERROR(MATCH($A16,PP_Grid[Intermediate],0),99999)</f>
        <v/>
      </c>
    </row>
    <row r="17">
      <c r="A17" t="inlineStr">
        <is>
          <t>TPP-912</t>
        </is>
      </c>
      <c r="B17" t="inlineStr">
        <is>
          <t>CHEM-1730</t>
        </is>
      </c>
      <c r="C17" t="n">
        <v>52.170222</v>
      </c>
      <c r="D17">
        <f>IFERROR(MATCH($A17,PP_Grid[Intermediate],0),99999)</f>
        <v/>
      </c>
    </row>
    <row r="18">
      <c r="A18" t="inlineStr">
        <is>
          <t>TPP-914</t>
        </is>
      </c>
      <c r="B18" t="inlineStr">
        <is>
          <t>CHEM-1680</t>
        </is>
      </c>
      <c r="C18" t="n">
        <v>26.309129</v>
      </c>
      <c r="D18">
        <f>IFERROR(MATCH($A18,PP_Grid[Intermediate],0),99999)</f>
        <v/>
      </c>
    </row>
    <row r="19">
      <c r="A19" t="inlineStr">
        <is>
          <t>TPP-915</t>
        </is>
      </c>
      <c r="B19" t="inlineStr">
        <is>
          <t>CHEM-1680</t>
        </is>
      </c>
      <c r="C19" t="n">
        <v>26.00403</v>
      </c>
      <c r="D19">
        <f>IFERROR(MATCH($A19,PP_Grid[Intermediate],0),99999)</f>
        <v/>
      </c>
    </row>
    <row r="20">
      <c r="A20" t="inlineStr">
        <is>
          <t>TPP-916</t>
        </is>
      </c>
      <c r="B20" t="inlineStr">
        <is>
          <t>CHEM-1680</t>
        </is>
      </c>
      <c r="C20" t="n">
        <v>26.631334</v>
      </c>
      <c r="D20">
        <f>IFERROR(MATCH($A20,PP_Grid[Intermediate],0),99999)</f>
        <v/>
      </c>
    </row>
    <row r="21">
      <c r="A21" t="inlineStr">
        <is>
          <t>TPP-917</t>
        </is>
      </c>
      <c r="B21" t="inlineStr">
        <is>
          <t>CHEM-1680</t>
        </is>
      </c>
      <c r="C21" t="n">
        <v>26.637444</v>
      </c>
      <c r="D21">
        <f>IFERROR(MATCH($A21,PP_Grid[Intermediate],0),99999)</f>
        <v/>
      </c>
    </row>
    <row r="22">
      <c r="A22" t="inlineStr">
        <is>
          <t>TPP-919</t>
        </is>
      </c>
      <c r="B22" t="inlineStr">
        <is>
          <t>CHEM-1680</t>
        </is>
      </c>
      <c r="C22" t="n">
        <v>17.817402</v>
      </c>
      <c r="D22">
        <f>IFERROR(MATCH($A22,PP_Grid[Intermediate],0),99999)</f>
        <v/>
      </c>
    </row>
    <row r="23">
      <c r="A23" t="inlineStr">
        <is>
          <t>TPP-920</t>
        </is>
      </c>
      <c r="B23" t="inlineStr">
        <is>
          <t>CHEM-1680</t>
        </is>
      </c>
      <c r="C23" t="n">
        <v>18.482297</v>
      </c>
      <c r="D23">
        <f>IFERROR(MATCH($A23,PP_Grid[Intermediate],0),99999)</f>
        <v/>
      </c>
    </row>
    <row r="24">
      <c r="A24" t="inlineStr">
        <is>
          <t>TPP-922</t>
        </is>
      </c>
      <c r="B24" t="inlineStr">
        <is>
          <t>CHEM-1680</t>
        </is>
      </c>
      <c r="C24" t="n">
        <v>18.162854</v>
      </c>
      <c r="D24">
        <f>IFERROR(MATCH($A24,PP_Grid[Intermediate],0),99999)</f>
        <v/>
      </c>
    </row>
    <row r="25">
      <c r="A25" t="inlineStr">
        <is>
          <t>TPP-923</t>
        </is>
      </c>
      <c r="B25" t="inlineStr">
        <is>
          <t>CHEM-1680</t>
        </is>
      </c>
      <c r="C25" t="n">
        <v>18.16688</v>
      </c>
      <c r="D25">
        <f>IFERROR(MATCH($A25,PP_Grid[Intermediate],0),99999)</f>
        <v/>
      </c>
    </row>
    <row r="26">
      <c r="A26" t="inlineStr">
        <is>
          <t>TSP-049</t>
        </is>
      </c>
      <c r="B26" t="inlineStr">
        <is>
          <t>CHEM-1010</t>
        </is>
      </c>
      <c r="C26" t="n">
        <v>0.5394139999999999</v>
      </c>
      <c r="D26">
        <f>IFERROR(MATCH($A26,PP_Grid[Intermediate],0),99999)</f>
        <v/>
      </c>
    </row>
    <row r="27">
      <c r="A27" t="inlineStr">
        <is>
          <t>TSP-049</t>
        </is>
      </c>
      <c r="B27" t="inlineStr">
        <is>
          <t>CHEM-1120</t>
        </is>
      </c>
      <c r="C27" t="n">
        <v>6.329366</v>
      </c>
      <c r="D27">
        <f>IFERROR(MATCH($A27,PP_Grid[Intermediate],0),99999)</f>
        <v/>
      </c>
    </row>
    <row r="28">
      <c r="A28" t="inlineStr">
        <is>
          <t>TSP-049</t>
        </is>
      </c>
      <c r="B28" t="inlineStr">
        <is>
          <t>CHEM-1250</t>
        </is>
      </c>
      <c r="C28" t="n">
        <v>4.557205</v>
      </c>
      <c r="D28">
        <f>IFERROR(MATCH($A28,PP_Grid[Intermediate],0),99999)</f>
        <v/>
      </c>
    </row>
    <row r="29">
      <c r="A29" t="inlineStr">
        <is>
          <t>TSP-049</t>
        </is>
      </c>
      <c r="B29" t="inlineStr">
        <is>
          <t>CHEM-1420</t>
        </is>
      </c>
      <c r="C29" t="n">
        <v>0.3074</v>
      </c>
      <c r="D29">
        <f>IFERROR(MATCH($A29,PP_Grid[Intermediate],0),99999)</f>
        <v/>
      </c>
    </row>
    <row r="30">
      <c r="A30" t="inlineStr">
        <is>
          <t>TSP-049</t>
        </is>
      </c>
      <c r="B30" t="inlineStr">
        <is>
          <t>CHEM-1440</t>
        </is>
      </c>
      <c r="C30" t="n">
        <v>0.484155</v>
      </c>
      <c r="D30">
        <f>IFERROR(MATCH($A30,PP_Grid[Intermediate],0),99999)</f>
        <v/>
      </c>
    </row>
    <row r="31">
      <c r="A31" t="inlineStr">
        <is>
          <t>TSP-050</t>
        </is>
      </c>
      <c r="B31" t="inlineStr">
        <is>
          <t>CHEM-1400</t>
        </is>
      </c>
      <c r="C31" t="n">
        <v>7.816631</v>
      </c>
      <c r="D31">
        <f>IFERROR(MATCH($A31,PP_Grid[Intermediate],0),99999)</f>
        <v/>
      </c>
    </row>
    <row r="32">
      <c r="A32" t="inlineStr">
        <is>
          <t>TSP-050</t>
        </is>
      </c>
      <c r="B32" t="inlineStr">
        <is>
          <t>CHEM-1420</t>
        </is>
      </c>
      <c r="C32" t="n">
        <v>2.240138</v>
      </c>
      <c r="D32">
        <f>IFERROR(MATCH($A32,PP_Grid[Intermediate],0),99999)</f>
        <v/>
      </c>
    </row>
    <row r="33">
      <c r="A33" t="inlineStr">
        <is>
          <t>TSP-050</t>
        </is>
      </c>
      <c r="B33" t="inlineStr">
        <is>
          <t>CHEM-1430</t>
        </is>
      </c>
      <c r="C33" t="n">
        <v>68.33081</v>
      </c>
      <c r="D33">
        <f>IFERROR(MATCH($A33,PP_Grid[Intermediate],0),99999)</f>
        <v/>
      </c>
    </row>
    <row r="34">
      <c r="A34" t="inlineStr">
        <is>
          <t>TSP-067</t>
        </is>
      </c>
      <c r="B34" t="inlineStr">
        <is>
          <t>CHEM-1010</t>
        </is>
      </c>
      <c r="C34" t="n">
        <v>0.906384</v>
      </c>
      <c r="D34">
        <f>IFERROR(MATCH($A34,PP_Grid[Intermediate],0),99999)</f>
        <v/>
      </c>
    </row>
    <row r="35">
      <c r="A35" t="inlineStr">
        <is>
          <t>TSP-067</t>
        </is>
      </c>
      <c r="B35" t="inlineStr">
        <is>
          <t>CHEM-1120</t>
        </is>
      </c>
      <c r="C35" t="n">
        <v>4.253564</v>
      </c>
      <c r="D35">
        <f>IFERROR(MATCH($A35,PP_Grid[Intermediate],0),99999)</f>
        <v/>
      </c>
    </row>
    <row r="36">
      <c r="A36" t="inlineStr">
        <is>
          <t>TSP-067</t>
        </is>
      </c>
      <c r="B36" t="inlineStr">
        <is>
          <t>CHEM-1250</t>
        </is>
      </c>
      <c r="C36" t="n">
        <v>10.211824</v>
      </c>
      <c r="D36">
        <f>IFERROR(MATCH($A36,PP_Grid[Intermediate],0),99999)</f>
        <v/>
      </c>
    </row>
    <row r="37">
      <c r="A37" t="inlineStr">
        <is>
          <t>TSP-067</t>
        </is>
      </c>
      <c r="B37" t="inlineStr">
        <is>
          <t>CHEM-1420</t>
        </is>
      </c>
      <c r="C37" t="n">
        <v>0.502824</v>
      </c>
      <c r="D37">
        <f>IFERROR(MATCH($A37,PP_Grid[Intermediate],0),99999)</f>
        <v/>
      </c>
    </row>
    <row r="38">
      <c r="A38" t="inlineStr">
        <is>
          <t>TSP-067</t>
        </is>
      </c>
      <c r="B38" t="inlineStr">
        <is>
          <t>CHEM-1440</t>
        </is>
      </c>
      <c r="C38" t="n">
        <v>0.502824</v>
      </c>
      <c r="D38">
        <f>IFERROR(MATCH($A38,PP_Grid[Intermediate],0),99999)</f>
        <v/>
      </c>
    </row>
    <row r="39">
      <c r="A39" t="inlineStr">
        <is>
          <t>TSP-069</t>
        </is>
      </c>
      <c r="B39" t="inlineStr">
        <is>
          <t>CHEM-1010</t>
        </is>
      </c>
      <c r="C39" t="n">
        <v>0.625108</v>
      </c>
      <c r="D39">
        <f>IFERROR(MATCH($A39,PP_Grid[Intermediate],0),99999)</f>
        <v/>
      </c>
    </row>
    <row r="40">
      <c r="A40" t="inlineStr">
        <is>
          <t>TSP-069</t>
        </is>
      </c>
      <c r="B40" t="inlineStr">
        <is>
          <t>CHEM-1120</t>
        </is>
      </c>
      <c r="C40" t="n">
        <v>4.400846</v>
      </c>
      <c r="D40">
        <f>IFERROR(MATCH($A40,PP_Grid[Intermediate],0),99999)</f>
        <v/>
      </c>
    </row>
    <row r="41">
      <c r="A41" t="inlineStr">
        <is>
          <t>TSP-069</t>
        </is>
      </c>
      <c r="B41" t="inlineStr">
        <is>
          <t>CHEM-1250</t>
        </is>
      </c>
      <c r="C41" t="n">
        <v>10.563925</v>
      </c>
      <c r="D41">
        <f>IFERROR(MATCH($A41,PP_Grid[Intermediate],0),99999)</f>
        <v/>
      </c>
    </row>
    <row r="42">
      <c r="A42" t="inlineStr">
        <is>
          <t>TSP-069</t>
        </is>
      </c>
      <c r="B42" t="inlineStr">
        <is>
          <t>CHEM-1420</t>
        </is>
      </c>
      <c r="C42" t="n">
        <v>0.526039</v>
      </c>
      <c r="D42">
        <f>IFERROR(MATCH($A42,PP_Grid[Intermediate],0),99999)</f>
        <v/>
      </c>
    </row>
    <row r="43">
      <c r="A43" t="inlineStr">
        <is>
          <t>TSP-069</t>
        </is>
      </c>
      <c r="B43" t="inlineStr">
        <is>
          <t>CHEM-1440</t>
        </is>
      </c>
      <c r="C43" t="n">
        <v>0.315624</v>
      </c>
      <c r="D43">
        <f>IFERROR(MATCH($A43,PP_Grid[Intermediate],0),99999)</f>
        <v/>
      </c>
    </row>
    <row r="44">
      <c r="A44" t="inlineStr">
        <is>
          <t>TSP-078</t>
        </is>
      </c>
      <c r="B44" t="inlineStr">
        <is>
          <t>CHEM-1400</t>
        </is>
      </c>
      <c r="C44" t="n">
        <v>11.618775</v>
      </c>
      <c r="D44">
        <f>IFERROR(MATCH($A44,PP_Grid[Intermediate],0),99999)</f>
        <v/>
      </c>
    </row>
    <row r="45">
      <c r="A45" t="inlineStr">
        <is>
          <t>TSP-078</t>
        </is>
      </c>
      <c r="B45" t="inlineStr">
        <is>
          <t>CHEM-1420</t>
        </is>
      </c>
      <c r="C45" t="n">
        <v>3.00645</v>
      </c>
      <c r="D45">
        <f>IFERROR(MATCH($A45,PP_Grid[Intermediate],0),99999)</f>
        <v/>
      </c>
    </row>
    <row r="46">
      <c r="A46" t="inlineStr">
        <is>
          <t>TSP-078</t>
        </is>
      </c>
      <c r="B46" t="inlineStr">
        <is>
          <t>CHEM-1430</t>
        </is>
      </c>
      <c r="C46" t="n">
        <v>16.92765</v>
      </c>
      <c r="D46">
        <f>IFERROR(MATCH($A46,PP_Grid[Intermediate],0),99999)</f>
        <v/>
      </c>
    </row>
    <row r="47">
      <c r="A47" t="inlineStr">
        <is>
          <t>TSP-080</t>
        </is>
      </c>
      <c r="B47" t="inlineStr">
        <is>
          <t>CHEM-1400</t>
        </is>
      </c>
      <c r="C47" t="n">
        <v>13.864347</v>
      </c>
      <c r="D47">
        <f>IFERROR(MATCH($A47,PP_Grid[Intermediate],0),99999)</f>
        <v/>
      </c>
    </row>
    <row r="48">
      <c r="A48" t="inlineStr">
        <is>
          <t>TSP-080</t>
        </is>
      </c>
      <c r="B48" t="inlineStr">
        <is>
          <t>CHEM-1420</t>
        </is>
      </c>
      <c r="C48" t="n">
        <v>3.766249</v>
      </c>
      <c r="D48">
        <f>IFERROR(MATCH($A48,PP_Grid[Intermediate],0),99999)</f>
        <v/>
      </c>
    </row>
    <row r="49">
      <c r="A49" t="inlineStr">
        <is>
          <t>TSP-080</t>
        </is>
      </c>
      <c r="B49" t="inlineStr">
        <is>
          <t>CHEM-1430</t>
        </is>
      </c>
      <c r="C49" t="n">
        <v>20.200204</v>
      </c>
      <c r="D49">
        <f>IFERROR(MATCH($A49,PP_Grid[Intermediate],0),99999)</f>
        <v/>
      </c>
    </row>
    <row r="50">
      <c r="A50" t="inlineStr">
        <is>
          <t>TSP-104</t>
        </is>
      </c>
      <c r="B50" t="inlineStr">
        <is>
          <t>CHEM-1110</t>
        </is>
      </c>
      <c r="C50" t="n">
        <v>23.482535</v>
      </c>
      <c r="D50">
        <f>IFERROR(MATCH($A50,PP_Grid[Intermediate],0),99999)</f>
        <v/>
      </c>
    </row>
    <row r="51">
      <c r="A51" t="inlineStr">
        <is>
          <t>TSP-104</t>
        </is>
      </c>
      <c r="B51" t="inlineStr">
        <is>
          <t>CHEM-1120</t>
        </is>
      </c>
      <c r="C51" t="n">
        <v>3.491053</v>
      </c>
      <c r="D51">
        <f>IFERROR(MATCH($A51,PP_Grid[Intermediate],0),99999)</f>
        <v/>
      </c>
    </row>
    <row r="52">
      <c r="A52" t="inlineStr">
        <is>
          <t>TSP-104</t>
        </is>
      </c>
      <c r="B52" t="inlineStr">
        <is>
          <t>CHEM-1250</t>
        </is>
      </c>
      <c r="C52" t="n">
        <v>10.055182</v>
      </c>
      <c r="D52">
        <f>IFERROR(MATCH($A52,PP_Grid[Intermediate],0),99999)</f>
        <v/>
      </c>
    </row>
    <row r="53">
      <c r="A53" t="inlineStr">
        <is>
          <t>TSP-104</t>
        </is>
      </c>
      <c r="B53" t="inlineStr">
        <is>
          <t>CHEM-1420</t>
        </is>
      </c>
      <c r="C53" t="n">
        <v>0.247842</v>
      </c>
      <c r="D53">
        <f>IFERROR(MATCH($A53,PP_Grid[Intermediate],0),99999)</f>
        <v/>
      </c>
    </row>
    <row r="54">
      <c r="A54" t="inlineStr">
        <is>
          <t>TSP-104</t>
        </is>
      </c>
      <c r="B54" t="inlineStr">
        <is>
          <t>CHEM-1440</t>
        </is>
      </c>
      <c r="C54" t="n">
        <v>0.81796</v>
      </c>
      <c r="D54">
        <f>IFERROR(MATCH($A54,PP_Grid[Intermediate],0),99999)</f>
        <v/>
      </c>
    </row>
    <row r="55">
      <c r="A55" t="inlineStr">
        <is>
          <t>TSP-105</t>
        </is>
      </c>
      <c r="B55" t="inlineStr">
        <is>
          <t>CHEM-1400</t>
        </is>
      </c>
      <c r="C55" t="n">
        <v>3.62784</v>
      </c>
      <c r="D55">
        <f>IFERROR(MATCH($A55,PP_Grid[Intermediate],0),99999)</f>
        <v/>
      </c>
    </row>
    <row r="56">
      <c r="A56" t="inlineStr">
        <is>
          <t>TSP-105</t>
        </is>
      </c>
      <c r="B56" t="inlineStr">
        <is>
          <t>CHEM-1420</t>
        </is>
      </c>
      <c r="C56" t="n">
        <v>1.60032</v>
      </c>
      <c r="D56">
        <f>IFERROR(MATCH($A56,PP_Grid[Intermediate],0),99999)</f>
        <v/>
      </c>
    </row>
    <row r="57">
      <c r="A57" t="inlineStr">
        <is>
          <t>TSP-105</t>
        </is>
      </c>
      <c r="B57" t="inlineStr">
        <is>
          <t>CHEM-1430</t>
        </is>
      </c>
      <c r="C57" t="n">
        <v>70.48128</v>
      </c>
      <c r="D57">
        <f>IFERROR(MATCH($A57,PP_Grid[Intermediate],0),99999)</f>
        <v/>
      </c>
    </row>
    <row r="58">
      <c r="A58" t="inlineStr">
        <is>
          <t>TSP-1388</t>
        </is>
      </c>
      <c r="B58" t="inlineStr">
        <is>
          <t>CHEM-1420</t>
        </is>
      </c>
      <c r="C58" t="n">
        <v>0.3465</v>
      </c>
      <c r="D58">
        <f>IFERROR(MATCH($A58,PP_Grid[Intermediate],0),99999)</f>
        <v/>
      </c>
    </row>
    <row r="59">
      <c r="A59" t="inlineStr">
        <is>
          <t>TSP-1388</t>
        </is>
      </c>
      <c r="B59" t="inlineStr">
        <is>
          <t>CHEM-1440</t>
        </is>
      </c>
      <c r="C59" t="n">
        <v>1.5015</v>
      </c>
      <c r="D59">
        <f>IFERROR(MATCH($A59,PP_Grid[Intermediate],0),99999)</f>
        <v/>
      </c>
    </row>
    <row r="60">
      <c r="A60" t="inlineStr">
        <is>
          <t>TSP-1388</t>
        </is>
      </c>
      <c r="B60" t="inlineStr">
        <is>
          <t>CHEM-1510</t>
        </is>
      </c>
      <c r="C60" t="n">
        <v>0.378264</v>
      </c>
      <c r="D60">
        <f>IFERROR(MATCH($A60,PP_Grid[Intermediate],0),99999)</f>
        <v/>
      </c>
    </row>
    <row r="61">
      <c r="A61" t="inlineStr">
        <is>
          <t>TSP-1388</t>
        </is>
      </c>
      <c r="B61" t="inlineStr">
        <is>
          <t>CHEM-1570</t>
        </is>
      </c>
      <c r="C61" t="n">
        <v>0.012617</v>
      </c>
      <c r="D61">
        <f>IFERROR(MATCH($A61,PP_Grid[Intermediate],0),99999)</f>
        <v/>
      </c>
    </row>
    <row r="62">
      <c r="A62" t="inlineStr">
        <is>
          <t>TSP-1388</t>
        </is>
      </c>
      <c r="B62" t="inlineStr">
        <is>
          <t>CHEM-1600</t>
        </is>
      </c>
      <c r="C62" t="n">
        <v>12.887859</v>
      </c>
      <c r="D62">
        <f>IFERROR(MATCH($A62,PP_Grid[Intermediate],0),99999)</f>
        <v/>
      </c>
    </row>
    <row r="63">
      <c r="A63" t="inlineStr">
        <is>
          <t>TSP-1388</t>
        </is>
      </c>
      <c r="B63" t="inlineStr">
        <is>
          <t>CHEM-1650</t>
        </is>
      </c>
      <c r="C63" t="n">
        <v>0.118965</v>
      </c>
      <c r="D63">
        <f>IFERROR(MATCH($A63,PP_Grid[Intermediate],0),99999)</f>
        <v/>
      </c>
    </row>
    <row r="64">
      <c r="A64" t="inlineStr">
        <is>
          <t>TSP-1388</t>
        </is>
      </c>
      <c r="B64" t="inlineStr">
        <is>
          <t>CHEM-1700</t>
        </is>
      </c>
      <c r="C64" t="n">
        <v>1.7325</v>
      </c>
      <c r="D64">
        <f>IFERROR(MATCH($A64,PP_Grid[Intermediate],0),99999)</f>
        <v/>
      </c>
    </row>
    <row r="65">
      <c r="A65" t="inlineStr">
        <is>
          <t>TSP-1444</t>
        </is>
      </c>
      <c r="B65" t="inlineStr">
        <is>
          <t>CHEM-1420</t>
        </is>
      </c>
      <c r="C65" t="n">
        <v>0.38795</v>
      </c>
      <c r="D65">
        <f>IFERROR(MATCH($A65,PP_Grid[Intermediate],0),99999)</f>
        <v/>
      </c>
    </row>
    <row r="66">
      <c r="A66" t="inlineStr">
        <is>
          <t>TSP-1444</t>
        </is>
      </c>
      <c r="B66" t="inlineStr">
        <is>
          <t>CHEM-1440</t>
        </is>
      </c>
      <c r="C66" t="n">
        <v>2.070362</v>
      </c>
      <c r="D66">
        <f>IFERROR(MATCH($A66,PP_Grid[Intermediate],0),99999)</f>
        <v/>
      </c>
    </row>
    <row r="67">
      <c r="A67" t="inlineStr">
        <is>
          <t>TSP-1444</t>
        </is>
      </c>
      <c r="B67" t="inlineStr">
        <is>
          <t>CHEM-1540</t>
        </is>
      </c>
      <c r="C67" t="n">
        <v>51.765515</v>
      </c>
      <c r="D67">
        <f>IFERROR(MATCH($A67,PP_Grid[Intermediate],0),99999)</f>
        <v/>
      </c>
    </row>
    <row r="68">
      <c r="A68" t="inlineStr">
        <is>
          <t>TSP-1444</t>
        </is>
      </c>
      <c r="B68" t="inlineStr">
        <is>
          <t>CHEM-1670</t>
        </is>
      </c>
      <c r="C68" t="n">
        <v>5.164913</v>
      </c>
      <c r="D68">
        <f>IFERROR(MATCH($A68,PP_Grid[Intermediate],0),99999)</f>
        <v/>
      </c>
    </row>
    <row r="69">
      <c r="A69" t="inlineStr">
        <is>
          <t>TSP-1444</t>
        </is>
      </c>
      <c r="B69" t="inlineStr">
        <is>
          <t>CHEM-1720</t>
        </is>
      </c>
      <c r="C69" t="n">
        <v>19.829438</v>
      </c>
      <c r="D69">
        <f>IFERROR(MATCH($A69,PP_Grid[Intermediate],0),99999)</f>
        <v/>
      </c>
    </row>
    <row r="70">
      <c r="A70" t="inlineStr">
        <is>
          <t>TSP-1445</t>
        </is>
      </c>
      <c r="B70" t="inlineStr">
        <is>
          <t>CHEM-1420</t>
        </is>
      </c>
      <c r="C70" t="n">
        <v>0.468562</v>
      </c>
      <c r="D70">
        <f>IFERROR(MATCH($A70,PP_Grid[Intermediate],0),99999)</f>
        <v/>
      </c>
    </row>
    <row r="71">
      <c r="A71" t="inlineStr">
        <is>
          <t>TSP-1445</t>
        </is>
      </c>
      <c r="B71" t="inlineStr">
        <is>
          <t>CHEM-1440</t>
        </is>
      </c>
      <c r="C71" t="n">
        <v>2.146016</v>
      </c>
      <c r="D71">
        <f>IFERROR(MATCH($A71,PP_Grid[Intermediate],0),99999)</f>
        <v/>
      </c>
    </row>
    <row r="72">
      <c r="A72" t="inlineStr">
        <is>
          <t>TSP-1445</t>
        </is>
      </c>
      <c r="B72" t="inlineStr">
        <is>
          <t>CHEM-1540</t>
        </is>
      </c>
      <c r="C72" t="n">
        <v>53.602211</v>
      </c>
      <c r="D72">
        <f>IFERROR(MATCH($A72,PP_Grid[Intermediate],0),99999)</f>
        <v/>
      </c>
    </row>
    <row r="73">
      <c r="A73" t="inlineStr">
        <is>
          <t>TSP-1445</t>
        </is>
      </c>
      <c r="B73" t="inlineStr">
        <is>
          <t>CHEM-1670</t>
        </is>
      </c>
      <c r="C73" t="n">
        <v>5.346968</v>
      </c>
      <c r="D73">
        <f>IFERROR(MATCH($A73,PP_Grid[Intermediate],0),99999)</f>
        <v/>
      </c>
    </row>
    <row r="74">
      <c r="A74" t="inlineStr">
        <is>
          <t>TSP-1445</t>
        </is>
      </c>
      <c r="B74" t="inlineStr">
        <is>
          <t>CHEM-1720</t>
        </is>
      </c>
      <c r="C74" t="n">
        <v>20.532409</v>
      </c>
      <c r="D74">
        <f>IFERROR(MATCH($A74,PP_Grid[Intermediate],0),99999)</f>
        <v/>
      </c>
    </row>
    <row r="75">
      <c r="A75" t="inlineStr">
        <is>
          <t>TSP-1446</t>
        </is>
      </c>
      <c r="B75" t="inlineStr">
        <is>
          <t>CHEM-1420</t>
        </is>
      </c>
      <c r="C75" t="n">
        <v>0.528062</v>
      </c>
      <c r="D75">
        <f>IFERROR(MATCH($A75,PP_Grid[Intermediate],0),99999)</f>
        <v/>
      </c>
    </row>
    <row r="76">
      <c r="A76" t="inlineStr">
        <is>
          <t>TSP-1446</t>
        </is>
      </c>
      <c r="B76" t="inlineStr">
        <is>
          <t>CHEM-1440</t>
        </is>
      </c>
      <c r="C76" t="n">
        <v>2.420035</v>
      </c>
      <c r="D76">
        <f>IFERROR(MATCH($A76,PP_Grid[Intermediate],0),99999)</f>
        <v/>
      </c>
    </row>
    <row r="77">
      <c r="A77" t="inlineStr">
        <is>
          <t>TSP-1446</t>
        </is>
      </c>
      <c r="B77" t="inlineStr">
        <is>
          <t>CHEM-1540</t>
        </is>
      </c>
      <c r="C77" t="n">
        <v>60.448069</v>
      </c>
      <c r="D77">
        <f>IFERROR(MATCH($A77,PP_Grid[Intermediate],0),99999)</f>
        <v/>
      </c>
    </row>
    <row r="78">
      <c r="A78" t="inlineStr">
        <is>
          <t>TSP-1446</t>
        </is>
      </c>
      <c r="B78" t="inlineStr">
        <is>
          <t>CHEM-1670</t>
        </is>
      </c>
      <c r="C78" t="n">
        <v>6.030474</v>
      </c>
      <c r="D78">
        <f>IFERROR(MATCH($A78,PP_Grid[Intermediate],0),99999)</f>
        <v/>
      </c>
    </row>
    <row r="79">
      <c r="A79" t="inlineStr">
        <is>
          <t>TSP-1446</t>
        </is>
      </c>
      <c r="B79" t="inlineStr">
        <is>
          <t>CHEM-1720</t>
        </is>
      </c>
      <c r="C79" t="n">
        <v>23.154786</v>
      </c>
      <c r="D79">
        <f>IFERROR(MATCH($A79,PP_Grid[Intermediate],0),99999)</f>
        <v/>
      </c>
    </row>
    <row r="80">
      <c r="A80" t="inlineStr">
        <is>
          <t>TSP-1448</t>
        </is>
      </c>
      <c r="B80" t="inlineStr">
        <is>
          <t>CHEM-1240</t>
        </is>
      </c>
      <c r="C80" t="n">
        <v>18.148838</v>
      </c>
      <c r="D80">
        <f>IFERROR(MATCH($A80,PP_Grid[Intermediate],0),99999)</f>
        <v/>
      </c>
    </row>
    <row r="81">
      <c r="A81" t="inlineStr">
        <is>
          <t>TSP-1448</t>
        </is>
      </c>
      <c r="B81" t="inlineStr">
        <is>
          <t>CHEM-1420</t>
        </is>
      </c>
      <c r="C81" t="n">
        <v>1.133987</v>
      </c>
      <c r="D81">
        <f>IFERROR(MATCH($A81,PP_Grid[Intermediate],0),99999)</f>
        <v/>
      </c>
    </row>
    <row r="82">
      <c r="A82" t="inlineStr">
        <is>
          <t>TSP-1448</t>
        </is>
      </c>
      <c r="B82" t="inlineStr">
        <is>
          <t>CHEM-1440</t>
        </is>
      </c>
      <c r="C82" t="n">
        <v>1.638612</v>
      </c>
      <c r="D82">
        <f>IFERROR(MATCH($A82,PP_Grid[Intermediate],0),99999)</f>
        <v/>
      </c>
    </row>
    <row r="83">
      <c r="A83" t="inlineStr">
        <is>
          <t>TSP-1448</t>
        </is>
      </c>
      <c r="B83" t="inlineStr">
        <is>
          <t>CHEM-1540</t>
        </is>
      </c>
      <c r="C83" t="n">
        <v>14.524489</v>
      </c>
      <c r="D83">
        <f>IFERROR(MATCH($A83,PP_Grid[Intermediate],0),99999)</f>
        <v/>
      </c>
    </row>
    <row r="84">
      <c r="A84" t="inlineStr">
        <is>
          <t>TSP-1448</t>
        </is>
      </c>
      <c r="B84" t="inlineStr">
        <is>
          <t>CHEM-1570</t>
        </is>
      </c>
      <c r="C84" t="n">
        <v>0.066429</v>
      </c>
      <c r="D84">
        <f>IFERROR(MATCH($A84,PP_Grid[Intermediate],0),99999)</f>
        <v/>
      </c>
    </row>
    <row r="85">
      <c r="A85" t="inlineStr">
        <is>
          <t>TSP-1448</t>
        </is>
      </c>
      <c r="B85" t="inlineStr">
        <is>
          <t>CHEM-1700</t>
        </is>
      </c>
      <c r="C85" t="n">
        <v>1.259356</v>
      </c>
      <c r="D85">
        <f>IFERROR(MATCH($A85,PP_Grid[Intermediate],0),99999)</f>
        <v/>
      </c>
    </row>
    <row r="86">
      <c r="A86" t="inlineStr">
        <is>
          <t>TSP-1448</t>
        </is>
      </c>
      <c r="B86" t="inlineStr">
        <is>
          <t>CHEM-1720</t>
        </is>
      </c>
      <c r="C86" t="n">
        <v>8.583655</v>
      </c>
      <c r="D86">
        <f>IFERROR(MATCH($A86,PP_Grid[Intermediate],0),99999)</f>
        <v/>
      </c>
    </row>
    <row r="87">
      <c r="A87" t="inlineStr">
        <is>
          <t>TSP-1449</t>
        </is>
      </c>
      <c r="B87" t="inlineStr">
        <is>
          <t>CHEM-1240</t>
        </is>
      </c>
      <c r="C87" t="n">
        <v>18.59793</v>
      </c>
      <c r="D87">
        <f>IFERROR(MATCH($A87,PP_Grid[Intermediate],0),99999)</f>
        <v/>
      </c>
    </row>
    <row r="88">
      <c r="A88" t="inlineStr">
        <is>
          <t>TSP-1449</t>
        </is>
      </c>
      <c r="B88" t="inlineStr">
        <is>
          <t>CHEM-1420</t>
        </is>
      </c>
      <c r="C88" t="n">
        <v>1.23066</v>
      </c>
      <c r="D88">
        <f>IFERROR(MATCH($A88,PP_Grid[Intermediate],0),99999)</f>
        <v/>
      </c>
    </row>
    <row r="89">
      <c r="A89" t="inlineStr">
        <is>
          <t>TSP-1449</t>
        </is>
      </c>
      <c r="B89" t="inlineStr">
        <is>
          <t>CHEM-1440</t>
        </is>
      </c>
      <c r="C89" t="n">
        <v>1.67958</v>
      </c>
      <c r="D89">
        <f>IFERROR(MATCH($A89,PP_Grid[Intermediate],0),99999)</f>
        <v/>
      </c>
    </row>
    <row r="90">
      <c r="A90" t="inlineStr">
        <is>
          <t>TSP-1449</t>
        </is>
      </c>
      <c r="B90" t="inlineStr">
        <is>
          <t>CHEM-1540</t>
        </is>
      </c>
      <c r="C90" t="n">
        <v>14.88402</v>
      </c>
      <c r="D90">
        <f>IFERROR(MATCH($A90,PP_Grid[Intermediate],0),99999)</f>
        <v/>
      </c>
    </row>
    <row r="91">
      <c r="A91" t="inlineStr">
        <is>
          <t>TSP-1449</t>
        </is>
      </c>
      <c r="B91" t="inlineStr">
        <is>
          <t>CHEM-1570</t>
        </is>
      </c>
      <c r="C91" t="n">
        <v>0.132515</v>
      </c>
      <c r="D91">
        <f>IFERROR(MATCH($A91,PP_Grid[Intermediate],0),99999)</f>
        <v/>
      </c>
    </row>
    <row r="92">
      <c r="A92" t="inlineStr">
        <is>
          <t>TSP-1449</t>
        </is>
      </c>
      <c r="B92" t="inlineStr">
        <is>
          <t>CHEM-1700</t>
        </is>
      </c>
      <c r="C92" t="n">
        <v>1.29</v>
      </c>
      <c r="D92">
        <f>IFERROR(MATCH($A92,PP_Grid[Intermediate],0),99999)</f>
        <v/>
      </c>
    </row>
    <row r="93">
      <c r="A93" t="inlineStr">
        <is>
          <t>TSP-1449</t>
        </is>
      </c>
      <c r="B93" t="inlineStr">
        <is>
          <t>CHEM-1720</t>
        </is>
      </c>
      <c r="C93" t="n">
        <v>8.79651</v>
      </c>
      <c r="D93">
        <f>IFERROR(MATCH($A93,PP_Grid[Intermediate],0),99999)</f>
        <v/>
      </c>
    </row>
    <row r="94">
      <c r="A94" t="inlineStr">
        <is>
          <t>TSP-1499</t>
        </is>
      </c>
      <c r="B94" t="inlineStr">
        <is>
          <t>CHEM-1400</t>
        </is>
      </c>
      <c r="C94" t="n">
        <v>0.695168</v>
      </c>
      <c r="D94">
        <f>IFERROR(MATCH($A94,PP_Grid[Intermediate],0),99999)</f>
        <v/>
      </c>
    </row>
    <row r="95">
      <c r="A95" t="inlineStr">
        <is>
          <t>TSP-1499</t>
        </is>
      </c>
      <c r="B95" t="inlineStr">
        <is>
          <t>CHEM-1420</t>
        </is>
      </c>
      <c r="C95" t="n">
        <v>0.203729</v>
      </c>
      <c r="D95">
        <f>IFERROR(MATCH($A95,PP_Grid[Intermediate],0),99999)</f>
        <v/>
      </c>
    </row>
    <row r="96">
      <c r="A96" t="inlineStr">
        <is>
          <t>TSP-1499</t>
        </is>
      </c>
      <c r="B96" t="inlineStr">
        <is>
          <t>CHEM-1530</t>
        </is>
      </c>
      <c r="C96" t="n">
        <v>19.034699</v>
      </c>
      <c r="D96">
        <f>IFERROR(MATCH($A96,PP_Grid[Intermediate],0),99999)</f>
        <v/>
      </c>
    </row>
    <row r="97">
      <c r="A97" t="inlineStr">
        <is>
          <t>TSP-1499</t>
        </is>
      </c>
      <c r="B97" t="inlineStr">
        <is>
          <t>CHEM-1670</t>
        </is>
      </c>
      <c r="C97" t="n">
        <v>0.803254</v>
      </c>
      <c r="D97">
        <f>IFERROR(MATCH($A97,PP_Grid[Intermediate],0),99999)</f>
        <v/>
      </c>
    </row>
    <row r="98">
      <c r="A98" t="inlineStr">
        <is>
          <t>TSP-1499</t>
        </is>
      </c>
      <c r="B98" t="inlineStr">
        <is>
          <t>CHEM-1700</t>
        </is>
      </c>
      <c r="C98" t="n">
        <v>0.785369</v>
      </c>
      <c r="D98">
        <f>IFERROR(MATCH($A98,PP_Grid[Intermediate],0),99999)</f>
        <v/>
      </c>
    </row>
    <row r="99">
      <c r="A99" t="inlineStr">
        <is>
          <t>TSP-1499</t>
        </is>
      </c>
      <c r="B99" t="inlineStr">
        <is>
          <t>CHEM-1720</t>
        </is>
      </c>
      <c r="C99" t="n">
        <v>4.825742</v>
      </c>
      <c r="D99">
        <f>IFERROR(MATCH($A99,PP_Grid[Intermediate],0),99999)</f>
        <v/>
      </c>
    </row>
    <row r="100">
      <c r="A100" t="inlineStr">
        <is>
          <t>TSP-1499</t>
        </is>
      </c>
      <c r="B100" t="inlineStr">
        <is>
          <t>CHEM-1780</t>
        </is>
      </c>
      <c r="C100" t="n">
        <v>0.203729</v>
      </c>
      <c r="D100">
        <f>IFERROR(MATCH($A100,PP_Grid[Intermediate],0),99999)</f>
        <v/>
      </c>
    </row>
    <row r="101">
      <c r="A101" t="inlineStr">
        <is>
          <t>TSP-1555</t>
        </is>
      </c>
      <c r="B101" t="inlineStr">
        <is>
          <t>CHEM-1400</t>
        </is>
      </c>
      <c r="C101" t="n">
        <v>1.08621</v>
      </c>
      <c r="D101">
        <f>IFERROR(MATCH($A101,PP_Grid[Intermediate],0),99999)</f>
        <v/>
      </c>
    </row>
    <row r="102">
      <c r="A102" t="inlineStr">
        <is>
          <t>TSP-1555</t>
        </is>
      </c>
      <c r="B102" t="inlineStr">
        <is>
          <t>CHEM-1420</t>
        </is>
      </c>
      <c r="C102" t="n">
        <v>0.31833</v>
      </c>
      <c r="D102">
        <f>IFERROR(MATCH($A102,PP_Grid[Intermediate],0),99999)</f>
        <v/>
      </c>
    </row>
    <row r="103">
      <c r="A103" t="inlineStr">
        <is>
          <t>TSP-1555</t>
        </is>
      </c>
      <c r="B103" t="inlineStr">
        <is>
          <t>CHEM-1530</t>
        </is>
      </c>
      <c r="C103" t="n">
        <v>29.749275</v>
      </c>
      <c r="D103">
        <f>IFERROR(MATCH($A103,PP_Grid[Intermediate],0),99999)</f>
        <v/>
      </c>
    </row>
    <row r="104">
      <c r="A104" t="inlineStr">
        <is>
          <t>TSP-1555</t>
        </is>
      </c>
      <c r="B104" t="inlineStr">
        <is>
          <t>CHEM-1670</t>
        </is>
      </c>
      <c r="C104" t="n">
        <v>1.25631</v>
      </c>
      <c r="D104">
        <f>IFERROR(MATCH($A104,PP_Grid[Intermediate],0),99999)</f>
        <v/>
      </c>
    </row>
    <row r="105">
      <c r="A105" t="inlineStr">
        <is>
          <t>TSP-1555</t>
        </is>
      </c>
      <c r="B105" t="inlineStr">
        <is>
          <t>CHEM-1700</t>
        </is>
      </c>
      <c r="C105" t="n">
        <v>1.22715</v>
      </c>
      <c r="D105">
        <f>IFERROR(MATCH($A105,PP_Grid[Intermediate],0),99999)</f>
        <v/>
      </c>
    </row>
    <row r="106">
      <c r="A106" t="inlineStr">
        <is>
          <t>TSP-1555</t>
        </is>
      </c>
      <c r="B106" t="inlineStr">
        <is>
          <t>CHEM-1720</t>
        </is>
      </c>
      <c r="C106" t="n">
        <v>7.54272</v>
      </c>
      <c r="D106">
        <f>IFERROR(MATCH($A106,PP_Grid[Intermediate],0),99999)</f>
        <v/>
      </c>
    </row>
    <row r="107">
      <c r="A107" t="inlineStr">
        <is>
          <t>TSP-1555</t>
        </is>
      </c>
      <c r="B107" t="inlineStr">
        <is>
          <t>CHEM-1780</t>
        </is>
      </c>
      <c r="C107" t="n">
        <v>0.31833</v>
      </c>
      <c r="D107">
        <f>IFERROR(MATCH($A107,PP_Grid[Intermediate],0),99999)</f>
        <v/>
      </c>
    </row>
    <row r="108">
      <c r="A108" t="inlineStr">
        <is>
          <t>TSP-1558</t>
        </is>
      </c>
      <c r="B108" t="inlineStr">
        <is>
          <t>CHEM-1240</t>
        </is>
      </c>
      <c r="C108" t="n">
        <v>11.175416</v>
      </c>
      <c r="D108">
        <f>IFERROR(MATCH($A108,PP_Grid[Intermediate],0),99999)</f>
        <v/>
      </c>
    </row>
    <row r="109">
      <c r="A109" t="inlineStr">
        <is>
          <t>TSP-1558</t>
        </is>
      </c>
      <c r="B109" t="inlineStr">
        <is>
          <t>CHEM-1420</t>
        </is>
      </c>
      <c r="C109" t="n">
        <v>0.31426</v>
      </c>
      <c r="D109">
        <f>IFERROR(MATCH($A109,PP_Grid[Intermediate],0),99999)</f>
        <v/>
      </c>
    </row>
    <row r="110">
      <c r="A110" t="inlineStr">
        <is>
          <t>TSP-1558</t>
        </is>
      </c>
      <c r="B110" t="inlineStr">
        <is>
          <t>CHEM-1440</t>
        </is>
      </c>
      <c r="C110" t="n">
        <v>0.4962</v>
      </c>
      <c r="D110">
        <f>IFERROR(MATCH($A110,PP_Grid[Intermediate],0),99999)</f>
        <v/>
      </c>
    </row>
    <row r="111">
      <c r="A111" t="inlineStr">
        <is>
          <t>TSP-1558</t>
        </is>
      </c>
      <c r="B111" t="inlineStr">
        <is>
          <t>CHEM-1850</t>
        </is>
      </c>
      <c r="C111" t="n">
        <v>18.641903</v>
      </c>
      <c r="D111">
        <f>IFERROR(MATCH($A111,PP_Grid[Intermediate],0),99999)</f>
        <v/>
      </c>
    </row>
    <row r="112">
      <c r="A112" t="inlineStr">
        <is>
          <t>TSP-1559</t>
        </is>
      </c>
      <c r="B112" t="inlineStr">
        <is>
          <t>CHEM-1240</t>
        </is>
      </c>
      <c r="C112" t="n">
        <v>11.223958</v>
      </c>
      <c r="D112">
        <f>IFERROR(MATCH($A112,PP_Grid[Intermediate],0),99999)</f>
        <v/>
      </c>
    </row>
    <row r="113">
      <c r="A113" t="inlineStr">
        <is>
          <t>TSP-1559</t>
        </is>
      </c>
      <c r="B113" t="inlineStr">
        <is>
          <t>CHEM-1420</t>
        </is>
      </c>
      <c r="C113" t="n">
        <v>0.312511</v>
      </c>
      <c r="D113">
        <f>IFERROR(MATCH($A113,PP_Grid[Intermediate],0),99999)</f>
        <v/>
      </c>
    </row>
    <row r="114">
      <c r="A114" t="inlineStr">
        <is>
          <t>TSP-1559</t>
        </is>
      </c>
      <c r="B114" t="inlineStr">
        <is>
          <t>CHEM-1440</t>
        </is>
      </c>
      <c r="C114" t="n">
        <v>0.497042</v>
      </c>
      <c r="D114">
        <f>IFERROR(MATCH($A114,PP_Grid[Intermediate],0),99999)</f>
        <v/>
      </c>
    </row>
    <row r="115">
      <c r="A115" t="inlineStr">
        <is>
          <t>TSP-199</t>
        </is>
      </c>
      <c r="B115" t="inlineStr">
        <is>
          <t>CHEM-1250</t>
        </is>
      </c>
      <c r="C115" t="n">
        <v>5.355851</v>
      </c>
      <c r="D115">
        <f>IFERROR(MATCH($A115,PP_Grid[Intermediate],0),99999)</f>
        <v/>
      </c>
    </row>
    <row r="116">
      <c r="A116" t="inlineStr">
        <is>
          <t>TSP-199</t>
        </is>
      </c>
      <c r="B116" t="inlineStr">
        <is>
          <t>CHEM-1400</t>
        </is>
      </c>
      <c r="C116" t="n">
        <v>3.672607</v>
      </c>
      <c r="D116">
        <f>IFERROR(MATCH($A116,PP_Grid[Intermediate],0),99999)</f>
        <v/>
      </c>
    </row>
    <row r="117">
      <c r="A117" t="inlineStr">
        <is>
          <t>TSP-199</t>
        </is>
      </c>
      <c r="B117" t="inlineStr">
        <is>
          <t>CHEM-1420</t>
        </is>
      </c>
      <c r="C117" t="n">
        <v>0.401229</v>
      </c>
      <c r="D117">
        <f>IFERROR(MATCH($A117,PP_Grid[Intermediate],0),99999)</f>
        <v/>
      </c>
    </row>
    <row r="118">
      <c r="A118" t="inlineStr">
        <is>
          <t>TSP-199</t>
        </is>
      </c>
      <c r="B118" t="inlineStr">
        <is>
          <t>CHEM-1440</t>
        </is>
      </c>
      <c r="C118" t="n">
        <v>0.633814</v>
      </c>
      <c r="D118">
        <f>IFERROR(MATCH($A118,PP_Grid[Intermediate],0),99999)</f>
        <v/>
      </c>
    </row>
    <row r="119">
      <c r="A119" t="inlineStr">
        <is>
          <t>TSP-205</t>
        </is>
      </c>
      <c r="B119" t="inlineStr">
        <is>
          <t>CHEM-1250</t>
        </is>
      </c>
      <c r="C119" t="n">
        <v>7.829196</v>
      </c>
      <c r="D119">
        <f>IFERROR(MATCH($A119,PP_Grid[Intermediate],0),99999)</f>
        <v/>
      </c>
    </row>
    <row r="120">
      <c r="A120" t="inlineStr">
        <is>
          <t>TSP-205</t>
        </is>
      </c>
      <c r="B120" t="inlineStr">
        <is>
          <t>CHEM-1400</t>
        </is>
      </c>
      <c r="C120" t="n">
        <v>5.368607</v>
      </c>
      <c r="D120">
        <f>IFERROR(MATCH($A120,PP_Grid[Intermediate],0),99999)</f>
        <v/>
      </c>
    </row>
    <row r="121">
      <c r="A121" t="inlineStr">
        <is>
          <t>TSP-205</t>
        </is>
      </c>
      <c r="B121" t="inlineStr">
        <is>
          <t>CHEM-1420</t>
        </is>
      </c>
      <c r="C121" t="n">
        <v>0.462993</v>
      </c>
      <c r="D121">
        <f>IFERROR(MATCH($A121,PP_Grid[Intermediate],0),99999)</f>
        <v/>
      </c>
    </row>
    <row r="122">
      <c r="A122" t="inlineStr">
        <is>
          <t>TSP-205</t>
        </is>
      </c>
      <c r="B122" t="inlineStr">
        <is>
          <t>CHEM-1440</t>
        </is>
      </c>
      <c r="C122" t="n">
        <v>0.331821</v>
      </c>
      <c r="D122">
        <f>IFERROR(MATCH($A122,PP_Grid[Intermediate],0),99999)</f>
        <v/>
      </c>
    </row>
    <row r="123">
      <c r="A123" t="inlineStr">
        <is>
          <t>TSP-206</t>
        </is>
      </c>
      <c r="B123" t="inlineStr">
        <is>
          <t>CHEM-1400</t>
        </is>
      </c>
      <c r="C123" t="n">
        <v>4.583592</v>
      </c>
      <c r="D123">
        <f>IFERROR(MATCH($A123,PP_Grid[Intermediate],0),99999)</f>
        <v/>
      </c>
    </row>
    <row r="124">
      <c r="A124" t="inlineStr">
        <is>
          <t>TSP-206</t>
        </is>
      </c>
      <c r="B124" t="inlineStr">
        <is>
          <t>CHEM-1420</t>
        </is>
      </c>
      <c r="C124" t="n">
        <v>0.6176199999999999</v>
      </c>
      <c r="D124">
        <f>IFERROR(MATCH($A124,PP_Grid[Intermediate],0),99999)</f>
        <v/>
      </c>
    </row>
    <row r="125">
      <c r="A125" t="inlineStr">
        <is>
          <t>TSP-206</t>
        </is>
      </c>
      <c r="B125" t="inlineStr">
        <is>
          <t>CHEM-1440</t>
        </is>
      </c>
      <c r="C125" t="n">
        <v>1.565413</v>
      </c>
      <c r="D125">
        <f>IFERROR(MATCH($A125,PP_Grid[Intermediate],0),99999)</f>
        <v/>
      </c>
    </row>
    <row r="126">
      <c r="A126" t="inlineStr">
        <is>
          <t>TSP-206</t>
        </is>
      </c>
      <c r="B126" t="inlineStr">
        <is>
          <t>CHEM-1480</t>
        </is>
      </c>
      <c r="C126" t="n">
        <v>45.90817</v>
      </c>
      <c r="D126">
        <f>IFERROR(MATCH($A126,PP_Grid[Intermediate],0),99999)</f>
        <v/>
      </c>
    </row>
    <row r="127">
      <c r="A127" t="inlineStr">
        <is>
          <t>TSP-224</t>
        </is>
      </c>
      <c r="B127" t="inlineStr">
        <is>
          <t>CHEM-1010</t>
        </is>
      </c>
      <c r="C127" t="n">
        <v>0.539552</v>
      </c>
      <c r="D127">
        <f>IFERROR(MATCH($A127,PP_Grid[Intermediate],0),99999)</f>
        <v/>
      </c>
    </row>
    <row r="128">
      <c r="A128" t="inlineStr">
        <is>
          <t>TSP-224</t>
        </is>
      </c>
      <c r="B128" t="inlineStr">
        <is>
          <t>CHEM-1240</t>
        </is>
      </c>
      <c r="C128" t="n">
        <v>56.28312</v>
      </c>
      <c r="D128">
        <f>IFERROR(MATCH($A128,PP_Grid[Intermediate],0),99999)</f>
        <v/>
      </c>
    </row>
    <row r="129">
      <c r="A129" t="inlineStr">
        <is>
          <t>TSP-224</t>
        </is>
      </c>
      <c r="B129" t="inlineStr">
        <is>
          <t>CHEM-1420</t>
        </is>
      </c>
      <c r="C129" t="n">
        <v>0.97524</v>
      </c>
      <c r="D129">
        <f>IFERROR(MATCH($A129,PP_Grid[Intermediate],0),99999)</f>
        <v/>
      </c>
    </row>
    <row r="130">
      <c r="A130" t="inlineStr">
        <is>
          <t>TSP-224</t>
        </is>
      </c>
      <c r="B130" t="inlineStr">
        <is>
          <t>CHEM-1440</t>
        </is>
      </c>
      <c r="C130" t="n">
        <v>0.864</v>
      </c>
      <c r="D130">
        <f>IFERROR(MATCH($A130,PP_Grid[Intermediate],0),99999)</f>
        <v/>
      </c>
    </row>
    <row r="131">
      <c r="A131" t="inlineStr">
        <is>
          <t>TSP-224</t>
        </is>
      </c>
      <c r="B131" t="inlineStr">
        <is>
          <t>CHEM-1470</t>
        </is>
      </c>
      <c r="C131" t="n">
        <v>27.60804</v>
      </c>
      <c r="D131">
        <f>IFERROR(MATCH($A131,PP_Grid[Intermediate],0),99999)</f>
        <v/>
      </c>
    </row>
    <row r="132">
      <c r="A132" t="inlineStr">
        <is>
          <t>TSP-225</t>
        </is>
      </c>
      <c r="B132" t="inlineStr">
        <is>
          <t>CHEM-1400</t>
        </is>
      </c>
      <c r="C132" t="n">
        <v>5.843729</v>
      </c>
      <c r="D132">
        <f>IFERROR(MATCH($A132,PP_Grid[Intermediate],0),99999)</f>
        <v/>
      </c>
    </row>
    <row r="133">
      <c r="A133" t="inlineStr">
        <is>
          <t>TSP-225</t>
        </is>
      </c>
      <c r="B133" t="inlineStr">
        <is>
          <t>CHEM-1420</t>
        </is>
      </c>
      <c r="C133" t="n">
        <v>1.680588</v>
      </c>
      <c r="D133">
        <f>IFERROR(MATCH($A133,PP_Grid[Intermediate],0),99999)</f>
        <v/>
      </c>
    </row>
    <row r="134">
      <c r="A134" t="inlineStr">
        <is>
          <t>TSP-225</t>
        </is>
      </c>
      <c r="B134" t="inlineStr">
        <is>
          <t>CHEM-1430</t>
        </is>
      </c>
      <c r="C134" t="n">
        <v>14.189386</v>
      </c>
      <c r="D134">
        <f>IFERROR(MATCH($A134,PP_Grid[Intermediate],0),99999)</f>
        <v/>
      </c>
    </row>
    <row r="135">
      <c r="A135" t="inlineStr">
        <is>
          <t>TSP-225</t>
        </is>
      </c>
      <c r="B135" t="inlineStr">
        <is>
          <t>CHEM-1450</t>
        </is>
      </c>
      <c r="C135" t="n">
        <v>0.784274</v>
      </c>
      <c r="D135">
        <f>IFERROR(MATCH($A135,PP_Grid[Intermediate],0),99999)</f>
        <v/>
      </c>
    </row>
    <row r="136">
      <c r="A136" t="inlineStr">
        <is>
          <t>TSP-225</t>
        </is>
      </c>
      <c r="B136" t="inlineStr">
        <is>
          <t>CHEM-1470</t>
        </is>
      </c>
      <c r="C136" t="n">
        <v>66.488105</v>
      </c>
      <c r="D136">
        <f>IFERROR(MATCH($A136,PP_Grid[Intermediate],0),99999)</f>
        <v/>
      </c>
    </row>
    <row r="137">
      <c r="A137" t="inlineStr">
        <is>
          <t>TSP-360</t>
        </is>
      </c>
      <c r="B137" t="inlineStr">
        <is>
          <t>CHEM-1400</t>
        </is>
      </c>
      <c r="C137" t="n">
        <v>2.933853</v>
      </c>
      <c r="D137">
        <f>IFERROR(MATCH($A137,PP_Grid[Intermediate],0),99999)</f>
        <v/>
      </c>
    </row>
    <row r="138">
      <c r="A138" t="inlineStr">
        <is>
          <t>TSP-360</t>
        </is>
      </c>
      <c r="B138" t="inlineStr">
        <is>
          <t>CHEM-1420</t>
        </is>
      </c>
      <c r="C138" t="n">
        <v>0.181191</v>
      </c>
      <c r="D138">
        <f>IFERROR(MATCH($A138,PP_Grid[Intermediate],0),99999)</f>
        <v/>
      </c>
    </row>
    <row r="139">
      <c r="A139" t="inlineStr">
        <is>
          <t>TSP-360</t>
        </is>
      </c>
      <c r="B139" t="inlineStr">
        <is>
          <t>CHEM-1510</t>
        </is>
      </c>
      <c r="C139" t="n">
        <v>9.045147999999999</v>
      </c>
      <c r="D139">
        <f>IFERROR(MATCH($A139,PP_Grid[Intermediate],0),99999)</f>
        <v/>
      </c>
    </row>
    <row r="140">
      <c r="A140" t="inlineStr">
        <is>
          <t>TSP-360</t>
        </is>
      </c>
      <c r="B140" t="inlineStr">
        <is>
          <t>CHEM-1560</t>
        </is>
      </c>
      <c r="C140" t="n">
        <v>3.771411</v>
      </c>
      <c r="D140">
        <f>IFERROR(MATCH($A140,PP_Grid[Intermediate],0),99999)</f>
        <v/>
      </c>
    </row>
    <row r="141">
      <c r="A141" t="inlineStr">
        <is>
          <t>TSP-360</t>
        </is>
      </c>
      <c r="B141" t="inlineStr">
        <is>
          <t>CHEM-1580</t>
        </is>
      </c>
      <c r="C141" t="n">
        <v>16.79436</v>
      </c>
      <c r="D141">
        <f>IFERROR(MATCH($A141,PP_Grid[Intermediate],0),99999)</f>
        <v/>
      </c>
    </row>
    <row r="142">
      <c r="A142" t="inlineStr">
        <is>
          <t>TSP-367</t>
        </is>
      </c>
      <c r="B142" t="inlineStr">
        <is>
          <t>CHEM-1400</t>
        </is>
      </c>
      <c r="C142" t="n">
        <v>3.573429</v>
      </c>
      <c r="D142">
        <f>IFERROR(MATCH($A142,PP_Grid[Intermediate],0),99999)</f>
        <v/>
      </c>
    </row>
    <row r="143">
      <c r="A143" t="inlineStr">
        <is>
          <t>TSP-367</t>
        </is>
      </c>
      <c r="B143" t="inlineStr">
        <is>
          <t>CHEM-1420</t>
        </is>
      </c>
      <c r="C143" t="n">
        <v>0.8814</v>
      </c>
      <c r="D143">
        <f>IFERROR(MATCH($A143,PP_Grid[Intermediate],0),99999)</f>
        <v/>
      </c>
    </row>
    <row r="144">
      <c r="A144" t="inlineStr">
        <is>
          <t>TSP-367</t>
        </is>
      </c>
      <c r="B144" t="inlineStr">
        <is>
          <t>CHEM-1440</t>
        </is>
      </c>
      <c r="C144" t="n">
        <v>1.010243</v>
      </c>
      <c r="D144">
        <f>IFERROR(MATCH($A144,PP_Grid[Intermediate],0),99999)</f>
        <v/>
      </c>
    </row>
    <row r="145">
      <c r="A145" t="inlineStr">
        <is>
          <t>TSP-367</t>
        </is>
      </c>
      <c r="B145" t="inlineStr">
        <is>
          <t>CHEM-1510</t>
        </is>
      </c>
      <c r="C145" t="n">
        <v>4.866735</v>
      </c>
      <c r="D145">
        <f>IFERROR(MATCH($A145,PP_Grid[Intermediate],0),99999)</f>
        <v/>
      </c>
    </row>
    <row r="146">
      <c r="A146" t="inlineStr">
        <is>
          <t>TSP-367</t>
        </is>
      </c>
      <c r="B146" t="inlineStr">
        <is>
          <t>CHEM-1580</t>
        </is>
      </c>
      <c r="C146" t="n">
        <v>24.55134</v>
      </c>
      <c r="D146">
        <f>IFERROR(MATCH($A146,PP_Grid[Intermediate],0),99999)</f>
        <v/>
      </c>
    </row>
    <row r="147">
      <c r="A147" t="inlineStr">
        <is>
          <t>TSP-369</t>
        </is>
      </c>
      <c r="B147" t="inlineStr">
        <is>
          <t>CHEM-1400</t>
        </is>
      </c>
      <c r="C147" t="n">
        <v>3.835804</v>
      </c>
      <c r="D147">
        <f>IFERROR(MATCH($A147,PP_Grid[Intermediate],0),99999)</f>
        <v/>
      </c>
    </row>
    <row r="148">
      <c r="A148" t="inlineStr">
        <is>
          <t>TSP-369</t>
        </is>
      </c>
      <c r="B148" t="inlineStr">
        <is>
          <t>CHEM-1420</t>
        </is>
      </c>
      <c r="C148" t="n">
        <v>0.73921</v>
      </c>
      <c r="D148">
        <f>IFERROR(MATCH($A148,PP_Grid[Intermediate],0),99999)</f>
        <v/>
      </c>
    </row>
    <row r="149">
      <c r="A149" t="inlineStr">
        <is>
          <t>TSP-369</t>
        </is>
      </c>
      <c r="B149" t="inlineStr">
        <is>
          <t>CHEM-1440</t>
        </is>
      </c>
      <c r="C149" t="n">
        <v>1.380043</v>
      </c>
      <c r="D149">
        <f>IFERROR(MATCH($A149,PP_Grid[Intermediate],0),99999)</f>
        <v/>
      </c>
    </row>
    <row r="150">
      <c r="A150" t="inlineStr">
        <is>
          <t>TSP-369</t>
        </is>
      </c>
      <c r="B150" t="inlineStr">
        <is>
          <t>CHEM-1540</t>
        </is>
      </c>
      <c r="C150" t="n">
        <v>65.09481100000001</v>
      </c>
      <c r="D150">
        <f>IFERROR(MATCH($A150,PP_Grid[Intermediate],0),99999)</f>
        <v/>
      </c>
    </row>
    <row r="151">
      <c r="A151" t="inlineStr">
        <is>
          <t>TSP-402</t>
        </is>
      </c>
      <c r="B151" t="inlineStr">
        <is>
          <t>CHEM-1400</t>
        </is>
      </c>
      <c r="C151" t="n">
        <v>7.12965</v>
      </c>
      <c r="D151">
        <f>IFERROR(MATCH($A151,PP_Grid[Intermediate],0),99999)</f>
        <v/>
      </c>
    </row>
    <row r="152">
      <c r="A152" t="inlineStr">
        <is>
          <t>TSP-402</t>
        </is>
      </c>
      <c r="B152" t="inlineStr">
        <is>
          <t>CHEM-1420</t>
        </is>
      </c>
      <c r="C152" t="n">
        <v>1.114575</v>
      </c>
      <c r="D152">
        <f>IFERROR(MATCH($A152,PP_Grid[Intermediate],0),99999)</f>
        <v/>
      </c>
    </row>
    <row r="153">
      <c r="A153" t="inlineStr">
        <is>
          <t>TSP-402</t>
        </is>
      </c>
      <c r="B153" t="inlineStr">
        <is>
          <t>CHEM-1530</t>
        </is>
      </c>
      <c r="C153" t="n">
        <v>39.0324</v>
      </c>
      <c r="D153">
        <f>IFERROR(MATCH($A153,PP_Grid[Intermediate],0),99999)</f>
        <v/>
      </c>
    </row>
    <row r="154">
      <c r="A154" t="inlineStr">
        <is>
          <t>TSP-402</t>
        </is>
      </c>
      <c r="B154" t="inlineStr">
        <is>
          <t>CHEM-1550</t>
        </is>
      </c>
      <c r="C154" t="n">
        <v>6.343425</v>
      </c>
      <c r="D154">
        <f>IFERROR(MATCH($A154,PP_Grid[Intermediate],0),99999)</f>
        <v/>
      </c>
    </row>
    <row r="155">
      <c r="A155" t="inlineStr">
        <is>
          <t>TSP-402</t>
        </is>
      </c>
      <c r="B155" t="inlineStr">
        <is>
          <t>CHEM-1650</t>
        </is>
      </c>
      <c r="C155" t="n">
        <v>0.033825</v>
      </c>
      <c r="D155">
        <f>IFERROR(MATCH($A155,PP_Grid[Intermediate],0),99999)</f>
        <v/>
      </c>
    </row>
    <row r="156">
      <c r="A156" t="inlineStr">
        <is>
          <t>TSP-403</t>
        </is>
      </c>
      <c r="B156" t="inlineStr">
        <is>
          <t>CHEM-1400</t>
        </is>
      </c>
      <c r="C156" t="n">
        <v>7.137075</v>
      </c>
      <c r="D156">
        <f>IFERROR(MATCH($A156,PP_Grid[Intermediate],0),99999)</f>
        <v/>
      </c>
    </row>
    <row r="157">
      <c r="A157" t="inlineStr">
        <is>
          <t>TSP-403</t>
        </is>
      </c>
      <c r="B157" t="inlineStr">
        <is>
          <t>CHEM-1420</t>
        </is>
      </c>
      <c r="C157" t="n">
        <v>1.116225</v>
      </c>
      <c r="D157">
        <f>IFERROR(MATCH($A157,PP_Grid[Intermediate],0),99999)</f>
        <v/>
      </c>
    </row>
    <row r="158">
      <c r="A158" t="inlineStr">
        <is>
          <t>TSP-403</t>
        </is>
      </c>
      <c r="B158" t="inlineStr">
        <is>
          <t>CHEM-1530</t>
        </is>
      </c>
      <c r="C158" t="n">
        <v>39.071175</v>
      </c>
      <c r="D158">
        <f>IFERROR(MATCH($A158,PP_Grid[Intermediate],0),99999)</f>
        <v/>
      </c>
    </row>
    <row r="159">
      <c r="A159" t="inlineStr">
        <is>
          <t>TSP-403</t>
        </is>
      </c>
      <c r="B159" t="inlineStr">
        <is>
          <t>CHEM-1550</t>
        </is>
      </c>
      <c r="C159" t="n">
        <v>6.3492</v>
      </c>
      <c r="D159">
        <f>IFERROR(MATCH($A159,PP_Grid[Intermediate],0),99999)</f>
        <v/>
      </c>
    </row>
    <row r="160">
      <c r="A160" t="inlineStr">
        <is>
          <t>TSP-403</t>
        </is>
      </c>
      <c r="B160" t="inlineStr">
        <is>
          <t>CHEM-1650</t>
        </is>
      </c>
      <c r="C160" t="n">
        <v>0.033825</v>
      </c>
      <c r="D160">
        <f>IFERROR(MATCH($A160,PP_Grid[Intermediate],0),99999)</f>
        <v/>
      </c>
    </row>
    <row r="161">
      <c r="A161" t="inlineStr">
        <is>
          <t>TSP-404</t>
        </is>
      </c>
      <c r="B161" t="inlineStr">
        <is>
          <t>CHEM-1400</t>
        </is>
      </c>
      <c r="C161" t="n">
        <v>6.625665</v>
      </c>
      <c r="D161">
        <f>IFERROR(MATCH($A161,PP_Grid[Intermediate],0),99999)</f>
        <v/>
      </c>
    </row>
    <row r="162">
      <c r="A162" t="inlineStr">
        <is>
          <t>TSP-404</t>
        </is>
      </c>
      <c r="B162" t="inlineStr">
        <is>
          <t>CHEM-1420</t>
        </is>
      </c>
      <c r="C162" t="n">
        <v>1.03581</v>
      </c>
      <c r="D162">
        <f>IFERROR(MATCH($A162,PP_Grid[Intermediate],0),99999)</f>
        <v/>
      </c>
    </row>
    <row r="163">
      <c r="A163" t="inlineStr">
        <is>
          <t>TSP-404</t>
        </is>
      </c>
      <c r="B163" t="inlineStr">
        <is>
          <t>CHEM-1530</t>
        </is>
      </c>
      <c r="C163" t="n">
        <v>36.272475</v>
      </c>
      <c r="D163">
        <f>IFERROR(MATCH($A163,PP_Grid[Intermediate],0),99999)</f>
        <v/>
      </c>
    </row>
    <row r="164">
      <c r="A164" t="inlineStr">
        <is>
          <t>TSP-404</t>
        </is>
      </c>
      <c r="B164" t="inlineStr">
        <is>
          <t>CHEM-1550</t>
        </is>
      </c>
      <c r="C164" t="n">
        <v>4.28706</v>
      </c>
      <c r="D164">
        <f>IFERROR(MATCH($A164,PP_Grid[Intermediate],0),99999)</f>
        <v/>
      </c>
    </row>
    <row r="165">
      <c r="A165" t="inlineStr">
        <is>
          <t>TSP-404</t>
        </is>
      </c>
      <c r="B165" t="inlineStr">
        <is>
          <t>CHEM-1650</t>
        </is>
      </c>
      <c r="C165" t="n">
        <v>0.031365</v>
      </c>
      <c r="D165">
        <f>IFERROR(MATCH($A165,PP_Grid[Intermediate],0),99999)</f>
        <v/>
      </c>
    </row>
    <row r="166">
      <c r="A166" t="inlineStr">
        <is>
          <t>TSP-405</t>
        </is>
      </c>
      <c r="B166" t="inlineStr">
        <is>
          <t>CHEM-1400</t>
        </is>
      </c>
      <c r="C166" t="n">
        <v>6.63102</v>
      </c>
      <c r="D166">
        <f>IFERROR(MATCH($A166,PP_Grid[Intermediate],0),99999)</f>
        <v/>
      </c>
    </row>
    <row r="167">
      <c r="A167" t="inlineStr">
        <is>
          <t>TSP-405</t>
        </is>
      </c>
      <c r="B167" t="inlineStr">
        <is>
          <t>CHEM-1420</t>
        </is>
      </c>
      <c r="C167" t="n">
        <v>1.036575</v>
      </c>
      <c r="D167">
        <f>IFERROR(MATCH($A167,PP_Grid[Intermediate],0),99999)</f>
        <v/>
      </c>
    </row>
    <row r="168">
      <c r="A168" t="inlineStr">
        <is>
          <t>TSP-405</t>
        </is>
      </c>
      <c r="B168" t="inlineStr">
        <is>
          <t>CHEM-1530</t>
        </is>
      </c>
      <c r="C168" t="n">
        <v>36.30078</v>
      </c>
      <c r="D168">
        <f>IFERROR(MATCH($A168,PP_Grid[Intermediate],0),99999)</f>
        <v/>
      </c>
    </row>
    <row r="169">
      <c r="A169" t="inlineStr">
        <is>
          <t>TSP-405</t>
        </is>
      </c>
      <c r="B169" t="inlineStr">
        <is>
          <t>CHEM-1550</t>
        </is>
      </c>
      <c r="C169" t="n">
        <v>4.29012</v>
      </c>
      <c r="D169">
        <f>IFERROR(MATCH($A169,PP_Grid[Intermediate],0),99999)</f>
        <v/>
      </c>
    </row>
    <row r="170">
      <c r="A170" t="inlineStr">
        <is>
          <t>TSP-405</t>
        </is>
      </c>
      <c r="B170" t="inlineStr">
        <is>
          <t>CHEM-1650</t>
        </is>
      </c>
      <c r="C170" t="n">
        <v>0.031365</v>
      </c>
      <c r="D170">
        <f>IFERROR(MATCH($A170,PP_Grid[Intermediate],0),99999)</f>
        <v/>
      </c>
    </row>
    <row r="171">
      <c r="A171" t="inlineStr">
        <is>
          <t>TSP-544</t>
        </is>
      </c>
      <c r="B171" t="inlineStr">
        <is>
          <t>CHEM-1400</t>
        </is>
      </c>
      <c r="C171" t="n">
        <v>1.281052</v>
      </c>
      <c r="D171">
        <f>IFERROR(MATCH($A171,PP_Grid[Intermediate],0),99999)</f>
        <v/>
      </c>
    </row>
    <row r="172">
      <c r="A172" t="inlineStr">
        <is>
          <t>TSP-544</t>
        </is>
      </c>
      <c r="B172" t="inlineStr">
        <is>
          <t>CHEM-1420</t>
        </is>
      </c>
      <c r="C172" t="n">
        <v>0.375527</v>
      </c>
      <c r="D172">
        <f>IFERROR(MATCH($A172,PP_Grid[Intermediate],0),99999)</f>
        <v/>
      </c>
    </row>
    <row r="173">
      <c r="A173" t="inlineStr">
        <is>
          <t>TSP-544</t>
        </is>
      </c>
      <c r="B173" t="inlineStr">
        <is>
          <t>CHEM-1440</t>
        </is>
      </c>
      <c r="C173" t="n">
        <v>0.335577</v>
      </c>
      <c r="D173">
        <f>IFERROR(MATCH($A173,PP_Grid[Intermediate],0),99999)</f>
        <v/>
      </c>
    </row>
    <row r="174">
      <c r="A174" t="inlineStr">
        <is>
          <t>TSP-544</t>
        </is>
      </c>
      <c r="B174" t="inlineStr">
        <is>
          <t>CHEM-1510</t>
        </is>
      </c>
      <c r="C174" t="n">
        <v>9.875553</v>
      </c>
      <c r="D174">
        <f>IFERROR(MATCH($A174,PP_Grid[Intermediate],0),99999)</f>
        <v/>
      </c>
    </row>
    <row r="175">
      <c r="A175" t="inlineStr">
        <is>
          <t>TSP-544</t>
        </is>
      </c>
      <c r="B175" t="inlineStr">
        <is>
          <t>CHEM-1560</t>
        </is>
      </c>
      <c r="C175" t="n">
        <v>4.94044</v>
      </c>
      <c r="D175">
        <f>IFERROR(MATCH($A175,PP_Grid[Intermediate],0),99999)</f>
        <v/>
      </c>
    </row>
    <row r="176">
      <c r="A176" t="inlineStr">
        <is>
          <t>TSP-544</t>
        </is>
      </c>
      <c r="B176" t="inlineStr">
        <is>
          <t>CHEM-1580</t>
        </is>
      </c>
      <c r="C176" t="n">
        <v>13.203359</v>
      </c>
      <c r="D176">
        <f>IFERROR(MATCH($A176,PP_Grid[Intermediate],0),99999)</f>
        <v/>
      </c>
    </row>
    <row r="177">
      <c r="A177" t="inlineStr">
        <is>
          <t>TSP-558</t>
        </is>
      </c>
      <c r="B177" t="inlineStr">
        <is>
          <t>CHEM-1400</t>
        </is>
      </c>
      <c r="C177" t="n">
        <v>1.154404</v>
      </c>
      <c r="D177">
        <f>IFERROR(MATCH($A177,PP_Grid[Intermediate],0),99999)</f>
        <v/>
      </c>
    </row>
    <row r="178">
      <c r="A178" t="inlineStr">
        <is>
          <t>TSP-558</t>
        </is>
      </c>
      <c r="B178" t="inlineStr">
        <is>
          <t>CHEM-1420</t>
        </is>
      </c>
      <c r="C178" t="n">
        <v>0.853975</v>
      </c>
      <c r="D178">
        <f>IFERROR(MATCH($A178,PP_Grid[Intermediate],0),99999)</f>
        <v/>
      </c>
    </row>
    <row r="179">
      <c r="A179" t="inlineStr">
        <is>
          <t>TSP-558</t>
        </is>
      </c>
      <c r="B179" t="inlineStr">
        <is>
          <t>CHEM-1450</t>
        </is>
      </c>
      <c r="C179" t="n">
        <v>0.435267</v>
      </c>
      <c r="D179">
        <f>IFERROR(MATCH($A179,PP_Grid[Intermediate],0),99999)</f>
        <v/>
      </c>
    </row>
    <row r="180">
      <c r="A180" t="inlineStr">
        <is>
          <t>TSP-558</t>
        </is>
      </c>
      <c r="B180" t="inlineStr">
        <is>
          <t>CHEM-1540</t>
        </is>
      </c>
      <c r="C180" t="n">
        <v>58.745894</v>
      </c>
      <c r="D180">
        <f>IFERROR(MATCH($A180,PP_Grid[Intermediate],0),99999)</f>
        <v/>
      </c>
    </row>
    <row r="181">
      <c r="A181" t="inlineStr">
        <is>
          <t>TSP-558</t>
        </is>
      </c>
      <c r="B181" t="inlineStr">
        <is>
          <t>CHEM-1570</t>
        </is>
      </c>
      <c r="C181" t="n">
        <v>0.023656</v>
      </c>
      <c r="D181">
        <f>IFERROR(MATCH($A181,PP_Grid[Intermediate],0),99999)</f>
        <v/>
      </c>
    </row>
    <row r="182">
      <c r="A182" t="inlineStr">
        <is>
          <t>TSP-558</t>
        </is>
      </c>
      <c r="B182" t="inlineStr">
        <is>
          <t>CHEM-1670</t>
        </is>
      </c>
      <c r="C182" t="n">
        <v>5.514171</v>
      </c>
      <c r="D182">
        <f>IFERROR(MATCH($A182,PP_Grid[Intermediate],0),99999)</f>
        <v/>
      </c>
    </row>
    <row r="183">
      <c r="A183" t="inlineStr">
        <is>
          <t>TSP-618</t>
        </is>
      </c>
      <c r="B183" t="inlineStr">
        <is>
          <t>CHEM-1400</t>
        </is>
      </c>
      <c r="C183" t="n">
        <v>1.237217</v>
      </c>
      <c r="D183">
        <f>IFERROR(MATCH($A183,PP_Grid[Intermediate],0),99999)</f>
        <v/>
      </c>
    </row>
    <row r="184">
      <c r="A184" t="inlineStr">
        <is>
          <t>TSP-618</t>
        </is>
      </c>
      <c r="B184" t="inlineStr">
        <is>
          <t>CHEM-1420</t>
        </is>
      </c>
      <c r="C184" t="n">
        <v>0.676785</v>
      </c>
      <c r="D184">
        <f>IFERROR(MATCH($A184,PP_Grid[Intermediate],0),99999)</f>
        <v/>
      </c>
    </row>
    <row r="185">
      <c r="A185" t="inlineStr">
        <is>
          <t>TSP-618</t>
        </is>
      </c>
      <c r="B185" t="inlineStr">
        <is>
          <t>CHEM-1440</t>
        </is>
      </c>
      <c r="C185" t="n">
        <v>1.335147</v>
      </c>
      <c r="D185">
        <f>IFERROR(MATCH($A185,PP_Grid[Intermediate],0),99999)</f>
        <v/>
      </c>
    </row>
    <row r="186">
      <c r="A186" t="inlineStr">
        <is>
          <t>TSP-618</t>
        </is>
      </c>
      <c r="B186" t="inlineStr">
        <is>
          <t>CHEM-1510</t>
        </is>
      </c>
      <c r="C186" t="n">
        <v>0.142902</v>
      </c>
      <c r="D186">
        <f>IFERROR(MATCH($A186,PP_Grid[Intermediate],0),99999)</f>
        <v/>
      </c>
    </row>
    <row r="187">
      <c r="A187" t="inlineStr">
        <is>
          <t>TSP-618</t>
        </is>
      </c>
      <c r="B187" t="inlineStr">
        <is>
          <t>CHEM-1570</t>
        </is>
      </c>
      <c r="C187" t="n">
        <v>0.004767</v>
      </c>
      <c r="D187">
        <f>IFERROR(MATCH($A187,PP_Grid[Intermediate],0),99999)</f>
        <v/>
      </c>
    </row>
    <row r="188">
      <c r="A188" t="inlineStr">
        <is>
          <t>TSP-618</t>
        </is>
      </c>
      <c r="B188" t="inlineStr">
        <is>
          <t>CHEM-1600</t>
        </is>
      </c>
      <c r="C188" t="n">
        <v>4.868826</v>
      </c>
      <c r="D188">
        <f>IFERROR(MATCH($A188,PP_Grid[Intermediate],0),99999)</f>
        <v/>
      </c>
    </row>
    <row r="189">
      <c r="A189" t="inlineStr">
        <is>
          <t>TSP-618</t>
        </is>
      </c>
      <c r="B189" t="inlineStr">
        <is>
          <t>CHEM-1690</t>
        </is>
      </c>
      <c r="C189" t="n">
        <v>9.543832</v>
      </c>
      <c r="D189">
        <f>IFERROR(MATCH($A189,PP_Grid[Intermediate],0),99999)</f>
        <v/>
      </c>
    </row>
    <row r="190">
      <c r="A190" t="inlineStr">
        <is>
          <t>TSP-620</t>
        </is>
      </c>
      <c r="B190" t="inlineStr">
        <is>
          <t>CHEM-1400</t>
        </is>
      </c>
      <c r="C190" t="n">
        <v>1.04535</v>
      </c>
      <c r="D190">
        <f>IFERROR(MATCH($A190,PP_Grid[Intermediate],0),99999)</f>
        <v/>
      </c>
    </row>
    <row r="191">
      <c r="A191" t="inlineStr">
        <is>
          <t>TSP-620</t>
        </is>
      </c>
      <c r="B191" t="inlineStr">
        <is>
          <t>CHEM-1420</t>
        </is>
      </c>
      <c r="C191" t="n">
        <v>0.70518</v>
      </c>
      <c r="D191">
        <f>IFERROR(MATCH($A191,PP_Grid[Intermediate],0),99999)</f>
        <v/>
      </c>
    </row>
    <row r="192">
      <c r="A192" t="inlineStr">
        <is>
          <t>TSP-620</t>
        </is>
      </c>
      <c r="B192" t="inlineStr">
        <is>
          <t>CHEM-1440</t>
        </is>
      </c>
      <c r="C192" t="n">
        <v>1.05777</v>
      </c>
      <c r="D192">
        <f>IFERROR(MATCH($A192,PP_Grid[Intermediate],0),99999)</f>
        <v/>
      </c>
    </row>
    <row r="193">
      <c r="A193" t="inlineStr">
        <is>
          <t>TSP-620</t>
        </is>
      </c>
      <c r="B193" t="inlineStr">
        <is>
          <t>CHEM-1540</t>
        </is>
      </c>
      <c r="C193" t="n">
        <v>36.85221</v>
      </c>
      <c r="D193">
        <f>IFERROR(MATCH($A193,PP_Grid[Intermediate],0),99999)</f>
        <v/>
      </c>
    </row>
    <row r="194">
      <c r="A194" t="inlineStr">
        <is>
          <t>TSP-620</t>
        </is>
      </c>
      <c r="B194" t="inlineStr">
        <is>
          <t>CHEM-1570</t>
        </is>
      </c>
      <c r="C194" t="n">
        <v>0.06900000000000001</v>
      </c>
      <c r="D194">
        <f>IFERROR(MATCH($A194,PP_Grid[Intermediate],0),99999)</f>
        <v/>
      </c>
    </row>
    <row r="195">
      <c r="A195" t="inlineStr">
        <is>
          <t>TSP-620</t>
        </is>
      </c>
      <c r="B195" t="inlineStr">
        <is>
          <t>CHEM-1650</t>
        </is>
      </c>
      <c r="C195" t="n">
        <v>0.0276</v>
      </c>
      <c r="D195">
        <f>IFERROR(MATCH($A195,PP_Grid[Intermediate],0),99999)</f>
        <v/>
      </c>
    </row>
    <row r="196">
      <c r="A196" t="inlineStr">
        <is>
          <t>TSP-620</t>
        </is>
      </c>
      <c r="B196" t="inlineStr">
        <is>
          <t>CHEM-1680</t>
        </is>
      </c>
      <c r="C196" t="n">
        <v>18.172651</v>
      </c>
      <c r="D196">
        <f>IFERROR(MATCH($A196,PP_Grid[Intermediate],0),99999)</f>
        <v/>
      </c>
    </row>
    <row r="197">
      <c r="A197" t="inlineStr">
        <is>
          <t>TSP-620</t>
        </is>
      </c>
      <c r="B197" t="inlineStr">
        <is>
          <t>CHEM-1700</t>
        </is>
      </c>
      <c r="C197" t="n">
        <v>1.71258</v>
      </c>
      <c r="D197">
        <f>IFERROR(MATCH($A197,PP_Grid[Intermediate],0),99999)</f>
        <v/>
      </c>
    </row>
    <row r="198">
      <c r="A198" t="inlineStr">
        <is>
          <t>TSP-623</t>
        </is>
      </c>
      <c r="B198" t="inlineStr">
        <is>
          <t>CHEM-1400</t>
        </is>
      </c>
      <c r="C198" t="n">
        <v>1.04673</v>
      </c>
      <c r="D198">
        <f>IFERROR(MATCH($A198,PP_Grid[Intermediate],0),99999)</f>
        <v/>
      </c>
    </row>
    <row r="199">
      <c r="A199" t="inlineStr">
        <is>
          <t>TSP-623</t>
        </is>
      </c>
      <c r="B199" t="inlineStr">
        <is>
          <t>CHEM-1420</t>
        </is>
      </c>
      <c r="C199" t="n">
        <v>0.70587</v>
      </c>
      <c r="D199">
        <f>IFERROR(MATCH($A199,PP_Grid[Intermediate],0),99999)</f>
        <v/>
      </c>
    </row>
    <row r="200">
      <c r="A200" t="inlineStr">
        <is>
          <t>TSP-623</t>
        </is>
      </c>
      <c r="B200" t="inlineStr">
        <is>
          <t>CHEM-1440</t>
        </is>
      </c>
      <c r="C200" t="n">
        <v>1.05915</v>
      </c>
      <c r="D200">
        <f>IFERROR(MATCH($A200,PP_Grid[Intermediate],0),99999)</f>
        <v/>
      </c>
    </row>
    <row r="201">
      <c r="A201" t="inlineStr">
        <is>
          <t>TSP-623</t>
        </is>
      </c>
      <c r="B201" t="inlineStr">
        <is>
          <t>CHEM-1540</t>
        </is>
      </c>
      <c r="C201" t="n">
        <v>36.89568</v>
      </c>
      <c r="D201">
        <f>IFERROR(MATCH($A201,PP_Grid[Intermediate],0),99999)</f>
        <v/>
      </c>
    </row>
    <row r="202">
      <c r="A202" t="inlineStr">
        <is>
          <t>TSP-623</t>
        </is>
      </c>
      <c r="B202" t="inlineStr">
        <is>
          <t>CHEM-1570</t>
        </is>
      </c>
      <c r="C202" t="n">
        <v>0.06900000000000001</v>
      </c>
      <c r="D202">
        <f>IFERROR(MATCH($A202,PP_Grid[Intermediate],0),99999)</f>
        <v/>
      </c>
    </row>
    <row r="203">
      <c r="A203" t="inlineStr">
        <is>
          <t>TSP-623</t>
        </is>
      </c>
      <c r="B203" t="inlineStr">
        <is>
          <t>CHEM-1650</t>
        </is>
      </c>
      <c r="C203" t="n">
        <v>0.0276</v>
      </c>
      <c r="D203">
        <f>IFERROR(MATCH($A203,PP_Grid[Intermediate],0),99999)</f>
        <v/>
      </c>
    </row>
    <row r="204">
      <c r="A204" t="inlineStr">
        <is>
          <t>TSP-623</t>
        </is>
      </c>
      <c r="B204" t="inlineStr">
        <is>
          <t>CHEM-1680</t>
        </is>
      </c>
      <c r="C204" t="n">
        <v>18.19444</v>
      </c>
      <c r="D204">
        <f>IFERROR(MATCH($A204,PP_Grid[Intermediate],0),99999)</f>
        <v/>
      </c>
    </row>
    <row r="205">
      <c r="A205" t="inlineStr">
        <is>
          <t>TSP-623</t>
        </is>
      </c>
      <c r="B205" t="inlineStr">
        <is>
          <t>CHEM-1700</t>
        </is>
      </c>
      <c r="C205" t="n">
        <v>1.71465</v>
      </c>
      <c r="D205">
        <f>IFERROR(MATCH($A205,PP_Grid[Intermediate],0),99999)</f>
        <v/>
      </c>
    </row>
    <row r="206">
      <c r="A206" t="inlineStr">
        <is>
          <t>TSP-655</t>
        </is>
      </c>
      <c r="B206" t="inlineStr">
        <is>
          <t>CHEM-1400</t>
        </is>
      </c>
      <c r="C206" t="n">
        <v>4.659257</v>
      </c>
      <c r="D206">
        <f>IFERROR(MATCH($A206,PP_Grid[Intermediate],0),99999)</f>
        <v/>
      </c>
    </row>
    <row r="207">
      <c r="A207" t="inlineStr">
        <is>
          <t>TSP-655</t>
        </is>
      </c>
      <c r="B207" t="inlineStr">
        <is>
          <t>CHEM-1420</t>
        </is>
      </c>
      <c r="C207" t="n">
        <v>2.693816</v>
      </c>
      <c r="D207">
        <f>IFERROR(MATCH($A207,PP_Grid[Intermediate],0),99999)</f>
        <v/>
      </c>
    </row>
    <row r="208">
      <c r="A208" t="inlineStr">
        <is>
          <t>TSP-655</t>
        </is>
      </c>
      <c r="B208" t="inlineStr">
        <is>
          <t>CHEM-1530</t>
        </is>
      </c>
      <c r="C208" t="n">
        <v>82.939705</v>
      </c>
      <c r="D208">
        <f>IFERROR(MATCH($A208,PP_Grid[Intermediate],0),99999)</f>
        <v/>
      </c>
    </row>
    <row r="209">
      <c r="A209" t="inlineStr">
        <is>
          <t>TSP-655</t>
        </is>
      </c>
      <c r="B209" t="inlineStr">
        <is>
          <t>CHEM-1570</t>
        </is>
      </c>
      <c r="C209" t="n">
        <v>0.972734</v>
      </c>
      <c r="D209">
        <f>IFERROR(MATCH($A209,PP_Grid[Intermediate],0),99999)</f>
        <v/>
      </c>
    </row>
    <row r="210">
      <c r="A210" t="inlineStr">
        <is>
          <t>TSP-655</t>
        </is>
      </c>
      <c r="B210" t="inlineStr">
        <is>
          <t>CHEM-1650</t>
        </is>
      </c>
      <c r="C210" t="n">
        <v>0.046992</v>
      </c>
      <c r="D210">
        <f>IFERROR(MATCH($A210,PP_Grid[Intermediate],0),99999)</f>
        <v/>
      </c>
    </row>
    <row r="211">
      <c r="A211" t="inlineStr">
        <is>
          <t>TSP-655</t>
        </is>
      </c>
      <c r="B211" t="inlineStr">
        <is>
          <t>CHEM-1660</t>
        </is>
      </c>
      <c r="C211" t="n">
        <v>11.670463</v>
      </c>
      <c r="D211">
        <f>IFERROR(MATCH($A211,PP_Grid[Intermediate],0),99999)</f>
        <v/>
      </c>
    </row>
    <row r="212">
      <c r="A212" t="inlineStr">
        <is>
          <t>TSP-656</t>
        </is>
      </c>
      <c r="B212" t="inlineStr">
        <is>
          <t>CHEM-1250</t>
        </is>
      </c>
      <c r="C212" t="n">
        <v>5.78292</v>
      </c>
      <c r="D212">
        <f>IFERROR(MATCH($A212,PP_Grid[Intermediate],0),99999)</f>
        <v/>
      </c>
    </row>
    <row r="213">
      <c r="A213" t="inlineStr">
        <is>
          <t>TSP-656</t>
        </is>
      </c>
      <c r="B213" t="inlineStr">
        <is>
          <t>CHEM-1400</t>
        </is>
      </c>
      <c r="C213" t="n">
        <v>2.77398</v>
      </c>
      <c r="D213">
        <f>IFERROR(MATCH($A213,PP_Grid[Intermediate],0),99999)</f>
        <v/>
      </c>
    </row>
    <row r="214">
      <c r="A214" t="inlineStr">
        <is>
          <t>TSP-656</t>
        </is>
      </c>
      <c r="B214" t="inlineStr">
        <is>
          <t>CHEM-1420</t>
        </is>
      </c>
      <c r="C214" t="n">
        <v>1.85196</v>
      </c>
      <c r="D214">
        <f>IFERROR(MATCH($A214,PP_Grid[Intermediate],0),99999)</f>
        <v/>
      </c>
    </row>
    <row r="215">
      <c r="A215" t="inlineStr">
        <is>
          <t>TSP-656</t>
        </is>
      </c>
      <c r="B215" t="inlineStr">
        <is>
          <t>CHEM-1530</t>
        </is>
      </c>
      <c r="C215" t="n">
        <v>36.180086</v>
      </c>
      <c r="D215">
        <f>IFERROR(MATCH($A215,PP_Grid[Intermediate],0),99999)</f>
        <v/>
      </c>
    </row>
    <row r="216">
      <c r="A216" t="inlineStr">
        <is>
          <t>TSP-656</t>
        </is>
      </c>
      <c r="B216" t="inlineStr">
        <is>
          <t>CHEM-1570</t>
        </is>
      </c>
      <c r="C216" t="n">
        <v>0.46068</v>
      </c>
      <c r="D216">
        <f>IFERROR(MATCH($A216,PP_Grid[Intermediate],0),99999)</f>
        <v/>
      </c>
    </row>
    <row r="217">
      <c r="A217" t="inlineStr">
        <is>
          <t>TSP-656</t>
        </is>
      </c>
      <c r="B217" t="inlineStr">
        <is>
          <t>CHEM-1660</t>
        </is>
      </c>
      <c r="C217" t="n">
        <v>6.55182</v>
      </c>
      <c r="D217">
        <f>IFERROR(MATCH($A217,PP_Grid[Intermediate],0),99999)</f>
        <v/>
      </c>
    </row>
    <row r="218">
      <c r="A218" t="inlineStr">
        <is>
          <t>TSP-668</t>
        </is>
      </c>
      <c r="B218" t="inlineStr">
        <is>
          <t>CHEM-1010</t>
        </is>
      </c>
      <c r="C218" t="n">
        <v>0.456559</v>
      </c>
      <c r="D218">
        <f>IFERROR(MATCH($A218,PP_Grid[Intermediate],0),99999)</f>
        <v/>
      </c>
    </row>
    <row r="219">
      <c r="A219" t="inlineStr">
        <is>
          <t>TSP-668</t>
        </is>
      </c>
      <c r="B219" t="inlineStr">
        <is>
          <t>CHEM-1240</t>
        </is>
      </c>
      <c r="C219" t="n">
        <v>24.151831</v>
      </c>
      <c r="D219">
        <f>IFERROR(MATCH($A219,PP_Grid[Intermediate],0),99999)</f>
        <v/>
      </c>
    </row>
    <row r="220">
      <c r="A220" t="inlineStr">
        <is>
          <t>TSP-668</t>
        </is>
      </c>
      <c r="B220" t="inlineStr">
        <is>
          <t>CHEM-1250</t>
        </is>
      </c>
      <c r="C220" t="n">
        <v>19.289536</v>
      </c>
      <c r="D220">
        <f>IFERROR(MATCH($A220,PP_Grid[Intermediate],0),99999)</f>
        <v/>
      </c>
    </row>
    <row r="221">
      <c r="A221" t="inlineStr">
        <is>
          <t>TSP-668</t>
        </is>
      </c>
      <c r="B221" t="inlineStr">
        <is>
          <t>CHEM-1420</t>
        </is>
      </c>
      <c r="C221" t="n">
        <v>1.116261</v>
      </c>
      <c r="D221">
        <f>IFERROR(MATCH($A221,PP_Grid[Intermediate],0),99999)</f>
        <v/>
      </c>
    </row>
    <row r="222">
      <c r="A222" t="inlineStr">
        <is>
          <t>TSP-668</t>
        </is>
      </c>
      <c r="B222" t="inlineStr">
        <is>
          <t>CHEM-1440</t>
        </is>
      </c>
      <c r="C222" t="n">
        <v>1.902099</v>
      </c>
      <c r="D222">
        <f>IFERROR(MATCH($A222,PP_Grid[Intermediate],0),99999)</f>
        <v/>
      </c>
    </row>
    <row r="223">
      <c r="A223" t="inlineStr">
        <is>
          <t>TSP-669</t>
        </is>
      </c>
      <c r="B223" t="inlineStr">
        <is>
          <t>CHEM-1010</t>
        </is>
      </c>
      <c r="C223" t="n">
        <v>0.388761</v>
      </c>
      <c r="D223">
        <f>IFERROR(MATCH($A223,PP_Grid[Intermediate],0),99999)</f>
        <v/>
      </c>
    </row>
    <row r="224">
      <c r="A224" t="inlineStr">
        <is>
          <t>TSP-669</t>
        </is>
      </c>
      <c r="B224" t="inlineStr">
        <is>
          <t>CHEM-1240</t>
        </is>
      </c>
      <c r="C224" t="n">
        <v>22.435374</v>
      </c>
      <c r="D224">
        <f>IFERROR(MATCH($A224,PP_Grid[Intermediate],0),99999)</f>
        <v/>
      </c>
    </row>
    <row r="225">
      <c r="A225" t="inlineStr">
        <is>
          <t>TSP-669</t>
        </is>
      </c>
      <c r="B225" t="inlineStr">
        <is>
          <t>CHEM-1250</t>
        </is>
      </c>
      <c r="C225" t="n">
        <v>17.918655</v>
      </c>
      <c r="D225">
        <f>IFERROR(MATCH($A225,PP_Grid[Intermediate],0),99999)</f>
        <v/>
      </c>
    </row>
    <row r="226">
      <c r="A226" t="inlineStr">
        <is>
          <t>TSP-669</t>
        </is>
      </c>
      <c r="B226" t="inlineStr">
        <is>
          <t>CHEM-1420</t>
        </is>
      </c>
      <c r="C226" t="n">
        <v>1.154745</v>
      </c>
      <c r="D226">
        <f>IFERROR(MATCH($A226,PP_Grid[Intermediate],0),99999)</f>
        <v/>
      </c>
    </row>
    <row r="227">
      <c r="A227" t="inlineStr">
        <is>
          <t>TSP-669</t>
        </is>
      </c>
      <c r="B227" t="inlineStr">
        <is>
          <t>CHEM-1440</t>
        </is>
      </c>
      <c r="C227" t="n">
        <v>1.41327</v>
      </c>
      <c r="D227">
        <f>IFERROR(MATCH($A227,PP_Grid[Intermediate],0),99999)</f>
        <v/>
      </c>
    </row>
    <row r="228">
      <c r="A228" t="inlineStr">
        <is>
          <t>TSP-670</t>
        </is>
      </c>
      <c r="B228" t="inlineStr">
        <is>
          <t>CHEM-1010</t>
        </is>
      </c>
      <c r="C228" t="n">
        <v>0.288721</v>
      </c>
      <c r="D228">
        <f>IFERROR(MATCH($A228,PP_Grid[Intermediate],0),99999)</f>
        <v/>
      </c>
    </row>
    <row r="229">
      <c r="A229" t="inlineStr">
        <is>
          <t>TSP-670</t>
        </is>
      </c>
      <c r="B229" t="inlineStr">
        <is>
          <t>CHEM-1240</t>
        </is>
      </c>
      <c r="C229" t="n">
        <v>22.909854</v>
      </c>
      <c r="D229">
        <f>IFERROR(MATCH($A229,PP_Grid[Intermediate],0),99999)</f>
        <v/>
      </c>
    </row>
    <row r="230">
      <c r="A230" t="inlineStr">
        <is>
          <t>TSP-670</t>
        </is>
      </c>
      <c r="B230" t="inlineStr">
        <is>
          <t>CHEM-1250</t>
        </is>
      </c>
      <c r="C230" t="n">
        <v>18.297659</v>
      </c>
      <c r="D230">
        <f>IFERROR(MATCH($A230,PP_Grid[Intermediate],0),99999)</f>
        <v/>
      </c>
    </row>
    <row r="231">
      <c r="A231" t="inlineStr">
        <is>
          <t>TSP-670</t>
        </is>
      </c>
      <c r="B231" t="inlineStr">
        <is>
          <t>CHEM-1420</t>
        </is>
      </c>
      <c r="C231" t="n">
        <v>1.166814</v>
      </c>
      <c r="D231">
        <f>IFERROR(MATCH($A231,PP_Grid[Intermediate],0),99999)</f>
        <v/>
      </c>
    </row>
    <row r="232">
      <c r="A232" t="inlineStr">
        <is>
          <t>TSP-670</t>
        </is>
      </c>
      <c r="B232" t="inlineStr">
        <is>
          <t>CHEM-1440</t>
        </is>
      </c>
      <c r="C232" t="n">
        <v>1.443288</v>
      </c>
      <c r="D232">
        <f>IFERROR(MATCH($A232,PP_Grid[Intermediate],0),99999)</f>
        <v/>
      </c>
    </row>
    <row r="233">
      <c r="A233" t="inlineStr">
        <is>
          <t>TSP-710</t>
        </is>
      </c>
      <c r="B233" t="inlineStr">
        <is>
          <t>CHEM-1400</t>
        </is>
      </c>
      <c r="C233" t="n">
        <v>3.514668</v>
      </c>
      <c r="D233">
        <f>IFERROR(MATCH($A233,PP_Grid[Intermediate],0),99999)</f>
        <v/>
      </c>
    </row>
    <row r="234">
      <c r="A234" t="inlineStr">
        <is>
          <t>TSP-710</t>
        </is>
      </c>
      <c r="B234" t="inlineStr">
        <is>
          <t>CHEM-1420</t>
        </is>
      </c>
      <c r="C234" t="n">
        <v>0.333498</v>
      </c>
      <c r="D234">
        <f>IFERROR(MATCH($A234,PP_Grid[Intermediate],0),99999)</f>
        <v/>
      </c>
    </row>
    <row r="235">
      <c r="A235" t="inlineStr">
        <is>
          <t>TSP-710</t>
        </is>
      </c>
      <c r="B235" t="inlineStr">
        <is>
          <t>CHEM-1440</t>
        </is>
      </c>
      <c r="C235" t="n">
        <v>0.36081</v>
      </c>
      <c r="D235">
        <f>IFERROR(MATCH($A235,PP_Grid[Intermediate],0),99999)</f>
        <v/>
      </c>
    </row>
    <row r="236">
      <c r="A236" t="inlineStr">
        <is>
          <t>TSP-710</t>
        </is>
      </c>
      <c r="B236" t="inlineStr">
        <is>
          <t>CHEM-1510</t>
        </is>
      </c>
      <c r="C236" t="n">
        <v>4.334038</v>
      </c>
      <c r="D236">
        <f>IFERROR(MATCH($A236,PP_Grid[Intermediate],0),99999)</f>
        <v/>
      </c>
    </row>
    <row r="237">
      <c r="A237" t="inlineStr">
        <is>
          <t>TSP-710</t>
        </is>
      </c>
      <c r="B237" t="inlineStr">
        <is>
          <t>CHEM-1560</t>
        </is>
      </c>
      <c r="C237" t="n">
        <v>4.518037</v>
      </c>
      <c r="D237">
        <f>IFERROR(MATCH($A237,PP_Grid[Intermediate],0),99999)</f>
        <v/>
      </c>
    </row>
    <row r="238">
      <c r="A238" t="inlineStr">
        <is>
          <t>TSP-710</t>
        </is>
      </c>
      <c r="B238" t="inlineStr">
        <is>
          <t>CHEM-1580</t>
        </is>
      </c>
      <c r="C238" t="n">
        <v>20.119138</v>
      </c>
      <c r="D238">
        <f>IFERROR(MATCH($A238,PP_Grid[Intermediate],0),99999)</f>
        <v/>
      </c>
    </row>
    <row r="239">
      <c r="A239" t="inlineStr">
        <is>
          <t>TSP-828</t>
        </is>
      </c>
      <c r="B239" t="inlineStr">
        <is>
          <t>CHEM-1010</t>
        </is>
      </c>
      <c r="C239" t="n">
        <v>0.169867</v>
      </c>
      <c r="D239">
        <f>IFERROR(MATCH($A239,PP_Grid[Intermediate],0),99999)</f>
        <v/>
      </c>
    </row>
    <row r="240">
      <c r="A240" t="inlineStr">
        <is>
          <t>TSP-828</t>
        </is>
      </c>
      <c r="B240" t="inlineStr">
        <is>
          <t>CHEM-1400</t>
        </is>
      </c>
      <c r="C240" t="n">
        <v>3.060643</v>
      </c>
      <c r="D240">
        <f>IFERROR(MATCH($A240,PP_Grid[Intermediate],0),99999)</f>
        <v/>
      </c>
    </row>
    <row r="241">
      <c r="A241" t="inlineStr">
        <is>
          <t>TSP-828</t>
        </is>
      </c>
      <c r="B241" t="inlineStr">
        <is>
          <t>CHEM-1420</t>
        </is>
      </c>
      <c r="C241" t="n">
        <v>0.884738</v>
      </c>
      <c r="D241">
        <f>IFERROR(MATCH($A241,PP_Grid[Intermediate],0),99999)</f>
        <v/>
      </c>
    </row>
    <row r="242">
      <c r="A242" t="inlineStr">
        <is>
          <t>TSP-828</t>
        </is>
      </c>
      <c r="B242" t="inlineStr">
        <is>
          <t>CHEM-1440</t>
        </is>
      </c>
      <c r="C242" t="n">
        <v>0.695722</v>
      </c>
      <c r="D242">
        <f>IFERROR(MATCH($A242,PP_Grid[Intermediate],0),99999)</f>
        <v/>
      </c>
    </row>
    <row r="243">
      <c r="A243" t="inlineStr">
        <is>
          <t>TSP-828</t>
        </is>
      </c>
      <c r="B243" t="inlineStr">
        <is>
          <t>CHEM-1570</t>
        </is>
      </c>
      <c r="C243" t="n">
        <v>0.02396</v>
      </c>
      <c r="D243">
        <f>IFERROR(MATCH($A243,PP_Grid[Intermediate],0),99999)</f>
        <v/>
      </c>
    </row>
    <row r="244">
      <c r="A244" t="inlineStr">
        <is>
          <t>TSP-828</t>
        </is>
      </c>
      <c r="B244" t="inlineStr">
        <is>
          <t>CHEM-1600</t>
        </is>
      </c>
      <c r="C244" t="n">
        <v>3.61438</v>
      </c>
      <c r="D244">
        <f>IFERROR(MATCH($A244,PP_Grid[Intermediate],0),99999)</f>
        <v/>
      </c>
    </row>
    <row r="245">
      <c r="A245" t="inlineStr">
        <is>
          <t>TSP-903</t>
        </is>
      </c>
      <c r="B245" t="inlineStr">
        <is>
          <t>CHEM-1400</t>
        </is>
      </c>
      <c r="C245" t="n">
        <v>3.395908</v>
      </c>
      <c r="D245">
        <f>IFERROR(MATCH($A245,PP_Grid[Intermediate],0),99999)</f>
        <v/>
      </c>
    </row>
    <row r="246">
      <c r="A246" t="inlineStr">
        <is>
          <t>TSP-903</t>
        </is>
      </c>
      <c r="B246" t="inlineStr">
        <is>
          <t>CHEM-1420</t>
        </is>
      </c>
      <c r="C246" t="n">
        <v>0.540933</v>
      </c>
      <c r="D246">
        <f>IFERROR(MATCH($A246,PP_Grid[Intermediate],0),99999)</f>
        <v/>
      </c>
    </row>
    <row r="247">
      <c r="A247" t="inlineStr">
        <is>
          <t>TSP-903</t>
        </is>
      </c>
      <c r="B247" t="inlineStr">
        <is>
          <t>CHEM-1440</t>
        </is>
      </c>
      <c r="C247" t="n">
        <v>0.523832</v>
      </c>
      <c r="D247">
        <f>IFERROR(MATCH($A247,PP_Grid[Intermediate],0),99999)</f>
        <v/>
      </c>
    </row>
    <row r="248">
      <c r="A248" t="inlineStr">
        <is>
          <t>TSP-903</t>
        </is>
      </c>
      <c r="B248" t="inlineStr">
        <is>
          <t>CHEM-1530</t>
        </is>
      </c>
      <c r="C248" t="n">
        <v>13.287512</v>
      </c>
      <c r="D248">
        <f>IFERROR(MATCH($A248,PP_Grid[Intermediate],0),99999)</f>
        <v/>
      </c>
    </row>
    <row r="249">
      <c r="A249" t="inlineStr">
        <is>
          <t>TSP-903</t>
        </is>
      </c>
      <c r="B249" t="inlineStr">
        <is>
          <t>CHEM-1570</t>
        </is>
      </c>
      <c r="C249" t="n">
        <v>0.018001</v>
      </c>
      <c r="D249">
        <f>IFERROR(MATCH($A249,PP_Grid[Intermediate],0),99999)</f>
        <v/>
      </c>
    </row>
    <row r="250">
      <c r="A250" t="inlineStr">
        <is>
          <t>TSP-903</t>
        </is>
      </c>
      <c r="B250" t="inlineStr">
        <is>
          <t>CHEM-1650</t>
        </is>
      </c>
      <c r="C250" t="n">
        <v>0.036002</v>
      </c>
      <c r="D250">
        <f>IFERROR(MATCH($A250,PP_Grid[Intermediate],0),99999)</f>
        <v/>
      </c>
    </row>
    <row r="251">
      <c r="A251" t="inlineStr">
        <is>
          <t>TSP-903</t>
        </is>
      </c>
      <c r="B251" t="inlineStr">
        <is>
          <t>CHEM-1670</t>
        </is>
      </c>
      <c r="C251" t="n">
        <v>3.001683</v>
      </c>
      <c r="D251">
        <f>IFERROR(MATCH($A251,PP_Grid[Intermediate],0),99999)</f>
        <v/>
      </c>
    </row>
    <row r="252">
      <c r="A252" t="inlineStr">
        <is>
          <t>TSP-903</t>
        </is>
      </c>
      <c r="B252" t="inlineStr">
        <is>
          <t>CHEM-1690</t>
        </is>
      </c>
      <c r="C252" t="n">
        <v>8.734133999999999</v>
      </c>
      <c r="D252">
        <f>IFERROR(MATCH($A252,PP_Grid[Intermediate],0),99999)</f>
        <v/>
      </c>
    </row>
    <row r="253">
      <c r="A253" t="inlineStr">
        <is>
          <t>TSP-903</t>
        </is>
      </c>
      <c r="B253" t="inlineStr">
        <is>
          <t>CHEM-1770</t>
        </is>
      </c>
      <c r="C253" t="n">
        <v>43.716452</v>
      </c>
      <c r="D253">
        <f>IFERROR(MATCH($A253,PP_Grid[Intermediate],0),99999)</f>
        <v/>
      </c>
    </row>
    <row r="254">
      <c r="A254" t="inlineStr">
        <is>
          <t>TSP-903</t>
        </is>
      </c>
      <c r="B254" t="inlineStr">
        <is>
          <t>CHEM-1780</t>
        </is>
      </c>
      <c r="C254" t="n">
        <v>0.051303</v>
      </c>
      <c r="D254">
        <f>IFERROR(MATCH($A254,PP_Grid[Intermediate],0),99999)</f>
        <v/>
      </c>
    </row>
    <row r="255">
      <c r="A255" t="inlineStr">
        <is>
          <t>TSP-924</t>
        </is>
      </c>
      <c r="B255" t="inlineStr">
        <is>
          <t>CHEM-1420</t>
        </is>
      </c>
      <c r="C255" t="n">
        <v>0.860226</v>
      </c>
      <c r="D255">
        <f>IFERROR(MATCH($A255,PP_Grid[Intermediate],0),99999)</f>
        <v/>
      </c>
    </row>
    <row r="256">
      <c r="A256" t="inlineStr">
        <is>
          <t>TSP-924</t>
        </is>
      </c>
      <c r="B256" t="inlineStr">
        <is>
          <t>CHEM-1440</t>
        </is>
      </c>
      <c r="C256" t="n">
        <v>1.811469</v>
      </c>
      <c r="D256">
        <f>IFERROR(MATCH($A256,PP_Grid[Intermediate],0),99999)</f>
        <v/>
      </c>
    </row>
    <row r="257">
      <c r="A257" t="inlineStr">
        <is>
          <t>TSP-924</t>
        </is>
      </c>
      <c r="B257" t="inlineStr">
        <is>
          <t>CHEM-1510</t>
        </is>
      </c>
      <c r="C257" t="n">
        <v>0.441417</v>
      </c>
      <c r="D257">
        <f>IFERROR(MATCH($A257,PP_Grid[Intermediate],0),99999)</f>
        <v/>
      </c>
    </row>
    <row r="258">
      <c r="A258" t="inlineStr">
        <is>
          <t>TSP-924</t>
        </is>
      </c>
      <c r="B258" t="inlineStr">
        <is>
          <t>CHEM-1570</t>
        </is>
      </c>
      <c r="C258" t="n">
        <v>0.014724</v>
      </c>
      <c r="D258">
        <f>IFERROR(MATCH($A258,PP_Grid[Intermediate],0),99999)</f>
        <v/>
      </c>
    </row>
    <row r="259">
      <c r="A259" t="inlineStr">
        <is>
          <t>TSP-924</t>
        </is>
      </c>
      <c r="B259" t="inlineStr">
        <is>
          <t>CHEM-1600</t>
        </is>
      </c>
      <c r="C259" t="n">
        <v>15.039556</v>
      </c>
      <c r="D259">
        <f>IFERROR(MATCH($A259,PP_Grid[Intermediate],0),99999)</f>
        <v/>
      </c>
    </row>
    <row r="260">
      <c r="A260" t="inlineStr">
        <is>
          <t>TSP-924</t>
        </is>
      </c>
      <c r="B260" t="inlineStr">
        <is>
          <t>CHEM-1730</t>
        </is>
      </c>
      <c r="C260" t="n">
        <v>51.744442</v>
      </c>
      <c r="D260">
        <f>IFERROR(MATCH($A260,PP_Grid[Intermediate],0),99999)</f>
        <v/>
      </c>
    </row>
    <row r="261">
      <c r="A261" t="inlineStr">
        <is>
          <t>TSP-925</t>
        </is>
      </c>
      <c r="B261" t="inlineStr">
        <is>
          <t>CHEM-1420</t>
        </is>
      </c>
      <c r="C261" t="n">
        <v>0.866912</v>
      </c>
      <c r="D261">
        <f>IFERROR(MATCH($A261,PP_Grid[Intermediate],0),99999)</f>
        <v/>
      </c>
    </row>
    <row r="262">
      <c r="A262" t="inlineStr">
        <is>
          <t>TSP-925</t>
        </is>
      </c>
      <c r="B262" t="inlineStr">
        <is>
          <t>CHEM-1440</t>
        </is>
      </c>
      <c r="C262" t="n">
        <v>1.824845</v>
      </c>
      <c r="D262">
        <f>IFERROR(MATCH($A262,PP_Grid[Intermediate],0),99999)</f>
        <v/>
      </c>
    </row>
    <row r="263">
      <c r="A263" t="inlineStr">
        <is>
          <t>TSP-925</t>
        </is>
      </c>
      <c r="B263" t="inlineStr">
        <is>
          <t>CHEM-1510</t>
        </is>
      </c>
      <c r="C263" t="n">
        <v>0.444626</v>
      </c>
      <c r="D263">
        <f>IFERROR(MATCH($A263,PP_Grid[Intermediate],0),99999)</f>
        <v/>
      </c>
    </row>
    <row r="264">
      <c r="A264" t="inlineStr">
        <is>
          <t>TSP-925</t>
        </is>
      </c>
      <c r="B264" t="inlineStr">
        <is>
          <t>CHEM-1570</t>
        </is>
      </c>
      <c r="C264" t="n">
        <v>0.014831</v>
      </c>
      <c r="D264">
        <f>IFERROR(MATCH($A264,PP_Grid[Intermediate],0),99999)</f>
        <v/>
      </c>
    </row>
    <row r="265">
      <c r="A265" t="inlineStr">
        <is>
          <t>TSP-925</t>
        </is>
      </c>
      <c r="B265" t="inlineStr">
        <is>
          <t>CHEM-1600</t>
        </is>
      </c>
      <c r="C265" t="n">
        <v>15.14887</v>
      </c>
      <c r="D265">
        <f>IFERROR(MATCH($A265,PP_Grid[Intermediate],0),99999)</f>
        <v/>
      </c>
    </row>
    <row r="266">
      <c r="A266" t="inlineStr">
        <is>
          <t>TSP-925</t>
        </is>
      </c>
      <c r="B266" t="inlineStr">
        <is>
          <t>CHEM-1730</t>
        </is>
      </c>
      <c r="C266" t="n">
        <v>52.118193</v>
      </c>
      <c r="D266">
        <f>IFERROR(MATCH($A266,PP_Grid[Intermediate],0),99999)</f>
        <v/>
      </c>
    </row>
    <row r="267">
      <c r="A267" t="inlineStr">
        <is>
          <t>TSP-927</t>
        </is>
      </c>
      <c r="B267" t="inlineStr">
        <is>
          <t>CHEM-1420</t>
        </is>
      </c>
      <c r="C267" t="n">
        <v>0.3825</v>
      </c>
      <c r="D267">
        <f>IFERROR(MATCH($A267,PP_Grid[Intermediate],0),99999)</f>
        <v/>
      </c>
    </row>
    <row r="268">
      <c r="A268" t="inlineStr">
        <is>
          <t>TSP-927</t>
        </is>
      </c>
      <c r="B268" t="inlineStr">
        <is>
          <t>CHEM-1440</t>
        </is>
      </c>
      <c r="C268" t="n">
        <v>1.4433</v>
      </c>
      <c r="D268">
        <f>IFERROR(MATCH($A268,PP_Grid[Intermediate],0),99999)</f>
        <v/>
      </c>
    </row>
    <row r="269">
      <c r="A269" t="inlineStr">
        <is>
          <t>TSP-927</t>
        </is>
      </c>
      <c r="B269" t="inlineStr">
        <is>
          <t>CHEM-1540</t>
        </is>
      </c>
      <c r="C269" t="n">
        <v>64.69987500000001</v>
      </c>
      <c r="D269">
        <f>IFERROR(MATCH($A269,PP_Grid[Intermediate],0),99999)</f>
        <v/>
      </c>
    </row>
    <row r="270">
      <c r="A270" t="inlineStr">
        <is>
          <t>TSP-927</t>
        </is>
      </c>
      <c r="B270" t="inlineStr">
        <is>
          <t>CHEM-1680</t>
        </is>
      </c>
      <c r="C270" t="n">
        <v>26.254263</v>
      </c>
      <c r="D270">
        <f>IFERROR(MATCH($A270,PP_Grid[Intermediate],0),99999)</f>
        <v/>
      </c>
    </row>
    <row r="271">
      <c r="A271" t="inlineStr">
        <is>
          <t>TSP-927</t>
        </is>
      </c>
      <c r="B271" t="inlineStr">
        <is>
          <t>CHEM-1720</t>
        </is>
      </c>
      <c r="C271" t="n">
        <v>6.7983</v>
      </c>
      <c r="D271">
        <f>IFERROR(MATCH($A271,PP_Grid[Intermediate],0),99999)</f>
        <v/>
      </c>
    </row>
    <row r="272">
      <c r="A272" t="inlineStr">
        <is>
          <t>TSP-928</t>
        </is>
      </c>
      <c r="B272" t="inlineStr">
        <is>
          <t>CHEM-1420</t>
        </is>
      </c>
      <c r="C272" t="n">
        <v>0.377996</v>
      </c>
      <c r="D272">
        <f>IFERROR(MATCH($A272,PP_Grid[Intermediate],0),99999)</f>
        <v/>
      </c>
    </row>
    <row r="273">
      <c r="A273" t="inlineStr">
        <is>
          <t>TSP-928</t>
        </is>
      </c>
      <c r="B273" t="inlineStr">
        <is>
          <t>CHEM-1440</t>
        </is>
      </c>
      <c r="C273" t="n">
        <v>1.426304</v>
      </c>
      <c r="D273">
        <f>IFERROR(MATCH($A273,PP_Grid[Intermediate],0),99999)</f>
        <v/>
      </c>
    </row>
    <row r="274">
      <c r="A274" t="inlineStr">
        <is>
          <t>TSP-928</t>
        </is>
      </c>
      <c r="B274" t="inlineStr">
        <is>
          <t>CHEM-1540</t>
        </is>
      </c>
      <c r="C274" t="n">
        <v>63.959409</v>
      </c>
      <c r="D274">
        <f>IFERROR(MATCH($A274,PP_Grid[Intermediate],0),99999)</f>
        <v/>
      </c>
    </row>
    <row r="275">
      <c r="A275" t="inlineStr">
        <is>
          <t>TSP-928</t>
        </is>
      </c>
      <c r="B275" t="inlineStr">
        <is>
          <t>CHEM-1680</t>
        </is>
      </c>
      <c r="C275" t="n">
        <v>25.953272</v>
      </c>
      <c r="D275">
        <f>IFERROR(MATCH($A275,PP_Grid[Intermediate],0),99999)</f>
        <v/>
      </c>
    </row>
    <row r="276">
      <c r="A276" t="inlineStr">
        <is>
          <t>TSP-928</t>
        </is>
      </c>
      <c r="B276" t="inlineStr">
        <is>
          <t>CHEM-1720</t>
        </is>
      </c>
      <c r="C276" t="n">
        <v>6.719505</v>
      </c>
      <c r="D276">
        <f>IFERROR(MATCH($A276,PP_Grid[Intermediate],0),99999)</f>
        <v/>
      </c>
    </row>
    <row r="277">
      <c r="A277" t="inlineStr">
        <is>
          <t>TSP-929</t>
        </is>
      </c>
      <c r="B277" t="inlineStr">
        <is>
          <t>CHEM-1420</t>
        </is>
      </c>
      <c r="C277" t="n">
        <v>0.387</v>
      </c>
      <c r="D277">
        <f>IFERROR(MATCH($A277,PP_Grid[Intermediate],0),99999)</f>
        <v/>
      </c>
    </row>
    <row r="278">
      <c r="A278" t="inlineStr">
        <is>
          <t>TSP-929</t>
        </is>
      </c>
      <c r="B278" t="inlineStr">
        <is>
          <t>CHEM-1440</t>
        </is>
      </c>
      <c r="C278" t="n">
        <v>1.46157</v>
      </c>
      <c r="D278">
        <f>IFERROR(MATCH($A278,PP_Grid[Intermediate],0),99999)</f>
        <v/>
      </c>
    </row>
    <row r="279">
      <c r="A279" t="inlineStr">
        <is>
          <t>TSP-929</t>
        </is>
      </c>
      <c r="B279" t="inlineStr">
        <is>
          <t>CHEM-1540</t>
        </is>
      </c>
      <c r="C279" t="n">
        <v>65.51007</v>
      </c>
      <c r="D279">
        <f>IFERROR(MATCH($A279,PP_Grid[Intermediate],0),99999)</f>
        <v/>
      </c>
    </row>
    <row r="280">
      <c r="A280" t="inlineStr">
        <is>
          <t>TSP-929</t>
        </is>
      </c>
      <c r="B280" t="inlineStr">
        <is>
          <t>CHEM-1680</t>
        </is>
      </c>
      <c r="C280" t="n">
        <v>26.581916</v>
      </c>
      <c r="D280">
        <f>IFERROR(MATCH($A280,PP_Grid[Intermediate],0),99999)</f>
        <v/>
      </c>
    </row>
    <row r="281">
      <c r="A281" t="inlineStr">
        <is>
          <t>TSP-929</t>
        </is>
      </c>
      <c r="B281" t="inlineStr">
        <is>
          <t>CHEM-1720</t>
        </is>
      </c>
      <c r="C281" t="n">
        <v>6.88344</v>
      </c>
      <c r="D281">
        <f>IFERROR(MATCH($A281,PP_Grid[Intermediate],0),99999)</f>
        <v/>
      </c>
    </row>
    <row r="282">
      <c r="A282" t="inlineStr">
        <is>
          <t>TSP-930</t>
        </is>
      </c>
      <c r="B282" t="inlineStr">
        <is>
          <t>CHEM-1420</t>
        </is>
      </c>
      <c r="C282" t="n">
        <v>0.387</v>
      </c>
      <c r="D282">
        <f>IFERROR(MATCH($A282,PP_Grid[Intermediate],0),99999)</f>
        <v/>
      </c>
    </row>
    <row r="283">
      <c r="A283" t="inlineStr">
        <is>
          <t>TSP-930</t>
        </is>
      </c>
      <c r="B283" t="inlineStr">
        <is>
          <t>CHEM-1440</t>
        </is>
      </c>
      <c r="C283" t="n">
        <v>1.46157</v>
      </c>
      <c r="D283">
        <f>IFERROR(MATCH($A283,PP_Grid[Intermediate],0),99999)</f>
        <v/>
      </c>
    </row>
    <row r="284">
      <c r="A284" t="inlineStr">
        <is>
          <t>TSP-930</t>
        </is>
      </c>
      <c r="B284" t="inlineStr">
        <is>
          <t>CHEM-1540</t>
        </is>
      </c>
      <c r="C284" t="n">
        <v>65.52297</v>
      </c>
      <c r="D284">
        <f>IFERROR(MATCH($A284,PP_Grid[Intermediate],0),99999)</f>
        <v/>
      </c>
    </row>
    <row r="285">
      <c r="A285" t="inlineStr">
        <is>
          <t>TSP-930</t>
        </is>
      </c>
      <c r="B285" t="inlineStr">
        <is>
          <t>CHEM-1680</t>
        </is>
      </c>
      <c r="C285" t="n">
        <v>26.587318</v>
      </c>
      <c r="D285">
        <f>IFERROR(MATCH($A285,PP_Grid[Intermediate],0),99999)</f>
        <v/>
      </c>
    </row>
    <row r="286">
      <c r="A286" t="inlineStr">
        <is>
          <t>TSP-930</t>
        </is>
      </c>
      <c r="B286" t="inlineStr">
        <is>
          <t>CHEM-1720</t>
        </is>
      </c>
      <c r="C286" t="n">
        <v>6.88473</v>
      </c>
      <c r="D286">
        <f>IFERROR(MATCH($A286,PP_Grid[Intermediate],0),99999)</f>
        <v/>
      </c>
    </row>
    <row r="287">
      <c r="A287" t="inlineStr">
        <is>
          <t>TSP-934</t>
        </is>
      </c>
      <c r="B287" t="inlineStr">
        <is>
          <t>CHEM-1420</t>
        </is>
      </c>
      <c r="C287" t="n">
        <v>0.86913</v>
      </c>
      <c r="D287">
        <f>IFERROR(MATCH($A287,PP_Grid[Intermediate],0),99999)</f>
        <v/>
      </c>
    </row>
    <row r="288">
      <c r="A288" t="inlineStr">
        <is>
          <t>TSP-934</t>
        </is>
      </c>
      <c r="B288" t="inlineStr">
        <is>
          <t>CHEM-1440</t>
        </is>
      </c>
      <c r="C288" t="n">
        <v>1.64511</v>
      </c>
      <c r="D288">
        <f>IFERROR(MATCH($A288,PP_Grid[Intermediate],0),99999)</f>
        <v/>
      </c>
    </row>
    <row r="289">
      <c r="A289" t="inlineStr">
        <is>
          <t>TSP-934</t>
        </is>
      </c>
      <c r="B289" t="inlineStr">
        <is>
          <t>CHEM-1540</t>
        </is>
      </c>
      <c r="C289" t="n">
        <v>39.80502</v>
      </c>
      <c r="D289">
        <f>IFERROR(MATCH($A289,PP_Grid[Intermediate],0),99999)</f>
        <v/>
      </c>
    </row>
    <row r="290">
      <c r="A290" t="inlineStr">
        <is>
          <t>TSP-934</t>
        </is>
      </c>
      <c r="B290" t="inlineStr">
        <is>
          <t>CHEM-1570</t>
        </is>
      </c>
      <c r="C290" t="n">
        <v>0.08167199999999999</v>
      </c>
      <c r="D290">
        <f>IFERROR(MATCH($A290,PP_Grid[Intermediate],0),99999)</f>
        <v/>
      </c>
    </row>
    <row r="291">
      <c r="A291" t="inlineStr">
        <is>
          <t>TSP-934</t>
        </is>
      </c>
      <c r="B291" t="inlineStr">
        <is>
          <t>CHEM-1650</t>
        </is>
      </c>
      <c r="C291" t="n">
        <v>0.0324</v>
      </c>
      <c r="D291">
        <f>IFERROR(MATCH($A291,PP_Grid[Intermediate],0),99999)</f>
        <v/>
      </c>
    </row>
    <row r="292">
      <c r="A292" t="inlineStr">
        <is>
          <t>TSP-934</t>
        </is>
      </c>
      <c r="B292" t="inlineStr">
        <is>
          <t>CHEM-1680</t>
        </is>
      </c>
      <c r="C292" t="n">
        <v>17.767035</v>
      </c>
      <c r="D292">
        <f>IFERROR(MATCH($A292,PP_Grid[Intermediate],0),99999)</f>
        <v/>
      </c>
    </row>
    <row r="293">
      <c r="A293" t="inlineStr">
        <is>
          <t>TSP-934</t>
        </is>
      </c>
      <c r="B293" t="inlineStr">
        <is>
          <t>CHEM-1700</t>
        </is>
      </c>
      <c r="C293" t="n">
        <v>1.7253</v>
      </c>
      <c r="D293">
        <f>IFERROR(MATCH($A293,PP_Grid[Intermediate],0),99999)</f>
        <v/>
      </c>
    </row>
    <row r="294">
      <c r="A294" t="inlineStr">
        <is>
          <t>TSP-934</t>
        </is>
      </c>
      <c r="B294" t="inlineStr">
        <is>
          <t>CHEM-1720</t>
        </is>
      </c>
      <c r="C294" t="n">
        <v>6.27345</v>
      </c>
      <c r="D294">
        <f>IFERROR(MATCH($A294,PP_Grid[Intermediate],0),99999)</f>
        <v/>
      </c>
    </row>
    <row r="295">
      <c r="A295" t="inlineStr">
        <is>
          <t>TSP-935</t>
        </is>
      </c>
      <c r="B295" t="inlineStr">
        <is>
          <t>CHEM-1420</t>
        </is>
      </c>
      <c r="C295" t="n">
        <v>0.893747</v>
      </c>
      <c r="D295">
        <f>IFERROR(MATCH($A295,PP_Grid[Intermediate],0),99999)</f>
        <v/>
      </c>
    </row>
    <row r="296">
      <c r="A296" t="inlineStr">
        <is>
          <t>TSP-935</t>
        </is>
      </c>
      <c r="B296" t="inlineStr">
        <is>
          <t>CHEM-1440</t>
        </is>
      </c>
      <c r="C296" t="n">
        <v>1.706855</v>
      </c>
      <c r="D296">
        <f>IFERROR(MATCH($A296,PP_Grid[Intermediate],0),99999)</f>
        <v/>
      </c>
    </row>
    <row r="297">
      <c r="A297" t="inlineStr">
        <is>
          <t>TSP-935</t>
        </is>
      </c>
      <c r="B297" t="inlineStr">
        <is>
          <t>CHEM-1540</t>
        </is>
      </c>
      <c r="C297" t="n">
        <v>41.298825</v>
      </c>
      <c r="D297">
        <f>IFERROR(MATCH($A297,PP_Grid[Intermediate],0),99999)</f>
        <v/>
      </c>
    </row>
    <row r="298">
      <c r="A298" t="inlineStr">
        <is>
          <t>TSP-935</t>
        </is>
      </c>
      <c r="B298" t="inlineStr">
        <is>
          <t>CHEM-1570</t>
        </is>
      </c>
      <c r="C298" t="n">
        <v>0.08469699999999999</v>
      </c>
      <c r="D298">
        <f>IFERROR(MATCH($A298,PP_Grid[Intermediate],0),99999)</f>
        <v/>
      </c>
    </row>
    <row r="299">
      <c r="A299" t="inlineStr">
        <is>
          <t>TSP-935</t>
        </is>
      </c>
      <c r="B299" t="inlineStr">
        <is>
          <t>CHEM-1650</t>
        </is>
      </c>
      <c r="C299" t="n">
        <v>0.0336</v>
      </c>
      <c r="D299">
        <f>IFERROR(MATCH($A299,PP_Grid[Intermediate],0),99999)</f>
        <v/>
      </c>
    </row>
    <row r="300">
      <c r="A300" t="inlineStr">
        <is>
          <t>TSP-935</t>
        </is>
      </c>
      <c r="B300" t="inlineStr">
        <is>
          <t>CHEM-1680</t>
        </is>
      </c>
      <c r="C300" t="n">
        <v>18.433775</v>
      </c>
      <c r="D300">
        <f>IFERROR(MATCH($A300,PP_Grid[Intermediate],0),99999)</f>
        <v/>
      </c>
    </row>
    <row r="301">
      <c r="A301" t="inlineStr">
        <is>
          <t>TSP-935</t>
        </is>
      </c>
      <c r="B301" t="inlineStr">
        <is>
          <t>CHEM-1700</t>
        </is>
      </c>
      <c r="C301" t="n">
        <v>1.789173</v>
      </c>
      <c r="D301">
        <f>IFERROR(MATCH($A301,PP_Grid[Intermediate],0),99999)</f>
        <v/>
      </c>
    </row>
    <row r="302">
      <c r="A302" t="inlineStr">
        <is>
          <t>TSP-935</t>
        </is>
      </c>
      <c r="B302" t="inlineStr">
        <is>
          <t>CHEM-1720</t>
        </is>
      </c>
      <c r="C302" t="n">
        <v>6.508223</v>
      </c>
      <c r="D302">
        <f>IFERROR(MATCH($A302,PP_Grid[Intermediate],0),99999)</f>
        <v/>
      </c>
    </row>
    <row r="303">
      <c r="A303" t="inlineStr">
        <is>
          <t>TSP-936</t>
        </is>
      </c>
      <c r="B303" t="inlineStr">
        <is>
          <t>CHEM-1420</t>
        </is>
      </c>
      <c r="C303" t="n">
        <v>0.886875</v>
      </c>
      <c r="D303">
        <f>IFERROR(MATCH($A303,PP_Grid[Intermediate],0),99999)</f>
        <v/>
      </c>
    </row>
    <row r="304">
      <c r="A304" t="inlineStr">
        <is>
          <t>TSP-936</t>
        </is>
      </c>
      <c r="B304" t="inlineStr">
        <is>
          <t>CHEM-1440</t>
        </is>
      </c>
      <c r="C304" t="n">
        <v>1.677225</v>
      </c>
      <c r="D304">
        <f>IFERROR(MATCH($A304,PP_Grid[Intermediate],0),99999)</f>
        <v/>
      </c>
    </row>
    <row r="305">
      <c r="A305" t="inlineStr">
        <is>
          <t>TSP-936</t>
        </is>
      </c>
      <c r="B305" t="inlineStr">
        <is>
          <t>CHEM-1540</t>
        </is>
      </c>
      <c r="C305" t="n">
        <v>40.585875</v>
      </c>
      <c r="D305">
        <f>IFERROR(MATCH($A305,PP_Grid[Intermediate],0),99999)</f>
        <v/>
      </c>
    </row>
    <row r="306">
      <c r="A306" t="inlineStr">
        <is>
          <t>TSP-936</t>
        </is>
      </c>
      <c r="B306" t="inlineStr">
        <is>
          <t>CHEM-1570</t>
        </is>
      </c>
      <c r="C306" t="n">
        <v>0.083188</v>
      </c>
      <c r="D306">
        <f>IFERROR(MATCH($A306,PP_Grid[Intermediate],0),99999)</f>
        <v/>
      </c>
    </row>
    <row r="307">
      <c r="A307" t="inlineStr">
        <is>
          <t>TSP-936</t>
        </is>
      </c>
      <c r="B307" t="inlineStr">
        <is>
          <t>CHEM-1650</t>
        </is>
      </c>
      <c r="C307" t="n">
        <v>0.033</v>
      </c>
      <c r="D307">
        <f>IFERROR(MATCH($A307,PP_Grid[Intermediate],0),99999)</f>
        <v/>
      </c>
    </row>
    <row r="308">
      <c r="A308" t="inlineStr">
        <is>
          <t>TSP-936</t>
        </is>
      </c>
      <c r="B308" t="inlineStr">
        <is>
          <t>CHEM-1680</t>
        </is>
      </c>
      <c r="C308" t="n">
        <v>18.115059</v>
      </c>
      <c r="D308">
        <f>IFERROR(MATCH($A308,PP_Grid[Intermediate],0),99999)</f>
        <v/>
      </c>
    </row>
    <row r="309">
      <c r="A309" t="inlineStr">
        <is>
          <t>TSP-936</t>
        </is>
      </c>
      <c r="B309" t="inlineStr">
        <is>
          <t>CHEM-1700</t>
        </is>
      </c>
      <c r="C309" t="n">
        <v>1.75725</v>
      </c>
      <c r="D309">
        <f>IFERROR(MATCH($A309,PP_Grid[Intermediate],0),99999)</f>
        <v/>
      </c>
    </row>
    <row r="310">
      <c r="A310" t="inlineStr">
        <is>
          <t>TSP-936</t>
        </is>
      </c>
      <c r="B310" t="inlineStr">
        <is>
          <t>CHEM-1720</t>
        </is>
      </c>
      <c r="C310" t="n">
        <v>6.396225</v>
      </c>
      <c r="D310">
        <f>IFERROR(MATCH($A310,PP_Grid[Intermediate],0),99999)</f>
        <v/>
      </c>
    </row>
    <row r="311">
      <c r="A311" t="inlineStr">
        <is>
          <t>TSP-937</t>
        </is>
      </c>
      <c r="B311" t="inlineStr">
        <is>
          <t>CHEM-1420</t>
        </is>
      </c>
      <c r="C311" t="n">
        <v>0.878625</v>
      </c>
      <c r="D311">
        <f>IFERROR(MATCH($A311,PP_Grid[Intermediate],0),99999)</f>
        <v/>
      </c>
    </row>
    <row r="312">
      <c r="A312" t="inlineStr">
        <is>
          <t>TSP-937</t>
        </is>
      </c>
      <c r="B312" t="inlineStr">
        <is>
          <t>CHEM-1440</t>
        </is>
      </c>
      <c r="C312" t="n">
        <v>1.67805</v>
      </c>
      <c r="D312">
        <f>IFERROR(MATCH($A312,PP_Grid[Intermediate],0),99999)</f>
        <v/>
      </c>
    </row>
    <row r="313">
      <c r="A313" t="inlineStr">
        <is>
          <t>TSP-937</t>
        </is>
      </c>
      <c r="B313" t="inlineStr">
        <is>
          <t>CHEM-1540</t>
        </is>
      </c>
      <c r="C313" t="n">
        <v>40.597425</v>
      </c>
      <c r="D313">
        <f>IFERROR(MATCH($A313,PP_Grid[Intermediate],0),99999)</f>
        <v/>
      </c>
    </row>
    <row r="314">
      <c r="A314" t="inlineStr">
        <is>
          <t>TSP-937</t>
        </is>
      </c>
      <c r="B314" t="inlineStr">
        <is>
          <t>CHEM-1570</t>
        </is>
      </c>
      <c r="C314" t="n">
        <v>0.083189</v>
      </c>
      <c r="D314">
        <f>IFERROR(MATCH($A314,PP_Grid[Intermediate],0),99999)</f>
        <v/>
      </c>
    </row>
    <row r="315">
      <c r="A315" t="inlineStr">
        <is>
          <t>TSP-937</t>
        </is>
      </c>
      <c r="B315" t="inlineStr">
        <is>
          <t>CHEM-1650</t>
        </is>
      </c>
      <c r="C315" t="n">
        <v>0.033</v>
      </c>
      <c r="D315">
        <f>IFERROR(MATCH($A315,PP_Grid[Intermediate],0),99999)</f>
        <v/>
      </c>
    </row>
    <row r="316">
      <c r="A316" t="inlineStr">
        <is>
          <t>TSP-937</t>
        </is>
      </c>
      <c r="B316" t="inlineStr">
        <is>
          <t>CHEM-1680</t>
        </is>
      </c>
      <c r="C316" t="n">
        <v>18.120923</v>
      </c>
      <c r="D316">
        <f>IFERROR(MATCH($A316,PP_Grid[Intermediate],0),99999)</f>
        <v/>
      </c>
    </row>
    <row r="317">
      <c r="A317" t="inlineStr">
        <is>
          <t>TSP-937</t>
        </is>
      </c>
      <c r="B317" t="inlineStr">
        <is>
          <t>CHEM-1700</t>
        </is>
      </c>
      <c r="C317" t="n">
        <v>1.75725</v>
      </c>
      <c r="D317">
        <f>IFERROR(MATCH($A317,PP_Grid[Intermediate],0),99999)</f>
        <v/>
      </c>
    </row>
    <row r="318">
      <c r="A318" t="inlineStr">
        <is>
          <t>TSP-937</t>
        </is>
      </c>
      <c r="B318" t="inlineStr">
        <is>
          <t>CHEM-1720</t>
        </is>
      </c>
      <c r="C318" t="n">
        <v>6.397875</v>
      </c>
      <c r="D318">
        <f>IFERROR(MATCH($A318,PP_Grid[Intermediate],0),99999)</f>
        <v/>
      </c>
    </row>
    <row r="319">
      <c r="A319" t="inlineStr">
        <is>
          <t>TSP-959</t>
        </is>
      </c>
      <c r="B319" t="inlineStr">
        <is>
          <t>CHEM-1400</t>
        </is>
      </c>
      <c r="C319" t="n">
        <v>3.140787</v>
      </c>
      <c r="D319">
        <f>IFERROR(MATCH($A319,PP_Grid[Intermediate],0),99999)</f>
        <v/>
      </c>
    </row>
    <row r="320">
      <c r="A320" t="inlineStr">
        <is>
          <t>TSP-959</t>
        </is>
      </c>
      <c r="B320" t="inlineStr">
        <is>
          <t>CHEM-1420</t>
        </is>
      </c>
      <c r="C320" t="n">
        <v>0.469444</v>
      </c>
      <c r="D320">
        <f>IFERROR(MATCH($A320,PP_Grid[Intermediate],0),99999)</f>
        <v/>
      </c>
    </row>
    <row r="321">
      <c r="A321" t="inlineStr">
        <is>
          <t>TSP-959</t>
        </is>
      </c>
      <c r="B321" t="inlineStr">
        <is>
          <t>CHEM-1530</t>
        </is>
      </c>
      <c r="C321" t="n">
        <v>57.764518</v>
      </c>
      <c r="D321">
        <f>IFERROR(MATCH($A321,PP_Grid[Intermediate],0),99999)</f>
        <v/>
      </c>
    </row>
    <row r="322">
      <c r="A322" t="inlineStr">
        <is>
          <t>TSP-959</t>
        </is>
      </c>
      <c r="B322" t="inlineStr">
        <is>
          <t>CHEM-1570</t>
        </is>
      </c>
      <c r="C322" t="n">
        <v>0.040821</v>
      </c>
      <c r="D322">
        <f>IFERROR(MATCH($A322,PP_Grid[Intermediate],0),99999)</f>
        <v/>
      </c>
    </row>
    <row r="323">
      <c r="A323" t="inlineStr">
        <is>
          <t>TSP-959</t>
        </is>
      </c>
      <c r="B323" t="inlineStr">
        <is>
          <t>CHEM-1650</t>
        </is>
      </c>
      <c r="C323" t="n">
        <v>0.032657</v>
      </c>
      <c r="D323">
        <f>IFERROR(MATCH($A323,PP_Grid[Intermediate],0),99999)</f>
        <v/>
      </c>
    </row>
    <row r="324">
      <c r="A324" t="inlineStr">
        <is>
          <t>TSP-966</t>
        </is>
      </c>
      <c r="B324" t="inlineStr">
        <is>
          <t>CHEM-1250</t>
        </is>
      </c>
      <c r="C324" t="n">
        <v>3.54192</v>
      </c>
      <c r="D324">
        <f>IFERROR(MATCH($A324,PP_Grid[Intermediate],0),99999)</f>
        <v/>
      </c>
    </row>
    <row r="325">
      <c r="A325" t="inlineStr">
        <is>
          <t>TSP-966</t>
        </is>
      </c>
      <c r="B325" t="inlineStr">
        <is>
          <t>CHEM-1400</t>
        </is>
      </c>
      <c r="C325" t="n">
        <v>1.81248</v>
      </c>
      <c r="D325">
        <f>IFERROR(MATCH($A325,PP_Grid[Intermediate],0),99999)</f>
        <v/>
      </c>
    </row>
    <row r="326">
      <c r="A326" t="inlineStr">
        <is>
          <t>TSP-966</t>
        </is>
      </c>
      <c r="B326" t="inlineStr">
        <is>
          <t>CHEM-1420</t>
        </is>
      </c>
      <c r="C326" t="n">
        <v>0.5476799999999999</v>
      </c>
      <c r="D326">
        <f>IFERROR(MATCH($A326,PP_Grid[Intermediate],0),99999)</f>
        <v/>
      </c>
    </row>
    <row r="327">
      <c r="A327" t="inlineStr">
        <is>
          <t>TSP-966</t>
        </is>
      </c>
      <c r="B327" t="inlineStr">
        <is>
          <t>CHEM-1570</t>
        </is>
      </c>
      <c r="C327" t="n">
        <v>0.024</v>
      </c>
      <c r="D327">
        <f>IFERROR(MATCH($A327,PP_Grid[Intermediate],0),99999)</f>
        <v/>
      </c>
    </row>
    <row r="328">
      <c r="A328" t="inlineStr">
        <is>
          <t>TSP-966</t>
        </is>
      </c>
      <c r="B328" t="inlineStr">
        <is>
          <t>CHEM-1690</t>
        </is>
      </c>
      <c r="C328" t="n">
        <v>4.89456</v>
      </c>
      <c r="D328">
        <f>IFERROR(MATCH($A328,PP_Grid[Intermediate],0),99999)</f>
        <v/>
      </c>
    </row>
    <row r="329">
      <c r="A329" t="inlineStr">
        <is>
          <t>TSZ-616</t>
        </is>
      </c>
      <c r="B329" t="inlineStr">
        <is>
          <t>CHEM-1510</t>
        </is>
      </c>
      <c r="C329" t="n">
        <v>1.1992</v>
      </c>
      <c r="D329">
        <f>IFERROR(MATCH($A329,PP_Grid[Intermediate],0),99999)</f>
        <v/>
      </c>
    </row>
    <row r="330">
      <c r="A330" t="inlineStr">
        <is>
          <t>TSZ-616</t>
        </is>
      </c>
      <c r="B330" t="inlineStr">
        <is>
          <t>CHEM-1570</t>
        </is>
      </c>
      <c r="C330" t="n">
        <v>0.04</v>
      </c>
      <c r="D330">
        <f>IFERROR(MATCH($A330,PP_Grid[Intermediate],0),99999)</f>
        <v/>
      </c>
    </row>
    <row r="331">
      <c r="A331" t="inlineStr">
        <is>
          <t>TSZ-616</t>
        </is>
      </c>
      <c r="B331" t="inlineStr">
        <is>
          <t>CHEM-1600</t>
        </is>
      </c>
      <c r="C331" t="n">
        <v>40.858</v>
      </c>
      <c r="D331">
        <f>IFERROR(MATCH($A331,PP_Grid[Intermediate],0),99999)</f>
        <v/>
      </c>
    </row>
    <row r="332">
      <c r="A332" t="inlineStr">
        <is>
          <t>TSZ-938</t>
        </is>
      </c>
      <c r="B332" t="inlineStr">
        <is>
          <t>CHEM-1570</t>
        </is>
      </c>
      <c r="C332" t="n">
        <v>0.0117</v>
      </c>
      <c r="D332">
        <f>IFERROR(MATCH($A332,PP_Grid[Intermediate],0),99999)</f>
        <v/>
      </c>
    </row>
    <row r="333">
      <c r="A333" t="inlineStr">
        <is>
          <t>TVS-267</t>
        </is>
      </c>
      <c r="B333" t="inlineStr">
        <is>
          <t>CHEM-1420</t>
        </is>
      </c>
      <c r="C333" t="n">
        <v>2.85088</v>
      </c>
      <c r="D333">
        <f>IFERROR(MATCH($A333,PP_Grid[Intermediate],0),99999)</f>
        <v/>
      </c>
    </row>
    <row r="334">
      <c r="A334" t="inlineStr">
        <is>
          <t>TVS-267</t>
        </is>
      </c>
      <c r="B334" t="inlineStr">
        <is>
          <t>CHEM-1570</t>
        </is>
      </c>
      <c r="C334" t="n">
        <v>0.09664</v>
      </c>
      <c r="D334">
        <f>IFERROR(MATCH($A334,PP_Grid[Intermediate],0),99999)</f>
        <v/>
      </c>
    </row>
    <row r="335">
      <c r="A335" t="inlineStr">
        <is>
          <t>TVS-267</t>
        </is>
      </c>
      <c r="B335" t="inlineStr">
        <is>
          <t>CHEM-1760</t>
        </is>
      </c>
      <c r="C335" t="n">
        <v>0.1963</v>
      </c>
      <c r="D335">
        <f>IFERROR(MATCH($A335,PP_Grid[Intermediate],0),99999)</f>
        <v/>
      </c>
    </row>
    <row r="336">
      <c r="A336" t="inlineStr">
        <is>
          <t>TVS-500</t>
        </is>
      </c>
      <c r="B336" t="inlineStr">
        <is>
          <t>CHEM-1420</t>
        </is>
      </c>
      <c r="C336" t="n">
        <v>2.86335</v>
      </c>
      <c r="D336">
        <f>IFERROR(MATCH($A336,PP_Grid[Intermediate],0),99999)</f>
        <v/>
      </c>
    </row>
    <row r="337">
      <c r="A337" t="inlineStr">
        <is>
          <t>TVS-500</t>
        </is>
      </c>
      <c r="B337" t="inlineStr">
        <is>
          <t>CHEM-1570</t>
        </is>
      </c>
      <c r="C337" t="n">
        <v>0.09999</v>
      </c>
      <c r="D337">
        <f>IFERROR(MATCH($A337,PP_Grid[Intermediate],0),99999)</f>
        <v/>
      </c>
    </row>
    <row r="338">
      <c r="A338" t="inlineStr">
        <is>
          <t>TVS-500</t>
        </is>
      </c>
      <c r="B338" t="inlineStr">
        <is>
          <t>CHEM-1760</t>
        </is>
      </c>
      <c r="C338" t="n">
        <v>0.18483</v>
      </c>
      <c r="D338">
        <f>IFERROR(MATCH($A338,PP_Grid[Intermediate],0),99999)</f>
        <v/>
      </c>
    </row>
    <row r="339">
      <c r="A339" t="inlineStr">
        <is>
          <t>TVS-664</t>
        </is>
      </c>
      <c r="B339" t="inlineStr">
        <is>
          <t>CHEM-1420</t>
        </is>
      </c>
      <c r="C339" t="n">
        <v>0.03876</v>
      </c>
      <c r="D339">
        <f>IFERROR(MATCH($A339,PP_Grid[Intermediate],0),99999)</f>
        <v/>
      </c>
    </row>
    <row r="340">
      <c r="A340" t="inlineStr">
        <is>
          <t>TVS-664</t>
        </is>
      </c>
      <c r="B340" t="inlineStr">
        <is>
          <t>CHEM-1570</t>
        </is>
      </c>
      <c r="C340" t="n">
        <v>0.01615</v>
      </c>
      <c r="D340">
        <f>IFERROR(MATCH($A340,PP_Grid[Intermediate],0),99999)</f>
        <v/>
      </c>
    </row>
    <row r="341">
      <c r="A341" t="inlineStr">
        <is>
          <t>TVS-664</t>
        </is>
      </c>
      <c r="B341" t="inlineStr">
        <is>
          <t>CHEM-1760</t>
        </is>
      </c>
      <c r="C341" t="n">
        <v>0.01615</v>
      </c>
      <c r="D341">
        <f>IFERROR(MATCH($A341,PP_Grid[Intermediate],0),99999)</f>
        <v/>
      </c>
    </row>
    <row r="342">
      <c r="A342" t="inlineStr">
        <is>
          <t>TVS-833</t>
        </is>
      </c>
      <c r="B342" t="inlineStr">
        <is>
          <t>CHEM-1420</t>
        </is>
      </c>
      <c r="C342" t="n">
        <v>2.856</v>
      </c>
      <c r="D342">
        <f>IFERROR(MATCH($A342,PP_Grid[Intermediate],0),99999)</f>
        <v/>
      </c>
    </row>
    <row r="343">
      <c r="A343" t="inlineStr">
        <is>
          <t>TVS-833</t>
        </is>
      </c>
      <c r="B343" t="inlineStr">
        <is>
          <t>CHEM-1570</t>
        </is>
      </c>
      <c r="C343" t="n">
        <v>0.09</v>
      </c>
      <c r="D343">
        <f>IFERROR(MATCH($A343,PP_Grid[Intermediate],0),99999)</f>
        <v/>
      </c>
    </row>
    <row r="344">
      <c r="A344" t="inlineStr">
        <is>
          <t>TVS-833</t>
        </is>
      </c>
      <c r="B344" t="inlineStr">
        <is>
          <t>CHEM-1760</t>
        </is>
      </c>
      <c r="C344" t="n">
        <v>0.183</v>
      </c>
      <c r="D344">
        <f>IFERROR(MATCH($A344,PP_Grid[Intermediate],0),99999)</f>
        <v/>
      </c>
    </row>
    <row r="345">
      <c r="A345" t="inlineStr">
        <is>
          <t>VSP-600</t>
        </is>
      </c>
      <c r="B345" t="inlineStr">
        <is>
          <t>CHEM-1400</t>
        </is>
      </c>
      <c r="C345" t="n">
        <v>5.89792</v>
      </c>
      <c r="D345">
        <f>IFERROR(MATCH($A345,PP_Grid[Intermediate],0),99999)</f>
        <v/>
      </c>
    </row>
    <row r="346">
      <c r="A346" t="inlineStr">
        <is>
          <t>VSP-600</t>
        </is>
      </c>
      <c r="B346" t="inlineStr">
        <is>
          <t>CHEM-1420</t>
        </is>
      </c>
      <c r="C346" t="n">
        <v>0.73136</v>
      </c>
      <c r="D346">
        <f>IFERROR(MATCH($A346,PP_Grid[Intermediate],0),99999)</f>
        <v/>
      </c>
    </row>
    <row r="347">
      <c r="A347" t="inlineStr">
        <is>
          <t>VSP-600</t>
        </is>
      </c>
      <c r="B347" t="inlineStr">
        <is>
          <t>CHEM-1440</t>
        </is>
      </c>
      <c r="C347" t="n">
        <v>0.50064</v>
      </c>
      <c r="D347">
        <f>IFERROR(MATCH($A347,PP_Grid[Intermediate],0),99999)</f>
        <v/>
      </c>
    </row>
    <row r="348">
      <c r="A348" t="inlineStr">
        <is>
          <t>VSP-600</t>
        </is>
      </c>
      <c r="B348" t="inlineStr">
        <is>
          <t>CHEM-1600</t>
        </is>
      </c>
      <c r="C348" t="n">
        <v>16.78208</v>
      </c>
      <c r="D348">
        <f>IFERROR(MATCH($A348,PP_Grid[Intermediate],0),99999)</f>
        <v/>
      </c>
    </row>
    <row r="349">
      <c r="A349" t="inlineStr">
        <is>
          <t>VSP-600</t>
        </is>
      </c>
      <c r="B349" t="inlineStr">
        <is>
          <t>CHEM-1650</t>
        </is>
      </c>
      <c r="C349" t="n">
        <v>0.0448</v>
      </c>
      <c r="D349">
        <f>IFERROR(MATCH($A349,PP_Grid[Intermediate],0),99999)</f>
        <v/>
      </c>
    </row>
    <row r="350">
      <c r="A350" t="inlineStr">
        <is>
          <t>VSP-601</t>
        </is>
      </c>
      <c r="B350" t="inlineStr">
        <is>
          <t>CHEM-1400</t>
        </is>
      </c>
      <c r="C350" t="n">
        <v>5.891952</v>
      </c>
      <c r="D350">
        <f>IFERROR(MATCH($A350,PP_Grid[Intermediate],0),99999)</f>
        <v/>
      </c>
    </row>
    <row r="351">
      <c r="A351" t="inlineStr">
        <is>
          <t>VSP-601</t>
        </is>
      </c>
      <c r="B351" t="inlineStr">
        <is>
          <t>CHEM-1420</t>
        </is>
      </c>
      <c r="C351" t="n">
        <v>0.631468</v>
      </c>
      <c r="D351">
        <f>IFERROR(MATCH($A351,PP_Grid[Intermediate],0),99999)</f>
        <v/>
      </c>
    </row>
    <row r="352">
      <c r="A352" t="inlineStr">
        <is>
          <t>VSP-601</t>
        </is>
      </c>
      <c r="B352" t="inlineStr">
        <is>
          <t>CHEM-1600</t>
        </is>
      </c>
      <c r="C352" t="n">
        <v>16.764319</v>
      </c>
      <c r="D352">
        <f>IFERROR(MATCH($A352,PP_Grid[Intermediate],0),99999)</f>
        <v/>
      </c>
    </row>
    <row r="353">
      <c r="A353" t="inlineStr">
        <is>
          <t>VSP-602</t>
        </is>
      </c>
      <c r="B353" t="inlineStr">
        <is>
          <t>CHEM-1400</t>
        </is>
      </c>
      <c r="C353" t="n">
        <v>8.841888000000001</v>
      </c>
      <c r="D353">
        <f>IFERROR(MATCH($A353,PP_Grid[Intermediate],0),99999)</f>
        <v/>
      </c>
    </row>
    <row r="354">
      <c r="A354" t="inlineStr">
        <is>
          <t>VSP-602</t>
        </is>
      </c>
      <c r="B354" t="inlineStr">
        <is>
          <t>CHEM-1420</t>
        </is>
      </c>
      <c r="C354" t="n">
        <v>1.722336</v>
      </c>
      <c r="D354">
        <f>IFERROR(MATCH($A354,PP_Grid[Intermediate],0),99999)</f>
        <v/>
      </c>
    </row>
    <row r="355">
      <c r="A355" t="inlineStr">
        <is>
          <t>VSP-602</t>
        </is>
      </c>
      <c r="B355" t="inlineStr">
        <is>
          <t>CHEM-1440</t>
        </is>
      </c>
      <c r="C355" t="n">
        <v>1.231296</v>
      </c>
      <c r="D355">
        <f>IFERROR(MATCH($A355,PP_Grid[Intermediate],0),99999)</f>
        <v/>
      </c>
    </row>
    <row r="356">
      <c r="A356" t="inlineStr">
        <is>
          <t>VSP-602</t>
        </is>
      </c>
      <c r="B356" t="inlineStr">
        <is>
          <t>CHEM-1530</t>
        </is>
      </c>
      <c r="C356" t="n">
        <v>50.014272</v>
      </c>
      <c r="D356">
        <f>IFERROR(MATCH($A356,PP_Grid[Intermediate],0),99999)</f>
        <v/>
      </c>
    </row>
    <row r="357">
      <c r="A357" t="inlineStr">
        <is>
          <t>VSP-820</t>
        </is>
      </c>
      <c r="B357" t="inlineStr">
        <is>
          <t>CHEM-1400</t>
        </is>
      </c>
      <c r="C357" t="n">
        <v>3.532165</v>
      </c>
      <c r="D357">
        <f>IFERROR(MATCH($A357,PP_Grid[Intermediate],0),99999)</f>
        <v/>
      </c>
    </row>
    <row r="358">
      <c r="A358" t="inlineStr">
        <is>
          <t>VSP-820</t>
        </is>
      </c>
      <c r="B358" t="inlineStr">
        <is>
          <t>CHEM-1420</t>
        </is>
      </c>
      <c r="C358" t="n">
        <v>0.6100640000000001</v>
      </c>
      <c r="D358">
        <f>IFERROR(MATCH($A358,PP_Grid[Intermediate],0),99999)</f>
        <v/>
      </c>
    </row>
    <row r="359">
      <c r="A359" t="inlineStr">
        <is>
          <t>VSP-820</t>
        </is>
      </c>
      <c r="B359" t="inlineStr">
        <is>
          <t>CHEM-1510</t>
        </is>
      </c>
      <c r="C359" t="n">
        <v>6.788991</v>
      </c>
      <c r="D359">
        <f>IFERROR(MATCH($A359,PP_Grid[Intermediate],0),99999)</f>
        <v/>
      </c>
    </row>
    <row r="360">
      <c r="A360" t="inlineStr">
        <is>
          <t>VSP-820</t>
        </is>
      </c>
      <c r="B360" t="inlineStr">
        <is>
          <t>CHEM-1570</t>
        </is>
      </c>
      <c r="C360" t="n">
        <v>0.137669</v>
      </c>
      <c r="D360">
        <f>IFERROR(MATCH($A360,PP_Grid[Intermediate],0),99999)</f>
        <v/>
      </c>
    </row>
    <row r="361">
      <c r="A361" t="inlineStr">
        <is>
          <t>VSP-820</t>
        </is>
      </c>
      <c r="B361" t="inlineStr">
        <is>
          <t>CHEM-1600</t>
        </is>
      </c>
      <c r="C361" t="n">
        <v>20.102432</v>
      </c>
      <c r="D361">
        <f>IFERROR(MATCH($A361,PP_Grid[Intermediate],0),99999)</f>
        <v/>
      </c>
    </row>
    <row r="362">
      <c r="A362" t="inlineStr">
        <is>
          <t>VSP-820</t>
        </is>
      </c>
      <c r="B362" t="inlineStr">
        <is>
          <t>CHEM-1660</t>
        </is>
      </c>
      <c r="C362" t="n">
        <v>1.378044</v>
      </c>
      <c r="D362">
        <f>IFERROR(MATCH($A362,PP_Grid[Intermediate],0),99999)</f>
        <v/>
      </c>
    </row>
    <row r="363">
      <c r="A363" t="inlineStr">
        <is>
          <t>VSP-822</t>
        </is>
      </c>
      <c r="B363" t="inlineStr">
        <is>
          <t>CHEM-1400</t>
        </is>
      </c>
      <c r="C363" t="n">
        <v>4.920597</v>
      </c>
      <c r="D363">
        <f>IFERROR(MATCH($A363,PP_Grid[Intermediate],0),99999)</f>
        <v/>
      </c>
    </row>
    <row r="364">
      <c r="A364" t="inlineStr">
        <is>
          <t>VSP-822</t>
        </is>
      </c>
      <c r="B364" t="inlineStr">
        <is>
          <t>CHEM-1420</t>
        </is>
      </c>
      <c r="C364" t="n">
        <v>1.507374</v>
      </c>
      <c r="D364">
        <f>IFERROR(MATCH($A364,PP_Grid[Intermediate],0),99999)</f>
        <v/>
      </c>
    </row>
    <row r="365">
      <c r="A365" t="inlineStr">
        <is>
          <t>VSP-822</t>
        </is>
      </c>
      <c r="B365" t="inlineStr">
        <is>
          <t>CHEM-1440</t>
        </is>
      </c>
      <c r="C365" t="n">
        <v>1.234134</v>
      </c>
      <c r="D365">
        <f>IFERROR(MATCH($A365,PP_Grid[Intermediate],0),99999)</f>
        <v/>
      </c>
    </row>
    <row r="366">
      <c r="A366" t="inlineStr">
        <is>
          <t>VSP-822</t>
        </is>
      </c>
      <c r="B366" t="inlineStr">
        <is>
          <t>CHEM-1530</t>
        </is>
      </c>
      <c r="C366" t="n">
        <v>55.668096</v>
      </c>
      <c r="D366">
        <f>IFERROR(MATCH($A366,PP_Grid[Intermediate],0),99999)</f>
        <v/>
      </c>
    </row>
    <row r="367">
      <c r="A367" t="inlineStr">
        <is>
          <t>VSP-822</t>
        </is>
      </c>
      <c r="B367" t="inlineStr">
        <is>
          <t>CHEM-1570</t>
        </is>
      </c>
      <c r="C367" t="n">
        <v>0.109296</v>
      </c>
      <c r="D367">
        <f>IFERROR(MATCH($A367,PP_Grid[Intermediate],0),99999)</f>
        <v/>
      </c>
    </row>
    <row r="368">
      <c r="A368" t="inlineStr">
        <is>
          <t>VSP-822</t>
        </is>
      </c>
      <c r="B368" t="inlineStr">
        <is>
          <t>CHEM-1650</t>
        </is>
      </c>
      <c r="C368" t="n">
        <v>0.059202</v>
      </c>
      <c r="D368">
        <f>IFERROR(MATCH($A368,PP_Grid[Intermediate],0),99999)</f>
        <v/>
      </c>
    </row>
    <row r="369">
      <c r="A369" t="inlineStr">
        <is>
          <t>VSP-822</t>
        </is>
      </c>
      <c r="B369" t="inlineStr">
        <is>
          <t>CHEM-1660</t>
        </is>
      </c>
      <c r="C369" t="n">
        <v>1.096375</v>
      </c>
      <c r="D369">
        <f>IFERROR(MATCH($A369,PP_Grid[Intermediate],0),99999)</f>
        <v/>
      </c>
    </row>
    <row r="370">
      <c r="A370" t="inlineStr">
        <is>
          <t>VSP-910</t>
        </is>
      </c>
      <c r="B370" t="inlineStr">
        <is>
          <t>CHEM-1400</t>
        </is>
      </c>
      <c r="C370" t="n">
        <v>3.9474</v>
      </c>
      <c r="D370">
        <f>IFERROR(MATCH($A370,PP_Grid[Intermediate],0),99999)</f>
        <v/>
      </c>
    </row>
    <row r="371">
      <c r="A371" t="inlineStr">
        <is>
          <t>VSP-910</t>
        </is>
      </c>
      <c r="B371" t="inlineStr">
        <is>
          <t>CHEM-1420</t>
        </is>
      </c>
      <c r="C371" t="n">
        <v>1.429326</v>
      </c>
      <c r="D371">
        <f>IFERROR(MATCH($A371,PP_Grid[Intermediate],0),99999)</f>
        <v/>
      </c>
    </row>
    <row r="372">
      <c r="A372" t="inlineStr">
        <is>
          <t>VSP-910</t>
        </is>
      </c>
      <c r="B372" t="inlineStr">
        <is>
          <t>CHEM-1440</t>
        </is>
      </c>
      <c r="C372" t="n">
        <v>1.011636</v>
      </c>
      <c r="D372">
        <f>IFERROR(MATCH($A372,PP_Grid[Intermediate],0),99999)</f>
        <v/>
      </c>
    </row>
    <row r="373">
      <c r="A373" t="inlineStr">
        <is>
          <t>VSP-910</t>
        </is>
      </c>
      <c r="B373" t="inlineStr">
        <is>
          <t>CHEM-1530</t>
        </is>
      </c>
      <c r="C373" t="n">
        <v>44.65611</v>
      </c>
      <c r="D373">
        <f>IFERROR(MATCH($A373,PP_Grid[Intermediate],0),99999)</f>
        <v/>
      </c>
    </row>
    <row r="374">
      <c r="A374" t="inlineStr">
        <is>
          <t>VSP-910</t>
        </is>
      </c>
      <c r="B374" t="inlineStr">
        <is>
          <t>CHEM-1570</t>
        </is>
      </c>
      <c r="C374" t="n">
        <v>0.090882</v>
      </c>
      <c r="D374">
        <f>IFERROR(MATCH($A374,PP_Grid[Intermediate],0),99999)</f>
        <v/>
      </c>
    </row>
    <row r="375">
      <c r="A375" t="inlineStr">
        <is>
          <t>VSP-910</t>
        </is>
      </c>
      <c r="B375" t="inlineStr">
        <is>
          <t>CHEM-1650</t>
        </is>
      </c>
      <c r="C375" t="n">
        <v>0.047736</v>
      </c>
      <c r="D375">
        <f>IFERROR(MATCH($A375,PP_Grid[Intermediate],0),99999)</f>
        <v/>
      </c>
    </row>
    <row r="376">
      <c r="A376" t="inlineStr">
        <is>
          <t>VSP-910</t>
        </is>
      </c>
      <c r="B376" t="inlineStr">
        <is>
          <t>CHEM-1660</t>
        </is>
      </c>
      <c r="C376" t="n">
        <v>0.912492</v>
      </c>
      <c r="D376">
        <f>IFERROR(MATCH($A376,PP_Grid[Intermediate],0),99999)</f>
        <v/>
      </c>
    </row>
    <row r="377">
      <c r="A377" t="inlineStr">
        <is>
          <t>VSP-989</t>
        </is>
      </c>
      <c r="B377" t="inlineStr">
        <is>
          <t>CHEM-1400</t>
        </is>
      </c>
      <c r="C377" t="n">
        <v>2.14326</v>
      </c>
      <c r="D377">
        <f>IFERROR(MATCH($A377,PP_Grid[Intermediate],0),99999)</f>
        <v/>
      </c>
    </row>
    <row r="378">
      <c r="A378" t="inlineStr">
        <is>
          <t>VSP-989</t>
        </is>
      </c>
      <c r="B378" t="inlineStr">
        <is>
          <t>CHEM-1420</t>
        </is>
      </c>
      <c r="C378" t="n">
        <v>0.61236</v>
      </c>
      <c r="D378">
        <f>IFERROR(MATCH($A378,PP_Grid[Intermediate],0),99999)</f>
        <v/>
      </c>
    </row>
    <row r="379">
      <c r="A379" t="inlineStr">
        <is>
          <t>VSP-989</t>
        </is>
      </c>
      <c r="B379" t="inlineStr">
        <is>
          <t>CHEM-1440</t>
        </is>
      </c>
      <c r="C379" t="n">
        <v>0.09072</v>
      </c>
      <c r="D379">
        <f>IFERROR(MATCH($A379,PP_Grid[Intermediate],0),99999)</f>
        <v/>
      </c>
    </row>
    <row r="380">
      <c r="A380" t="inlineStr">
        <is>
          <t>VSP-989</t>
        </is>
      </c>
      <c r="B380" t="inlineStr">
        <is>
          <t>CHEM-1510</t>
        </is>
      </c>
      <c r="C380" t="n">
        <v>6.581925</v>
      </c>
      <c r="D380">
        <f>IFERROR(MATCH($A380,PP_Grid[Intermediate],0),99999)</f>
        <v/>
      </c>
    </row>
    <row r="381">
      <c r="A381" t="inlineStr">
        <is>
          <t>VSP-989</t>
        </is>
      </c>
      <c r="B381" t="inlineStr">
        <is>
          <t>CHEM-1570</t>
        </is>
      </c>
      <c r="C381" t="n">
        <v>0.09072</v>
      </c>
      <c r="D381">
        <f>IFERROR(MATCH($A381,PP_Grid[Intermediate],0),99999)</f>
        <v/>
      </c>
    </row>
    <row r="382">
      <c r="A382" t="inlineStr">
        <is>
          <t>VSP-989</t>
        </is>
      </c>
      <c r="B382" t="inlineStr">
        <is>
          <t>CHEM-1600</t>
        </is>
      </c>
      <c r="C382" t="n">
        <v>7.727265</v>
      </c>
      <c r="D382">
        <f>IFERROR(MATCH($A382,PP_Grid[Intermediate],0),99999)</f>
        <v/>
      </c>
    </row>
    <row r="383">
      <c r="A383" t="inlineStr">
        <is>
          <t>VSP-989</t>
        </is>
      </c>
      <c r="B383" t="inlineStr">
        <is>
          <t>CHEM-1660</t>
        </is>
      </c>
      <c r="C383" t="n">
        <v>0.908145</v>
      </c>
      <c r="D383">
        <f>IFERROR(MATCH($A383,PP_Grid[Intermediate],0),99999)</f>
        <v/>
      </c>
    </row>
    <row r="384">
      <c r="A384" t="inlineStr">
        <is>
          <t>VSP-990</t>
        </is>
      </c>
      <c r="B384" t="inlineStr">
        <is>
          <t>CHEM-1400</t>
        </is>
      </c>
      <c r="C384" t="n">
        <v>3.48543</v>
      </c>
      <c r="D384">
        <f>IFERROR(MATCH($A384,PP_Grid[Intermediate],0),99999)</f>
        <v/>
      </c>
    </row>
    <row r="385">
      <c r="A385" t="inlineStr">
        <is>
          <t>VSP-990</t>
        </is>
      </c>
      <c r="B385" t="inlineStr">
        <is>
          <t>CHEM-1420</t>
        </is>
      </c>
      <c r="C385" t="n">
        <v>0.8496899999999999</v>
      </c>
      <c r="D385">
        <f>IFERROR(MATCH($A385,PP_Grid[Intermediate],0),99999)</f>
        <v/>
      </c>
    </row>
    <row r="386">
      <c r="A386" t="inlineStr">
        <is>
          <t>VSP-990</t>
        </is>
      </c>
      <c r="B386" t="inlineStr">
        <is>
          <t>CHEM-1440</t>
        </is>
      </c>
      <c r="C386" t="n">
        <v>0.48438</v>
      </c>
      <c r="D386">
        <f>IFERROR(MATCH($A386,PP_Grid[Intermediate],0),99999)</f>
        <v/>
      </c>
    </row>
    <row r="387">
      <c r="A387" t="inlineStr">
        <is>
          <t>VSP-990</t>
        </is>
      </c>
      <c r="B387" t="inlineStr">
        <is>
          <t>CHEM-1530</t>
        </is>
      </c>
      <c r="C387" t="n">
        <v>39.41541</v>
      </c>
      <c r="D387">
        <f>IFERROR(MATCH($A387,PP_Grid[Intermediate],0),99999)</f>
        <v/>
      </c>
    </row>
    <row r="388">
      <c r="A388" t="inlineStr">
        <is>
          <t>VSP-990</t>
        </is>
      </c>
      <c r="B388" t="inlineStr">
        <is>
          <t>CHEM-1570</t>
        </is>
      </c>
      <c r="C388" t="n">
        <v>0.081</v>
      </c>
      <c r="D388">
        <f>IFERROR(MATCH($A388,PP_Grid[Intermediate],0),99999)</f>
        <v/>
      </c>
    </row>
    <row r="389">
      <c r="A389" t="inlineStr">
        <is>
          <t>VSP-990</t>
        </is>
      </c>
      <c r="B389" t="inlineStr">
        <is>
          <t>CHEM-1650</t>
        </is>
      </c>
      <c r="C389" t="n">
        <v>0.0486</v>
      </c>
      <c r="D389">
        <f>IFERROR(MATCH($A389,PP_Grid[Intermediate],0),99999)</f>
        <v/>
      </c>
    </row>
    <row r="390">
      <c r="A390" t="inlineStr">
        <is>
          <t>VSP-990</t>
        </is>
      </c>
      <c r="B390" t="inlineStr">
        <is>
          <t>CHEM-1660</t>
        </is>
      </c>
      <c r="C390" t="n">
        <v>0.80676</v>
      </c>
      <c r="D390">
        <f>IFERROR(MATCH($A390,PP_Grid[Intermediate],0),99999)</f>
        <v/>
      </c>
    </row>
    <row r="391">
      <c r="A391" t="inlineStr">
        <is>
          <t>Ester Film</t>
        </is>
      </c>
      <c r="B391" t="inlineStr">
        <is>
          <t>Ester Film</t>
        </is>
      </c>
      <c r="C391" t="n">
        <v>35</v>
      </c>
      <c r="D391">
        <f>IFERROR(MATCH($A391,PP_Grid[Intermediate],0),99999)</f>
        <v/>
      </c>
    </row>
    <row r="392">
      <c r="A392" t="inlineStr">
        <is>
          <t>PP Film</t>
        </is>
      </c>
      <c r="B392" t="inlineStr">
        <is>
          <t>PP Film</t>
        </is>
      </c>
      <c r="C392" t="n">
        <v>4</v>
      </c>
      <c r="D392">
        <f>IFERROR(MATCH($A392,PP_Grid[Intermediate],0),99999)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A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7" t="n">
        <v>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0</v>
      </c>
      <c r="J2" s="27" t="n">
        <v>0</v>
      </c>
      <c r="K2" s="27" t="n">
        <v>0</v>
      </c>
      <c r="L2" s="27" t="n">
        <v>0</v>
      </c>
      <c r="M2" s="27" t="n">
        <v>0</v>
      </c>
      <c r="N2" s="27" t="n">
        <v>0</v>
      </c>
      <c r="O2" s="27" t="n">
        <v>0</v>
      </c>
      <c r="P2" s="27" t="n">
        <v>0</v>
      </c>
      <c r="Q2" s="27" t="n">
        <v>0</v>
      </c>
      <c r="R2" s="27" t="n">
        <v>0</v>
      </c>
      <c r="S2" s="27" t="n">
        <v>0</v>
      </c>
      <c r="T2" s="27" t="n">
        <v>0</v>
      </c>
      <c r="U2" s="27" t="n">
        <v>0</v>
      </c>
      <c r="V2" s="27" t="n">
        <v>0</v>
      </c>
      <c r="W2" s="27" t="n">
        <v>0</v>
      </c>
      <c r="X2" s="27" t="n">
        <v>0</v>
      </c>
      <c r="Y2" s="27" t="n">
        <v>0</v>
      </c>
      <c r="Z2" s="27" t="n">
        <v>0</v>
      </c>
      <c r="AA2" s="27" t="n">
        <v>0</v>
      </c>
      <c r="AB2" s="27" t="n">
        <v>0</v>
      </c>
      <c r="AC2" s="27" t="n">
        <v>0</v>
      </c>
      <c r="AD2" s="27" t="n">
        <v>0</v>
      </c>
      <c r="AE2" s="27" t="n">
        <v>0</v>
      </c>
      <c r="AF2" s="27" t="n">
        <v>0</v>
      </c>
      <c r="AG2" s="27" t="n">
        <v>0</v>
      </c>
      <c r="AH2" s="27" t="n">
        <v>0</v>
      </c>
      <c r="AI2" s="27" t="n">
        <v>0</v>
      </c>
      <c r="AJ2" s="27" t="n">
        <v>0</v>
      </c>
      <c r="AK2" s="27" t="n">
        <v>0</v>
      </c>
      <c r="AL2" s="27" t="n">
        <v>0</v>
      </c>
      <c r="AM2" s="27" t="n">
        <v>0</v>
      </c>
      <c r="AN2" s="27" t="n">
        <v>0</v>
      </c>
      <c r="AO2" s="27" t="n">
        <v>0</v>
      </c>
      <c r="AP2" s="27" t="n">
        <v>0</v>
      </c>
      <c r="AQ2" s="27" t="n">
        <v>0</v>
      </c>
      <c r="AR2" s="27" t="n">
        <v>0</v>
      </c>
      <c r="AS2" s="27" t="n">
        <v>0</v>
      </c>
      <c r="AT2" s="27" t="n">
        <v>0</v>
      </c>
      <c r="AU2" s="27" t="n">
        <v>0</v>
      </c>
      <c r="AV2" s="27" t="n">
        <v>0</v>
      </c>
      <c r="AW2" s="27" t="n">
        <v>0</v>
      </c>
      <c r="AX2" s="27" t="n">
        <v>0</v>
      </c>
      <c r="AY2" s="27" t="n">
        <v>0</v>
      </c>
      <c r="AZ2" s="27" t="n">
        <v>0</v>
      </c>
      <c r="BA2" s="27" t="n">
        <v>0</v>
      </c>
      <c r="BB2" s="27" t="n">
        <v>0</v>
      </c>
      <c r="BC2" s="27" t="n">
        <v>0</v>
      </c>
      <c r="BD2" s="27" t="n">
        <v>0</v>
      </c>
      <c r="BE2" s="27" t="n">
        <v>0</v>
      </c>
      <c r="BF2" s="27" t="n">
        <v>0</v>
      </c>
      <c r="BG2" s="27" t="n">
        <v>0</v>
      </c>
      <c r="BH2" s="27" t="n">
        <v>0</v>
      </c>
      <c r="BI2" s="27" t="n">
        <v>0</v>
      </c>
      <c r="BJ2" s="27" t="n">
        <v>0</v>
      </c>
      <c r="BK2" s="27" t="n">
        <v>0</v>
      </c>
      <c r="BL2" s="27" t="n">
        <v>0</v>
      </c>
      <c r="BM2" s="27" t="n">
        <v>0</v>
      </c>
      <c r="BN2" s="27" t="n">
        <v>0</v>
      </c>
      <c r="BO2" s="27" t="n">
        <v>0</v>
      </c>
      <c r="BP2" s="27" t="n">
        <v>0</v>
      </c>
      <c r="BQ2" s="27" t="n">
        <v>0</v>
      </c>
      <c r="BR2" s="27" t="n">
        <v>0</v>
      </c>
      <c r="BS2" s="27" t="n">
        <v>0</v>
      </c>
      <c r="BT2" s="27" t="n">
        <v>0</v>
      </c>
      <c r="BU2" s="27" t="n">
        <v>0</v>
      </c>
      <c r="BV2" s="27" t="n">
        <v>0</v>
      </c>
      <c r="BW2" s="27" t="n">
        <v>0</v>
      </c>
      <c r="BX2" s="27" t="n">
        <v>0</v>
      </c>
      <c r="BY2" s="27" t="n">
        <v>0</v>
      </c>
      <c r="BZ2" s="27" t="n">
        <v>0</v>
      </c>
      <c r="CA2" s="27" t="n">
        <v>0</v>
      </c>
      <c r="CB2" s="27" t="n">
        <v>0</v>
      </c>
      <c r="CC2" s="27" t="n">
        <v>0</v>
      </c>
      <c r="CD2" s="27" t="n">
        <v>0</v>
      </c>
      <c r="CE2" s="27" t="n">
        <v>0</v>
      </c>
      <c r="CF2" s="27" t="n">
        <v>0</v>
      </c>
      <c r="CG2" s="27" t="n">
        <v>0</v>
      </c>
      <c r="CH2" s="27" t="n">
        <v>0</v>
      </c>
      <c r="CI2" s="27" t="n">
        <v>0</v>
      </c>
      <c r="CJ2" s="27" t="n">
        <v>0</v>
      </c>
      <c r="CK2" s="27" t="n">
        <v>0</v>
      </c>
      <c r="CL2" s="27" t="n">
        <v>0</v>
      </c>
      <c r="CM2" s="27" t="n">
        <v>0</v>
      </c>
      <c r="CN2" s="27" t="n">
        <v>0</v>
      </c>
      <c r="CO2" s="27" t="n">
        <v>0</v>
      </c>
      <c r="CP2" s="27" t="n">
        <v>0</v>
      </c>
      <c r="CQ2" s="27" t="n">
        <v>0</v>
      </c>
      <c r="CR2" s="27" t="n">
        <v>0</v>
      </c>
      <c r="CS2" s="27" t="n">
        <v>0</v>
      </c>
      <c r="CT2" s="27" t="n">
        <v>0</v>
      </c>
      <c r="CU2" s="27" t="n">
        <v>0</v>
      </c>
      <c r="CV2" s="27" t="n">
        <v>0</v>
      </c>
      <c r="CW2" s="27" t="n">
        <v>0</v>
      </c>
      <c r="CX2" s="27" t="n">
        <v>0</v>
      </c>
      <c r="CY2" s="27" t="n">
        <v>0</v>
      </c>
      <c r="CZ2" s="27" t="n">
        <v>0</v>
      </c>
      <c r="DA2" s="27" t="n">
        <v>0</v>
      </c>
    </row>
    <row r="3">
      <c r="A3" t="inlineStr">
        <is>
          <t>TSP-050</t>
        </is>
      </c>
      <c r="B3" s="27" t="n">
        <v>0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0</v>
      </c>
      <c r="J3" s="27" t="n">
        <v>0</v>
      </c>
      <c r="K3" s="27" t="n">
        <v>0</v>
      </c>
      <c r="L3" s="27" t="n">
        <v>0</v>
      </c>
      <c r="M3" s="27" t="n">
        <v>0</v>
      </c>
      <c r="N3" s="27" t="n">
        <v>0</v>
      </c>
      <c r="O3" s="27" t="n">
        <v>0</v>
      </c>
      <c r="P3" s="27" t="n">
        <v>0</v>
      </c>
      <c r="Q3" s="27" t="n">
        <v>0</v>
      </c>
      <c r="R3" s="27" t="n">
        <v>0</v>
      </c>
      <c r="S3" s="27" t="n">
        <v>0</v>
      </c>
      <c r="T3" s="27" t="n">
        <v>0</v>
      </c>
      <c r="U3" s="27" t="n">
        <v>0</v>
      </c>
      <c r="V3" s="27" t="n">
        <v>0</v>
      </c>
      <c r="W3" s="27" t="n">
        <v>0</v>
      </c>
      <c r="X3" s="27" t="n">
        <v>0</v>
      </c>
      <c r="Y3" s="27" t="n">
        <v>0</v>
      </c>
      <c r="Z3" s="27" t="n">
        <v>0</v>
      </c>
      <c r="AA3" s="27" t="n">
        <v>0</v>
      </c>
      <c r="AB3" s="27" t="n">
        <v>0</v>
      </c>
      <c r="AC3" s="27" t="n">
        <v>0</v>
      </c>
      <c r="AD3" s="27" t="n">
        <v>0</v>
      </c>
      <c r="AE3" s="27" t="n">
        <v>0</v>
      </c>
      <c r="AF3" s="27" t="n">
        <v>0</v>
      </c>
      <c r="AG3" s="27" t="n">
        <v>0</v>
      </c>
      <c r="AH3" s="27" t="n">
        <v>0</v>
      </c>
      <c r="AI3" s="27" t="n">
        <v>0</v>
      </c>
      <c r="AJ3" s="27" t="n">
        <v>0</v>
      </c>
      <c r="AK3" s="27" t="n">
        <v>0</v>
      </c>
      <c r="AL3" s="27" t="n">
        <v>0</v>
      </c>
      <c r="AM3" s="27" t="n">
        <v>0</v>
      </c>
      <c r="AN3" s="27" t="n">
        <v>0</v>
      </c>
      <c r="AO3" s="27" t="n">
        <v>0</v>
      </c>
      <c r="AP3" s="27" t="n">
        <v>0</v>
      </c>
      <c r="AQ3" s="27" t="n">
        <v>0</v>
      </c>
      <c r="AR3" s="27" t="n">
        <v>0</v>
      </c>
      <c r="AS3" s="27" t="n">
        <v>0</v>
      </c>
      <c r="AT3" s="27" t="n">
        <v>0</v>
      </c>
      <c r="AU3" s="27" t="n">
        <v>0</v>
      </c>
      <c r="AV3" s="27" t="n">
        <v>0</v>
      </c>
      <c r="AW3" s="27" t="n">
        <v>0</v>
      </c>
      <c r="AX3" s="27" t="n">
        <v>0</v>
      </c>
      <c r="AY3" s="27" t="n">
        <v>0</v>
      </c>
      <c r="AZ3" s="27" t="n">
        <v>0</v>
      </c>
      <c r="BA3" s="27" t="n">
        <v>0</v>
      </c>
      <c r="BB3" s="27" t="n">
        <v>0</v>
      </c>
      <c r="BC3" s="27" t="n">
        <v>0</v>
      </c>
      <c r="BD3" s="27" t="n">
        <v>0</v>
      </c>
      <c r="BE3" s="27" t="n">
        <v>0</v>
      </c>
      <c r="BF3" s="27" t="n">
        <v>0</v>
      </c>
      <c r="BG3" s="27" t="n">
        <v>0</v>
      </c>
      <c r="BH3" s="27" t="n">
        <v>0</v>
      </c>
      <c r="BI3" s="27" t="n">
        <v>0</v>
      </c>
      <c r="BJ3" s="27" t="n">
        <v>0</v>
      </c>
      <c r="BK3" s="27" t="n">
        <v>0</v>
      </c>
      <c r="BL3" s="27" t="n">
        <v>0</v>
      </c>
      <c r="BM3" s="27" t="n">
        <v>0</v>
      </c>
      <c r="BN3" s="27" t="n">
        <v>0</v>
      </c>
      <c r="BO3" s="27" t="n">
        <v>0</v>
      </c>
      <c r="BP3" s="27" t="n">
        <v>0</v>
      </c>
      <c r="BQ3" s="27" t="n">
        <v>0</v>
      </c>
      <c r="BR3" s="27" t="n">
        <v>0</v>
      </c>
      <c r="BS3" s="27" t="n">
        <v>0</v>
      </c>
      <c r="BT3" s="27" t="n">
        <v>0</v>
      </c>
      <c r="BU3" s="27" t="n">
        <v>0</v>
      </c>
      <c r="BV3" s="27" t="n">
        <v>0</v>
      </c>
      <c r="BW3" s="27" t="n">
        <v>0</v>
      </c>
      <c r="BX3" s="27" t="n">
        <v>0</v>
      </c>
      <c r="BY3" s="27" t="n">
        <v>0</v>
      </c>
      <c r="BZ3" s="27" t="n">
        <v>0</v>
      </c>
      <c r="CA3" s="27" t="n">
        <v>0</v>
      </c>
      <c r="CB3" s="27" t="n">
        <v>0</v>
      </c>
      <c r="CC3" s="27" t="n">
        <v>0</v>
      </c>
      <c r="CD3" s="27" t="n">
        <v>0</v>
      </c>
      <c r="CE3" s="27" t="n">
        <v>0</v>
      </c>
      <c r="CF3" s="27" t="n">
        <v>0</v>
      </c>
      <c r="CG3" s="27" t="n">
        <v>0</v>
      </c>
      <c r="CH3" s="27" t="n">
        <v>0</v>
      </c>
      <c r="CI3" s="27" t="n">
        <v>0</v>
      </c>
      <c r="CJ3" s="27" t="n">
        <v>0</v>
      </c>
      <c r="CK3" s="27" t="n">
        <v>0</v>
      </c>
      <c r="CL3" s="27" t="n">
        <v>0</v>
      </c>
      <c r="CM3" s="27" t="n">
        <v>0</v>
      </c>
      <c r="CN3" s="27" t="n">
        <v>0</v>
      </c>
      <c r="CO3" s="27" t="n">
        <v>0</v>
      </c>
      <c r="CP3" s="27" t="n">
        <v>0</v>
      </c>
      <c r="CQ3" s="27" t="n">
        <v>0</v>
      </c>
      <c r="CR3" s="27" t="n">
        <v>0</v>
      </c>
      <c r="CS3" s="27" t="n">
        <v>0</v>
      </c>
      <c r="CT3" s="27" t="n">
        <v>0</v>
      </c>
      <c r="CU3" s="27" t="n">
        <v>0</v>
      </c>
      <c r="CV3" s="27" t="n">
        <v>0</v>
      </c>
      <c r="CW3" s="27" t="n">
        <v>0</v>
      </c>
      <c r="CX3" s="27" t="n">
        <v>0</v>
      </c>
      <c r="CY3" s="27" t="n">
        <v>0</v>
      </c>
      <c r="CZ3" s="27" t="n">
        <v>0</v>
      </c>
      <c r="DA3" s="27" t="n">
        <v>0</v>
      </c>
    </row>
    <row r="4">
      <c r="A4" t="inlineStr">
        <is>
          <t>TSP-067</t>
        </is>
      </c>
      <c r="B4" s="27" t="n">
        <v>0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0</v>
      </c>
      <c r="J4" s="27" t="n">
        <v>0</v>
      </c>
      <c r="K4" s="27" t="n">
        <v>0</v>
      </c>
      <c r="L4" s="27" t="n">
        <v>0</v>
      </c>
      <c r="M4" s="27" t="n">
        <v>0</v>
      </c>
      <c r="N4" s="27" t="n">
        <v>0</v>
      </c>
      <c r="O4" s="27" t="n">
        <v>0</v>
      </c>
      <c r="P4" s="27" t="n">
        <v>0</v>
      </c>
      <c r="Q4" s="27" t="n">
        <v>0</v>
      </c>
      <c r="R4" s="27" t="n">
        <v>0</v>
      </c>
      <c r="S4" s="27" t="n">
        <v>0</v>
      </c>
      <c r="T4" s="27" t="n">
        <v>0</v>
      </c>
      <c r="U4" s="27" t="n">
        <v>0</v>
      </c>
      <c r="V4" s="27" t="n">
        <v>0</v>
      </c>
      <c r="W4" s="27" t="n">
        <v>0</v>
      </c>
      <c r="X4" s="27" t="n">
        <v>0</v>
      </c>
      <c r="Y4" s="27" t="n">
        <v>0</v>
      </c>
      <c r="Z4" s="27" t="n">
        <v>0</v>
      </c>
      <c r="AA4" s="27" t="n">
        <v>0</v>
      </c>
      <c r="AB4" s="27" t="n">
        <v>0</v>
      </c>
      <c r="AC4" s="27" t="n">
        <v>0</v>
      </c>
      <c r="AD4" s="27" t="n">
        <v>0</v>
      </c>
      <c r="AE4" s="27" t="n">
        <v>0</v>
      </c>
      <c r="AF4" s="27" t="n">
        <v>0</v>
      </c>
      <c r="AG4" s="27" t="n">
        <v>0</v>
      </c>
      <c r="AH4" s="27" t="n">
        <v>0</v>
      </c>
      <c r="AI4" s="27" t="n">
        <v>0</v>
      </c>
      <c r="AJ4" s="27" t="n">
        <v>0</v>
      </c>
      <c r="AK4" s="27" t="n">
        <v>0</v>
      </c>
      <c r="AL4" s="27" t="n">
        <v>0</v>
      </c>
      <c r="AM4" s="27" t="n">
        <v>0</v>
      </c>
      <c r="AN4" s="27" t="n">
        <v>0</v>
      </c>
      <c r="AO4" s="27" t="n">
        <v>0</v>
      </c>
      <c r="AP4" s="27" t="n">
        <v>0</v>
      </c>
      <c r="AQ4" s="27" t="n">
        <v>0</v>
      </c>
      <c r="AR4" s="27" t="n">
        <v>0</v>
      </c>
      <c r="AS4" s="27" t="n">
        <v>0</v>
      </c>
      <c r="AT4" s="27" t="n">
        <v>0</v>
      </c>
      <c r="AU4" s="27" t="n">
        <v>0</v>
      </c>
      <c r="AV4" s="27" t="n">
        <v>0</v>
      </c>
      <c r="AW4" s="27" t="n">
        <v>0</v>
      </c>
      <c r="AX4" s="27" t="n">
        <v>0</v>
      </c>
      <c r="AY4" s="27" t="n">
        <v>0</v>
      </c>
      <c r="AZ4" s="27" t="n">
        <v>0</v>
      </c>
      <c r="BA4" s="27" t="n">
        <v>0</v>
      </c>
      <c r="BB4" s="27" t="n">
        <v>0</v>
      </c>
      <c r="BC4" s="27" t="n">
        <v>0</v>
      </c>
      <c r="BD4" s="27" t="n">
        <v>0</v>
      </c>
      <c r="BE4" s="27" t="n">
        <v>0</v>
      </c>
      <c r="BF4" s="27" t="n">
        <v>0</v>
      </c>
      <c r="BG4" s="27" t="n">
        <v>0</v>
      </c>
      <c r="BH4" s="27" t="n">
        <v>0</v>
      </c>
      <c r="BI4" s="27" t="n">
        <v>0</v>
      </c>
      <c r="BJ4" s="27" t="n">
        <v>0</v>
      </c>
      <c r="BK4" s="27" t="n">
        <v>0</v>
      </c>
      <c r="BL4" s="27" t="n">
        <v>0</v>
      </c>
      <c r="BM4" s="27" t="n">
        <v>0</v>
      </c>
      <c r="BN4" s="27" t="n">
        <v>0</v>
      </c>
      <c r="BO4" s="27" t="n">
        <v>0</v>
      </c>
      <c r="BP4" s="27" t="n">
        <v>0</v>
      </c>
      <c r="BQ4" s="27" t="n">
        <v>0</v>
      </c>
      <c r="BR4" s="27" t="n">
        <v>0</v>
      </c>
      <c r="BS4" s="27" t="n">
        <v>0</v>
      </c>
      <c r="BT4" s="27" t="n">
        <v>0</v>
      </c>
      <c r="BU4" s="27" t="n">
        <v>0</v>
      </c>
      <c r="BV4" s="27" t="n">
        <v>0</v>
      </c>
      <c r="BW4" s="27" t="n">
        <v>0</v>
      </c>
      <c r="BX4" s="27" t="n">
        <v>0</v>
      </c>
      <c r="BY4" s="27" t="n">
        <v>0</v>
      </c>
      <c r="BZ4" s="27" t="n">
        <v>0</v>
      </c>
      <c r="CA4" s="27" t="n">
        <v>0</v>
      </c>
      <c r="CB4" s="27" t="n">
        <v>0</v>
      </c>
      <c r="CC4" s="27" t="n">
        <v>0</v>
      </c>
      <c r="CD4" s="27" t="n">
        <v>0</v>
      </c>
      <c r="CE4" s="27" t="n">
        <v>0</v>
      </c>
      <c r="CF4" s="27" t="n">
        <v>0</v>
      </c>
      <c r="CG4" s="27" t="n">
        <v>0</v>
      </c>
      <c r="CH4" s="27" t="n">
        <v>0</v>
      </c>
      <c r="CI4" s="27" t="n">
        <v>0</v>
      </c>
      <c r="CJ4" s="27" t="n">
        <v>0</v>
      </c>
      <c r="CK4" s="27" t="n">
        <v>0</v>
      </c>
      <c r="CL4" s="27" t="n">
        <v>0</v>
      </c>
      <c r="CM4" s="27" t="n">
        <v>0</v>
      </c>
      <c r="CN4" s="27" t="n">
        <v>0</v>
      </c>
      <c r="CO4" s="27" t="n">
        <v>0</v>
      </c>
      <c r="CP4" s="27" t="n">
        <v>0</v>
      </c>
      <c r="CQ4" s="27" t="n">
        <v>0</v>
      </c>
      <c r="CR4" s="27" t="n">
        <v>0</v>
      </c>
      <c r="CS4" s="27" t="n">
        <v>0</v>
      </c>
      <c r="CT4" s="27" t="n">
        <v>0</v>
      </c>
      <c r="CU4" s="27" t="n">
        <v>0</v>
      </c>
      <c r="CV4" s="27" t="n">
        <v>0</v>
      </c>
      <c r="CW4" s="27" t="n">
        <v>0</v>
      </c>
      <c r="CX4" s="27" t="n">
        <v>0</v>
      </c>
      <c r="CY4" s="27" t="n">
        <v>0</v>
      </c>
      <c r="CZ4" s="27" t="n">
        <v>0</v>
      </c>
      <c r="DA4" s="27" t="n">
        <v>0</v>
      </c>
    </row>
    <row r="5">
      <c r="A5" t="inlineStr">
        <is>
          <t>TSP-069</t>
        </is>
      </c>
      <c r="B5" s="27" t="n">
        <v>0</v>
      </c>
      <c r="C5" s="27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0</v>
      </c>
      <c r="J5" s="27" t="n">
        <v>0</v>
      </c>
      <c r="K5" s="27" t="n">
        <v>0</v>
      </c>
      <c r="L5" s="27" t="n">
        <v>0</v>
      </c>
      <c r="M5" s="27" t="n">
        <v>0</v>
      </c>
      <c r="N5" s="27" t="n">
        <v>0</v>
      </c>
      <c r="O5" s="27" t="n">
        <v>0</v>
      </c>
      <c r="P5" s="27" t="n">
        <v>0</v>
      </c>
      <c r="Q5" s="27" t="n">
        <v>0</v>
      </c>
      <c r="R5" s="27" t="n">
        <v>0</v>
      </c>
      <c r="S5" s="27" t="n">
        <v>0</v>
      </c>
      <c r="T5" s="27" t="n">
        <v>0</v>
      </c>
      <c r="U5" s="27" t="n">
        <v>0</v>
      </c>
      <c r="V5" s="27" t="n">
        <v>0</v>
      </c>
      <c r="W5" s="27" t="n">
        <v>0</v>
      </c>
      <c r="X5" s="27" t="n">
        <v>0</v>
      </c>
      <c r="Y5" s="27" t="n">
        <v>0</v>
      </c>
      <c r="Z5" s="27" t="n">
        <v>0</v>
      </c>
      <c r="AA5" s="27" t="n">
        <v>0</v>
      </c>
      <c r="AB5" s="27" t="n">
        <v>0</v>
      </c>
      <c r="AC5" s="27" t="n">
        <v>0</v>
      </c>
      <c r="AD5" s="27" t="n">
        <v>0</v>
      </c>
      <c r="AE5" s="27" t="n">
        <v>0</v>
      </c>
      <c r="AF5" s="27" t="n">
        <v>0</v>
      </c>
      <c r="AG5" s="27" t="n">
        <v>0</v>
      </c>
      <c r="AH5" s="27" t="n">
        <v>0</v>
      </c>
      <c r="AI5" s="27" t="n">
        <v>0</v>
      </c>
      <c r="AJ5" s="27" t="n">
        <v>0</v>
      </c>
      <c r="AK5" s="27" t="n">
        <v>0</v>
      </c>
      <c r="AL5" s="27" t="n">
        <v>0</v>
      </c>
      <c r="AM5" s="27" t="n">
        <v>0</v>
      </c>
      <c r="AN5" s="27" t="n">
        <v>0</v>
      </c>
      <c r="AO5" s="27" t="n">
        <v>0</v>
      </c>
      <c r="AP5" s="27" t="n">
        <v>0</v>
      </c>
      <c r="AQ5" s="27" t="n">
        <v>0</v>
      </c>
      <c r="AR5" s="27" t="n">
        <v>0</v>
      </c>
      <c r="AS5" s="27" t="n">
        <v>0</v>
      </c>
      <c r="AT5" s="27" t="n">
        <v>0</v>
      </c>
      <c r="AU5" s="27" t="n">
        <v>0</v>
      </c>
      <c r="AV5" s="27" t="n">
        <v>0</v>
      </c>
      <c r="AW5" s="27" t="n">
        <v>0</v>
      </c>
      <c r="AX5" s="27" t="n">
        <v>0</v>
      </c>
      <c r="AY5" s="27" t="n">
        <v>0</v>
      </c>
      <c r="AZ5" s="27" t="n">
        <v>0</v>
      </c>
      <c r="BA5" s="27" t="n">
        <v>0</v>
      </c>
      <c r="BB5" s="27" t="n">
        <v>0</v>
      </c>
      <c r="BC5" s="27" t="n">
        <v>0</v>
      </c>
      <c r="BD5" s="27" t="n">
        <v>0</v>
      </c>
      <c r="BE5" s="27" t="n">
        <v>0</v>
      </c>
      <c r="BF5" s="27" t="n">
        <v>0</v>
      </c>
      <c r="BG5" s="27" t="n">
        <v>0</v>
      </c>
      <c r="BH5" s="27" t="n">
        <v>0</v>
      </c>
      <c r="BI5" s="27" t="n">
        <v>0</v>
      </c>
      <c r="BJ5" s="27" t="n">
        <v>0</v>
      </c>
      <c r="BK5" s="27" t="n">
        <v>0</v>
      </c>
      <c r="BL5" s="27" t="n">
        <v>0</v>
      </c>
      <c r="BM5" s="27" t="n">
        <v>0</v>
      </c>
      <c r="BN5" s="27" t="n">
        <v>0</v>
      </c>
      <c r="BO5" s="27" t="n">
        <v>0</v>
      </c>
      <c r="BP5" s="27" t="n">
        <v>0</v>
      </c>
      <c r="BQ5" s="27" t="n">
        <v>0</v>
      </c>
      <c r="BR5" s="27" t="n">
        <v>0</v>
      </c>
      <c r="BS5" s="27" t="n">
        <v>0</v>
      </c>
      <c r="BT5" s="27" t="n">
        <v>0</v>
      </c>
      <c r="BU5" s="27" t="n">
        <v>0</v>
      </c>
      <c r="BV5" s="27" t="n">
        <v>0</v>
      </c>
      <c r="BW5" s="27" t="n">
        <v>0</v>
      </c>
      <c r="BX5" s="27" t="n">
        <v>0</v>
      </c>
      <c r="BY5" s="27" t="n">
        <v>0</v>
      </c>
      <c r="BZ5" s="27" t="n">
        <v>0</v>
      </c>
      <c r="CA5" s="27" t="n">
        <v>0</v>
      </c>
      <c r="CB5" s="27" t="n">
        <v>0</v>
      </c>
      <c r="CC5" s="27" t="n">
        <v>0</v>
      </c>
      <c r="CD5" s="27" t="n">
        <v>0</v>
      </c>
      <c r="CE5" s="27" t="n">
        <v>0</v>
      </c>
      <c r="CF5" s="27" t="n">
        <v>0</v>
      </c>
      <c r="CG5" s="27" t="n">
        <v>0</v>
      </c>
      <c r="CH5" s="27" t="n">
        <v>0</v>
      </c>
      <c r="CI5" s="27" t="n">
        <v>0</v>
      </c>
      <c r="CJ5" s="27" t="n">
        <v>0</v>
      </c>
      <c r="CK5" s="27" t="n">
        <v>0</v>
      </c>
      <c r="CL5" s="27" t="n">
        <v>0</v>
      </c>
      <c r="CM5" s="27" t="n">
        <v>0</v>
      </c>
      <c r="CN5" s="27" t="n">
        <v>0</v>
      </c>
      <c r="CO5" s="27" t="n">
        <v>0</v>
      </c>
      <c r="CP5" s="27" t="n">
        <v>0</v>
      </c>
      <c r="CQ5" s="27" t="n">
        <v>0</v>
      </c>
      <c r="CR5" s="27" t="n">
        <v>0</v>
      </c>
      <c r="CS5" s="27" t="n">
        <v>0</v>
      </c>
      <c r="CT5" s="27" t="n">
        <v>0</v>
      </c>
      <c r="CU5" s="27" t="n">
        <v>0</v>
      </c>
      <c r="CV5" s="27" t="n">
        <v>0</v>
      </c>
      <c r="CW5" s="27" t="n">
        <v>0</v>
      </c>
      <c r="CX5" s="27" t="n">
        <v>0</v>
      </c>
      <c r="CY5" s="27" t="n">
        <v>0</v>
      </c>
      <c r="CZ5" s="27" t="n">
        <v>0</v>
      </c>
      <c r="DA5" s="27" t="n">
        <v>0</v>
      </c>
    </row>
    <row r="6">
      <c r="A6" t="inlineStr">
        <is>
          <t>TSP-078</t>
        </is>
      </c>
      <c r="B6" s="27" t="n">
        <v>0</v>
      </c>
      <c r="C6" s="27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27" t="n">
        <v>0</v>
      </c>
      <c r="T6" s="27" t="n">
        <v>0</v>
      </c>
      <c r="U6" s="27" t="n">
        <v>0</v>
      </c>
      <c r="V6" s="27" t="n">
        <v>0</v>
      </c>
      <c r="W6" s="27" t="n">
        <v>0</v>
      </c>
      <c r="X6" s="27" t="n">
        <v>0</v>
      </c>
      <c r="Y6" s="27" t="n">
        <v>0</v>
      </c>
      <c r="Z6" s="27" t="n">
        <v>0</v>
      </c>
      <c r="AA6" s="27" t="n">
        <v>0</v>
      </c>
      <c r="AB6" s="27" t="n">
        <v>0</v>
      </c>
      <c r="AC6" s="27" t="n">
        <v>0</v>
      </c>
      <c r="AD6" s="27" t="n">
        <v>0</v>
      </c>
      <c r="AE6" s="27" t="n">
        <v>0</v>
      </c>
      <c r="AF6" s="27" t="n">
        <v>0</v>
      </c>
      <c r="AG6" s="27" t="n">
        <v>0</v>
      </c>
      <c r="AH6" s="27" t="n">
        <v>0</v>
      </c>
      <c r="AI6" s="27" t="n">
        <v>0</v>
      </c>
      <c r="AJ6" s="27" t="n">
        <v>0</v>
      </c>
      <c r="AK6" s="27" t="n">
        <v>0</v>
      </c>
      <c r="AL6" s="27" t="n">
        <v>0</v>
      </c>
      <c r="AM6" s="27" t="n">
        <v>0</v>
      </c>
      <c r="AN6" s="27" t="n">
        <v>0</v>
      </c>
      <c r="AO6" s="27" t="n">
        <v>0</v>
      </c>
      <c r="AP6" s="27" t="n">
        <v>0</v>
      </c>
      <c r="AQ6" s="27" t="n">
        <v>0</v>
      </c>
      <c r="AR6" s="27" t="n">
        <v>0</v>
      </c>
      <c r="AS6" s="27" t="n">
        <v>0</v>
      </c>
      <c r="AT6" s="27" t="n">
        <v>0</v>
      </c>
      <c r="AU6" s="27" t="n">
        <v>0</v>
      </c>
      <c r="AV6" s="27" t="n">
        <v>0</v>
      </c>
      <c r="AW6" s="27" t="n">
        <v>0</v>
      </c>
      <c r="AX6" s="27" t="n">
        <v>0</v>
      </c>
      <c r="AY6" s="27" t="n">
        <v>0</v>
      </c>
      <c r="AZ6" s="27" t="n">
        <v>0</v>
      </c>
      <c r="BA6" s="27" t="n">
        <v>0</v>
      </c>
      <c r="BB6" s="27" t="n">
        <v>0</v>
      </c>
      <c r="BC6" s="27" t="n">
        <v>0</v>
      </c>
      <c r="BD6" s="27" t="n">
        <v>0</v>
      </c>
      <c r="BE6" s="27" t="n">
        <v>0</v>
      </c>
      <c r="BF6" s="27" t="n">
        <v>0</v>
      </c>
      <c r="BG6" s="27" t="n">
        <v>0</v>
      </c>
      <c r="BH6" s="27" t="n">
        <v>0</v>
      </c>
      <c r="BI6" s="27" t="n">
        <v>0</v>
      </c>
      <c r="BJ6" s="27" t="n">
        <v>0</v>
      </c>
      <c r="BK6" s="27" t="n">
        <v>0</v>
      </c>
      <c r="BL6" s="27" t="n">
        <v>0</v>
      </c>
      <c r="BM6" s="27" t="n">
        <v>0</v>
      </c>
      <c r="BN6" s="27" t="n">
        <v>0</v>
      </c>
      <c r="BO6" s="27" t="n">
        <v>0</v>
      </c>
      <c r="BP6" s="27" t="n">
        <v>0</v>
      </c>
      <c r="BQ6" s="27" t="n">
        <v>0</v>
      </c>
      <c r="BR6" s="27" t="n">
        <v>0</v>
      </c>
      <c r="BS6" s="27" t="n">
        <v>0</v>
      </c>
      <c r="BT6" s="27" t="n">
        <v>0</v>
      </c>
      <c r="BU6" s="27" t="n">
        <v>0</v>
      </c>
      <c r="BV6" s="27" t="n">
        <v>0</v>
      </c>
      <c r="BW6" s="27" t="n">
        <v>0</v>
      </c>
      <c r="BX6" s="27" t="n">
        <v>0</v>
      </c>
      <c r="BY6" s="27" t="n">
        <v>0</v>
      </c>
      <c r="BZ6" s="27" t="n">
        <v>0</v>
      </c>
      <c r="CA6" s="27" t="n">
        <v>0</v>
      </c>
      <c r="CB6" s="27" t="n">
        <v>0</v>
      </c>
      <c r="CC6" s="27" t="n">
        <v>0</v>
      </c>
      <c r="CD6" s="27" t="n">
        <v>0</v>
      </c>
      <c r="CE6" s="27" t="n">
        <v>0</v>
      </c>
      <c r="CF6" s="27" t="n">
        <v>0</v>
      </c>
      <c r="CG6" s="27" t="n">
        <v>0</v>
      </c>
      <c r="CH6" s="27" t="n">
        <v>0</v>
      </c>
      <c r="CI6" s="27" t="n">
        <v>0</v>
      </c>
      <c r="CJ6" s="27" t="n">
        <v>0</v>
      </c>
      <c r="CK6" s="27" t="n">
        <v>0</v>
      </c>
      <c r="CL6" s="27" t="n">
        <v>0</v>
      </c>
      <c r="CM6" s="27" t="n">
        <v>0</v>
      </c>
      <c r="CN6" s="27" t="n">
        <v>0</v>
      </c>
      <c r="CO6" s="27" t="n">
        <v>0</v>
      </c>
      <c r="CP6" s="27" t="n">
        <v>0</v>
      </c>
      <c r="CQ6" s="27" t="n">
        <v>0</v>
      </c>
      <c r="CR6" s="27" t="n">
        <v>0</v>
      </c>
      <c r="CS6" s="27" t="n">
        <v>0</v>
      </c>
      <c r="CT6" s="27" t="n">
        <v>0</v>
      </c>
      <c r="CU6" s="27" t="n">
        <v>0</v>
      </c>
      <c r="CV6" s="27" t="n">
        <v>0</v>
      </c>
      <c r="CW6" s="27" t="n">
        <v>0</v>
      </c>
      <c r="CX6" s="27" t="n">
        <v>0</v>
      </c>
      <c r="CY6" s="27" t="n">
        <v>0</v>
      </c>
      <c r="CZ6" s="27" t="n">
        <v>0</v>
      </c>
      <c r="DA6" s="27" t="n">
        <v>0</v>
      </c>
    </row>
    <row r="7">
      <c r="A7" t="inlineStr">
        <is>
          <t>TSP-080</t>
        </is>
      </c>
      <c r="B7" s="27" t="n">
        <v>0</v>
      </c>
      <c r="C7" s="27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0</v>
      </c>
      <c r="L7" s="27" t="n">
        <v>0</v>
      </c>
      <c r="M7" s="27" t="n">
        <v>0</v>
      </c>
      <c r="N7" s="27" t="n">
        <v>0</v>
      </c>
      <c r="O7" s="27" t="n">
        <v>0</v>
      </c>
      <c r="P7" s="27" t="n">
        <v>0</v>
      </c>
      <c r="Q7" s="27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27" t="n">
        <v>0</v>
      </c>
      <c r="AB7" s="27" t="n">
        <v>0</v>
      </c>
      <c r="AC7" s="27" t="n">
        <v>0</v>
      </c>
      <c r="AD7" s="27" t="n">
        <v>0</v>
      </c>
      <c r="AE7" s="27" t="n">
        <v>0</v>
      </c>
      <c r="AF7" s="27" t="n">
        <v>0</v>
      </c>
      <c r="AG7" s="27" t="n">
        <v>0</v>
      </c>
      <c r="AH7" s="27" t="n">
        <v>0</v>
      </c>
      <c r="AI7" s="27" t="n">
        <v>0</v>
      </c>
      <c r="AJ7" s="27" t="n">
        <v>0</v>
      </c>
      <c r="AK7" s="27" t="n">
        <v>0</v>
      </c>
      <c r="AL7" s="27" t="n">
        <v>0</v>
      </c>
      <c r="AM7" s="27" t="n">
        <v>0</v>
      </c>
      <c r="AN7" s="27" t="n">
        <v>0</v>
      </c>
      <c r="AO7" s="27" t="n">
        <v>0</v>
      </c>
      <c r="AP7" s="27" t="n">
        <v>0</v>
      </c>
      <c r="AQ7" s="27" t="n">
        <v>0</v>
      </c>
      <c r="AR7" s="27" t="n">
        <v>0</v>
      </c>
      <c r="AS7" s="27" t="n">
        <v>0</v>
      </c>
      <c r="AT7" s="27" t="n">
        <v>0</v>
      </c>
      <c r="AU7" s="27" t="n">
        <v>0</v>
      </c>
      <c r="AV7" s="27" t="n">
        <v>0</v>
      </c>
      <c r="AW7" s="27" t="n">
        <v>0</v>
      </c>
      <c r="AX7" s="27" t="n">
        <v>0</v>
      </c>
      <c r="AY7" s="27" t="n">
        <v>0</v>
      </c>
      <c r="AZ7" s="27" t="n">
        <v>0</v>
      </c>
      <c r="BA7" s="27" t="n">
        <v>0</v>
      </c>
      <c r="BB7" s="27" t="n">
        <v>0</v>
      </c>
      <c r="BC7" s="27" t="n">
        <v>0</v>
      </c>
      <c r="BD7" s="27" t="n">
        <v>0</v>
      </c>
      <c r="BE7" s="27" t="n">
        <v>0</v>
      </c>
      <c r="BF7" s="27" t="n">
        <v>0</v>
      </c>
      <c r="BG7" s="27" t="n">
        <v>0</v>
      </c>
      <c r="BH7" s="27" t="n">
        <v>0</v>
      </c>
      <c r="BI7" s="27" t="n">
        <v>0</v>
      </c>
      <c r="BJ7" s="27" t="n">
        <v>0</v>
      </c>
      <c r="BK7" s="27" t="n">
        <v>0</v>
      </c>
      <c r="BL7" s="27" t="n">
        <v>0</v>
      </c>
      <c r="BM7" s="27" t="n">
        <v>0</v>
      </c>
      <c r="BN7" s="27" t="n">
        <v>0</v>
      </c>
      <c r="BO7" s="27" t="n">
        <v>0</v>
      </c>
      <c r="BP7" s="27" t="n">
        <v>0</v>
      </c>
      <c r="BQ7" s="27" t="n">
        <v>0</v>
      </c>
      <c r="BR7" s="27" t="n">
        <v>0</v>
      </c>
      <c r="BS7" s="27" t="n">
        <v>0</v>
      </c>
      <c r="BT7" s="27" t="n">
        <v>0</v>
      </c>
      <c r="BU7" s="27" t="n">
        <v>0</v>
      </c>
      <c r="BV7" s="27" t="n">
        <v>0</v>
      </c>
      <c r="BW7" s="27" t="n">
        <v>0</v>
      </c>
      <c r="BX7" s="27" t="n">
        <v>0</v>
      </c>
      <c r="BY7" s="27" t="n">
        <v>0</v>
      </c>
      <c r="BZ7" s="27" t="n">
        <v>0</v>
      </c>
      <c r="CA7" s="27" t="n">
        <v>0</v>
      </c>
      <c r="CB7" s="27" t="n">
        <v>0</v>
      </c>
      <c r="CC7" s="27" t="n">
        <v>0</v>
      </c>
      <c r="CD7" s="27" t="n">
        <v>0</v>
      </c>
      <c r="CE7" s="27" t="n">
        <v>0</v>
      </c>
      <c r="CF7" s="27" t="n">
        <v>0</v>
      </c>
      <c r="CG7" s="27" t="n">
        <v>0</v>
      </c>
      <c r="CH7" s="27" t="n">
        <v>0</v>
      </c>
      <c r="CI7" s="27" t="n">
        <v>0</v>
      </c>
      <c r="CJ7" s="27" t="n">
        <v>0</v>
      </c>
      <c r="CK7" s="27" t="n">
        <v>0</v>
      </c>
      <c r="CL7" s="27" t="n">
        <v>0</v>
      </c>
      <c r="CM7" s="27" t="n">
        <v>0</v>
      </c>
      <c r="CN7" s="27" t="n">
        <v>0</v>
      </c>
      <c r="CO7" s="27" t="n">
        <v>0</v>
      </c>
      <c r="CP7" s="27" t="n">
        <v>0</v>
      </c>
      <c r="CQ7" s="27" t="n">
        <v>0</v>
      </c>
      <c r="CR7" s="27" t="n">
        <v>0</v>
      </c>
      <c r="CS7" s="27" t="n">
        <v>0</v>
      </c>
      <c r="CT7" s="27" t="n">
        <v>0</v>
      </c>
      <c r="CU7" s="27" t="n">
        <v>0</v>
      </c>
      <c r="CV7" s="27" t="n">
        <v>0</v>
      </c>
      <c r="CW7" s="27" t="n">
        <v>0</v>
      </c>
      <c r="CX7" s="27" t="n">
        <v>0</v>
      </c>
      <c r="CY7" s="27" t="n">
        <v>0</v>
      </c>
      <c r="CZ7" s="27" t="n">
        <v>0</v>
      </c>
      <c r="DA7" s="27" t="n">
        <v>0</v>
      </c>
    </row>
    <row r="8">
      <c r="A8" t="inlineStr">
        <is>
          <t>TSP-104</t>
        </is>
      </c>
      <c r="B8" s="27" t="n">
        <v>0</v>
      </c>
      <c r="C8" s="27" t="n">
        <v>0</v>
      </c>
      <c r="D8" s="27" t="n">
        <v>0</v>
      </c>
      <c r="E8" s="27" t="n">
        <v>0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27" t="n">
        <v>0</v>
      </c>
      <c r="O8" s="27" t="n">
        <v>0</v>
      </c>
      <c r="P8" s="27" t="n">
        <v>0</v>
      </c>
      <c r="Q8" s="27" t="n">
        <v>0</v>
      </c>
      <c r="R8" s="27" t="n">
        <v>0</v>
      </c>
      <c r="S8" s="27" t="n">
        <v>0</v>
      </c>
      <c r="T8" s="27" t="n">
        <v>0</v>
      </c>
      <c r="U8" s="27" t="n">
        <v>0</v>
      </c>
      <c r="V8" s="27" t="n">
        <v>0</v>
      </c>
      <c r="W8" s="27" t="n">
        <v>0</v>
      </c>
      <c r="X8" s="27" t="n">
        <v>0</v>
      </c>
      <c r="Y8" s="27" t="n">
        <v>0</v>
      </c>
      <c r="Z8" s="27" t="n">
        <v>0</v>
      </c>
      <c r="AA8" s="27" t="n">
        <v>0</v>
      </c>
      <c r="AB8" s="27" t="n">
        <v>0</v>
      </c>
      <c r="AC8" s="27" t="n">
        <v>0</v>
      </c>
      <c r="AD8" s="27" t="n">
        <v>0</v>
      </c>
      <c r="AE8" s="27" t="n">
        <v>0</v>
      </c>
      <c r="AF8" s="27" t="n">
        <v>0</v>
      </c>
      <c r="AG8" s="27" t="n">
        <v>0</v>
      </c>
      <c r="AH8" s="27" t="n">
        <v>0</v>
      </c>
      <c r="AI8" s="27" t="n">
        <v>0</v>
      </c>
      <c r="AJ8" s="27" t="n">
        <v>0</v>
      </c>
      <c r="AK8" s="27" t="n">
        <v>0</v>
      </c>
      <c r="AL8" s="27" t="n">
        <v>0</v>
      </c>
      <c r="AM8" s="27" t="n">
        <v>0</v>
      </c>
      <c r="AN8" s="27" t="n">
        <v>0</v>
      </c>
      <c r="AO8" s="27" t="n">
        <v>0</v>
      </c>
      <c r="AP8" s="27" t="n">
        <v>0</v>
      </c>
      <c r="AQ8" s="27" t="n">
        <v>0</v>
      </c>
      <c r="AR8" s="27" t="n">
        <v>0</v>
      </c>
      <c r="AS8" s="27" t="n">
        <v>0</v>
      </c>
      <c r="AT8" s="27" t="n">
        <v>0</v>
      </c>
      <c r="AU8" s="27" t="n">
        <v>0</v>
      </c>
      <c r="AV8" s="27" t="n">
        <v>0</v>
      </c>
      <c r="AW8" s="27" t="n">
        <v>0</v>
      </c>
      <c r="AX8" s="27" t="n">
        <v>0</v>
      </c>
      <c r="AY8" s="27" t="n">
        <v>0</v>
      </c>
      <c r="AZ8" s="27" t="n">
        <v>0</v>
      </c>
      <c r="BA8" s="27" t="n">
        <v>0</v>
      </c>
      <c r="BB8" s="27" t="n">
        <v>0</v>
      </c>
      <c r="BC8" s="27" t="n">
        <v>0</v>
      </c>
      <c r="BD8" s="27" t="n">
        <v>0</v>
      </c>
      <c r="BE8" s="27" t="n">
        <v>0</v>
      </c>
      <c r="BF8" s="27" t="n">
        <v>0</v>
      </c>
      <c r="BG8" s="27" t="n">
        <v>0</v>
      </c>
      <c r="BH8" s="27" t="n">
        <v>0</v>
      </c>
      <c r="BI8" s="27" t="n">
        <v>0</v>
      </c>
      <c r="BJ8" s="27" t="n">
        <v>0</v>
      </c>
      <c r="BK8" s="27" t="n">
        <v>0</v>
      </c>
      <c r="BL8" s="27" t="n">
        <v>0</v>
      </c>
      <c r="BM8" s="27" t="n">
        <v>0</v>
      </c>
      <c r="BN8" s="27" t="n">
        <v>0</v>
      </c>
      <c r="BO8" s="27" t="n">
        <v>0</v>
      </c>
      <c r="BP8" s="27" t="n">
        <v>0</v>
      </c>
      <c r="BQ8" s="27" t="n">
        <v>0</v>
      </c>
      <c r="BR8" s="27" t="n">
        <v>0</v>
      </c>
      <c r="BS8" s="27" t="n">
        <v>0</v>
      </c>
      <c r="BT8" s="27" t="n">
        <v>0</v>
      </c>
      <c r="BU8" s="27" t="n">
        <v>0</v>
      </c>
      <c r="BV8" s="27" t="n">
        <v>0</v>
      </c>
      <c r="BW8" s="27" t="n">
        <v>0</v>
      </c>
      <c r="BX8" s="27" t="n">
        <v>0</v>
      </c>
      <c r="BY8" s="27" t="n">
        <v>0</v>
      </c>
      <c r="BZ8" s="27" t="n">
        <v>0</v>
      </c>
      <c r="CA8" s="27" t="n">
        <v>0</v>
      </c>
      <c r="CB8" s="27" t="n">
        <v>0</v>
      </c>
      <c r="CC8" s="27" t="n">
        <v>0</v>
      </c>
      <c r="CD8" s="27" t="n">
        <v>0</v>
      </c>
      <c r="CE8" s="27" t="n">
        <v>0</v>
      </c>
      <c r="CF8" s="27" t="n">
        <v>0</v>
      </c>
      <c r="CG8" s="27" t="n">
        <v>0</v>
      </c>
      <c r="CH8" s="27" t="n">
        <v>0</v>
      </c>
      <c r="CI8" s="27" t="n">
        <v>0</v>
      </c>
      <c r="CJ8" s="27" t="n">
        <v>0</v>
      </c>
      <c r="CK8" s="27" t="n">
        <v>0</v>
      </c>
      <c r="CL8" s="27" t="n">
        <v>0</v>
      </c>
      <c r="CM8" s="27" t="n">
        <v>0</v>
      </c>
      <c r="CN8" s="27" t="n">
        <v>0</v>
      </c>
      <c r="CO8" s="27" t="n">
        <v>0</v>
      </c>
      <c r="CP8" s="27" t="n">
        <v>0</v>
      </c>
      <c r="CQ8" s="27" t="n">
        <v>0</v>
      </c>
      <c r="CR8" s="27" t="n">
        <v>0</v>
      </c>
      <c r="CS8" s="27" t="n">
        <v>0</v>
      </c>
      <c r="CT8" s="27" t="n">
        <v>0</v>
      </c>
      <c r="CU8" s="27" t="n">
        <v>0</v>
      </c>
      <c r="CV8" s="27" t="n">
        <v>0</v>
      </c>
      <c r="CW8" s="27" t="n">
        <v>0</v>
      </c>
      <c r="CX8" s="27" t="n">
        <v>0</v>
      </c>
      <c r="CY8" s="27" t="n">
        <v>0</v>
      </c>
      <c r="CZ8" s="27" t="n">
        <v>0</v>
      </c>
      <c r="DA8" s="27" t="n">
        <v>0</v>
      </c>
    </row>
    <row r="9">
      <c r="A9" t="inlineStr">
        <is>
          <t>TSP-105</t>
        </is>
      </c>
      <c r="B9" s="27" t="n">
        <v>0</v>
      </c>
      <c r="C9" s="27" t="n">
        <v>0</v>
      </c>
      <c r="D9" s="27" t="n">
        <v>0</v>
      </c>
      <c r="E9" s="27" t="n">
        <v>0</v>
      </c>
      <c r="F9" s="27" t="n">
        <v>0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0</v>
      </c>
      <c r="P9" s="27" t="n">
        <v>0</v>
      </c>
      <c r="Q9" s="27" t="n">
        <v>0</v>
      </c>
      <c r="R9" s="27" t="n">
        <v>0</v>
      </c>
      <c r="S9" s="27" t="n">
        <v>0</v>
      </c>
      <c r="T9" s="27" t="n">
        <v>0</v>
      </c>
      <c r="U9" s="27" t="n">
        <v>0</v>
      </c>
      <c r="V9" s="27" t="n">
        <v>0</v>
      </c>
      <c r="W9" s="27" t="n">
        <v>0</v>
      </c>
      <c r="X9" s="27" t="n">
        <v>0</v>
      </c>
      <c r="Y9" s="27" t="n">
        <v>0</v>
      </c>
      <c r="Z9" s="27" t="n">
        <v>0</v>
      </c>
      <c r="AA9" s="27" t="n">
        <v>0</v>
      </c>
      <c r="AB9" s="27" t="n">
        <v>0</v>
      </c>
      <c r="AC9" s="27" t="n">
        <v>0</v>
      </c>
      <c r="AD9" s="27" t="n">
        <v>0</v>
      </c>
      <c r="AE9" s="27" t="n">
        <v>0</v>
      </c>
      <c r="AF9" s="27" t="n">
        <v>0</v>
      </c>
      <c r="AG9" s="27" t="n">
        <v>0</v>
      </c>
      <c r="AH9" s="27" t="n">
        <v>0</v>
      </c>
      <c r="AI9" s="27" t="n">
        <v>0</v>
      </c>
      <c r="AJ9" s="27" t="n">
        <v>0</v>
      </c>
      <c r="AK9" s="27" t="n">
        <v>0</v>
      </c>
      <c r="AL9" s="27" t="n">
        <v>0</v>
      </c>
      <c r="AM9" s="27" t="n">
        <v>0</v>
      </c>
      <c r="AN9" s="27" t="n">
        <v>0</v>
      </c>
      <c r="AO9" s="27" t="n">
        <v>0</v>
      </c>
      <c r="AP9" s="27" t="n">
        <v>0</v>
      </c>
      <c r="AQ9" s="27" t="n">
        <v>0</v>
      </c>
      <c r="AR9" s="27" t="n">
        <v>0</v>
      </c>
      <c r="AS9" s="27" t="n">
        <v>0</v>
      </c>
      <c r="AT9" s="27" t="n">
        <v>0</v>
      </c>
      <c r="AU9" s="27" t="n">
        <v>0</v>
      </c>
      <c r="AV9" s="27" t="n">
        <v>0</v>
      </c>
      <c r="AW9" s="27" t="n">
        <v>0</v>
      </c>
      <c r="AX9" s="27" t="n">
        <v>0</v>
      </c>
      <c r="AY9" s="27" t="n">
        <v>0</v>
      </c>
      <c r="AZ9" s="27" t="n">
        <v>0</v>
      </c>
      <c r="BA9" s="27" t="n">
        <v>0</v>
      </c>
      <c r="BB9" s="27" t="n">
        <v>0</v>
      </c>
      <c r="BC9" s="27" t="n">
        <v>0</v>
      </c>
      <c r="BD9" s="27" t="n">
        <v>0</v>
      </c>
      <c r="BE9" s="27" t="n">
        <v>0</v>
      </c>
      <c r="BF9" s="27" t="n">
        <v>0</v>
      </c>
      <c r="BG9" s="27" t="n">
        <v>0</v>
      </c>
      <c r="BH9" s="27" t="n">
        <v>0</v>
      </c>
      <c r="BI9" s="27" t="n">
        <v>0</v>
      </c>
      <c r="BJ9" s="27" t="n">
        <v>0</v>
      </c>
      <c r="BK9" s="27" t="n">
        <v>0</v>
      </c>
      <c r="BL9" s="27" t="n">
        <v>0</v>
      </c>
      <c r="BM9" s="27" t="n">
        <v>0</v>
      </c>
      <c r="BN9" s="27" t="n">
        <v>0</v>
      </c>
      <c r="BO9" s="27" t="n">
        <v>0</v>
      </c>
      <c r="BP9" s="27" t="n">
        <v>0</v>
      </c>
      <c r="BQ9" s="27" t="n">
        <v>0</v>
      </c>
      <c r="BR9" s="27" t="n">
        <v>0</v>
      </c>
      <c r="BS9" s="27" t="n">
        <v>0</v>
      </c>
      <c r="BT9" s="27" t="n">
        <v>0</v>
      </c>
      <c r="BU9" s="27" t="n">
        <v>0</v>
      </c>
      <c r="BV9" s="27" t="n">
        <v>0</v>
      </c>
      <c r="BW9" s="27" t="n">
        <v>0</v>
      </c>
      <c r="BX9" s="27" t="n">
        <v>0</v>
      </c>
      <c r="BY9" s="27" t="n">
        <v>0</v>
      </c>
      <c r="BZ9" s="27" t="n">
        <v>0</v>
      </c>
      <c r="CA9" s="27" t="n">
        <v>0</v>
      </c>
      <c r="CB9" s="27" t="n">
        <v>0</v>
      </c>
      <c r="CC9" s="27" t="n">
        <v>0</v>
      </c>
      <c r="CD9" s="27" t="n">
        <v>0</v>
      </c>
      <c r="CE9" s="27" t="n">
        <v>0</v>
      </c>
      <c r="CF9" s="27" t="n">
        <v>0</v>
      </c>
      <c r="CG9" s="27" t="n">
        <v>0</v>
      </c>
      <c r="CH9" s="27" t="n">
        <v>0</v>
      </c>
      <c r="CI9" s="27" t="n">
        <v>0</v>
      </c>
      <c r="CJ9" s="27" t="n">
        <v>0</v>
      </c>
      <c r="CK9" s="27" t="n">
        <v>0</v>
      </c>
      <c r="CL9" s="27" t="n">
        <v>0</v>
      </c>
      <c r="CM9" s="27" t="n">
        <v>0</v>
      </c>
      <c r="CN9" s="27" t="n">
        <v>0</v>
      </c>
      <c r="CO9" s="27" t="n">
        <v>0</v>
      </c>
      <c r="CP9" s="27" t="n">
        <v>0</v>
      </c>
      <c r="CQ9" s="27" t="n">
        <v>0</v>
      </c>
      <c r="CR9" s="27" t="n">
        <v>0</v>
      </c>
      <c r="CS9" s="27" t="n">
        <v>0</v>
      </c>
      <c r="CT9" s="27" t="n">
        <v>0</v>
      </c>
      <c r="CU9" s="27" t="n">
        <v>0</v>
      </c>
      <c r="CV9" s="27" t="n">
        <v>0</v>
      </c>
      <c r="CW9" s="27" t="n">
        <v>0</v>
      </c>
      <c r="CX9" s="27" t="n">
        <v>0</v>
      </c>
      <c r="CY9" s="27" t="n">
        <v>0</v>
      </c>
      <c r="CZ9" s="27" t="n">
        <v>0</v>
      </c>
      <c r="DA9" s="27" t="n">
        <v>0</v>
      </c>
    </row>
    <row r="10">
      <c r="A10" t="inlineStr">
        <is>
          <t>TSP-1388</t>
        </is>
      </c>
      <c r="B10" s="27" t="n">
        <v>0</v>
      </c>
      <c r="C10" s="27" t="n">
        <v>4.054540486283496</v>
      </c>
      <c r="D10" s="27" t="n">
        <v>4.84752501513953</v>
      </c>
      <c r="E10" s="27" t="n">
        <v>4.84752501513953</v>
      </c>
      <c r="F10" s="27" t="n">
        <v>4.84752501513953</v>
      </c>
      <c r="G10" s="27" t="n">
        <v>3.658048221855479</v>
      </c>
      <c r="H10" s="27" t="n">
        <v>2.468571428571428</v>
      </c>
      <c r="I10" s="27" t="n">
        <v>3.393720045570134</v>
      </c>
      <c r="J10" s="27" t="n">
        <v>4.49508744675907</v>
      </c>
      <c r="K10" s="27" t="n">
        <v>2.468571428571428</v>
      </c>
      <c r="L10" s="27" t="n">
        <v>4.84752501513953</v>
      </c>
      <c r="M10" s="27" t="n">
        <v>2.423762507569765</v>
      </c>
      <c r="N10" s="27" t="n">
        <v>4.466757656382879</v>
      </c>
      <c r="O10" s="27" t="n">
        <v>3.658048221855479</v>
      </c>
      <c r="P10" s="27" t="n">
        <v>3.658048221855479</v>
      </c>
      <c r="Q10" s="27" t="n">
        <v>3.658048221855479</v>
      </c>
      <c r="R10" s="27" t="n">
        <v>3.658048221855479</v>
      </c>
      <c r="S10" s="27" t="n">
        <v>0</v>
      </c>
      <c r="T10" s="27" t="n">
        <v>3.658048221855479</v>
      </c>
      <c r="U10" s="27" t="n">
        <v>3.277280863098829</v>
      </c>
      <c r="V10" s="27" t="n">
        <v>4.062402939119179</v>
      </c>
      <c r="W10" s="27" t="n">
        <v>3.658048221855479</v>
      </c>
      <c r="X10" s="27" t="n">
        <v>4.84752501513953</v>
      </c>
      <c r="Y10" s="27" t="n">
        <v>1.189476793284051</v>
      </c>
      <c r="Z10" s="27" t="n">
        <v>0</v>
      </c>
      <c r="AA10" s="27" t="n">
        <v>2.027270243141748</v>
      </c>
      <c r="AB10" s="27" t="n">
        <v>3.232471942097165</v>
      </c>
      <c r="AC10" s="27" t="n">
        <v>1.189476793284051</v>
      </c>
      <c r="AD10" s="27" t="n">
        <v>2.468571428571428</v>
      </c>
      <c r="AE10" s="27" t="n">
        <v>3.277280863098829</v>
      </c>
      <c r="AF10" s="27" t="n">
        <v>3.261555957427462</v>
      </c>
      <c r="AG10" s="27" t="n">
        <v>2.423762507569765</v>
      </c>
      <c r="AH10" s="27" t="n">
        <v>3.658048221855479</v>
      </c>
      <c r="AI10" s="27" t="n">
        <v>4.466757656382879</v>
      </c>
      <c r="AJ10" s="27" t="n">
        <v>3.658048221855479</v>
      </c>
      <c r="AK10" s="27" t="n">
        <v>3.658048221855479</v>
      </c>
      <c r="AL10" s="27" t="n">
        <v>3.658048221855479</v>
      </c>
      <c r="AM10" s="27" t="n">
        <v>2.468571428571428</v>
      </c>
      <c r="AN10" s="27" t="n">
        <v>3.232471942097165</v>
      </c>
      <c r="AO10" s="27" t="n">
        <v>2.423762507569765</v>
      </c>
      <c r="AP10" s="27" t="n">
        <v>3.658048221855479</v>
      </c>
      <c r="AQ10" s="27" t="n">
        <v>3.658048221855479</v>
      </c>
      <c r="AR10" s="27" t="n">
        <v>2.423762507569765</v>
      </c>
      <c r="AS10" s="27" t="n">
        <v>4.070265391954862</v>
      </c>
      <c r="AT10" s="27" t="n">
        <v>4.466757656382879</v>
      </c>
      <c r="AU10" s="27" t="n">
        <v>4.892333936141194</v>
      </c>
      <c r="AV10" s="27" t="n">
        <v>4.892333936141194</v>
      </c>
      <c r="AW10" s="27" t="n">
        <v>4.466757656382879</v>
      </c>
      <c r="AX10" s="27" t="n">
        <v>3.658048221855479</v>
      </c>
      <c r="AY10" s="27" t="n">
        <v>4.466757656382879</v>
      </c>
      <c r="AZ10" s="27" t="n">
        <v>1.234285714285714</v>
      </c>
      <c r="BA10" s="27" t="n">
        <v>0</v>
      </c>
      <c r="BB10" s="27" t="n">
        <v>0</v>
      </c>
      <c r="BC10" s="27" t="n">
        <v>1.234285714285714</v>
      </c>
      <c r="BD10" s="27" t="n">
        <v>4.466757656382879</v>
      </c>
      <c r="BE10" s="27" t="n">
        <v>3.658048221855479</v>
      </c>
      <c r="BF10" s="27" t="n">
        <v>3.658048221855479</v>
      </c>
      <c r="BG10" s="27" t="n">
        <v>2.423762507569765</v>
      </c>
      <c r="BH10" s="27" t="n">
        <v>3.658048221855479</v>
      </c>
      <c r="BI10" s="27" t="n">
        <v>1.234285714285714</v>
      </c>
      <c r="BJ10" s="27" t="n">
        <v>3.232471942097165</v>
      </c>
      <c r="BK10" s="27" t="n">
        <v>1.234285714285714</v>
      </c>
      <c r="BL10" s="27" t="n">
        <v>3.658048221855479</v>
      </c>
      <c r="BM10" s="27" t="n">
        <v>1.638640431549414</v>
      </c>
      <c r="BN10" s="27" t="n">
        <v>2.423762507569765</v>
      </c>
      <c r="BO10" s="27" t="n">
        <v>1.234285714285714</v>
      </c>
      <c r="BP10" s="27" t="n">
        <v>0</v>
      </c>
      <c r="BQ10" s="27" t="n">
        <v>1.503855525794848</v>
      </c>
      <c r="BR10" s="27" t="n">
        <v>1.234285714285714</v>
      </c>
      <c r="BS10" s="27" t="n">
        <v>1.234285714285714</v>
      </c>
      <c r="BT10" s="27" t="n">
        <v>0</v>
      </c>
      <c r="BU10" s="27" t="n">
        <v>1.234285714285714</v>
      </c>
      <c r="BV10" s="27" t="n">
        <v>0.9257142857142857</v>
      </c>
      <c r="BW10" s="27" t="n">
        <v>0</v>
      </c>
      <c r="BX10" s="27" t="n">
        <v>0</v>
      </c>
      <c r="BY10" s="27" t="n">
        <v>1.131428571428571</v>
      </c>
      <c r="BZ10" s="27" t="n">
        <v>0</v>
      </c>
      <c r="CA10" s="27" t="n">
        <v>0</v>
      </c>
      <c r="CB10" s="27" t="n">
        <v>0</v>
      </c>
      <c r="CC10" s="27" t="n">
        <v>0</v>
      </c>
      <c r="CD10" s="27" t="n">
        <v>0</v>
      </c>
      <c r="CE10" s="27" t="n">
        <v>0</v>
      </c>
      <c r="CF10" s="27" t="n">
        <v>0</v>
      </c>
      <c r="CG10" s="27" t="n">
        <v>0</v>
      </c>
      <c r="CH10" s="27" t="n">
        <v>0</v>
      </c>
      <c r="CI10" s="27" t="n">
        <v>0</v>
      </c>
      <c r="CJ10" s="27" t="n">
        <v>0</v>
      </c>
      <c r="CK10" s="27" t="n">
        <v>0</v>
      </c>
      <c r="CL10" s="27" t="n">
        <v>0</v>
      </c>
      <c r="CM10" s="27" t="n">
        <v>0</v>
      </c>
      <c r="CN10" s="27" t="n">
        <v>0</v>
      </c>
      <c r="CO10" s="27" t="n">
        <v>0</v>
      </c>
      <c r="CP10" s="27" t="n">
        <v>0</v>
      </c>
      <c r="CQ10" s="27" t="n">
        <v>0</v>
      </c>
      <c r="CR10" s="27" t="n">
        <v>0</v>
      </c>
      <c r="CS10" s="27" t="n">
        <v>0</v>
      </c>
      <c r="CT10" s="27" t="n">
        <v>0</v>
      </c>
      <c r="CU10" s="27" t="n">
        <v>0</v>
      </c>
      <c r="CV10" s="27" t="n">
        <v>0</v>
      </c>
      <c r="CW10" s="27" t="n">
        <v>0</v>
      </c>
      <c r="CX10" s="27" t="n">
        <v>0</v>
      </c>
      <c r="CY10" s="27" t="n">
        <v>0</v>
      </c>
      <c r="CZ10" s="27" t="n">
        <v>0</v>
      </c>
      <c r="DA10" s="27" t="n">
        <v>0</v>
      </c>
    </row>
    <row r="11">
      <c r="A11" t="inlineStr">
        <is>
          <t>TSP-1444</t>
        </is>
      </c>
      <c r="B11" s="27" t="n">
        <v>0</v>
      </c>
      <c r="C11" s="27" t="n">
        <v>7.458075052893359</v>
      </c>
      <c r="D11" s="27" t="n">
        <v>7.458075052893359</v>
      </c>
      <c r="E11" s="27" t="n">
        <v>7.458075052893359</v>
      </c>
      <c r="F11" s="27" t="n">
        <v>7.458075052893359</v>
      </c>
      <c r="G11" s="27" t="n">
        <v>7.458075052893359</v>
      </c>
      <c r="H11" s="27" t="n">
        <v>7.458075052893359</v>
      </c>
      <c r="I11" s="27" t="n">
        <v>7.458075052893359</v>
      </c>
      <c r="J11" s="27" t="n">
        <v>7.458075052893359</v>
      </c>
      <c r="K11" s="27" t="n">
        <v>7.458075052893359</v>
      </c>
      <c r="L11" s="27" t="n">
        <v>7.458075052893359</v>
      </c>
      <c r="M11" s="27" t="n">
        <v>3.72903752644668</v>
      </c>
      <c r="N11" s="27" t="n">
        <v>9.827223475654733</v>
      </c>
      <c r="O11" s="27" t="n">
        <v>7.458075052893359</v>
      </c>
      <c r="P11" s="27" t="n">
        <v>7.458075052893359</v>
      </c>
      <c r="Q11" s="27" t="n">
        <v>7.458075052893359</v>
      </c>
      <c r="R11" s="27" t="n">
        <v>7.458075052893359</v>
      </c>
      <c r="S11" s="27" t="n">
        <v>0</v>
      </c>
      <c r="T11" s="27" t="n">
        <v>7.458075052893359</v>
      </c>
      <c r="U11" s="27" t="n">
        <v>9.827223475654733</v>
      </c>
      <c r="V11" s="27" t="n">
        <v>8.642649264274047</v>
      </c>
      <c r="W11" s="27" t="n">
        <v>7.458075052893359</v>
      </c>
      <c r="X11" s="27" t="n">
        <v>7.458075052893359</v>
      </c>
      <c r="Y11" s="27" t="n">
        <v>0</v>
      </c>
      <c r="Z11" s="27" t="n">
        <v>0</v>
      </c>
      <c r="AA11" s="27" t="n">
        <v>3.72903752644668</v>
      </c>
      <c r="AB11" s="27" t="n">
        <v>6.098185949208053</v>
      </c>
      <c r="AC11" s="27" t="n">
        <v>0</v>
      </c>
      <c r="AD11" s="27" t="n">
        <v>7.458075052893359</v>
      </c>
      <c r="AE11" s="27" t="n">
        <v>9.827223475654733</v>
      </c>
      <c r="AF11" s="27" t="n">
        <v>7.458075052893359</v>
      </c>
      <c r="AG11" s="27" t="n">
        <v>3.72903752644668</v>
      </c>
      <c r="AH11" s="27" t="n">
        <v>7.458075052893359</v>
      </c>
      <c r="AI11" s="27" t="n">
        <v>9.827223475654733</v>
      </c>
      <c r="AJ11" s="27" t="n">
        <v>7.458075052893359</v>
      </c>
      <c r="AK11" s="27" t="n">
        <v>7.458075052893359</v>
      </c>
      <c r="AL11" s="27" t="n">
        <v>7.458075052893359</v>
      </c>
      <c r="AM11" s="27" t="n">
        <v>7.458075052893359</v>
      </c>
      <c r="AN11" s="27" t="n">
        <v>6.098185949208053</v>
      </c>
      <c r="AO11" s="27" t="n">
        <v>3.72903752644668</v>
      </c>
      <c r="AP11" s="27" t="n">
        <v>7.458075052893359</v>
      </c>
      <c r="AQ11" s="27" t="n">
        <v>7.458075052893359</v>
      </c>
      <c r="AR11" s="27" t="n">
        <v>3.72903752644668</v>
      </c>
      <c r="AS11" s="27" t="n">
        <v>9.827223475654733</v>
      </c>
      <c r="AT11" s="27" t="n">
        <v>9.827223475654733</v>
      </c>
      <c r="AU11" s="27" t="n">
        <v>11.18711257934004</v>
      </c>
      <c r="AV11" s="27" t="n">
        <v>11.18711257934004</v>
      </c>
      <c r="AW11" s="27" t="n">
        <v>9.827223475654733</v>
      </c>
      <c r="AX11" s="27" t="n">
        <v>7.458075052893359</v>
      </c>
      <c r="AY11" s="27" t="n">
        <v>9.827223475654733</v>
      </c>
      <c r="AZ11" s="27" t="n">
        <v>3.72903752644668</v>
      </c>
      <c r="BA11" s="27" t="n">
        <v>0</v>
      </c>
      <c r="BB11" s="27" t="n">
        <v>0</v>
      </c>
      <c r="BC11" s="27" t="n">
        <v>3.72903752644668</v>
      </c>
      <c r="BD11" s="27" t="n">
        <v>9.827223475654733</v>
      </c>
      <c r="BE11" s="27" t="n">
        <v>7.458075052893359</v>
      </c>
      <c r="BF11" s="27" t="n">
        <v>7.458075052893359</v>
      </c>
      <c r="BG11" s="27" t="n">
        <v>3.72903752644668</v>
      </c>
      <c r="BH11" s="27" t="n">
        <v>7.458075052893359</v>
      </c>
      <c r="BI11" s="27" t="n">
        <v>3.72903752644668</v>
      </c>
      <c r="BJ11" s="27" t="n">
        <v>6.098185949208053</v>
      </c>
      <c r="BK11" s="27" t="n">
        <v>3.72903752644668</v>
      </c>
      <c r="BL11" s="27" t="n">
        <v>7.458075052893359</v>
      </c>
      <c r="BM11" s="27" t="n">
        <v>4.913611737827367</v>
      </c>
      <c r="BN11" s="27" t="n">
        <v>3.72903752644668</v>
      </c>
      <c r="BO11" s="27" t="n">
        <v>3.72903752644668</v>
      </c>
      <c r="BP11" s="27" t="n">
        <v>0</v>
      </c>
      <c r="BQ11" s="27" t="n">
        <v>4.518753667367138</v>
      </c>
      <c r="BR11" s="27" t="n">
        <v>3.72903752644668</v>
      </c>
      <c r="BS11" s="27" t="n">
        <v>3.72903752644668</v>
      </c>
      <c r="BT11" s="27" t="n">
        <v>0</v>
      </c>
      <c r="BU11" s="27" t="n">
        <v>3.72903752644668</v>
      </c>
      <c r="BV11" s="27" t="n">
        <v>2.79677814483501</v>
      </c>
      <c r="BW11" s="27" t="n">
        <v>0</v>
      </c>
      <c r="BX11" s="27" t="n">
        <v>0</v>
      </c>
      <c r="BY11" s="27" t="n">
        <v>3.41828439924279</v>
      </c>
      <c r="BZ11" s="27" t="n">
        <v>0</v>
      </c>
      <c r="CA11" s="27" t="n">
        <v>0</v>
      </c>
      <c r="CB11" s="27" t="n">
        <v>0</v>
      </c>
      <c r="CC11" s="27" t="n">
        <v>0</v>
      </c>
      <c r="CD11" s="27" t="n">
        <v>0</v>
      </c>
      <c r="CE11" s="27" t="n">
        <v>0</v>
      </c>
      <c r="CF11" s="27" t="n">
        <v>0</v>
      </c>
      <c r="CG11" s="27" t="n">
        <v>0</v>
      </c>
      <c r="CH11" s="27" t="n">
        <v>0</v>
      </c>
      <c r="CI11" s="27" t="n">
        <v>0</v>
      </c>
      <c r="CJ11" s="27" t="n">
        <v>0</v>
      </c>
      <c r="CK11" s="27" t="n">
        <v>0</v>
      </c>
      <c r="CL11" s="27" t="n">
        <v>0</v>
      </c>
      <c r="CM11" s="27" t="n">
        <v>0</v>
      </c>
      <c r="CN11" s="27" t="n">
        <v>0</v>
      </c>
      <c r="CO11" s="27" t="n">
        <v>0</v>
      </c>
      <c r="CP11" s="27" t="n">
        <v>0</v>
      </c>
      <c r="CQ11" s="27" t="n">
        <v>0</v>
      </c>
      <c r="CR11" s="27" t="n">
        <v>0</v>
      </c>
      <c r="CS11" s="27" t="n">
        <v>0</v>
      </c>
      <c r="CT11" s="27" t="n">
        <v>0</v>
      </c>
      <c r="CU11" s="27" t="n">
        <v>0</v>
      </c>
      <c r="CV11" s="27" t="n">
        <v>0</v>
      </c>
      <c r="CW11" s="27" t="n">
        <v>0</v>
      </c>
      <c r="CX11" s="27" t="n">
        <v>0</v>
      </c>
      <c r="CY11" s="27" t="n">
        <v>0</v>
      </c>
      <c r="CZ11" s="27" t="n">
        <v>0</v>
      </c>
      <c r="DA11" s="27" t="n">
        <v>0</v>
      </c>
    </row>
    <row r="12">
      <c r="A12" t="inlineStr">
        <is>
          <t>TSP-1445</t>
        </is>
      </c>
      <c r="B12" s="27" t="n">
        <v>0</v>
      </c>
      <c r="C12" s="27" t="n">
        <v>5.574477097577114</v>
      </c>
      <c r="D12" s="27" t="n">
        <v>6.689372517092537</v>
      </c>
      <c r="E12" s="27" t="n">
        <v>6.689372517092537</v>
      </c>
      <c r="F12" s="27" t="n">
        <v>6.689372517092537</v>
      </c>
      <c r="G12" s="27" t="n">
        <v>3.344686258546269</v>
      </c>
      <c r="H12" s="27" t="n">
        <v>1.114895419515423</v>
      </c>
      <c r="I12" s="27" t="n">
        <v>2.601422645535987</v>
      </c>
      <c r="J12" s="27" t="n">
        <v>5.698354366412161</v>
      </c>
      <c r="K12" s="27" t="n">
        <v>0</v>
      </c>
      <c r="L12" s="27" t="n">
        <v>6.689372517092537</v>
      </c>
      <c r="M12" s="27" t="n">
        <v>3.344686258546269</v>
      </c>
      <c r="N12" s="27" t="n">
        <v>3.344686258546269</v>
      </c>
      <c r="O12" s="27" t="n">
        <v>3.344686258546269</v>
      </c>
      <c r="P12" s="27" t="n">
        <v>3.344686258546269</v>
      </c>
      <c r="Q12" s="27" t="n">
        <v>3.344686258546269</v>
      </c>
      <c r="R12" s="27" t="n">
        <v>3.344686258546269</v>
      </c>
      <c r="S12" s="27" t="n">
        <v>0</v>
      </c>
      <c r="T12" s="27" t="n">
        <v>3.344686258546269</v>
      </c>
      <c r="U12" s="27" t="n">
        <v>0</v>
      </c>
      <c r="V12" s="27" t="n">
        <v>3.344686258546269</v>
      </c>
      <c r="W12" s="27" t="n">
        <v>3.344686258546269</v>
      </c>
      <c r="X12" s="27" t="n">
        <v>6.689372517092537</v>
      </c>
      <c r="Y12" s="27" t="n">
        <v>3.344686258546269</v>
      </c>
      <c r="Z12" s="27" t="n">
        <v>0</v>
      </c>
      <c r="AA12" s="27" t="n">
        <v>3.344686258546268</v>
      </c>
      <c r="AB12" s="27" t="n">
        <v>3.344686258546269</v>
      </c>
      <c r="AC12" s="27" t="n">
        <v>3.344686258546269</v>
      </c>
      <c r="AD12" s="27" t="n">
        <v>0</v>
      </c>
      <c r="AE12" s="27" t="n">
        <v>0</v>
      </c>
      <c r="AF12" s="27" t="n">
        <v>3.344686258546268</v>
      </c>
      <c r="AG12" s="27" t="n">
        <v>3.344686258546269</v>
      </c>
      <c r="AH12" s="27" t="n">
        <v>3.344686258546269</v>
      </c>
      <c r="AI12" s="27" t="n">
        <v>3.344686258546269</v>
      </c>
      <c r="AJ12" s="27" t="n">
        <v>3.344686258546269</v>
      </c>
      <c r="AK12" s="27" t="n">
        <v>3.344686258546269</v>
      </c>
      <c r="AL12" s="27" t="n">
        <v>3.344686258546269</v>
      </c>
      <c r="AM12" s="27" t="n">
        <v>0</v>
      </c>
      <c r="AN12" s="27" t="n">
        <v>3.344686258546269</v>
      </c>
      <c r="AO12" s="27" t="n">
        <v>3.344686258546269</v>
      </c>
      <c r="AP12" s="27" t="n">
        <v>3.344686258546269</v>
      </c>
      <c r="AQ12" s="27" t="n">
        <v>3.344686258546269</v>
      </c>
      <c r="AR12" s="27" t="n">
        <v>3.344686258546269</v>
      </c>
      <c r="AS12" s="27" t="n">
        <v>3.344686258546268</v>
      </c>
      <c r="AT12" s="27" t="n">
        <v>3.344686258546269</v>
      </c>
      <c r="AU12" s="27" t="n">
        <v>3.344686258546269</v>
      </c>
      <c r="AV12" s="27" t="n">
        <v>3.344686258546269</v>
      </c>
      <c r="AW12" s="27" t="n">
        <v>3.344686258546269</v>
      </c>
      <c r="AX12" s="27" t="n">
        <v>3.344686258546269</v>
      </c>
      <c r="AY12" s="27" t="n">
        <v>3.344686258546269</v>
      </c>
      <c r="AZ12" s="27" t="n">
        <v>0</v>
      </c>
      <c r="BA12" s="27" t="n">
        <v>0</v>
      </c>
      <c r="BB12" s="27" t="n">
        <v>0</v>
      </c>
      <c r="BC12" s="27" t="n">
        <v>0</v>
      </c>
      <c r="BD12" s="27" t="n">
        <v>3.344686258546269</v>
      </c>
      <c r="BE12" s="27" t="n">
        <v>3.344686258546269</v>
      </c>
      <c r="BF12" s="27" t="n">
        <v>4.459581678061691</v>
      </c>
      <c r="BG12" s="27" t="n">
        <v>3.344686258546269</v>
      </c>
      <c r="BH12" s="27" t="n">
        <v>3.344686258546269</v>
      </c>
      <c r="BI12" s="27" t="n">
        <v>0</v>
      </c>
      <c r="BJ12" s="27" t="n">
        <v>3.344686258546269</v>
      </c>
      <c r="BK12" s="27" t="n">
        <v>0</v>
      </c>
      <c r="BL12" s="27" t="n">
        <v>4.459581678061691</v>
      </c>
      <c r="BM12" s="27" t="n">
        <v>0</v>
      </c>
      <c r="BN12" s="27" t="n">
        <v>3.344686258546269</v>
      </c>
      <c r="BO12" s="27" t="n">
        <v>0</v>
      </c>
      <c r="BP12" s="27" t="n">
        <v>1.114895419515423</v>
      </c>
      <c r="BQ12" s="27" t="n">
        <v>0</v>
      </c>
      <c r="BR12" s="27" t="n">
        <v>0</v>
      </c>
      <c r="BS12" s="27" t="n">
        <v>1.114895419515423</v>
      </c>
      <c r="BT12" s="27" t="n">
        <v>0</v>
      </c>
      <c r="BU12" s="27" t="n">
        <v>0</v>
      </c>
      <c r="BV12" s="27" t="n">
        <v>0</v>
      </c>
      <c r="BW12" s="27" t="n">
        <v>1.114895419515423</v>
      </c>
      <c r="BX12" s="27" t="n">
        <v>0</v>
      </c>
      <c r="BY12" s="27" t="n">
        <v>0</v>
      </c>
      <c r="BZ12" s="27" t="n">
        <v>0</v>
      </c>
      <c r="CA12" s="27" t="n">
        <v>0</v>
      </c>
      <c r="CB12" s="27" t="n">
        <v>0</v>
      </c>
      <c r="CC12" s="27" t="n">
        <v>0</v>
      </c>
      <c r="CD12" s="27" t="n">
        <v>0</v>
      </c>
      <c r="CE12" s="27" t="n">
        <v>0</v>
      </c>
      <c r="CF12" s="27" t="n">
        <v>0</v>
      </c>
      <c r="CG12" s="27" t="n">
        <v>0</v>
      </c>
      <c r="CH12" s="27" t="n">
        <v>0</v>
      </c>
      <c r="CI12" s="27" t="n">
        <v>0</v>
      </c>
      <c r="CJ12" s="27" t="n">
        <v>0</v>
      </c>
      <c r="CK12" s="27" t="n">
        <v>0</v>
      </c>
      <c r="CL12" s="27" t="n">
        <v>0</v>
      </c>
      <c r="CM12" s="27" t="n">
        <v>0</v>
      </c>
      <c r="CN12" s="27" t="n">
        <v>0</v>
      </c>
      <c r="CO12" s="27" t="n">
        <v>0</v>
      </c>
      <c r="CP12" s="27" t="n">
        <v>0</v>
      </c>
      <c r="CQ12" s="27" t="n">
        <v>0</v>
      </c>
      <c r="CR12" s="27" t="n">
        <v>0</v>
      </c>
      <c r="CS12" s="27" t="n">
        <v>0</v>
      </c>
      <c r="CT12" s="27" t="n">
        <v>0</v>
      </c>
      <c r="CU12" s="27" t="n">
        <v>0</v>
      </c>
      <c r="CV12" s="27" t="n">
        <v>0</v>
      </c>
      <c r="CW12" s="27" t="n">
        <v>0</v>
      </c>
      <c r="CX12" s="27" t="n">
        <v>0</v>
      </c>
      <c r="CY12" s="27" t="n">
        <v>0</v>
      </c>
      <c r="CZ12" s="27" t="n">
        <v>0</v>
      </c>
      <c r="DA12" s="27" t="n">
        <v>0</v>
      </c>
    </row>
    <row r="13">
      <c r="A13" t="inlineStr">
        <is>
          <t>TSP-1446</t>
        </is>
      </c>
      <c r="B13" s="27" t="n">
        <v>0</v>
      </c>
      <c r="C13" s="27" t="n">
        <v>0</v>
      </c>
      <c r="D13" s="27" t="n">
        <v>0</v>
      </c>
      <c r="E13" s="27" t="n">
        <v>0</v>
      </c>
      <c r="F13" s="27" t="n">
        <v>0</v>
      </c>
      <c r="G13" s="27" t="n">
        <v>0</v>
      </c>
      <c r="H13" s="27" t="n">
        <v>0</v>
      </c>
      <c r="I13" s="27" t="n">
        <v>0</v>
      </c>
      <c r="J13" s="27" t="n">
        <v>0</v>
      </c>
      <c r="K13" s="27" t="n">
        <v>0</v>
      </c>
      <c r="L13" s="27" t="n">
        <v>0</v>
      </c>
      <c r="M13" s="27" t="n">
        <v>0</v>
      </c>
      <c r="N13" s="27" t="n">
        <v>0</v>
      </c>
      <c r="O13" s="27" t="n">
        <v>0</v>
      </c>
      <c r="P13" s="27" t="n">
        <v>0</v>
      </c>
      <c r="Q13" s="27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27" t="n">
        <v>0</v>
      </c>
      <c r="AB13" s="27" t="n">
        <v>0</v>
      </c>
      <c r="AC13" s="27" t="n">
        <v>0</v>
      </c>
      <c r="AD13" s="27" t="n">
        <v>0</v>
      </c>
      <c r="AE13" s="27" t="n">
        <v>0</v>
      </c>
      <c r="AF13" s="27" t="n">
        <v>0</v>
      </c>
      <c r="AG13" s="27" t="n">
        <v>0</v>
      </c>
      <c r="AH13" s="27" t="n">
        <v>0</v>
      </c>
      <c r="AI13" s="27" t="n">
        <v>0</v>
      </c>
      <c r="AJ13" s="27" t="n">
        <v>0</v>
      </c>
      <c r="AK13" s="27" t="n">
        <v>0</v>
      </c>
      <c r="AL13" s="27" t="n">
        <v>0</v>
      </c>
      <c r="AM13" s="27" t="n">
        <v>0</v>
      </c>
      <c r="AN13" s="27" t="n">
        <v>0</v>
      </c>
      <c r="AO13" s="27" t="n">
        <v>0</v>
      </c>
      <c r="AP13" s="27" t="n">
        <v>0</v>
      </c>
      <c r="AQ13" s="27" t="n">
        <v>0</v>
      </c>
      <c r="AR13" s="27" t="n">
        <v>0</v>
      </c>
      <c r="AS13" s="27" t="n">
        <v>0</v>
      </c>
      <c r="AT13" s="27" t="n">
        <v>0</v>
      </c>
      <c r="AU13" s="27" t="n">
        <v>0</v>
      </c>
      <c r="AV13" s="27" t="n">
        <v>0</v>
      </c>
      <c r="AW13" s="27" t="n">
        <v>0</v>
      </c>
      <c r="AX13" s="27" t="n">
        <v>0</v>
      </c>
      <c r="AY13" s="27" t="n">
        <v>0</v>
      </c>
      <c r="AZ13" s="27" t="n">
        <v>0</v>
      </c>
      <c r="BA13" s="27" t="n">
        <v>0</v>
      </c>
      <c r="BB13" s="27" t="n">
        <v>0</v>
      </c>
      <c r="BC13" s="27" t="n">
        <v>0</v>
      </c>
      <c r="BD13" s="27" t="n">
        <v>0</v>
      </c>
      <c r="BE13" s="27" t="n">
        <v>0</v>
      </c>
      <c r="BF13" s="27" t="n">
        <v>0</v>
      </c>
      <c r="BG13" s="27" t="n">
        <v>0</v>
      </c>
      <c r="BH13" s="27" t="n">
        <v>0</v>
      </c>
      <c r="BI13" s="27" t="n">
        <v>0</v>
      </c>
      <c r="BJ13" s="27" t="n">
        <v>0</v>
      </c>
      <c r="BK13" s="27" t="n">
        <v>0</v>
      </c>
      <c r="BL13" s="27" t="n">
        <v>0</v>
      </c>
      <c r="BM13" s="27" t="n">
        <v>0</v>
      </c>
      <c r="BN13" s="27" t="n">
        <v>0</v>
      </c>
      <c r="BO13" s="27" t="n">
        <v>0</v>
      </c>
      <c r="BP13" s="27" t="n">
        <v>0</v>
      </c>
      <c r="BQ13" s="27" t="n">
        <v>0</v>
      </c>
      <c r="BR13" s="27" t="n">
        <v>0</v>
      </c>
      <c r="BS13" s="27" t="n">
        <v>0</v>
      </c>
      <c r="BT13" s="27" t="n">
        <v>0</v>
      </c>
      <c r="BU13" s="27" t="n">
        <v>0</v>
      </c>
      <c r="BV13" s="27" t="n">
        <v>0</v>
      </c>
      <c r="BW13" s="27" t="n">
        <v>0</v>
      </c>
      <c r="BX13" s="27" t="n">
        <v>0</v>
      </c>
      <c r="BY13" s="27" t="n">
        <v>0</v>
      </c>
      <c r="BZ13" s="27" t="n">
        <v>0</v>
      </c>
      <c r="CA13" s="27" t="n">
        <v>0</v>
      </c>
      <c r="CB13" s="27" t="n">
        <v>0</v>
      </c>
      <c r="CC13" s="27" t="n">
        <v>0</v>
      </c>
      <c r="CD13" s="27" t="n">
        <v>0</v>
      </c>
      <c r="CE13" s="27" t="n">
        <v>0</v>
      </c>
      <c r="CF13" s="27" t="n">
        <v>0</v>
      </c>
      <c r="CG13" s="27" t="n">
        <v>0</v>
      </c>
      <c r="CH13" s="27" t="n">
        <v>0</v>
      </c>
      <c r="CI13" s="27" t="n">
        <v>0</v>
      </c>
      <c r="CJ13" s="27" t="n">
        <v>0</v>
      </c>
      <c r="CK13" s="27" t="n">
        <v>0</v>
      </c>
      <c r="CL13" s="27" t="n">
        <v>0</v>
      </c>
      <c r="CM13" s="27" t="n">
        <v>0</v>
      </c>
      <c r="CN13" s="27" t="n">
        <v>0</v>
      </c>
      <c r="CO13" s="27" t="n">
        <v>0</v>
      </c>
      <c r="CP13" s="27" t="n">
        <v>0</v>
      </c>
      <c r="CQ13" s="27" t="n">
        <v>0</v>
      </c>
      <c r="CR13" s="27" t="n">
        <v>0</v>
      </c>
      <c r="CS13" s="27" t="n">
        <v>0</v>
      </c>
      <c r="CT13" s="27" t="n">
        <v>0</v>
      </c>
      <c r="CU13" s="27" t="n">
        <v>0</v>
      </c>
      <c r="CV13" s="27" t="n">
        <v>0</v>
      </c>
      <c r="CW13" s="27" t="n">
        <v>0</v>
      </c>
      <c r="CX13" s="27" t="n">
        <v>0</v>
      </c>
      <c r="CY13" s="27" t="n">
        <v>0</v>
      </c>
      <c r="CZ13" s="27" t="n">
        <v>0</v>
      </c>
      <c r="DA13" s="27" t="n">
        <v>0</v>
      </c>
    </row>
    <row r="14">
      <c r="A14" t="inlineStr">
        <is>
          <t>TSP-1448</t>
        </is>
      </c>
      <c r="B14" s="27" t="n">
        <v>0</v>
      </c>
      <c r="C14" s="27" t="n">
        <v>4.629994301523985</v>
      </c>
      <c r="D14" s="27" t="n">
        <v>4.629994301523985</v>
      </c>
      <c r="E14" s="27" t="n">
        <v>4.629994301523985</v>
      </c>
      <c r="F14" s="27" t="n">
        <v>4.629994301523985</v>
      </c>
      <c r="G14" s="27" t="n">
        <v>4.629994301523985</v>
      </c>
      <c r="H14" s="27" t="n">
        <v>4.629994301523985</v>
      </c>
      <c r="I14" s="27" t="n">
        <v>4.629994301523985</v>
      </c>
      <c r="J14" s="27" t="n">
        <v>4.629994301523985</v>
      </c>
      <c r="K14" s="27" t="n">
        <v>4.629994301523985</v>
      </c>
      <c r="L14" s="27" t="n">
        <v>4.629994301523985</v>
      </c>
      <c r="M14" s="27" t="n">
        <v>2.314997150761993</v>
      </c>
      <c r="N14" s="27" t="n">
        <v>6.134017780153573</v>
      </c>
      <c r="O14" s="27" t="n">
        <v>4.629994301523985</v>
      </c>
      <c r="P14" s="27" t="n">
        <v>4.629994301523985</v>
      </c>
      <c r="Q14" s="27" t="n">
        <v>4.629994301523985</v>
      </c>
      <c r="R14" s="27" t="n">
        <v>4.629994301523985</v>
      </c>
      <c r="S14" s="27" t="n">
        <v>0</v>
      </c>
      <c r="T14" s="27" t="n">
        <v>4.629994301523985</v>
      </c>
      <c r="U14" s="27" t="n">
        <v>6.134017780153573</v>
      </c>
      <c r="V14" s="27" t="n">
        <v>5.382006040838779</v>
      </c>
      <c r="W14" s="27" t="n">
        <v>4.629994301523985</v>
      </c>
      <c r="X14" s="27" t="n">
        <v>4.629994301523985</v>
      </c>
      <c r="Y14" s="27" t="n">
        <v>0</v>
      </c>
      <c r="Z14" s="27" t="n">
        <v>0</v>
      </c>
      <c r="AA14" s="27" t="n">
        <v>2.314997150761993</v>
      </c>
      <c r="AB14" s="27" t="n">
        <v>3.81902062939158</v>
      </c>
      <c r="AC14" s="27" t="n">
        <v>0</v>
      </c>
      <c r="AD14" s="27" t="n">
        <v>4.629994301523985</v>
      </c>
      <c r="AE14" s="27" t="n">
        <v>6.134017780153573</v>
      </c>
      <c r="AF14" s="27" t="n">
        <v>4.629994301523985</v>
      </c>
      <c r="AG14" s="27" t="n">
        <v>2.314997150761993</v>
      </c>
      <c r="AH14" s="27" t="n">
        <v>4.629994301523985</v>
      </c>
      <c r="AI14" s="27" t="n">
        <v>6.134017780153573</v>
      </c>
      <c r="AJ14" s="27" t="n">
        <v>4.629994301523985</v>
      </c>
      <c r="AK14" s="27" t="n">
        <v>4.629994301523985</v>
      </c>
      <c r="AL14" s="27" t="n">
        <v>4.629994301523985</v>
      </c>
      <c r="AM14" s="27" t="n">
        <v>4.629994301523985</v>
      </c>
      <c r="AN14" s="27" t="n">
        <v>3.81902062939158</v>
      </c>
      <c r="AO14" s="27" t="n">
        <v>2.314997150761993</v>
      </c>
      <c r="AP14" s="27" t="n">
        <v>4.629994301523985</v>
      </c>
      <c r="AQ14" s="27" t="n">
        <v>4.629994301523985</v>
      </c>
      <c r="AR14" s="27" t="n">
        <v>2.314997150761993</v>
      </c>
      <c r="AS14" s="27" t="n">
        <v>6.134017780153573</v>
      </c>
      <c r="AT14" s="27" t="n">
        <v>6.134017780153573</v>
      </c>
      <c r="AU14" s="27" t="n">
        <v>6.944991452285977</v>
      </c>
      <c r="AV14" s="27" t="n">
        <v>6.944991452285977</v>
      </c>
      <c r="AW14" s="27" t="n">
        <v>6.134017780153573</v>
      </c>
      <c r="AX14" s="27" t="n">
        <v>4.629994301523985</v>
      </c>
      <c r="AY14" s="27" t="n">
        <v>6.134017780153573</v>
      </c>
      <c r="AZ14" s="27" t="n">
        <v>2.314997150761993</v>
      </c>
      <c r="BA14" s="27" t="n">
        <v>0</v>
      </c>
      <c r="BB14" s="27" t="n">
        <v>0</v>
      </c>
      <c r="BC14" s="27" t="n">
        <v>2.314997150761993</v>
      </c>
      <c r="BD14" s="27" t="n">
        <v>6.134017780153573</v>
      </c>
      <c r="BE14" s="27" t="n">
        <v>4.629994301523985</v>
      </c>
      <c r="BF14" s="27" t="n">
        <v>4.629994301523985</v>
      </c>
      <c r="BG14" s="27" t="n">
        <v>2.314997150761993</v>
      </c>
      <c r="BH14" s="27" t="n">
        <v>4.629994301523985</v>
      </c>
      <c r="BI14" s="27" t="n">
        <v>2.314997150761993</v>
      </c>
      <c r="BJ14" s="27" t="n">
        <v>3.81902062939158</v>
      </c>
      <c r="BK14" s="27" t="n">
        <v>2.314997150761993</v>
      </c>
      <c r="BL14" s="27" t="n">
        <v>4.629994301523985</v>
      </c>
      <c r="BM14" s="27" t="n">
        <v>3.067008890076786</v>
      </c>
      <c r="BN14" s="27" t="n">
        <v>2.314997150761993</v>
      </c>
      <c r="BO14" s="27" t="n">
        <v>2.314997150761993</v>
      </c>
      <c r="BP14" s="27" t="n">
        <v>0</v>
      </c>
      <c r="BQ14" s="27" t="n">
        <v>2.816338310305189</v>
      </c>
      <c r="BR14" s="27" t="n">
        <v>2.314997150761993</v>
      </c>
      <c r="BS14" s="27" t="n">
        <v>2.314997150761993</v>
      </c>
      <c r="BT14" s="27" t="n">
        <v>0</v>
      </c>
      <c r="BU14" s="27" t="n">
        <v>2.314997150761993</v>
      </c>
      <c r="BV14" s="27" t="n">
        <v>1.736247863071494</v>
      </c>
      <c r="BW14" s="27" t="n">
        <v>0</v>
      </c>
      <c r="BX14" s="27" t="n">
        <v>0</v>
      </c>
      <c r="BY14" s="27" t="n">
        <v>2.122080721531827</v>
      </c>
      <c r="BZ14" s="27" t="n">
        <v>0</v>
      </c>
      <c r="CA14" s="27" t="n">
        <v>0</v>
      </c>
      <c r="CB14" s="27" t="n">
        <v>0</v>
      </c>
      <c r="CC14" s="27" t="n">
        <v>0</v>
      </c>
      <c r="CD14" s="27" t="n">
        <v>0</v>
      </c>
      <c r="CE14" s="27" t="n">
        <v>0</v>
      </c>
      <c r="CF14" s="27" t="n">
        <v>0</v>
      </c>
      <c r="CG14" s="27" t="n">
        <v>0</v>
      </c>
      <c r="CH14" s="27" t="n">
        <v>0</v>
      </c>
      <c r="CI14" s="27" t="n">
        <v>0</v>
      </c>
      <c r="CJ14" s="27" t="n">
        <v>0</v>
      </c>
      <c r="CK14" s="27" t="n">
        <v>0</v>
      </c>
      <c r="CL14" s="27" t="n">
        <v>0</v>
      </c>
      <c r="CM14" s="27" t="n">
        <v>0</v>
      </c>
      <c r="CN14" s="27" t="n">
        <v>0</v>
      </c>
      <c r="CO14" s="27" t="n">
        <v>0</v>
      </c>
      <c r="CP14" s="27" t="n">
        <v>0</v>
      </c>
      <c r="CQ14" s="27" t="n">
        <v>0</v>
      </c>
      <c r="CR14" s="27" t="n">
        <v>0</v>
      </c>
      <c r="CS14" s="27" t="n">
        <v>0</v>
      </c>
      <c r="CT14" s="27" t="n">
        <v>0</v>
      </c>
      <c r="CU14" s="27" t="n">
        <v>0</v>
      </c>
      <c r="CV14" s="27" t="n">
        <v>0</v>
      </c>
      <c r="CW14" s="27" t="n">
        <v>0</v>
      </c>
      <c r="CX14" s="27" t="n">
        <v>0</v>
      </c>
      <c r="CY14" s="27" t="n">
        <v>0</v>
      </c>
      <c r="CZ14" s="27" t="n">
        <v>0</v>
      </c>
      <c r="DA14" s="27" t="n">
        <v>0</v>
      </c>
    </row>
    <row r="15">
      <c r="A15" t="inlineStr">
        <is>
          <t>TSP-1449</t>
        </is>
      </c>
      <c r="B15" s="27" t="n">
        <v>0</v>
      </c>
      <c r="C15" s="27" t="n">
        <v>3.567645225577254</v>
      </c>
      <c r="D15" s="27" t="n">
        <v>4.281174270692706</v>
      </c>
      <c r="E15" s="27" t="n">
        <v>4.281174270692706</v>
      </c>
      <c r="F15" s="27" t="n">
        <v>4.281174270692706</v>
      </c>
      <c r="G15" s="27" t="n">
        <v>2.140587135346353</v>
      </c>
      <c r="H15" s="27" t="n">
        <v>0.7135290451154509</v>
      </c>
      <c r="I15" s="27" t="n">
        <v>1.664901105269386</v>
      </c>
      <c r="J15" s="27" t="n">
        <v>3.646926230590083</v>
      </c>
      <c r="K15" s="27" t="n">
        <v>0</v>
      </c>
      <c r="L15" s="27" t="n">
        <v>4.281174270692706</v>
      </c>
      <c r="M15" s="27" t="n">
        <v>2.140587135346353</v>
      </c>
      <c r="N15" s="27" t="n">
        <v>2.140587135346353</v>
      </c>
      <c r="O15" s="27" t="n">
        <v>2.140587135346353</v>
      </c>
      <c r="P15" s="27" t="n">
        <v>2.140587135346353</v>
      </c>
      <c r="Q15" s="27" t="n">
        <v>2.140587135346353</v>
      </c>
      <c r="R15" s="27" t="n">
        <v>2.140587135346353</v>
      </c>
      <c r="S15" s="27" t="n">
        <v>0</v>
      </c>
      <c r="T15" s="27" t="n">
        <v>2.140587135346353</v>
      </c>
      <c r="U15" s="27" t="n">
        <v>0</v>
      </c>
      <c r="V15" s="27" t="n">
        <v>2.140587135346353</v>
      </c>
      <c r="W15" s="27" t="n">
        <v>2.140587135346353</v>
      </c>
      <c r="X15" s="27" t="n">
        <v>4.281174270692706</v>
      </c>
      <c r="Y15" s="27" t="n">
        <v>2.140587135346353</v>
      </c>
      <c r="Z15" s="27" t="n">
        <v>0</v>
      </c>
      <c r="AA15" s="27" t="n">
        <v>2.140587135346353</v>
      </c>
      <c r="AB15" s="27" t="n">
        <v>2.140587135346353</v>
      </c>
      <c r="AC15" s="27" t="n">
        <v>2.140587135346353</v>
      </c>
      <c r="AD15" s="27" t="n">
        <v>0</v>
      </c>
      <c r="AE15" s="27" t="n">
        <v>0</v>
      </c>
      <c r="AF15" s="27" t="n">
        <v>2.140587135346353</v>
      </c>
      <c r="AG15" s="27" t="n">
        <v>2.140587135346353</v>
      </c>
      <c r="AH15" s="27" t="n">
        <v>2.140587135346353</v>
      </c>
      <c r="AI15" s="27" t="n">
        <v>2.140587135346353</v>
      </c>
      <c r="AJ15" s="27" t="n">
        <v>2.140587135346353</v>
      </c>
      <c r="AK15" s="27" t="n">
        <v>2.140587135346353</v>
      </c>
      <c r="AL15" s="27" t="n">
        <v>2.140587135346353</v>
      </c>
      <c r="AM15" s="27" t="n">
        <v>0</v>
      </c>
      <c r="AN15" s="27" t="n">
        <v>2.140587135346353</v>
      </c>
      <c r="AO15" s="27" t="n">
        <v>2.140587135346353</v>
      </c>
      <c r="AP15" s="27" t="n">
        <v>2.140587135346353</v>
      </c>
      <c r="AQ15" s="27" t="n">
        <v>2.140587135346353</v>
      </c>
      <c r="AR15" s="27" t="n">
        <v>2.140587135346353</v>
      </c>
      <c r="AS15" s="27" t="n">
        <v>2.140587135346353</v>
      </c>
      <c r="AT15" s="27" t="n">
        <v>2.140587135346353</v>
      </c>
      <c r="AU15" s="27" t="n">
        <v>2.140587135346353</v>
      </c>
      <c r="AV15" s="27" t="n">
        <v>2.140587135346353</v>
      </c>
      <c r="AW15" s="27" t="n">
        <v>2.140587135346353</v>
      </c>
      <c r="AX15" s="27" t="n">
        <v>2.140587135346353</v>
      </c>
      <c r="AY15" s="27" t="n">
        <v>2.140587135346353</v>
      </c>
      <c r="AZ15" s="27" t="n">
        <v>0</v>
      </c>
      <c r="BA15" s="27" t="n">
        <v>0</v>
      </c>
      <c r="BB15" s="27" t="n">
        <v>0</v>
      </c>
      <c r="BC15" s="27" t="n">
        <v>0</v>
      </c>
      <c r="BD15" s="27" t="n">
        <v>2.140587135346353</v>
      </c>
      <c r="BE15" s="27" t="n">
        <v>2.140587135346353</v>
      </c>
      <c r="BF15" s="27" t="n">
        <v>2.854116180461804</v>
      </c>
      <c r="BG15" s="27" t="n">
        <v>2.140587135346353</v>
      </c>
      <c r="BH15" s="27" t="n">
        <v>2.140587135346353</v>
      </c>
      <c r="BI15" s="27" t="n">
        <v>0</v>
      </c>
      <c r="BJ15" s="27" t="n">
        <v>2.140587135346353</v>
      </c>
      <c r="BK15" s="27" t="n">
        <v>0</v>
      </c>
      <c r="BL15" s="27" t="n">
        <v>2.854116180461804</v>
      </c>
      <c r="BM15" s="27" t="n">
        <v>0</v>
      </c>
      <c r="BN15" s="27" t="n">
        <v>2.140587135346353</v>
      </c>
      <c r="BO15" s="27" t="n">
        <v>0</v>
      </c>
      <c r="BP15" s="27" t="n">
        <v>0.7135290451154509</v>
      </c>
      <c r="BQ15" s="27" t="n">
        <v>0</v>
      </c>
      <c r="BR15" s="27" t="n">
        <v>0</v>
      </c>
      <c r="BS15" s="27" t="n">
        <v>0.7135290451154509</v>
      </c>
      <c r="BT15" s="27" t="n">
        <v>0</v>
      </c>
      <c r="BU15" s="27" t="n">
        <v>0</v>
      </c>
      <c r="BV15" s="27" t="n">
        <v>0</v>
      </c>
      <c r="BW15" s="27" t="n">
        <v>0.7135290451154509</v>
      </c>
      <c r="BX15" s="27" t="n">
        <v>0</v>
      </c>
      <c r="BY15" s="27" t="n">
        <v>0</v>
      </c>
      <c r="BZ15" s="27" t="n">
        <v>0</v>
      </c>
      <c r="CA15" s="27" t="n">
        <v>0</v>
      </c>
      <c r="CB15" s="27" t="n">
        <v>0</v>
      </c>
      <c r="CC15" s="27" t="n">
        <v>0</v>
      </c>
      <c r="CD15" s="27" t="n">
        <v>0</v>
      </c>
      <c r="CE15" s="27" t="n">
        <v>0</v>
      </c>
      <c r="CF15" s="27" t="n">
        <v>0</v>
      </c>
      <c r="CG15" s="27" t="n">
        <v>0</v>
      </c>
      <c r="CH15" s="27" t="n">
        <v>0</v>
      </c>
      <c r="CI15" s="27" t="n">
        <v>0</v>
      </c>
      <c r="CJ15" s="27" t="n">
        <v>0</v>
      </c>
      <c r="CK15" s="27" t="n">
        <v>0</v>
      </c>
      <c r="CL15" s="27" t="n">
        <v>0</v>
      </c>
      <c r="CM15" s="27" t="n">
        <v>0</v>
      </c>
      <c r="CN15" s="27" t="n">
        <v>0</v>
      </c>
      <c r="CO15" s="27" t="n">
        <v>0</v>
      </c>
      <c r="CP15" s="27" t="n">
        <v>0</v>
      </c>
      <c r="CQ15" s="27" t="n">
        <v>0</v>
      </c>
      <c r="CR15" s="27" t="n">
        <v>0</v>
      </c>
      <c r="CS15" s="27" t="n">
        <v>0</v>
      </c>
      <c r="CT15" s="27" t="n">
        <v>0</v>
      </c>
      <c r="CU15" s="27" t="n">
        <v>0</v>
      </c>
      <c r="CV15" s="27" t="n">
        <v>0</v>
      </c>
      <c r="CW15" s="27" t="n">
        <v>0</v>
      </c>
      <c r="CX15" s="27" t="n">
        <v>0</v>
      </c>
      <c r="CY15" s="27" t="n">
        <v>0</v>
      </c>
      <c r="CZ15" s="27" t="n">
        <v>0</v>
      </c>
      <c r="DA15" s="27" t="n">
        <v>0</v>
      </c>
    </row>
    <row r="16">
      <c r="A16" t="inlineStr">
        <is>
          <t>TSP-199</t>
        </is>
      </c>
      <c r="B16" s="27" t="n">
        <v>0</v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27" t="n">
        <v>0</v>
      </c>
      <c r="AB16" s="27" t="n">
        <v>0</v>
      </c>
      <c r="AC16" s="27" t="n">
        <v>0</v>
      </c>
      <c r="AD16" s="27" t="n">
        <v>0</v>
      </c>
      <c r="AE16" s="27" t="n">
        <v>0</v>
      </c>
      <c r="AF16" s="27" t="n">
        <v>0</v>
      </c>
      <c r="AG16" s="27" t="n">
        <v>0</v>
      </c>
      <c r="AH16" s="27" t="n">
        <v>0</v>
      </c>
      <c r="AI16" s="27" t="n">
        <v>0</v>
      </c>
      <c r="AJ16" s="27" t="n">
        <v>0</v>
      </c>
      <c r="AK16" s="27" t="n">
        <v>0</v>
      </c>
      <c r="AL16" s="27" t="n">
        <v>0</v>
      </c>
      <c r="AM16" s="27" t="n">
        <v>0</v>
      </c>
      <c r="AN16" s="27" t="n">
        <v>0</v>
      </c>
      <c r="AO16" s="27" t="n">
        <v>0</v>
      </c>
      <c r="AP16" s="27" t="n">
        <v>0</v>
      </c>
      <c r="AQ16" s="27" t="n">
        <v>0</v>
      </c>
      <c r="AR16" s="27" t="n">
        <v>0</v>
      </c>
      <c r="AS16" s="27" t="n">
        <v>0</v>
      </c>
      <c r="AT16" s="27" t="n">
        <v>0</v>
      </c>
      <c r="AU16" s="27" t="n">
        <v>0</v>
      </c>
      <c r="AV16" s="27" t="n">
        <v>0</v>
      </c>
      <c r="AW16" s="27" t="n">
        <v>0</v>
      </c>
      <c r="AX16" s="27" t="n">
        <v>0</v>
      </c>
      <c r="AY16" s="27" t="n">
        <v>0</v>
      </c>
      <c r="AZ16" s="27" t="n">
        <v>0</v>
      </c>
      <c r="BA16" s="27" t="n">
        <v>0</v>
      </c>
      <c r="BB16" s="27" t="n">
        <v>0</v>
      </c>
      <c r="BC16" s="27" t="n">
        <v>0</v>
      </c>
      <c r="BD16" s="27" t="n">
        <v>0</v>
      </c>
      <c r="BE16" s="27" t="n">
        <v>0</v>
      </c>
      <c r="BF16" s="27" t="n">
        <v>0</v>
      </c>
      <c r="BG16" s="27" t="n">
        <v>0</v>
      </c>
      <c r="BH16" s="27" t="n">
        <v>0</v>
      </c>
      <c r="BI16" s="27" t="n">
        <v>0</v>
      </c>
      <c r="BJ16" s="27" t="n">
        <v>0</v>
      </c>
      <c r="BK16" s="27" t="n">
        <v>0</v>
      </c>
      <c r="BL16" s="27" t="n">
        <v>0</v>
      </c>
      <c r="BM16" s="27" t="n">
        <v>0</v>
      </c>
      <c r="BN16" s="27" t="n">
        <v>0</v>
      </c>
      <c r="BO16" s="27" t="n">
        <v>0</v>
      </c>
      <c r="BP16" s="27" t="n">
        <v>0</v>
      </c>
      <c r="BQ16" s="27" t="n">
        <v>0</v>
      </c>
      <c r="BR16" s="27" t="n">
        <v>0</v>
      </c>
      <c r="BS16" s="27" t="n">
        <v>0</v>
      </c>
      <c r="BT16" s="27" t="n">
        <v>0</v>
      </c>
      <c r="BU16" s="27" t="n">
        <v>0</v>
      </c>
      <c r="BV16" s="27" t="n">
        <v>0</v>
      </c>
      <c r="BW16" s="27" t="n">
        <v>0</v>
      </c>
      <c r="BX16" s="27" t="n">
        <v>0</v>
      </c>
      <c r="BY16" s="27" t="n">
        <v>0</v>
      </c>
      <c r="BZ16" s="27" t="n">
        <v>0</v>
      </c>
      <c r="CA16" s="27" t="n">
        <v>0</v>
      </c>
      <c r="CB16" s="27" t="n">
        <v>0</v>
      </c>
      <c r="CC16" s="27" t="n">
        <v>0</v>
      </c>
      <c r="CD16" s="27" t="n">
        <v>0</v>
      </c>
      <c r="CE16" s="27" t="n">
        <v>0</v>
      </c>
      <c r="CF16" s="27" t="n">
        <v>0</v>
      </c>
      <c r="CG16" s="27" t="n">
        <v>0</v>
      </c>
      <c r="CH16" s="27" t="n">
        <v>0</v>
      </c>
      <c r="CI16" s="27" t="n">
        <v>0</v>
      </c>
      <c r="CJ16" s="27" t="n">
        <v>0</v>
      </c>
      <c r="CK16" s="27" t="n">
        <v>0</v>
      </c>
      <c r="CL16" s="27" t="n">
        <v>0</v>
      </c>
      <c r="CM16" s="27" t="n">
        <v>0</v>
      </c>
      <c r="CN16" s="27" t="n">
        <v>0</v>
      </c>
      <c r="CO16" s="27" t="n">
        <v>0</v>
      </c>
      <c r="CP16" s="27" t="n">
        <v>0</v>
      </c>
      <c r="CQ16" s="27" t="n">
        <v>0</v>
      </c>
      <c r="CR16" s="27" t="n">
        <v>0</v>
      </c>
      <c r="CS16" s="27" t="n">
        <v>0</v>
      </c>
      <c r="CT16" s="27" t="n">
        <v>0</v>
      </c>
      <c r="CU16" s="27" t="n">
        <v>0</v>
      </c>
      <c r="CV16" s="27" t="n">
        <v>0</v>
      </c>
      <c r="CW16" s="27" t="n">
        <v>0</v>
      </c>
      <c r="CX16" s="27" t="n">
        <v>0</v>
      </c>
      <c r="CY16" s="27" t="n">
        <v>0</v>
      </c>
      <c r="CZ16" s="27" t="n">
        <v>0</v>
      </c>
      <c r="DA16" s="27" t="n">
        <v>0</v>
      </c>
    </row>
    <row r="17">
      <c r="A17" t="inlineStr">
        <is>
          <t>TSP-205</t>
        </is>
      </c>
      <c r="B17" s="27" t="n">
        <v>0</v>
      </c>
      <c r="C17" s="27" t="n">
        <v>0</v>
      </c>
      <c r="D17" s="27" t="n">
        <v>0</v>
      </c>
      <c r="E17" s="27" t="n">
        <v>0</v>
      </c>
      <c r="F17" s="27" t="n">
        <v>0</v>
      </c>
      <c r="G17" s="27" t="n">
        <v>0</v>
      </c>
      <c r="H17" s="27" t="n">
        <v>0</v>
      </c>
      <c r="I17" s="27" t="n">
        <v>0</v>
      </c>
      <c r="J17" s="27" t="n">
        <v>0</v>
      </c>
      <c r="K17" s="27" t="n">
        <v>0</v>
      </c>
      <c r="L17" s="27" t="n">
        <v>0</v>
      </c>
      <c r="M17" s="27" t="n">
        <v>0</v>
      </c>
      <c r="N17" s="27" t="n">
        <v>0</v>
      </c>
      <c r="O17" s="27" t="n">
        <v>0</v>
      </c>
      <c r="P17" s="27" t="n">
        <v>0</v>
      </c>
      <c r="Q17" s="27" t="n">
        <v>0</v>
      </c>
      <c r="R17" s="27" t="n">
        <v>0</v>
      </c>
      <c r="S17" s="27" t="n">
        <v>0</v>
      </c>
      <c r="T17" s="27" t="n">
        <v>0</v>
      </c>
      <c r="U17" s="27" t="n">
        <v>0</v>
      </c>
      <c r="V17" s="27" t="n">
        <v>0</v>
      </c>
      <c r="W17" s="27" t="n">
        <v>0</v>
      </c>
      <c r="X17" s="27" t="n">
        <v>0</v>
      </c>
      <c r="Y17" s="27" t="n">
        <v>0</v>
      </c>
      <c r="Z17" s="27" t="n">
        <v>0</v>
      </c>
      <c r="AA17" s="27" t="n">
        <v>0</v>
      </c>
      <c r="AB17" s="27" t="n">
        <v>0</v>
      </c>
      <c r="AC17" s="27" t="n">
        <v>0</v>
      </c>
      <c r="AD17" s="27" t="n">
        <v>0</v>
      </c>
      <c r="AE17" s="27" t="n">
        <v>0</v>
      </c>
      <c r="AF17" s="27" t="n">
        <v>0</v>
      </c>
      <c r="AG17" s="27" t="n">
        <v>0</v>
      </c>
      <c r="AH17" s="27" t="n">
        <v>0</v>
      </c>
      <c r="AI17" s="27" t="n">
        <v>0</v>
      </c>
      <c r="AJ17" s="27" t="n">
        <v>0</v>
      </c>
      <c r="AK17" s="27" t="n">
        <v>0</v>
      </c>
      <c r="AL17" s="27" t="n">
        <v>0</v>
      </c>
      <c r="AM17" s="27" t="n">
        <v>0</v>
      </c>
      <c r="AN17" s="27" t="n">
        <v>0</v>
      </c>
      <c r="AO17" s="27" t="n">
        <v>0</v>
      </c>
      <c r="AP17" s="27" t="n">
        <v>0</v>
      </c>
      <c r="AQ17" s="27" t="n">
        <v>0</v>
      </c>
      <c r="AR17" s="27" t="n">
        <v>0</v>
      </c>
      <c r="AS17" s="27" t="n">
        <v>0</v>
      </c>
      <c r="AT17" s="27" t="n">
        <v>0</v>
      </c>
      <c r="AU17" s="27" t="n">
        <v>0</v>
      </c>
      <c r="AV17" s="27" t="n">
        <v>0</v>
      </c>
      <c r="AW17" s="27" t="n">
        <v>0</v>
      </c>
      <c r="AX17" s="27" t="n">
        <v>0</v>
      </c>
      <c r="AY17" s="27" t="n">
        <v>0</v>
      </c>
      <c r="AZ17" s="27" t="n">
        <v>0</v>
      </c>
      <c r="BA17" s="27" t="n">
        <v>0</v>
      </c>
      <c r="BB17" s="27" t="n">
        <v>0</v>
      </c>
      <c r="BC17" s="27" t="n">
        <v>0</v>
      </c>
      <c r="BD17" s="27" t="n">
        <v>0</v>
      </c>
      <c r="BE17" s="27" t="n">
        <v>0</v>
      </c>
      <c r="BF17" s="27" t="n">
        <v>0</v>
      </c>
      <c r="BG17" s="27" t="n">
        <v>0</v>
      </c>
      <c r="BH17" s="27" t="n">
        <v>0</v>
      </c>
      <c r="BI17" s="27" t="n">
        <v>0</v>
      </c>
      <c r="BJ17" s="27" t="n">
        <v>0</v>
      </c>
      <c r="BK17" s="27" t="n">
        <v>0</v>
      </c>
      <c r="BL17" s="27" t="n">
        <v>0</v>
      </c>
      <c r="BM17" s="27" t="n">
        <v>0</v>
      </c>
      <c r="BN17" s="27" t="n">
        <v>0</v>
      </c>
      <c r="BO17" s="27" t="n">
        <v>0</v>
      </c>
      <c r="BP17" s="27" t="n">
        <v>0</v>
      </c>
      <c r="BQ17" s="27" t="n">
        <v>0</v>
      </c>
      <c r="BR17" s="27" t="n">
        <v>0</v>
      </c>
      <c r="BS17" s="27" t="n">
        <v>0</v>
      </c>
      <c r="BT17" s="27" t="n">
        <v>0</v>
      </c>
      <c r="BU17" s="27" t="n">
        <v>0</v>
      </c>
      <c r="BV17" s="27" t="n">
        <v>0</v>
      </c>
      <c r="BW17" s="27" t="n">
        <v>0</v>
      </c>
      <c r="BX17" s="27" t="n">
        <v>0</v>
      </c>
      <c r="BY17" s="27" t="n">
        <v>0</v>
      </c>
      <c r="BZ17" s="27" t="n">
        <v>0</v>
      </c>
      <c r="CA17" s="27" t="n">
        <v>0</v>
      </c>
      <c r="CB17" s="27" t="n">
        <v>0</v>
      </c>
      <c r="CC17" s="27" t="n">
        <v>0</v>
      </c>
      <c r="CD17" s="27" t="n">
        <v>0</v>
      </c>
      <c r="CE17" s="27" t="n">
        <v>0</v>
      </c>
      <c r="CF17" s="27" t="n">
        <v>0</v>
      </c>
      <c r="CG17" s="27" t="n">
        <v>0</v>
      </c>
      <c r="CH17" s="27" t="n">
        <v>0</v>
      </c>
      <c r="CI17" s="27" t="n">
        <v>0</v>
      </c>
      <c r="CJ17" s="27" t="n">
        <v>0</v>
      </c>
      <c r="CK17" s="27" t="n">
        <v>0</v>
      </c>
      <c r="CL17" s="27" t="n">
        <v>0</v>
      </c>
      <c r="CM17" s="27" t="n">
        <v>0</v>
      </c>
      <c r="CN17" s="27" t="n">
        <v>0</v>
      </c>
      <c r="CO17" s="27" t="n">
        <v>0</v>
      </c>
      <c r="CP17" s="27" t="n">
        <v>0</v>
      </c>
      <c r="CQ17" s="27" t="n">
        <v>0</v>
      </c>
      <c r="CR17" s="27" t="n">
        <v>0</v>
      </c>
      <c r="CS17" s="27" t="n">
        <v>0</v>
      </c>
      <c r="CT17" s="27" t="n">
        <v>0</v>
      </c>
      <c r="CU17" s="27" t="n">
        <v>0</v>
      </c>
      <c r="CV17" s="27" t="n">
        <v>0</v>
      </c>
      <c r="CW17" s="27" t="n">
        <v>0</v>
      </c>
      <c r="CX17" s="27" t="n">
        <v>0</v>
      </c>
      <c r="CY17" s="27" t="n">
        <v>0</v>
      </c>
      <c r="CZ17" s="27" t="n">
        <v>0</v>
      </c>
      <c r="DA17" s="27" t="n">
        <v>0</v>
      </c>
    </row>
    <row r="18">
      <c r="A18" t="inlineStr">
        <is>
          <t>TSP-206</t>
        </is>
      </c>
      <c r="B18" s="27" t="n">
        <v>0</v>
      </c>
      <c r="C18" s="27" t="n">
        <v>0</v>
      </c>
      <c r="D18" s="27" t="n">
        <v>0</v>
      </c>
      <c r="E18" s="27" t="n">
        <v>0</v>
      </c>
      <c r="F18" s="27" t="n">
        <v>0</v>
      </c>
      <c r="G18" s="27" t="n">
        <v>0</v>
      </c>
      <c r="H18" s="27" t="n">
        <v>0</v>
      </c>
      <c r="I18" s="27" t="n">
        <v>0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27" t="n">
        <v>0</v>
      </c>
      <c r="AK18" s="27" t="n">
        <v>0</v>
      </c>
      <c r="AL18" s="27" t="n">
        <v>0</v>
      </c>
      <c r="AM18" s="27" t="n">
        <v>0</v>
      </c>
      <c r="AN18" s="27" t="n">
        <v>0</v>
      </c>
      <c r="AO18" s="27" t="n">
        <v>0</v>
      </c>
      <c r="AP18" s="27" t="n">
        <v>0</v>
      </c>
      <c r="AQ18" s="27" t="n">
        <v>0</v>
      </c>
      <c r="AR18" s="27" t="n">
        <v>0</v>
      </c>
      <c r="AS18" s="27" t="n">
        <v>0</v>
      </c>
      <c r="AT18" s="27" t="n">
        <v>0</v>
      </c>
      <c r="AU18" s="27" t="n">
        <v>0</v>
      </c>
      <c r="AV18" s="27" t="n">
        <v>0</v>
      </c>
      <c r="AW18" s="27" t="n">
        <v>0</v>
      </c>
      <c r="AX18" s="27" t="n">
        <v>0</v>
      </c>
      <c r="AY18" s="27" t="n">
        <v>0</v>
      </c>
      <c r="AZ18" s="27" t="n">
        <v>0</v>
      </c>
      <c r="BA18" s="27" t="n">
        <v>0</v>
      </c>
      <c r="BB18" s="27" t="n">
        <v>0</v>
      </c>
      <c r="BC18" s="27" t="n">
        <v>0</v>
      </c>
      <c r="BD18" s="27" t="n">
        <v>0</v>
      </c>
      <c r="BE18" s="27" t="n">
        <v>0</v>
      </c>
      <c r="BF18" s="27" t="n">
        <v>0</v>
      </c>
      <c r="BG18" s="27" t="n">
        <v>0</v>
      </c>
      <c r="BH18" s="27" t="n">
        <v>0</v>
      </c>
      <c r="BI18" s="27" t="n">
        <v>0</v>
      </c>
      <c r="BJ18" s="27" t="n">
        <v>0</v>
      </c>
      <c r="BK18" s="27" t="n">
        <v>0</v>
      </c>
      <c r="BL18" s="27" t="n">
        <v>0</v>
      </c>
      <c r="BM18" s="27" t="n">
        <v>0</v>
      </c>
      <c r="BN18" s="27" t="n">
        <v>0</v>
      </c>
      <c r="BO18" s="27" t="n">
        <v>0</v>
      </c>
      <c r="BP18" s="27" t="n">
        <v>0</v>
      </c>
      <c r="BQ18" s="27" t="n">
        <v>0</v>
      </c>
      <c r="BR18" s="27" t="n">
        <v>0</v>
      </c>
      <c r="BS18" s="27" t="n">
        <v>0</v>
      </c>
      <c r="BT18" s="27" t="n">
        <v>0</v>
      </c>
      <c r="BU18" s="27" t="n">
        <v>0</v>
      </c>
      <c r="BV18" s="27" t="n">
        <v>0</v>
      </c>
      <c r="BW18" s="27" t="n">
        <v>0</v>
      </c>
      <c r="BX18" s="27" t="n">
        <v>0</v>
      </c>
      <c r="BY18" s="27" t="n">
        <v>0</v>
      </c>
      <c r="BZ18" s="27" t="n">
        <v>0</v>
      </c>
      <c r="CA18" s="27" t="n">
        <v>0</v>
      </c>
      <c r="CB18" s="27" t="n">
        <v>0</v>
      </c>
      <c r="CC18" s="27" t="n">
        <v>0</v>
      </c>
      <c r="CD18" s="27" t="n">
        <v>0</v>
      </c>
      <c r="CE18" s="27" t="n">
        <v>0</v>
      </c>
      <c r="CF18" s="27" t="n">
        <v>0</v>
      </c>
      <c r="CG18" s="27" t="n">
        <v>0</v>
      </c>
      <c r="CH18" s="27" t="n">
        <v>0</v>
      </c>
      <c r="CI18" s="27" t="n">
        <v>0</v>
      </c>
      <c r="CJ18" s="27" t="n">
        <v>0</v>
      </c>
      <c r="CK18" s="27" t="n">
        <v>0</v>
      </c>
      <c r="CL18" s="27" t="n">
        <v>0</v>
      </c>
      <c r="CM18" s="27" t="n">
        <v>0</v>
      </c>
      <c r="CN18" s="27" t="n">
        <v>0</v>
      </c>
      <c r="CO18" s="27" t="n">
        <v>0</v>
      </c>
      <c r="CP18" s="27" t="n">
        <v>0</v>
      </c>
      <c r="CQ18" s="27" t="n">
        <v>0</v>
      </c>
      <c r="CR18" s="27" t="n">
        <v>0</v>
      </c>
      <c r="CS18" s="27" t="n">
        <v>0</v>
      </c>
      <c r="CT18" s="27" t="n">
        <v>0</v>
      </c>
      <c r="CU18" s="27" t="n">
        <v>0</v>
      </c>
      <c r="CV18" s="27" t="n">
        <v>0</v>
      </c>
      <c r="CW18" s="27" t="n">
        <v>0</v>
      </c>
      <c r="CX18" s="27" t="n">
        <v>0</v>
      </c>
      <c r="CY18" s="27" t="n">
        <v>0</v>
      </c>
      <c r="CZ18" s="27" t="n">
        <v>0</v>
      </c>
      <c r="DA18" s="27" t="n">
        <v>0</v>
      </c>
    </row>
    <row r="19">
      <c r="A19" t="inlineStr">
        <is>
          <t>TSP-224</t>
        </is>
      </c>
      <c r="B19" s="27" t="n">
        <v>0</v>
      </c>
      <c r="C19" s="27" t="n">
        <v>0</v>
      </c>
      <c r="D19" s="27" t="n">
        <v>0</v>
      </c>
      <c r="E19" s="27" t="n">
        <v>0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0</v>
      </c>
      <c r="L19" s="27" t="n">
        <v>0</v>
      </c>
      <c r="M19" s="27" t="n">
        <v>0</v>
      </c>
      <c r="N19" s="27" t="n">
        <v>0</v>
      </c>
      <c r="O19" s="27" t="n">
        <v>0</v>
      </c>
      <c r="P19" s="27" t="n">
        <v>0</v>
      </c>
      <c r="Q19" s="27" t="n">
        <v>0</v>
      </c>
      <c r="R19" s="27" t="n">
        <v>0</v>
      </c>
      <c r="S19" s="27" t="n">
        <v>0</v>
      </c>
      <c r="T19" s="27" t="n">
        <v>0</v>
      </c>
      <c r="U19" s="27" t="n">
        <v>0</v>
      </c>
      <c r="V19" s="27" t="n">
        <v>0</v>
      </c>
      <c r="W19" s="27" t="n">
        <v>0</v>
      </c>
      <c r="X19" s="27" t="n">
        <v>0</v>
      </c>
      <c r="Y19" s="27" t="n">
        <v>0</v>
      </c>
      <c r="Z19" s="27" t="n">
        <v>0</v>
      </c>
      <c r="AA19" s="27" t="n">
        <v>0</v>
      </c>
      <c r="AB19" s="27" t="n">
        <v>0</v>
      </c>
      <c r="AC19" s="27" t="n">
        <v>0</v>
      </c>
      <c r="AD19" s="27" t="n">
        <v>0</v>
      </c>
      <c r="AE19" s="27" t="n">
        <v>0</v>
      </c>
      <c r="AF19" s="27" t="n">
        <v>0</v>
      </c>
      <c r="AG19" s="27" t="n">
        <v>0</v>
      </c>
      <c r="AH19" s="27" t="n">
        <v>0</v>
      </c>
      <c r="AI19" s="27" t="n">
        <v>0</v>
      </c>
      <c r="AJ19" s="27" t="n">
        <v>0</v>
      </c>
      <c r="AK19" s="27" t="n">
        <v>0</v>
      </c>
      <c r="AL19" s="27" t="n">
        <v>0</v>
      </c>
      <c r="AM19" s="27" t="n">
        <v>0</v>
      </c>
      <c r="AN19" s="27" t="n">
        <v>0</v>
      </c>
      <c r="AO19" s="27" t="n">
        <v>0</v>
      </c>
      <c r="AP19" s="27" t="n">
        <v>0</v>
      </c>
      <c r="AQ19" s="27" t="n">
        <v>0</v>
      </c>
      <c r="AR19" s="27" t="n">
        <v>0</v>
      </c>
      <c r="AS19" s="27" t="n">
        <v>0</v>
      </c>
      <c r="AT19" s="27" t="n">
        <v>0</v>
      </c>
      <c r="AU19" s="27" t="n">
        <v>0</v>
      </c>
      <c r="AV19" s="27" t="n">
        <v>0</v>
      </c>
      <c r="AW19" s="27" t="n">
        <v>0</v>
      </c>
      <c r="AX19" s="27" t="n">
        <v>0</v>
      </c>
      <c r="AY19" s="27" t="n">
        <v>0</v>
      </c>
      <c r="AZ19" s="27" t="n">
        <v>0</v>
      </c>
      <c r="BA19" s="27" t="n">
        <v>0</v>
      </c>
      <c r="BB19" s="27" t="n">
        <v>0</v>
      </c>
      <c r="BC19" s="27" t="n">
        <v>0</v>
      </c>
      <c r="BD19" s="27" t="n">
        <v>0</v>
      </c>
      <c r="BE19" s="27" t="n">
        <v>0</v>
      </c>
      <c r="BF19" s="27" t="n">
        <v>0</v>
      </c>
      <c r="BG19" s="27" t="n">
        <v>0</v>
      </c>
      <c r="BH19" s="27" t="n">
        <v>0</v>
      </c>
      <c r="BI19" s="27" t="n">
        <v>0</v>
      </c>
      <c r="BJ19" s="27" t="n">
        <v>0</v>
      </c>
      <c r="BK19" s="27" t="n">
        <v>0</v>
      </c>
      <c r="BL19" s="27" t="n">
        <v>0</v>
      </c>
      <c r="BM19" s="27" t="n">
        <v>0</v>
      </c>
      <c r="BN19" s="27" t="n">
        <v>0</v>
      </c>
      <c r="BO19" s="27" t="n">
        <v>0</v>
      </c>
      <c r="BP19" s="27" t="n">
        <v>0</v>
      </c>
      <c r="BQ19" s="27" t="n">
        <v>0</v>
      </c>
      <c r="BR19" s="27" t="n">
        <v>0</v>
      </c>
      <c r="BS19" s="27" t="n">
        <v>0</v>
      </c>
      <c r="BT19" s="27" t="n">
        <v>0</v>
      </c>
      <c r="BU19" s="27" t="n">
        <v>0</v>
      </c>
      <c r="BV19" s="27" t="n">
        <v>0</v>
      </c>
      <c r="BW19" s="27" t="n">
        <v>0</v>
      </c>
      <c r="BX19" s="27" t="n">
        <v>0</v>
      </c>
      <c r="BY19" s="27" t="n">
        <v>0</v>
      </c>
      <c r="BZ19" s="27" t="n">
        <v>0</v>
      </c>
      <c r="CA19" s="27" t="n">
        <v>0</v>
      </c>
      <c r="CB19" s="27" t="n">
        <v>0</v>
      </c>
      <c r="CC19" s="27" t="n">
        <v>0</v>
      </c>
      <c r="CD19" s="27" t="n">
        <v>0</v>
      </c>
      <c r="CE19" s="27" t="n">
        <v>0</v>
      </c>
      <c r="CF19" s="27" t="n">
        <v>0</v>
      </c>
      <c r="CG19" s="27" t="n">
        <v>0</v>
      </c>
      <c r="CH19" s="27" t="n">
        <v>0</v>
      </c>
      <c r="CI19" s="27" t="n">
        <v>0</v>
      </c>
      <c r="CJ19" s="27" t="n">
        <v>0</v>
      </c>
      <c r="CK19" s="27" t="n">
        <v>0</v>
      </c>
      <c r="CL19" s="27" t="n">
        <v>0</v>
      </c>
      <c r="CM19" s="27" t="n">
        <v>0</v>
      </c>
      <c r="CN19" s="27" t="n">
        <v>0</v>
      </c>
      <c r="CO19" s="27" t="n">
        <v>0</v>
      </c>
      <c r="CP19" s="27" t="n">
        <v>0</v>
      </c>
      <c r="CQ19" s="27" t="n">
        <v>0</v>
      </c>
      <c r="CR19" s="27" t="n">
        <v>0</v>
      </c>
      <c r="CS19" s="27" t="n">
        <v>0</v>
      </c>
      <c r="CT19" s="27" t="n">
        <v>0</v>
      </c>
      <c r="CU19" s="27" t="n">
        <v>0</v>
      </c>
      <c r="CV19" s="27" t="n">
        <v>0</v>
      </c>
      <c r="CW19" s="27" t="n">
        <v>0</v>
      </c>
      <c r="CX19" s="27" t="n">
        <v>0</v>
      </c>
      <c r="CY19" s="27" t="n">
        <v>0</v>
      </c>
      <c r="CZ19" s="27" t="n">
        <v>0</v>
      </c>
      <c r="DA19" s="27" t="n">
        <v>0</v>
      </c>
    </row>
    <row r="20">
      <c r="A20" t="inlineStr">
        <is>
          <t>TSP-225</t>
        </is>
      </c>
      <c r="B20" s="27" t="n">
        <v>0</v>
      </c>
      <c r="C20" s="27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0</v>
      </c>
      <c r="P20" s="27" t="n">
        <v>0</v>
      </c>
      <c r="Q20" s="27" t="n">
        <v>0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0</v>
      </c>
      <c r="X20" s="27" t="n">
        <v>0</v>
      </c>
      <c r="Y20" s="27" t="n">
        <v>0</v>
      </c>
      <c r="Z20" s="27" t="n">
        <v>0</v>
      </c>
      <c r="AA20" s="27" t="n">
        <v>0</v>
      </c>
      <c r="AB20" s="27" t="n">
        <v>0</v>
      </c>
      <c r="AC20" s="27" t="n">
        <v>0</v>
      </c>
      <c r="AD20" s="27" t="n">
        <v>0</v>
      </c>
      <c r="AE20" s="27" t="n">
        <v>0</v>
      </c>
      <c r="AF20" s="27" t="n">
        <v>0</v>
      </c>
      <c r="AG20" s="27" t="n">
        <v>0</v>
      </c>
      <c r="AH20" s="27" t="n">
        <v>0</v>
      </c>
      <c r="AI20" s="27" t="n">
        <v>0</v>
      </c>
      <c r="AJ20" s="27" t="n">
        <v>0</v>
      </c>
      <c r="AK20" s="27" t="n">
        <v>0</v>
      </c>
      <c r="AL20" s="27" t="n">
        <v>0</v>
      </c>
      <c r="AM20" s="27" t="n">
        <v>0</v>
      </c>
      <c r="AN20" s="27" t="n">
        <v>0</v>
      </c>
      <c r="AO20" s="27" t="n">
        <v>0</v>
      </c>
      <c r="AP20" s="27" t="n">
        <v>0</v>
      </c>
      <c r="AQ20" s="27" t="n">
        <v>0</v>
      </c>
      <c r="AR20" s="27" t="n">
        <v>0</v>
      </c>
      <c r="AS20" s="27" t="n">
        <v>0</v>
      </c>
      <c r="AT20" s="27" t="n">
        <v>0</v>
      </c>
      <c r="AU20" s="27" t="n">
        <v>0</v>
      </c>
      <c r="AV20" s="27" t="n">
        <v>0</v>
      </c>
      <c r="AW20" s="27" t="n">
        <v>0</v>
      </c>
      <c r="AX20" s="27" t="n">
        <v>0</v>
      </c>
      <c r="AY20" s="27" t="n">
        <v>0</v>
      </c>
      <c r="AZ20" s="27" t="n">
        <v>0</v>
      </c>
      <c r="BA20" s="27" t="n">
        <v>0</v>
      </c>
      <c r="BB20" s="27" t="n">
        <v>0</v>
      </c>
      <c r="BC20" s="27" t="n">
        <v>0</v>
      </c>
      <c r="BD20" s="27" t="n">
        <v>0</v>
      </c>
      <c r="BE20" s="27" t="n">
        <v>0</v>
      </c>
      <c r="BF20" s="27" t="n">
        <v>0</v>
      </c>
      <c r="BG20" s="27" t="n">
        <v>0</v>
      </c>
      <c r="BH20" s="27" t="n">
        <v>0</v>
      </c>
      <c r="BI20" s="27" t="n">
        <v>0</v>
      </c>
      <c r="BJ20" s="27" t="n">
        <v>0</v>
      </c>
      <c r="BK20" s="27" t="n">
        <v>0</v>
      </c>
      <c r="BL20" s="27" t="n">
        <v>0</v>
      </c>
      <c r="BM20" s="27" t="n">
        <v>0</v>
      </c>
      <c r="BN20" s="27" t="n">
        <v>0</v>
      </c>
      <c r="BO20" s="27" t="n">
        <v>0</v>
      </c>
      <c r="BP20" s="27" t="n">
        <v>0</v>
      </c>
      <c r="BQ20" s="27" t="n">
        <v>0</v>
      </c>
      <c r="BR20" s="27" t="n">
        <v>0</v>
      </c>
      <c r="BS20" s="27" t="n">
        <v>0</v>
      </c>
      <c r="BT20" s="27" t="n">
        <v>0</v>
      </c>
      <c r="BU20" s="27" t="n">
        <v>0</v>
      </c>
      <c r="BV20" s="27" t="n">
        <v>0</v>
      </c>
      <c r="BW20" s="27" t="n">
        <v>0</v>
      </c>
      <c r="BX20" s="27" t="n">
        <v>0</v>
      </c>
      <c r="BY20" s="27" t="n">
        <v>0</v>
      </c>
      <c r="BZ20" s="27" t="n">
        <v>0</v>
      </c>
      <c r="CA20" s="27" t="n">
        <v>0</v>
      </c>
      <c r="CB20" s="27" t="n">
        <v>0</v>
      </c>
      <c r="CC20" s="27" t="n">
        <v>0</v>
      </c>
      <c r="CD20" s="27" t="n">
        <v>0</v>
      </c>
      <c r="CE20" s="27" t="n">
        <v>0</v>
      </c>
      <c r="CF20" s="27" t="n">
        <v>0</v>
      </c>
      <c r="CG20" s="27" t="n">
        <v>0</v>
      </c>
      <c r="CH20" s="27" t="n">
        <v>0</v>
      </c>
      <c r="CI20" s="27" t="n">
        <v>0</v>
      </c>
      <c r="CJ20" s="27" t="n">
        <v>0</v>
      </c>
      <c r="CK20" s="27" t="n">
        <v>0</v>
      </c>
      <c r="CL20" s="27" t="n">
        <v>0</v>
      </c>
      <c r="CM20" s="27" t="n">
        <v>0</v>
      </c>
      <c r="CN20" s="27" t="n">
        <v>0</v>
      </c>
      <c r="CO20" s="27" t="n">
        <v>0</v>
      </c>
      <c r="CP20" s="27" t="n">
        <v>0</v>
      </c>
      <c r="CQ20" s="27" t="n">
        <v>0</v>
      </c>
      <c r="CR20" s="27" t="n">
        <v>0</v>
      </c>
      <c r="CS20" s="27" t="n">
        <v>0</v>
      </c>
      <c r="CT20" s="27" t="n">
        <v>0</v>
      </c>
      <c r="CU20" s="27" t="n">
        <v>0</v>
      </c>
      <c r="CV20" s="27" t="n">
        <v>0</v>
      </c>
      <c r="CW20" s="27" t="n">
        <v>0</v>
      </c>
      <c r="CX20" s="27" t="n">
        <v>0</v>
      </c>
      <c r="CY20" s="27" t="n">
        <v>0</v>
      </c>
      <c r="CZ20" s="27" t="n">
        <v>0</v>
      </c>
      <c r="DA20" s="27" t="n">
        <v>0</v>
      </c>
    </row>
    <row r="21">
      <c r="A21" t="inlineStr">
        <is>
          <t>TSP-360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0</v>
      </c>
      <c r="L21" s="27" t="n">
        <v>0</v>
      </c>
      <c r="M21" s="27" t="n">
        <v>0</v>
      </c>
      <c r="N21" s="27" t="n">
        <v>0</v>
      </c>
      <c r="O21" s="27" t="n">
        <v>0</v>
      </c>
      <c r="P21" s="27" t="n">
        <v>0</v>
      </c>
      <c r="Q21" s="27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27" t="n">
        <v>0</v>
      </c>
      <c r="AB21" s="27" t="n">
        <v>0</v>
      </c>
      <c r="AC21" s="27" t="n">
        <v>0</v>
      </c>
      <c r="AD21" s="27" t="n">
        <v>0</v>
      </c>
      <c r="AE21" s="27" t="n">
        <v>0</v>
      </c>
      <c r="AF21" s="27" t="n">
        <v>0</v>
      </c>
      <c r="AG21" s="27" t="n">
        <v>0</v>
      </c>
      <c r="AH21" s="27" t="n">
        <v>0</v>
      </c>
      <c r="AI21" s="27" t="n">
        <v>0</v>
      </c>
      <c r="AJ21" s="27" t="n">
        <v>0</v>
      </c>
      <c r="AK21" s="27" t="n">
        <v>0</v>
      </c>
      <c r="AL21" s="27" t="n">
        <v>0</v>
      </c>
      <c r="AM21" s="27" t="n">
        <v>0</v>
      </c>
      <c r="AN21" s="27" t="n">
        <v>0</v>
      </c>
      <c r="AO21" s="27" t="n">
        <v>0</v>
      </c>
      <c r="AP21" s="27" t="n">
        <v>0</v>
      </c>
      <c r="AQ21" s="27" t="n">
        <v>0</v>
      </c>
      <c r="AR21" s="27" t="n">
        <v>0</v>
      </c>
      <c r="AS21" s="27" t="n">
        <v>0</v>
      </c>
      <c r="AT21" s="27" t="n">
        <v>0</v>
      </c>
      <c r="AU21" s="27" t="n">
        <v>0</v>
      </c>
      <c r="AV21" s="27" t="n">
        <v>0</v>
      </c>
      <c r="AW21" s="27" t="n">
        <v>0</v>
      </c>
      <c r="AX21" s="27" t="n">
        <v>0</v>
      </c>
      <c r="AY21" s="27" t="n">
        <v>0</v>
      </c>
      <c r="AZ21" s="27" t="n">
        <v>0</v>
      </c>
      <c r="BA21" s="27" t="n">
        <v>0</v>
      </c>
      <c r="BB21" s="27" t="n">
        <v>0</v>
      </c>
      <c r="BC21" s="27" t="n">
        <v>0</v>
      </c>
      <c r="BD21" s="27" t="n">
        <v>0</v>
      </c>
      <c r="BE21" s="27" t="n">
        <v>0</v>
      </c>
      <c r="BF21" s="27" t="n">
        <v>0</v>
      </c>
      <c r="BG21" s="27" t="n">
        <v>0</v>
      </c>
      <c r="BH21" s="27" t="n">
        <v>0</v>
      </c>
      <c r="BI21" s="27" t="n">
        <v>0</v>
      </c>
      <c r="BJ21" s="27" t="n">
        <v>0</v>
      </c>
      <c r="BK21" s="27" t="n">
        <v>0</v>
      </c>
      <c r="BL21" s="27" t="n">
        <v>0</v>
      </c>
      <c r="BM21" s="27" t="n">
        <v>0</v>
      </c>
      <c r="BN21" s="27" t="n">
        <v>0</v>
      </c>
      <c r="BO21" s="27" t="n">
        <v>0</v>
      </c>
      <c r="BP21" s="27" t="n">
        <v>0</v>
      </c>
      <c r="BQ21" s="27" t="n">
        <v>0</v>
      </c>
      <c r="BR21" s="27" t="n">
        <v>0</v>
      </c>
      <c r="BS21" s="27" t="n">
        <v>0</v>
      </c>
      <c r="BT21" s="27" t="n">
        <v>0</v>
      </c>
      <c r="BU21" s="27" t="n">
        <v>0</v>
      </c>
      <c r="BV21" s="27" t="n">
        <v>0</v>
      </c>
      <c r="BW21" s="27" t="n">
        <v>0</v>
      </c>
      <c r="BX21" s="27" t="n">
        <v>0</v>
      </c>
      <c r="BY21" s="27" t="n">
        <v>0</v>
      </c>
      <c r="BZ21" s="27" t="n">
        <v>0</v>
      </c>
      <c r="CA21" s="27" t="n">
        <v>0</v>
      </c>
      <c r="CB21" s="27" t="n">
        <v>0</v>
      </c>
      <c r="CC21" s="27" t="n">
        <v>0</v>
      </c>
      <c r="CD21" s="27" t="n">
        <v>0</v>
      </c>
      <c r="CE21" s="27" t="n">
        <v>0</v>
      </c>
      <c r="CF21" s="27" t="n">
        <v>0</v>
      </c>
      <c r="CG21" s="27" t="n">
        <v>0</v>
      </c>
      <c r="CH21" s="27" t="n">
        <v>0</v>
      </c>
      <c r="CI21" s="27" t="n">
        <v>0</v>
      </c>
      <c r="CJ21" s="27" t="n">
        <v>0</v>
      </c>
      <c r="CK21" s="27" t="n">
        <v>0</v>
      </c>
      <c r="CL21" s="27" t="n">
        <v>0</v>
      </c>
      <c r="CM21" s="27" t="n">
        <v>0</v>
      </c>
      <c r="CN21" s="27" t="n">
        <v>0</v>
      </c>
      <c r="CO21" s="27" t="n">
        <v>0</v>
      </c>
      <c r="CP21" s="27" t="n">
        <v>0</v>
      </c>
      <c r="CQ21" s="27" t="n">
        <v>0</v>
      </c>
      <c r="CR21" s="27" t="n">
        <v>0</v>
      </c>
      <c r="CS21" s="27" t="n">
        <v>0</v>
      </c>
      <c r="CT21" s="27" t="n">
        <v>0</v>
      </c>
      <c r="CU21" s="27" t="n">
        <v>0</v>
      </c>
      <c r="CV21" s="27" t="n">
        <v>0</v>
      </c>
      <c r="CW21" s="27" t="n">
        <v>0</v>
      </c>
      <c r="CX21" s="27" t="n">
        <v>0</v>
      </c>
      <c r="CY21" s="27" t="n">
        <v>0</v>
      </c>
      <c r="CZ21" s="27" t="n">
        <v>0</v>
      </c>
      <c r="DA21" s="27" t="n">
        <v>0</v>
      </c>
    </row>
    <row r="22">
      <c r="A22" t="inlineStr">
        <is>
          <t>TSP-367</t>
        </is>
      </c>
      <c r="B22" s="27" t="n">
        <v>0</v>
      </c>
      <c r="C22" s="27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0</v>
      </c>
      <c r="P22" s="27" t="n">
        <v>0</v>
      </c>
      <c r="Q22" s="27" t="n">
        <v>0</v>
      </c>
      <c r="R22" s="27" t="n">
        <v>0</v>
      </c>
      <c r="S22" s="27" t="n">
        <v>0</v>
      </c>
      <c r="T22" s="27" t="n">
        <v>0</v>
      </c>
      <c r="U22" s="27" t="n">
        <v>0</v>
      </c>
      <c r="V22" s="27" t="n">
        <v>0</v>
      </c>
      <c r="W22" s="27" t="n">
        <v>0</v>
      </c>
      <c r="X22" s="27" t="n">
        <v>0</v>
      </c>
      <c r="Y22" s="27" t="n">
        <v>0</v>
      </c>
      <c r="Z22" s="27" t="n">
        <v>0</v>
      </c>
      <c r="AA22" s="27" t="n">
        <v>0</v>
      </c>
      <c r="AB22" s="27" t="n">
        <v>0</v>
      </c>
      <c r="AC22" s="27" t="n">
        <v>0</v>
      </c>
      <c r="AD22" s="27" t="n">
        <v>0</v>
      </c>
      <c r="AE22" s="27" t="n">
        <v>0</v>
      </c>
      <c r="AF22" s="27" t="n">
        <v>0</v>
      </c>
      <c r="AG22" s="27" t="n">
        <v>0</v>
      </c>
      <c r="AH22" s="27" t="n">
        <v>0</v>
      </c>
      <c r="AI22" s="27" t="n">
        <v>0</v>
      </c>
      <c r="AJ22" s="27" t="n">
        <v>0</v>
      </c>
      <c r="AK22" s="27" t="n">
        <v>0</v>
      </c>
      <c r="AL22" s="27" t="n">
        <v>0</v>
      </c>
      <c r="AM22" s="27" t="n">
        <v>0</v>
      </c>
      <c r="AN22" s="27" t="n">
        <v>0</v>
      </c>
      <c r="AO22" s="27" t="n">
        <v>0</v>
      </c>
      <c r="AP22" s="27" t="n">
        <v>0</v>
      </c>
      <c r="AQ22" s="27" t="n">
        <v>0</v>
      </c>
      <c r="AR22" s="27" t="n">
        <v>0</v>
      </c>
      <c r="AS22" s="27" t="n">
        <v>0</v>
      </c>
      <c r="AT22" s="27" t="n">
        <v>0</v>
      </c>
      <c r="AU22" s="27" t="n">
        <v>0</v>
      </c>
      <c r="AV22" s="27" t="n">
        <v>0</v>
      </c>
      <c r="AW22" s="27" t="n">
        <v>0</v>
      </c>
      <c r="AX22" s="27" t="n">
        <v>0</v>
      </c>
      <c r="AY22" s="27" t="n">
        <v>0</v>
      </c>
      <c r="AZ22" s="27" t="n">
        <v>0</v>
      </c>
      <c r="BA22" s="27" t="n">
        <v>0</v>
      </c>
      <c r="BB22" s="27" t="n">
        <v>0</v>
      </c>
      <c r="BC22" s="27" t="n">
        <v>0</v>
      </c>
      <c r="BD22" s="27" t="n">
        <v>0</v>
      </c>
      <c r="BE22" s="27" t="n">
        <v>0</v>
      </c>
      <c r="BF22" s="27" t="n">
        <v>0</v>
      </c>
      <c r="BG22" s="27" t="n">
        <v>0</v>
      </c>
      <c r="BH22" s="27" t="n">
        <v>0</v>
      </c>
      <c r="BI22" s="27" t="n">
        <v>0</v>
      </c>
      <c r="BJ22" s="27" t="n">
        <v>0</v>
      </c>
      <c r="BK22" s="27" t="n">
        <v>0</v>
      </c>
      <c r="BL22" s="27" t="n">
        <v>0</v>
      </c>
      <c r="BM22" s="27" t="n">
        <v>0</v>
      </c>
      <c r="BN22" s="27" t="n">
        <v>0</v>
      </c>
      <c r="BO22" s="27" t="n">
        <v>0</v>
      </c>
      <c r="BP22" s="27" t="n">
        <v>0</v>
      </c>
      <c r="BQ22" s="27" t="n">
        <v>0</v>
      </c>
      <c r="BR22" s="27" t="n">
        <v>0</v>
      </c>
      <c r="BS22" s="27" t="n">
        <v>0</v>
      </c>
      <c r="BT22" s="27" t="n">
        <v>0</v>
      </c>
      <c r="BU22" s="27" t="n">
        <v>0</v>
      </c>
      <c r="BV22" s="27" t="n">
        <v>0</v>
      </c>
      <c r="BW22" s="27" t="n">
        <v>0</v>
      </c>
      <c r="BX22" s="27" t="n">
        <v>0</v>
      </c>
      <c r="BY22" s="27" t="n">
        <v>0</v>
      </c>
      <c r="BZ22" s="27" t="n">
        <v>0</v>
      </c>
      <c r="CA22" s="27" t="n">
        <v>0</v>
      </c>
      <c r="CB22" s="27" t="n">
        <v>0</v>
      </c>
      <c r="CC22" s="27" t="n">
        <v>0</v>
      </c>
      <c r="CD22" s="27" t="n">
        <v>0</v>
      </c>
      <c r="CE22" s="27" t="n">
        <v>0</v>
      </c>
      <c r="CF22" s="27" t="n">
        <v>0</v>
      </c>
      <c r="CG22" s="27" t="n">
        <v>0</v>
      </c>
      <c r="CH22" s="27" t="n">
        <v>0</v>
      </c>
      <c r="CI22" s="27" t="n">
        <v>0</v>
      </c>
      <c r="CJ22" s="27" t="n">
        <v>0</v>
      </c>
      <c r="CK22" s="27" t="n">
        <v>0</v>
      </c>
      <c r="CL22" s="27" t="n">
        <v>0</v>
      </c>
      <c r="CM22" s="27" t="n">
        <v>0</v>
      </c>
      <c r="CN22" s="27" t="n">
        <v>0</v>
      </c>
      <c r="CO22" s="27" t="n">
        <v>0</v>
      </c>
      <c r="CP22" s="27" t="n">
        <v>0</v>
      </c>
      <c r="CQ22" s="27" t="n">
        <v>0</v>
      </c>
      <c r="CR22" s="27" t="n">
        <v>0</v>
      </c>
      <c r="CS22" s="27" t="n">
        <v>0</v>
      </c>
      <c r="CT22" s="27" t="n">
        <v>0</v>
      </c>
      <c r="CU22" s="27" t="n">
        <v>0</v>
      </c>
      <c r="CV22" s="27" t="n">
        <v>0</v>
      </c>
      <c r="CW22" s="27" t="n">
        <v>0</v>
      </c>
      <c r="CX22" s="27" t="n">
        <v>0</v>
      </c>
      <c r="CY22" s="27" t="n">
        <v>0</v>
      </c>
      <c r="CZ22" s="27" t="n">
        <v>0</v>
      </c>
      <c r="DA22" s="27" t="n">
        <v>0</v>
      </c>
    </row>
    <row r="23">
      <c r="A23" t="inlineStr">
        <is>
          <t>TSP-369</t>
        </is>
      </c>
      <c r="B23" s="27" t="n">
        <v>0</v>
      </c>
      <c r="C23" s="27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0</v>
      </c>
      <c r="L23" s="27" t="n">
        <v>0</v>
      </c>
      <c r="M23" s="27" t="n">
        <v>0</v>
      </c>
      <c r="N23" s="27" t="n">
        <v>0</v>
      </c>
      <c r="O23" s="27" t="n">
        <v>0</v>
      </c>
      <c r="P23" s="27" t="n">
        <v>0</v>
      </c>
      <c r="Q23" s="27" t="n">
        <v>0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0</v>
      </c>
      <c r="W23" s="27" t="n">
        <v>0</v>
      </c>
      <c r="X23" s="27" t="n">
        <v>0</v>
      </c>
      <c r="Y23" s="27" t="n">
        <v>0</v>
      </c>
      <c r="Z23" s="27" t="n">
        <v>0</v>
      </c>
      <c r="AA23" s="27" t="n">
        <v>0</v>
      </c>
      <c r="AB23" s="27" t="n">
        <v>0</v>
      </c>
      <c r="AC23" s="27" t="n">
        <v>0</v>
      </c>
      <c r="AD23" s="27" t="n">
        <v>0</v>
      </c>
      <c r="AE23" s="27" t="n">
        <v>0</v>
      </c>
      <c r="AF23" s="27" t="n">
        <v>0</v>
      </c>
      <c r="AG23" s="27" t="n">
        <v>0</v>
      </c>
      <c r="AH23" s="27" t="n">
        <v>0</v>
      </c>
      <c r="AI23" s="27" t="n">
        <v>0</v>
      </c>
      <c r="AJ23" s="27" t="n">
        <v>0</v>
      </c>
      <c r="AK23" s="27" t="n">
        <v>0</v>
      </c>
      <c r="AL23" s="27" t="n">
        <v>0</v>
      </c>
      <c r="AM23" s="27" t="n">
        <v>0</v>
      </c>
      <c r="AN23" s="27" t="n">
        <v>0</v>
      </c>
      <c r="AO23" s="27" t="n">
        <v>0</v>
      </c>
      <c r="AP23" s="27" t="n">
        <v>0</v>
      </c>
      <c r="AQ23" s="27" t="n">
        <v>0</v>
      </c>
      <c r="AR23" s="27" t="n">
        <v>0</v>
      </c>
      <c r="AS23" s="27" t="n">
        <v>0</v>
      </c>
      <c r="AT23" s="27" t="n">
        <v>0</v>
      </c>
      <c r="AU23" s="27" t="n">
        <v>0</v>
      </c>
      <c r="AV23" s="27" t="n">
        <v>0</v>
      </c>
      <c r="AW23" s="27" t="n">
        <v>0</v>
      </c>
      <c r="AX23" s="27" t="n">
        <v>0</v>
      </c>
      <c r="AY23" s="27" t="n">
        <v>0</v>
      </c>
      <c r="AZ23" s="27" t="n">
        <v>0</v>
      </c>
      <c r="BA23" s="27" t="n">
        <v>0</v>
      </c>
      <c r="BB23" s="27" t="n">
        <v>0</v>
      </c>
      <c r="BC23" s="27" t="n">
        <v>0</v>
      </c>
      <c r="BD23" s="27" t="n">
        <v>0</v>
      </c>
      <c r="BE23" s="27" t="n">
        <v>0</v>
      </c>
      <c r="BF23" s="27" t="n">
        <v>0</v>
      </c>
      <c r="BG23" s="27" t="n">
        <v>0</v>
      </c>
      <c r="BH23" s="27" t="n">
        <v>0</v>
      </c>
      <c r="BI23" s="27" t="n">
        <v>0</v>
      </c>
      <c r="BJ23" s="27" t="n">
        <v>0</v>
      </c>
      <c r="BK23" s="27" t="n">
        <v>0</v>
      </c>
      <c r="BL23" s="27" t="n">
        <v>0</v>
      </c>
      <c r="BM23" s="27" t="n">
        <v>0</v>
      </c>
      <c r="BN23" s="27" t="n">
        <v>0</v>
      </c>
      <c r="BO23" s="27" t="n">
        <v>0</v>
      </c>
      <c r="BP23" s="27" t="n">
        <v>0</v>
      </c>
      <c r="BQ23" s="27" t="n">
        <v>0</v>
      </c>
      <c r="BR23" s="27" t="n">
        <v>0</v>
      </c>
      <c r="BS23" s="27" t="n">
        <v>0</v>
      </c>
      <c r="BT23" s="27" t="n">
        <v>0</v>
      </c>
      <c r="BU23" s="27" t="n">
        <v>0</v>
      </c>
      <c r="BV23" s="27" t="n">
        <v>0</v>
      </c>
      <c r="BW23" s="27" t="n">
        <v>0</v>
      </c>
      <c r="BX23" s="27" t="n">
        <v>0</v>
      </c>
      <c r="BY23" s="27" t="n">
        <v>0</v>
      </c>
      <c r="BZ23" s="27" t="n">
        <v>0</v>
      </c>
      <c r="CA23" s="27" t="n">
        <v>0</v>
      </c>
      <c r="CB23" s="27" t="n">
        <v>0</v>
      </c>
      <c r="CC23" s="27" t="n">
        <v>0</v>
      </c>
      <c r="CD23" s="27" t="n">
        <v>0</v>
      </c>
      <c r="CE23" s="27" t="n">
        <v>0</v>
      </c>
      <c r="CF23" s="27" t="n">
        <v>0</v>
      </c>
      <c r="CG23" s="27" t="n">
        <v>0</v>
      </c>
      <c r="CH23" s="27" t="n">
        <v>0</v>
      </c>
      <c r="CI23" s="27" t="n">
        <v>0</v>
      </c>
      <c r="CJ23" s="27" t="n">
        <v>0</v>
      </c>
      <c r="CK23" s="27" t="n">
        <v>0</v>
      </c>
      <c r="CL23" s="27" t="n">
        <v>0</v>
      </c>
      <c r="CM23" s="27" t="n">
        <v>0</v>
      </c>
      <c r="CN23" s="27" t="n">
        <v>0</v>
      </c>
      <c r="CO23" s="27" t="n">
        <v>0</v>
      </c>
      <c r="CP23" s="27" t="n">
        <v>0</v>
      </c>
      <c r="CQ23" s="27" t="n">
        <v>0</v>
      </c>
      <c r="CR23" s="27" t="n">
        <v>0</v>
      </c>
      <c r="CS23" s="27" t="n">
        <v>0</v>
      </c>
      <c r="CT23" s="27" t="n">
        <v>0</v>
      </c>
      <c r="CU23" s="27" t="n">
        <v>0</v>
      </c>
      <c r="CV23" s="27" t="n">
        <v>0</v>
      </c>
      <c r="CW23" s="27" t="n">
        <v>0</v>
      </c>
      <c r="CX23" s="27" t="n">
        <v>0</v>
      </c>
      <c r="CY23" s="27" t="n">
        <v>0</v>
      </c>
      <c r="CZ23" s="27" t="n">
        <v>0</v>
      </c>
      <c r="DA23" s="27" t="n">
        <v>0</v>
      </c>
    </row>
    <row r="24">
      <c r="A24" t="inlineStr">
        <is>
          <t>TSP-402</t>
        </is>
      </c>
      <c r="B24" s="27" t="n">
        <v>0</v>
      </c>
      <c r="C24" s="27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0</v>
      </c>
      <c r="Q24" s="27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27" t="n">
        <v>0</v>
      </c>
      <c r="AB24" s="27" t="n">
        <v>0</v>
      </c>
      <c r="AC24" s="27" t="n">
        <v>0</v>
      </c>
      <c r="AD24" s="27" t="n">
        <v>0</v>
      </c>
      <c r="AE24" s="27" t="n">
        <v>0</v>
      </c>
      <c r="AF24" s="27" t="n">
        <v>0</v>
      </c>
      <c r="AG24" s="27" t="n">
        <v>0</v>
      </c>
      <c r="AH24" s="27" t="n">
        <v>0</v>
      </c>
      <c r="AI24" s="27" t="n">
        <v>0</v>
      </c>
      <c r="AJ24" s="27" t="n">
        <v>0</v>
      </c>
      <c r="AK24" s="27" t="n">
        <v>0</v>
      </c>
      <c r="AL24" s="27" t="n">
        <v>0</v>
      </c>
      <c r="AM24" s="27" t="n">
        <v>0</v>
      </c>
      <c r="AN24" s="27" t="n">
        <v>0</v>
      </c>
      <c r="AO24" s="27" t="n">
        <v>0</v>
      </c>
      <c r="AP24" s="27" t="n">
        <v>0</v>
      </c>
      <c r="AQ24" s="27" t="n">
        <v>0</v>
      </c>
      <c r="AR24" s="27" t="n">
        <v>0</v>
      </c>
      <c r="AS24" s="27" t="n">
        <v>0</v>
      </c>
      <c r="AT24" s="27" t="n">
        <v>0</v>
      </c>
      <c r="AU24" s="27" t="n">
        <v>0</v>
      </c>
      <c r="AV24" s="27" t="n">
        <v>0</v>
      </c>
      <c r="AW24" s="27" t="n">
        <v>0</v>
      </c>
      <c r="AX24" s="27" t="n">
        <v>0</v>
      </c>
      <c r="AY24" s="27" t="n">
        <v>0</v>
      </c>
      <c r="AZ24" s="27" t="n">
        <v>0</v>
      </c>
      <c r="BA24" s="27" t="n">
        <v>0</v>
      </c>
      <c r="BB24" s="27" t="n">
        <v>0</v>
      </c>
      <c r="BC24" s="27" t="n">
        <v>0</v>
      </c>
      <c r="BD24" s="27" t="n">
        <v>0</v>
      </c>
      <c r="BE24" s="27" t="n">
        <v>0</v>
      </c>
      <c r="BF24" s="27" t="n">
        <v>0</v>
      </c>
      <c r="BG24" s="27" t="n">
        <v>0</v>
      </c>
      <c r="BH24" s="27" t="n">
        <v>0</v>
      </c>
      <c r="BI24" s="27" t="n">
        <v>0</v>
      </c>
      <c r="BJ24" s="27" t="n">
        <v>0</v>
      </c>
      <c r="BK24" s="27" t="n">
        <v>0</v>
      </c>
      <c r="BL24" s="27" t="n">
        <v>0</v>
      </c>
      <c r="BM24" s="27" t="n">
        <v>0</v>
      </c>
      <c r="BN24" s="27" t="n">
        <v>0</v>
      </c>
      <c r="BO24" s="27" t="n">
        <v>0</v>
      </c>
      <c r="BP24" s="27" t="n">
        <v>0</v>
      </c>
      <c r="BQ24" s="27" t="n">
        <v>0</v>
      </c>
      <c r="BR24" s="27" t="n">
        <v>0</v>
      </c>
      <c r="BS24" s="27" t="n">
        <v>0</v>
      </c>
      <c r="BT24" s="27" t="n">
        <v>0</v>
      </c>
      <c r="BU24" s="27" t="n">
        <v>0</v>
      </c>
      <c r="BV24" s="27" t="n">
        <v>0</v>
      </c>
      <c r="BW24" s="27" t="n">
        <v>0</v>
      </c>
      <c r="BX24" s="27" t="n">
        <v>0</v>
      </c>
      <c r="BY24" s="27" t="n">
        <v>0</v>
      </c>
      <c r="BZ24" s="27" t="n">
        <v>0</v>
      </c>
      <c r="CA24" s="27" t="n">
        <v>0</v>
      </c>
      <c r="CB24" s="27" t="n">
        <v>0</v>
      </c>
      <c r="CC24" s="27" t="n">
        <v>0</v>
      </c>
      <c r="CD24" s="27" t="n">
        <v>0</v>
      </c>
      <c r="CE24" s="27" t="n">
        <v>0</v>
      </c>
      <c r="CF24" s="27" t="n">
        <v>0</v>
      </c>
      <c r="CG24" s="27" t="n">
        <v>0</v>
      </c>
      <c r="CH24" s="27" t="n">
        <v>0</v>
      </c>
      <c r="CI24" s="27" t="n">
        <v>0</v>
      </c>
      <c r="CJ24" s="27" t="n">
        <v>0</v>
      </c>
      <c r="CK24" s="27" t="n">
        <v>0</v>
      </c>
      <c r="CL24" s="27" t="n">
        <v>0</v>
      </c>
      <c r="CM24" s="27" t="n">
        <v>0</v>
      </c>
      <c r="CN24" s="27" t="n">
        <v>0</v>
      </c>
      <c r="CO24" s="27" t="n">
        <v>0</v>
      </c>
      <c r="CP24" s="27" t="n">
        <v>0</v>
      </c>
      <c r="CQ24" s="27" t="n">
        <v>0</v>
      </c>
      <c r="CR24" s="27" t="n">
        <v>0</v>
      </c>
      <c r="CS24" s="27" t="n">
        <v>0</v>
      </c>
      <c r="CT24" s="27" t="n">
        <v>0</v>
      </c>
      <c r="CU24" s="27" t="n">
        <v>0</v>
      </c>
      <c r="CV24" s="27" t="n">
        <v>0</v>
      </c>
      <c r="CW24" s="27" t="n">
        <v>0</v>
      </c>
      <c r="CX24" s="27" t="n">
        <v>0</v>
      </c>
      <c r="CY24" s="27" t="n">
        <v>0</v>
      </c>
      <c r="CZ24" s="27" t="n">
        <v>0</v>
      </c>
      <c r="DA24" s="27" t="n">
        <v>0</v>
      </c>
    </row>
    <row r="25">
      <c r="A25" t="inlineStr">
        <is>
          <t>TSP-403</t>
        </is>
      </c>
      <c r="B25" s="27" t="n">
        <v>0</v>
      </c>
      <c r="C25" s="27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0</v>
      </c>
      <c r="L25" s="27" t="n">
        <v>0</v>
      </c>
      <c r="M25" s="27" t="n">
        <v>0</v>
      </c>
      <c r="N25" s="27" t="n">
        <v>0</v>
      </c>
      <c r="O25" s="27" t="n">
        <v>0</v>
      </c>
      <c r="P25" s="27" t="n">
        <v>0</v>
      </c>
      <c r="Q25" s="27" t="n">
        <v>0</v>
      </c>
      <c r="R25" s="27" t="n">
        <v>0</v>
      </c>
      <c r="S25" s="27" t="n">
        <v>0</v>
      </c>
      <c r="T25" s="27" t="n">
        <v>0</v>
      </c>
      <c r="U25" s="27" t="n">
        <v>0</v>
      </c>
      <c r="V25" s="27" t="n">
        <v>0</v>
      </c>
      <c r="W25" s="27" t="n">
        <v>0</v>
      </c>
      <c r="X25" s="27" t="n">
        <v>0</v>
      </c>
      <c r="Y25" s="27" t="n">
        <v>0</v>
      </c>
      <c r="Z25" s="27" t="n">
        <v>0</v>
      </c>
      <c r="AA25" s="27" t="n">
        <v>0</v>
      </c>
      <c r="AB25" s="27" t="n">
        <v>0</v>
      </c>
      <c r="AC25" s="27" t="n">
        <v>0</v>
      </c>
      <c r="AD25" s="27" t="n">
        <v>0</v>
      </c>
      <c r="AE25" s="27" t="n">
        <v>0</v>
      </c>
      <c r="AF25" s="27" t="n">
        <v>0</v>
      </c>
      <c r="AG25" s="27" t="n">
        <v>0</v>
      </c>
      <c r="AH25" s="27" t="n">
        <v>0</v>
      </c>
      <c r="AI25" s="27" t="n">
        <v>0</v>
      </c>
      <c r="AJ25" s="27" t="n">
        <v>0</v>
      </c>
      <c r="AK25" s="27" t="n">
        <v>0</v>
      </c>
      <c r="AL25" s="27" t="n">
        <v>0</v>
      </c>
      <c r="AM25" s="27" t="n">
        <v>0</v>
      </c>
      <c r="AN25" s="27" t="n">
        <v>0</v>
      </c>
      <c r="AO25" s="27" t="n">
        <v>0</v>
      </c>
      <c r="AP25" s="27" t="n">
        <v>0</v>
      </c>
      <c r="AQ25" s="27" t="n">
        <v>0</v>
      </c>
      <c r="AR25" s="27" t="n">
        <v>0</v>
      </c>
      <c r="AS25" s="27" t="n">
        <v>0</v>
      </c>
      <c r="AT25" s="27" t="n">
        <v>0</v>
      </c>
      <c r="AU25" s="27" t="n">
        <v>0</v>
      </c>
      <c r="AV25" s="27" t="n">
        <v>0</v>
      </c>
      <c r="AW25" s="27" t="n">
        <v>0</v>
      </c>
      <c r="AX25" s="27" t="n">
        <v>0</v>
      </c>
      <c r="AY25" s="27" t="n">
        <v>0</v>
      </c>
      <c r="AZ25" s="27" t="n">
        <v>0</v>
      </c>
      <c r="BA25" s="27" t="n">
        <v>0</v>
      </c>
      <c r="BB25" s="27" t="n">
        <v>0</v>
      </c>
      <c r="BC25" s="27" t="n">
        <v>0</v>
      </c>
      <c r="BD25" s="27" t="n">
        <v>0</v>
      </c>
      <c r="BE25" s="27" t="n">
        <v>0</v>
      </c>
      <c r="BF25" s="27" t="n">
        <v>0</v>
      </c>
      <c r="BG25" s="27" t="n">
        <v>0</v>
      </c>
      <c r="BH25" s="27" t="n">
        <v>0</v>
      </c>
      <c r="BI25" s="27" t="n">
        <v>0</v>
      </c>
      <c r="BJ25" s="27" t="n">
        <v>0</v>
      </c>
      <c r="BK25" s="27" t="n">
        <v>0</v>
      </c>
      <c r="BL25" s="27" t="n">
        <v>0</v>
      </c>
      <c r="BM25" s="27" t="n">
        <v>0</v>
      </c>
      <c r="BN25" s="27" t="n">
        <v>0</v>
      </c>
      <c r="BO25" s="27" t="n">
        <v>0</v>
      </c>
      <c r="BP25" s="27" t="n">
        <v>0</v>
      </c>
      <c r="BQ25" s="27" t="n">
        <v>0</v>
      </c>
      <c r="BR25" s="27" t="n">
        <v>0</v>
      </c>
      <c r="BS25" s="27" t="n">
        <v>0</v>
      </c>
      <c r="BT25" s="27" t="n">
        <v>0</v>
      </c>
      <c r="BU25" s="27" t="n">
        <v>0</v>
      </c>
      <c r="BV25" s="27" t="n">
        <v>0</v>
      </c>
      <c r="BW25" s="27" t="n">
        <v>0</v>
      </c>
      <c r="BX25" s="27" t="n">
        <v>0</v>
      </c>
      <c r="BY25" s="27" t="n">
        <v>0</v>
      </c>
      <c r="BZ25" s="27" t="n">
        <v>0</v>
      </c>
      <c r="CA25" s="27" t="n">
        <v>0</v>
      </c>
      <c r="CB25" s="27" t="n">
        <v>0</v>
      </c>
      <c r="CC25" s="27" t="n">
        <v>0</v>
      </c>
      <c r="CD25" s="27" t="n">
        <v>0</v>
      </c>
      <c r="CE25" s="27" t="n">
        <v>0</v>
      </c>
      <c r="CF25" s="27" t="n">
        <v>0</v>
      </c>
      <c r="CG25" s="27" t="n">
        <v>0</v>
      </c>
      <c r="CH25" s="27" t="n">
        <v>0</v>
      </c>
      <c r="CI25" s="27" t="n">
        <v>0</v>
      </c>
      <c r="CJ25" s="27" t="n">
        <v>0</v>
      </c>
      <c r="CK25" s="27" t="n">
        <v>0</v>
      </c>
      <c r="CL25" s="27" t="n">
        <v>0</v>
      </c>
      <c r="CM25" s="27" t="n">
        <v>0</v>
      </c>
      <c r="CN25" s="27" t="n">
        <v>0</v>
      </c>
      <c r="CO25" s="27" t="n">
        <v>0</v>
      </c>
      <c r="CP25" s="27" t="n">
        <v>0</v>
      </c>
      <c r="CQ25" s="27" t="n">
        <v>0</v>
      </c>
      <c r="CR25" s="27" t="n">
        <v>0</v>
      </c>
      <c r="CS25" s="27" t="n">
        <v>0</v>
      </c>
      <c r="CT25" s="27" t="n">
        <v>0</v>
      </c>
      <c r="CU25" s="27" t="n">
        <v>0</v>
      </c>
      <c r="CV25" s="27" t="n">
        <v>0</v>
      </c>
      <c r="CW25" s="27" t="n">
        <v>0</v>
      </c>
      <c r="CX25" s="27" t="n">
        <v>0</v>
      </c>
      <c r="CY25" s="27" t="n">
        <v>0</v>
      </c>
      <c r="CZ25" s="27" t="n">
        <v>0</v>
      </c>
      <c r="DA25" s="27" t="n">
        <v>0</v>
      </c>
    </row>
    <row r="26">
      <c r="A26" t="inlineStr">
        <is>
          <t>TSP-404</t>
        </is>
      </c>
      <c r="B26" s="27" t="n">
        <v>0</v>
      </c>
      <c r="C26" s="27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0</v>
      </c>
      <c r="J26" s="27" t="n">
        <v>0</v>
      </c>
      <c r="K26" s="27" t="n">
        <v>0</v>
      </c>
      <c r="L26" s="27" t="n">
        <v>0</v>
      </c>
      <c r="M26" s="27" t="n">
        <v>0</v>
      </c>
      <c r="N26" s="27" t="n">
        <v>0</v>
      </c>
      <c r="O26" s="27" t="n">
        <v>0</v>
      </c>
      <c r="P26" s="27" t="n">
        <v>0</v>
      </c>
      <c r="Q26" s="27" t="n">
        <v>0</v>
      </c>
      <c r="R26" s="27" t="n">
        <v>0</v>
      </c>
      <c r="S26" s="27" t="n">
        <v>0</v>
      </c>
      <c r="T26" s="27" t="n">
        <v>0</v>
      </c>
      <c r="U26" s="27" t="n">
        <v>0</v>
      </c>
      <c r="V26" s="27" t="n">
        <v>0</v>
      </c>
      <c r="W26" s="27" t="n">
        <v>0</v>
      </c>
      <c r="X26" s="27" t="n">
        <v>0</v>
      </c>
      <c r="Y26" s="27" t="n">
        <v>0</v>
      </c>
      <c r="Z26" s="27" t="n">
        <v>0</v>
      </c>
      <c r="AA26" s="27" t="n">
        <v>0</v>
      </c>
      <c r="AB26" s="27" t="n">
        <v>0</v>
      </c>
      <c r="AC26" s="27" t="n">
        <v>0</v>
      </c>
      <c r="AD26" s="27" t="n">
        <v>0</v>
      </c>
      <c r="AE26" s="27" t="n">
        <v>0</v>
      </c>
      <c r="AF26" s="27" t="n">
        <v>0</v>
      </c>
      <c r="AG26" s="27" t="n">
        <v>0</v>
      </c>
      <c r="AH26" s="27" t="n">
        <v>0</v>
      </c>
      <c r="AI26" s="27" t="n">
        <v>0</v>
      </c>
      <c r="AJ26" s="27" t="n">
        <v>0</v>
      </c>
      <c r="AK26" s="27" t="n">
        <v>0</v>
      </c>
      <c r="AL26" s="27" t="n">
        <v>0</v>
      </c>
      <c r="AM26" s="27" t="n">
        <v>0</v>
      </c>
      <c r="AN26" s="27" t="n">
        <v>0</v>
      </c>
      <c r="AO26" s="27" t="n">
        <v>0</v>
      </c>
      <c r="AP26" s="27" t="n">
        <v>0</v>
      </c>
      <c r="AQ26" s="27" t="n">
        <v>0</v>
      </c>
      <c r="AR26" s="27" t="n">
        <v>0</v>
      </c>
      <c r="AS26" s="27" t="n">
        <v>0</v>
      </c>
      <c r="AT26" s="27" t="n">
        <v>0</v>
      </c>
      <c r="AU26" s="27" t="n">
        <v>0</v>
      </c>
      <c r="AV26" s="27" t="n">
        <v>0</v>
      </c>
      <c r="AW26" s="27" t="n">
        <v>0</v>
      </c>
      <c r="AX26" s="27" t="n">
        <v>0</v>
      </c>
      <c r="AY26" s="27" t="n">
        <v>0</v>
      </c>
      <c r="AZ26" s="27" t="n">
        <v>0</v>
      </c>
      <c r="BA26" s="27" t="n">
        <v>0</v>
      </c>
      <c r="BB26" s="27" t="n">
        <v>0</v>
      </c>
      <c r="BC26" s="27" t="n">
        <v>0</v>
      </c>
      <c r="BD26" s="27" t="n">
        <v>0</v>
      </c>
      <c r="BE26" s="27" t="n">
        <v>0</v>
      </c>
      <c r="BF26" s="27" t="n">
        <v>0</v>
      </c>
      <c r="BG26" s="27" t="n">
        <v>0</v>
      </c>
      <c r="BH26" s="27" t="n">
        <v>0</v>
      </c>
      <c r="BI26" s="27" t="n">
        <v>0</v>
      </c>
      <c r="BJ26" s="27" t="n">
        <v>0</v>
      </c>
      <c r="BK26" s="27" t="n">
        <v>0</v>
      </c>
      <c r="BL26" s="27" t="n">
        <v>0</v>
      </c>
      <c r="BM26" s="27" t="n">
        <v>0</v>
      </c>
      <c r="BN26" s="27" t="n">
        <v>0</v>
      </c>
      <c r="BO26" s="27" t="n">
        <v>0</v>
      </c>
      <c r="BP26" s="27" t="n">
        <v>0</v>
      </c>
      <c r="BQ26" s="27" t="n">
        <v>0</v>
      </c>
      <c r="BR26" s="27" t="n">
        <v>0</v>
      </c>
      <c r="BS26" s="27" t="n">
        <v>0</v>
      </c>
      <c r="BT26" s="27" t="n">
        <v>0</v>
      </c>
      <c r="BU26" s="27" t="n">
        <v>0</v>
      </c>
      <c r="BV26" s="27" t="n">
        <v>0</v>
      </c>
      <c r="BW26" s="27" t="n">
        <v>0</v>
      </c>
      <c r="BX26" s="27" t="n">
        <v>0</v>
      </c>
      <c r="BY26" s="27" t="n">
        <v>0</v>
      </c>
      <c r="BZ26" s="27" t="n">
        <v>0</v>
      </c>
      <c r="CA26" s="27" t="n">
        <v>0</v>
      </c>
      <c r="CB26" s="27" t="n">
        <v>0</v>
      </c>
      <c r="CC26" s="27" t="n">
        <v>0</v>
      </c>
      <c r="CD26" s="27" t="n">
        <v>0</v>
      </c>
      <c r="CE26" s="27" t="n">
        <v>0</v>
      </c>
      <c r="CF26" s="27" t="n">
        <v>0</v>
      </c>
      <c r="CG26" s="27" t="n">
        <v>0</v>
      </c>
      <c r="CH26" s="27" t="n">
        <v>0</v>
      </c>
      <c r="CI26" s="27" t="n">
        <v>0</v>
      </c>
      <c r="CJ26" s="27" t="n">
        <v>0</v>
      </c>
      <c r="CK26" s="27" t="n">
        <v>0</v>
      </c>
      <c r="CL26" s="27" t="n">
        <v>0</v>
      </c>
      <c r="CM26" s="27" t="n">
        <v>0</v>
      </c>
      <c r="CN26" s="27" t="n">
        <v>0</v>
      </c>
      <c r="CO26" s="27" t="n">
        <v>0</v>
      </c>
      <c r="CP26" s="27" t="n">
        <v>0</v>
      </c>
      <c r="CQ26" s="27" t="n">
        <v>0</v>
      </c>
      <c r="CR26" s="27" t="n">
        <v>0</v>
      </c>
      <c r="CS26" s="27" t="n">
        <v>0</v>
      </c>
      <c r="CT26" s="27" t="n">
        <v>0</v>
      </c>
      <c r="CU26" s="27" t="n">
        <v>0</v>
      </c>
      <c r="CV26" s="27" t="n">
        <v>0</v>
      </c>
      <c r="CW26" s="27" t="n">
        <v>0</v>
      </c>
      <c r="CX26" s="27" t="n">
        <v>0</v>
      </c>
      <c r="CY26" s="27" t="n">
        <v>0</v>
      </c>
      <c r="CZ26" s="27" t="n">
        <v>0</v>
      </c>
      <c r="DA26" s="27" t="n">
        <v>0</v>
      </c>
    </row>
    <row r="27">
      <c r="A27" t="inlineStr">
        <is>
          <t>TSP-405</t>
        </is>
      </c>
      <c r="B27" s="27" t="n">
        <v>0</v>
      </c>
      <c r="C27" s="27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0</v>
      </c>
      <c r="J27" s="27" t="n">
        <v>0</v>
      </c>
      <c r="K27" s="27" t="n">
        <v>0</v>
      </c>
      <c r="L27" s="27" t="n">
        <v>0</v>
      </c>
      <c r="M27" s="27" t="n">
        <v>0</v>
      </c>
      <c r="N27" s="27" t="n">
        <v>0</v>
      </c>
      <c r="O27" s="27" t="n">
        <v>0</v>
      </c>
      <c r="P27" s="27" t="n">
        <v>0</v>
      </c>
      <c r="Q27" s="27" t="n">
        <v>0</v>
      </c>
      <c r="R27" s="27" t="n">
        <v>0</v>
      </c>
      <c r="S27" s="27" t="n">
        <v>0</v>
      </c>
      <c r="T27" s="27" t="n">
        <v>0</v>
      </c>
      <c r="U27" s="27" t="n">
        <v>0</v>
      </c>
      <c r="V27" s="27" t="n">
        <v>0</v>
      </c>
      <c r="W27" s="27" t="n">
        <v>0</v>
      </c>
      <c r="X27" s="27" t="n">
        <v>0</v>
      </c>
      <c r="Y27" s="27" t="n">
        <v>0</v>
      </c>
      <c r="Z27" s="27" t="n">
        <v>0</v>
      </c>
      <c r="AA27" s="27" t="n">
        <v>0</v>
      </c>
      <c r="AB27" s="27" t="n">
        <v>0</v>
      </c>
      <c r="AC27" s="27" t="n">
        <v>0</v>
      </c>
      <c r="AD27" s="27" t="n">
        <v>0</v>
      </c>
      <c r="AE27" s="27" t="n">
        <v>0</v>
      </c>
      <c r="AF27" s="27" t="n">
        <v>0</v>
      </c>
      <c r="AG27" s="27" t="n">
        <v>0</v>
      </c>
      <c r="AH27" s="27" t="n">
        <v>0</v>
      </c>
      <c r="AI27" s="27" t="n">
        <v>0</v>
      </c>
      <c r="AJ27" s="27" t="n">
        <v>0</v>
      </c>
      <c r="AK27" s="27" t="n">
        <v>0</v>
      </c>
      <c r="AL27" s="27" t="n">
        <v>0</v>
      </c>
      <c r="AM27" s="27" t="n">
        <v>0</v>
      </c>
      <c r="AN27" s="27" t="n">
        <v>0</v>
      </c>
      <c r="AO27" s="27" t="n">
        <v>0</v>
      </c>
      <c r="AP27" s="27" t="n">
        <v>0</v>
      </c>
      <c r="AQ27" s="27" t="n">
        <v>0</v>
      </c>
      <c r="AR27" s="27" t="n">
        <v>0</v>
      </c>
      <c r="AS27" s="27" t="n">
        <v>0</v>
      </c>
      <c r="AT27" s="27" t="n">
        <v>0</v>
      </c>
      <c r="AU27" s="27" t="n">
        <v>0</v>
      </c>
      <c r="AV27" s="27" t="n">
        <v>0</v>
      </c>
      <c r="AW27" s="27" t="n">
        <v>0</v>
      </c>
      <c r="AX27" s="27" t="n">
        <v>0</v>
      </c>
      <c r="AY27" s="27" t="n">
        <v>0</v>
      </c>
      <c r="AZ27" s="27" t="n">
        <v>0</v>
      </c>
      <c r="BA27" s="27" t="n">
        <v>0</v>
      </c>
      <c r="BB27" s="27" t="n">
        <v>0</v>
      </c>
      <c r="BC27" s="27" t="n">
        <v>0</v>
      </c>
      <c r="BD27" s="27" t="n">
        <v>0</v>
      </c>
      <c r="BE27" s="27" t="n">
        <v>0</v>
      </c>
      <c r="BF27" s="27" t="n">
        <v>0</v>
      </c>
      <c r="BG27" s="27" t="n">
        <v>0</v>
      </c>
      <c r="BH27" s="27" t="n">
        <v>0</v>
      </c>
      <c r="BI27" s="27" t="n">
        <v>0</v>
      </c>
      <c r="BJ27" s="27" t="n">
        <v>0</v>
      </c>
      <c r="BK27" s="27" t="n">
        <v>0</v>
      </c>
      <c r="BL27" s="27" t="n">
        <v>0</v>
      </c>
      <c r="BM27" s="27" t="n">
        <v>0</v>
      </c>
      <c r="BN27" s="27" t="n">
        <v>0</v>
      </c>
      <c r="BO27" s="27" t="n">
        <v>0</v>
      </c>
      <c r="BP27" s="27" t="n">
        <v>0</v>
      </c>
      <c r="BQ27" s="27" t="n">
        <v>0</v>
      </c>
      <c r="BR27" s="27" t="n">
        <v>0</v>
      </c>
      <c r="BS27" s="27" t="n">
        <v>0</v>
      </c>
      <c r="BT27" s="27" t="n">
        <v>0</v>
      </c>
      <c r="BU27" s="27" t="n">
        <v>0</v>
      </c>
      <c r="BV27" s="27" t="n">
        <v>0</v>
      </c>
      <c r="BW27" s="27" t="n">
        <v>0</v>
      </c>
      <c r="BX27" s="27" t="n">
        <v>0</v>
      </c>
      <c r="BY27" s="27" t="n">
        <v>0</v>
      </c>
      <c r="BZ27" s="27" t="n">
        <v>0</v>
      </c>
      <c r="CA27" s="27" t="n">
        <v>0</v>
      </c>
      <c r="CB27" s="27" t="n">
        <v>0</v>
      </c>
      <c r="CC27" s="27" t="n">
        <v>0</v>
      </c>
      <c r="CD27" s="27" t="n">
        <v>0</v>
      </c>
      <c r="CE27" s="27" t="n">
        <v>0</v>
      </c>
      <c r="CF27" s="27" t="n">
        <v>0</v>
      </c>
      <c r="CG27" s="27" t="n">
        <v>0</v>
      </c>
      <c r="CH27" s="27" t="n">
        <v>0</v>
      </c>
      <c r="CI27" s="27" t="n">
        <v>0</v>
      </c>
      <c r="CJ27" s="27" t="n">
        <v>0</v>
      </c>
      <c r="CK27" s="27" t="n">
        <v>0</v>
      </c>
      <c r="CL27" s="27" t="n">
        <v>0</v>
      </c>
      <c r="CM27" s="27" t="n">
        <v>0</v>
      </c>
      <c r="CN27" s="27" t="n">
        <v>0</v>
      </c>
      <c r="CO27" s="27" t="n">
        <v>0</v>
      </c>
      <c r="CP27" s="27" t="n">
        <v>0</v>
      </c>
      <c r="CQ27" s="27" t="n">
        <v>0</v>
      </c>
      <c r="CR27" s="27" t="n">
        <v>0</v>
      </c>
      <c r="CS27" s="27" t="n">
        <v>0</v>
      </c>
      <c r="CT27" s="27" t="n">
        <v>0</v>
      </c>
      <c r="CU27" s="27" t="n">
        <v>0</v>
      </c>
      <c r="CV27" s="27" t="n">
        <v>0</v>
      </c>
      <c r="CW27" s="27" t="n">
        <v>0</v>
      </c>
      <c r="CX27" s="27" t="n">
        <v>0</v>
      </c>
      <c r="CY27" s="27" t="n">
        <v>0</v>
      </c>
      <c r="CZ27" s="27" t="n">
        <v>0</v>
      </c>
      <c r="DA27" s="27" t="n">
        <v>0</v>
      </c>
    </row>
    <row r="28">
      <c r="A28" t="inlineStr">
        <is>
          <t>TSP-544</t>
        </is>
      </c>
      <c r="B28" s="27" t="n">
        <v>0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0</v>
      </c>
      <c r="J28" s="27" t="n">
        <v>0</v>
      </c>
      <c r="K28" s="27" t="n">
        <v>0</v>
      </c>
      <c r="L28" s="27" t="n">
        <v>0</v>
      </c>
      <c r="M28" s="27" t="n">
        <v>0</v>
      </c>
      <c r="N28" s="27" t="n">
        <v>0</v>
      </c>
      <c r="O28" s="27" t="n">
        <v>0</v>
      </c>
      <c r="P28" s="27" t="n">
        <v>0</v>
      </c>
      <c r="Q28" s="27" t="n">
        <v>0</v>
      </c>
      <c r="R28" s="27" t="n">
        <v>0</v>
      </c>
      <c r="S28" s="27" t="n">
        <v>0</v>
      </c>
      <c r="T28" s="27" t="n">
        <v>0</v>
      </c>
      <c r="U28" s="27" t="n">
        <v>0</v>
      </c>
      <c r="V28" s="27" t="n">
        <v>0</v>
      </c>
      <c r="W28" s="27" t="n">
        <v>0</v>
      </c>
      <c r="X28" s="27" t="n">
        <v>0</v>
      </c>
      <c r="Y28" s="27" t="n">
        <v>0</v>
      </c>
      <c r="Z28" s="27" t="n">
        <v>0</v>
      </c>
      <c r="AA28" s="27" t="n">
        <v>0</v>
      </c>
      <c r="AB28" s="27" t="n">
        <v>0</v>
      </c>
      <c r="AC28" s="27" t="n">
        <v>0</v>
      </c>
      <c r="AD28" s="27" t="n">
        <v>0</v>
      </c>
      <c r="AE28" s="27" t="n">
        <v>0</v>
      </c>
      <c r="AF28" s="27" t="n">
        <v>0</v>
      </c>
      <c r="AG28" s="27" t="n">
        <v>0</v>
      </c>
      <c r="AH28" s="27" t="n">
        <v>0</v>
      </c>
      <c r="AI28" s="27" t="n">
        <v>0</v>
      </c>
      <c r="AJ28" s="27" t="n">
        <v>0</v>
      </c>
      <c r="AK28" s="27" t="n">
        <v>0</v>
      </c>
      <c r="AL28" s="27" t="n">
        <v>0</v>
      </c>
      <c r="AM28" s="27" t="n">
        <v>0</v>
      </c>
      <c r="AN28" s="27" t="n">
        <v>0</v>
      </c>
      <c r="AO28" s="27" t="n">
        <v>0</v>
      </c>
      <c r="AP28" s="27" t="n">
        <v>0</v>
      </c>
      <c r="AQ28" s="27" t="n">
        <v>0</v>
      </c>
      <c r="AR28" s="27" t="n">
        <v>0</v>
      </c>
      <c r="AS28" s="27" t="n">
        <v>0</v>
      </c>
      <c r="AT28" s="27" t="n">
        <v>0</v>
      </c>
      <c r="AU28" s="27" t="n">
        <v>0</v>
      </c>
      <c r="AV28" s="27" t="n">
        <v>0</v>
      </c>
      <c r="AW28" s="27" t="n">
        <v>0</v>
      </c>
      <c r="AX28" s="27" t="n">
        <v>0</v>
      </c>
      <c r="AY28" s="27" t="n">
        <v>0</v>
      </c>
      <c r="AZ28" s="27" t="n">
        <v>0</v>
      </c>
      <c r="BA28" s="27" t="n">
        <v>0</v>
      </c>
      <c r="BB28" s="27" t="n">
        <v>0</v>
      </c>
      <c r="BC28" s="27" t="n">
        <v>0</v>
      </c>
      <c r="BD28" s="27" t="n">
        <v>0</v>
      </c>
      <c r="BE28" s="27" t="n">
        <v>0</v>
      </c>
      <c r="BF28" s="27" t="n">
        <v>0</v>
      </c>
      <c r="BG28" s="27" t="n">
        <v>0</v>
      </c>
      <c r="BH28" s="27" t="n">
        <v>0</v>
      </c>
      <c r="BI28" s="27" t="n">
        <v>0</v>
      </c>
      <c r="BJ28" s="27" t="n">
        <v>0</v>
      </c>
      <c r="BK28" s="27" t="n">
        <v>0</v>
      </c>
      <c r="BL28" s="27" t="n">
        <v>0</v>
      </c>
      <c r="BM28" s="27" t="n">
        <v>0</v>
      </c>
      <c r="BN28" s="27" t="n">
        <v>0</v>
      </c>
      <c r="BO28" s="27" t="n">
        <v>0</v>
      </c>
      <c r="BP28" s="27" t="n">
        <v>0</v>
      </c>
      <c r="BQ28" s="27" t="n">
        <v>0</v>
      </c>
      <c r="BR28" s="27" t="n">
        <v>0</v>
      </c>
      <c r="BS28" s="27" t="n">
        <v>0</v>
      </c>
      <c r="BT28" s="27" t="n">
        <v>0</v>
      </c>
      <c r="BU28" s="27" t="n">
        <v>0</v>
      </c>
      <c r="BV28" s="27" t="n">
        <v>0</v>
      </c>
      <c r="BW28" s="27" t="n">
        <v>0</v>
      </c>
      <c r="BX28" s="27" t="n">
        <v>0</v>
      </c>
      <c r="BY28" s="27" t="n">
        <v>0</v>
      </c>
      <c r="BZ28" s="27" t="n">
        <v>0</v>
      </c>
      <c r="CA28" s="27" t="n">
        <v>0</v>
      </c>
      <c r="CB28" s="27" t="n">
        <v>0</v>
      </c>
      <c r="CC28" s="27" t="n">
        <v>0</v>
      </c>
      <c r="CD28" s="27" t="n">
        <v>0</v>
      </c>
      <c r="CE28" s="27" t="n">
        <v>0</v>
      </c>
      <c r="CF28" s="27" t="n">
        <v>0</v>
      </c>
      <c r="CG28" s="27" t="n">
        <v>0</v>
      </c>
      <c r="CH28" s="27" t="n">
        <v>0</v>
      </c>
      <c r="CI28" s="27" t="n">
        <v>0</v>
      </c>
      <c r="CJ28" s="27" t="n">
        <v>0</v>
      </c>
      <c r="CK28" s="27" t="n">
        <v>0</v>
      </c>
      <c r="CL28" s="27" t="n">
        <v>0</v>
      </c>
      <c r="CM28" s="27" t="n">
        <v>0</v>
      </c>
      <c r="CN28" s="27" t="n">
        <v>0</v>
      </c>
      <c r="CO28" s="27" t="n">
        <v>0</v>
      </c>
      <c r="CP28" s="27" t="n">
        <v>0</v>
      </c>
      <c r="CQ28" s="27" t="n">
        <v>0</v>
      </c>
      <c r="CR28" s="27" t="n">
        <v>0</v>
      </c>
      <c r="CS28" s="27" t="n">
        <v>0</v>
      </c>
      <c r="CT28" s="27" t="n">
        <v>0</v>
      </c>
      <c r="CU28" s="27" t="n">
        <v>0</v>
      </c>
      <c r="CV28" s="27" t="n">
        <v>0</v>
      </c>
      <c r="CW28" s="27" t="n">
        <v>0</v>
      </c>
      <c r="CX28" s="27" t="n">
        <v>0</v>
      </c>
      <c r="CY28" s="27" t="n">
        <v>0</v>
      </c>
      <c r="CZ28" s="27" t="n">
        <v>0</v>
      </c>
      <c r="DA28" s="27" t="n">
        <v>0</v>
      </c>
    </row>
    <row r="29">
      <c r="A29" t="inlineStr">
        <is>
          <t>TSP-558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0</v>
      </c>
      <c r="J29" s="27" t="n">
        <v>0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0</v>
      </c>
      <c r="P29" s="27" t="n">
        <v>0</v>
      </c>
      <c r="Q29" s="27" t="n">
        <v>0</v>
      </c>
      <c r="R29" s="27" t="n">
        <v>0</v>
      </c>
      <c r="S29" s="27" t="n">
        <v>0</v>
      </c>
      <c r="T29" s="27" t="n">
        <v>0</v>
      </c>
      <c r="U29" s="27" t="n">
        <v>0</v>
      </c>
      <c r="V29" s="27" t="n">
        <v>0</v>
      </c>
      <c r="W29" s="27" t="n">
        <v>0</v>
      </c>
      <c r="X29" s="27" t="n">
        <v>0</v>
      </c>
      <c r="Y29" s="27" t="n">
        <v>0</v>
      </c>
      <c r="Z29" s="27" t="n">
        <v>0</v>
      </c>
      <c r="AA29" s="27" t="n">
        <v>0</v>
      </c>
      <c r="AB29" s="27" t="n">
        <v>0</v>
      </c>
      <c r="AC29" s="27" t="n">
        <v>0</v>
      </c>
      <c r="AD29" s="27" t="n">
        <v>0</v>
      </c>
      <c r="AE29" s="27" t="n">
        <v>0</v>
      </c>
      <c r="AF29" s="27" t="n">
        <v>0</v>
      </c>
      <c r="AG29" s="27" t="n">
        <v>0</v>
      </c>
      <c r="AH29" s="27" t="n">
        <v>0</v>
      </c>
      <c r="AI29" s="27" t="n">
        <v>0</v>
      </c>
      <c r="AJ29" s="27" t="n">
        <v>0</v>
      </c>
      <c r="AK29" s="27" t="n">
        <v>0</v>
      </c>
      <c r="AL29" s="27" t="n">
        <v>0</v>
      </c>
      <c r="AM29" s="27" t="n">
        <v>0</v>
      </c>
      <c r="AN29" s="27" t="n">
        <v>0</v>
      </c>
      <c r="AO29" s="27" t="n">
        <v>0</v>
      </c>
      <c r="AP29" s="27" t="n">
        <v>0</v>
      </c>
      <c r="AQ29" s="27" t="n">
        <v>0</v>
      </c>
      <c r="AR29" s="27" t="n">
        <v>0</v>
      </c>
      <c r="AS29" s="27" t="n">
        <v>0</v>
      </c>
      <c r="AT29" s="27" t="n">
        <v>0</v>
      </c>
      <c r="AU29" s="27" t="n">
        <v>0</v>
      </c>
      <c r="AV29" s="27" t="n">
        <v>0</v>
      </c>
      <c r="AW29" s="27" t="n">
        <v>0</v>
      </c>
      <c r="AX29" s="27" t="n">
        <v>0</v>
      </c>
      <c r="AY29" s="27" t="n">
        <v>0</v>
      </c>
      <c r="AZ29" s="27" t="n">
        <v>0</v>
      </c>
      <c r="BA29" s="27" t="n">
        <v>0</v>
      </c>
      <c r="BB29" s="27" t="n">
        <v>0</v>
      </c>
      <c r="BC29" s="27" t="n">
        <v>0</v>
      </c>
      <c r="BD29" s="27" t="n">
        <v>0</v>
      </c>
      <c r="BE29" s="27" t="n">
        <v>0</v>
      </c>
      <c r="BF29" s="27" t="n">
        <v>0</v>
      </c>
      <c r="BG29" s="27" t="n">
        <v>0</v>
      </c>
      <c r="BH29" s="27" t="n">
        <v>0</v>
      </c>
      <c r="BI29" s="27" t="n">
        <v>0</v>
      </c>
      <c r="BJ29" s="27" t="n">
        <v>0</v>
      </c>
      <c r="BK29" s="27" t="n">
        <v>0</v>
      </c>
      <c r="BL29" s="27" t="n">
        <v>0</v>
      </c>
      <c r="BM29" s="27" t="n">
        <v>0</v>
      </c>
      <c r="BN29" s="27" t="n">
        <v>0</v>
      </c>
      <c r="BO29" s="27" t="n">
        <v>0</v>
      </c>
      <c r="BP29" s="27" t="n">
        <v>0</v>
      </c>
      <c r="BQ29" s="27" t="n">
        <v>0</v>
      </c>
      <c r="BR29" s="27" t="n">
        <v>0</v>
      </c>
      <c r="BS29" s="27" t="n">
        <v>0</v>
      </c>
      <c r="BT29" s="27" t="n">
        <v>0</v>
      </c>
      <c r="BU29" s="27" t="n">
        <v>0</v>
      </c>
      <c r="BV29" s="27" t="n">
        <v>0</v>
      </c>
      <c r="BW29" s="27" t="n">
        <v>0</v>
      </c>
      <c r="BX29" s="27" t="n">
        <v>0</v>
      </c>
      <c r="BY29" s="27" t="n">
        <v>0</v>
      </c>
      <c r="BZ29" s="27" t="n">
        <v>0</v>
      </c>
      <c r="CA29" s="27" t="n">
        <v>0</v>
      </c>
      <c r="CB29" s="27" t="n">
        <v>0</v>
      </c>
      <c r="CC29" s="27" t="n">
        <v>0</v>
      </c>
      <c r="CD29" s="27" t="n">
        <v>0</v>
      </c>
      <c r="CE29" s="27" t="n">
        <v>0</v>
      </c>
      <c r="CF29" s="27" t="n">
        <v>0</v>
      </c>
      <c r="CG29" s="27" t="n">
        <v>0</v>
      </c>
      <c r="CH29" s="27" t="n">
        <v>0</v>
      </c>
      <c r="CI29" s="27" t="n">
        <v>0</v>
      </c>
      <c r="CJ29" s="27" t="n">
        <v>0</v>
      </c>
      <c r="CK29" s="27" t="n">
        <v>0</v>
      </c>
      <c r="CL29" s="27" t="n">
        <v>0</v>
      </c>
      <c r="CM29" s="27" t="n">
        <v>0</v>
      </c>
      <c r="CN29" s="27" t="n">
        <v>0</v>
      </c>
      <c r="CO29" s="27" t="n">
        <v>0</v>
      </c>
      <c r="CP29" s="27" t="n">
        <v>0</v>
      </c>
      <c r="CQ29" s="27" t="n">
        <v>0</v>
      </c>
      <c r="CR29" s="27" t="n">
        <v>0</v>
      </c>
      <c r="CS29" s="27" t="n">
        <v>0</v>
      </c>
      <c r="CT29" s="27" t="n">
        <v>0</v>
      </c>
      <c r="CU29" s="27" t="n">
        <v>0</v>
      </c>
      <c r="CV29" s="27" t="n">
        <v>0</v>
      </c>
      <c r="CW29" s="27" t="n">
        <v>0</v>
      </c>
      <c r="CX29" s="27" t="n">
        <v>0</v>
      </c>
      <c r="CY29" s="27" t="n">
        <v>0</v>
      </c>
      <c r="CZ29" s="27" t="n">
        <v>0</v>
      </c>
      <c r="DA29" s="27" t="n">
        <v>0</v>
      </c>
    </row>
    <row r="30">
      <c r="A30" t="inlineStr">
        <is>
          <t>TSP-618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0</v>
      </c>
      <c r="L30" s="27" t="n">
        <v>0</v>
      </c>
      <c r="M30" s="27" t="n">
        <v>0</v>
      </c>
      <c r="N30" s="27" t="n">
        <v>0</v>
      </c>
      <c r="O30" s="27" t="n">
        <v>0</v>
      </c>
      <c r="P30" s="27" t="n">
        <v>0</v>
      </c>
      <c r="Q30" s="27" t="n">
        <v>0</v>
      </c>
      <c r="R30" s="27" t="n">
        <v>0</v>
      </c>
      <c r="S30" s="27" t="n">
        <v>0</v>
      </c>
      <c r="T30" s="27" t="n">
        <v>0</v>
      </c>
      <c r="U30" s="27" t="n">
        <v>0</v>
      </c>
      <c r="V30" s="27" t="n">
        <v>0</v>
      </c>
      <c r="W30" s="27" t="n">
        <v>0</v>
      </c>
      <c r="X30" s="27" t="n">
        <v>0</v>
      </c>
      <c r="Y30" s="27" t="n">
        <v>0</v>
      </c>
      <c r="Z30" s="27" t="n">
        <v>0</v>
      </c>
      <c r="AA30" s="27" t="n">
        <v>0</v>
      </c>
      <c r="AB30" s="27" t="n">
        <v>0</v>
      </c>
      <c r="AC30" s="27" t="n">
        <v>0</v>
      </c>
      <c r="AD30" s="27" t="n">
        <v>0</v>
      </c>
      <c r="AE30" s="27" t="n">
        <v>0</v>
      </c>
      <c r="AF30" s="27" t="n">
        <v>0</v>
      </c>
      <c r="AG30" s="27" t="n">
        <v>0</v>
      </c>
      <c r="AH30" s="27" t="n">
        <v>0</v>
      </c>
      <c r="AI30" s="27" t="n">
        <v>0</v>
      </c>
      <c r="AJ30" s="27" t="n">
        <v>0</v>
      </c>
      <c r="AK30" s="27" t="n">
        <v>0</v>
      </c>
      <c r="AL30" s="27" t="n">
        <v>0</v>
      </c>
      <c r="AM30" s="27" t="n">
        <v>0</v>
      </c>
      <c r="AN30" s="27" t="n">
        <v>0</v>
      </c>
      <c r="AO30" s="27" t="n">
        <v>0</v>
      </c>
      <c r="AP30" s="27" t="n">
        <v>0</v>
      </c>
      <c r="AQ30" s="27" t="n">
        <v>0</v>
      </c>
      <c r="AR30" s="27" t="n">
        <v>0</v>
      </c>
      <c r="AS30" s="27" t="n">
        <v>0</v>
      </c>
      <c r="AT30" s="27" t="n">
        <v>0</v>
      </c>
      <c r="AU30" s="27" t="n">
        <v>0</v>
      </c>
      <c r="AV30" s="27" t="n">
        <v>0</v>
      </c>
      <c r="AW30" s="27" t="n">
        <v>0</v>
      </c>
      <c r="AX30" s="27" t="n">
        <v>0</v>
      </c>
      <c r="AY30" s="27" t="n">
        <v>0</v>
      </c>
      <c r="AZ30" s="27" t="n">
        <v>0</v>
      </c>
      <c r="BA30" s="27" t="n">
        <v>0</v>
      </c>
      <c r="BB30" s="27" t="n">
        <v>0</v>
      </c>
      <c r="BC30" s="27" t="n">
        <v>0</v>
      </c>
      <c r="BD30" s="27" t="n">
        <v>0</v>
      </c>
      <c r="BE30" s="27" t="n">
        <v>0</v>
      </c>
      <c r="BF30" s="27" t="n">
        <v>0</v>
      </c>
      <c r="BG30" s="27" t="n">
        <v>0</v>
      </c>
      <c r="BH30" s="27" t="n">
        <v>0</v>
      </c>
      <c r="BI30" s="27" t="n">
        <v>0</v>
      </c>
      <c r="BJ30" s="27" t="n">
        <v>0</v>
      </c>
      <c r="BK30" s="27" t="n">
        <v>0</v>
      </c>
      <c r="BL30" s="27" t="n">
        <v>0</v>
      </c>
      <c r="BM30" s="27" t="n">
        <v>0</v>
      </c>
      <c r="BN30" s="27" t="n">
        <v>0</v>
      </c>
      <c r="BO30" s="27" t="n">
        <v>0</v>
      </c>
      <c r="BP30" s="27" t="n">
        <v>0</v>
      </c>
      <c r="BQ30" s="27" t="n">
        <v>0</v>
      </c>
      <c r="BR30" s="27" t="n">
        <v>0</v>
      </c>
      <c r="BS30" s="27" t="n">
        <v>0</v>
      </c>
      <c r="BT30" s="27" t="n">
        <v>0</v>
      </c>
      <c r="BU30" s="27" t="n">
        <v>0</v>
      </c>
      <c r="BV30" s="27" t="n">
        <v>0</v>
      </c>
      <c r="BW30" s="27" t="n">
        <v>0</v>
      </c>
      <c r="BX30" s="27" t="n">
        <v>0</v>
      </c>
      <c r="BY30" s="27" t="n">
        <v>0</v>
      </c>
      <c r="BZ30" s="27" t="n">
        <v>0</v>
      </c>
      <c r="CA30" s="27" t="n">
        <v>0</v>
      </c>
      <c r="CB30" s="27" t="n">
        <v>0</v>
      </c>
      <c r="CC30" s="27" t="n">
        <v>0</v>
      </c>
      <c r="CD30" s="27" t="n">
        <v>0</v>
      </c>
      <c r="CE30" s="27" t="n">
        <v>0</v>
      </c>
      <c r="CF30" s="27" t="n">
        <v>0</v>
      </c>
      <c r="CG30" s="27" t="n">
        <v>0</v>
      </c>
      <c r="CH30" s="27" t="n">
        <v>0</v>
      </c>
      <c r="CI30" s="27" t="n">
        <v>0</v>
      </c>
      <c r="CJ30" s="27" t="n">
        <v>0</v>
      </c>
      <c r="CK30" s="27" t="n">
        <v>0</v>
      </c>
      <c r="CL30" s="27" t="n">
        <v>0</v>
      </c>
      <c r="CM30" s="27" t="n">
        <v>0</v>
      </c>
      <c r="CN30" s="27" t="n">
        <v>0</v>
      </c>
      <c r="CO30" s="27" t="n">
        <v>0</v>
      </c>
      <c r="CP30" s="27" t="n">
        <v>0</v>
      </c>
      <c r="CQ30" s="27" t="n">
        <v>0</v>
      </c>
      <c r="CR30" s="27" t="n">
        <v>0</v>
      </c>
      <c r="CS30" s="27" t="n">
        <v>0</v>
      </c>
      <c r="CT30" s="27" t="n">
        <v>0</v>
      </c>
      <c r="CU30" s="27" t="n">
        <v>0</v>
      </c>
      <c r="CV30" s="27" t="n">
        <v>0</v>
      </c>
      <c r="CW30" s="27" t="n">
        <v>0</v>
      </c>
      <c r="CX30" s="27" t="n">
        <v>0</v>
      </c>
      <c r="CY30" s="27" t="n">
        <v>0</v>
      </c>
      <c r="CZ30" s="27" t="n">
        <v>0</v>
      </c>
      <c r="DA30" s="27" t="n">
        <v>0</v>
      </c>
    </row>
    <row r="31">
      <c r="A31" t="inlineStr">
        <is>
          <t>TSP-620</t>
        </is>
      </c>
      <c r="B31" s="27" t="n">
        <v>0</v>
      </c>
      <c r="C31" s="27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0</v>
      </c>
      <c r="L31" s="27" t="n">
        <v>0</v>
      </c>
      <c r="M31" s="27" t="n">
        <v>0</v>
      </c>
      <c r="N31" s="27" t="n">
        <v>0</v>
      </c>
      <c r="O31" s="27" t="n">
        <v>0</v>
      </c>
      <c r="P31" s="27" t="n">
        <v>0</v>
      </c>
      <c r="Q31" s="27" t="n">
        <v>0</v>
      </c>
      <c r="R31" s="27" t="n">
        <v>0</v>
      </c>
      <c r="S31" s="27" t="n">
        <v>0</v>
      </c>
      <c r="T31" s="27" t="n">
        <v>0</v>
      </c>
      <c r="U31" s="27" t="n">
        <v>0</v>
      </c>
      <c r="V31" s="27" t="n">
        <v>0</v>
      </c>
      <c r="W31" s="27" t="n">
        <v>0</v>
      </c>
      <c r="X31" s="27" t="n">
        <v>0</v>
      </c>
      <c r="Y31" s="27" t="n">
        <v>0</v>
      </c>
      <c r="Z31" s="27" t="n">
        <v>0</v>
      </c>
      <c r="AA31" s="27" t="n">
        <v>0</v>
      </c>
      <c r="AB31" s="27" t="n">
        <v>0</v>
      </c>
      <c r="AC31" s="27" t="n">
        <v>0</v>
      </c>
      <c r="AD31" s="27" t="n">
        <v>0</v>
      </c>
      <c r="AE31" s="27" t="n">
        <v>0</v>
      </c>
      <c r="AF31" s="27" t="n">
        <v>0</v>
      </c>
      <c r="AG31" s="27" t="n">
        <v>0</v>
      </c>
      <c r="AH31" s="27" t="n">
        <v>0</v>
      </c>
      <c r="AI31" s="27" t="n">
        <v>0</v>
      </c>
      <c r="AJ31" s="27" t="n">
        <v>0</v>
      </c>
      <c r="AK31" s="27" t="n">
        <v>0</v>
      </c>
      <c r="AL31" s="27" t="n">
        <v>0</v>
      </c>
      <c r="AM31" s="27" t="n">
        <v>0</v>
      </c>
      <c r="AN31" s="27" t="n">
        <v>0</v>
      </c>
      <c r="AO31" s="27" t="n">
        <v>0</v>
      </c>
      <c r="AP31" s="27" t="n">
        <v>0</v>
      </c>
      <c r="AQ31" s="27" t="n">
        <v>0</v>
      </c>
      <c r="AR31" s="27" t="n">
        <v>0</v>
      </c>
      <c r="AS31" s="27" t="n">
        <v>0</v>
      </c>
      <c r="AT31" s="27" t="n">
        <v>0</v>
      </c>
      <c r="AU31" s="27" t="n">
        <v>0</v>
      </c>
      <c r="AV31" s="27" t="n">
        <v>0</v>
      </c>
      <c r="AW31" s="27" t="n">
        <v>0</v>
      </c>
      <c r="AX31" s="27" t="n">
        <v>0</v>
      </c>
      <c r="AY31" s="27" t="n">
        <v>0</v>
      </c>
      <c r="AZ31" s="27" t="n">
        <v>0</v>
      </c>
      <c r="BA31" s="27" t="n">
        <v>0</v>
      </c>
      <c r="BB31" s="27" t="n">
        <v>0</v>
      </c>
      <c r="BC31" s="27" t="n">
        <v>0</v>
      </c>
      <c r="BD31" s="27" t="n">
        <v>0</v>
      </c>
      <c r="BE31" s="27" t="n">
        <v>0</v>
      </c>
      <c r="BF31" s="27" t="n">
        <v>0</v>
      </c>
      <c r="BG31" s="27" t="n">
        <v>0</v>
      </c>
      <c r="BH31" s="27" t="n">
        <v>0</v>
      </c>
      <c r="BI31" s="27" t="n">
        <v>0</v>
      </c>
      <c r="BJ31" s="27" t="n">
        <v>0</v>
      </c>
      <c r="BK31" s="27" t="n">
        <v>0</v>
      </c>
      <c r="BL31" s="27" t="n">
        <v>0</v>
      </c>
      <c r="BM31" s="27" t="n">
        <v>0</v>
      </c>
      <c r="BN31" s="27" t="n">
        <v>0</v>
      </c>
      <c r="BO31" s="27" t="n">
        <v>0</v>
      </c>
      <c r="BP31" s="27" t="n">
        <v>0</v>
      </c>
      <c r="BQ31" s="27" t="n">
        <v>0</v>
      </c>
      <c r="BR31" s="27" t="n">
        <v>0</v>
      </c>
      <c r="BS31" s="27" t="n">
        <v>0</v>
      </c>
      <c r="BT31" s="27" t="n">
        <v>0</v>
      </c>
      <c r="BU31" s="27" t="n">
        <v>0</v>
      </c>
      <c r="BV31" s="27" t="n">
        <v>0</v>
      </c>
      <c r="BW31" s="27" t="n">
        <v>0</v>
      </c>
      <c r="BX31" s="27" t="n">
        <v>0</v>
      </c>
      <c r="BY31" s="27" t="n">
        <v>0</v>
      </c>
      <c r="BZ31" s="27" t="n">
        <v>0</v>
      </c>
      <c r="CA31" s="27" t="n">
        <v>0</v>
      </c>
      <c r="CB31" s="27" t="n">
        <v>0</v>
      </c>
      <c r="CC31" s="27" t="n">
        <v>0</v>
      </c>
      <c r="CD31" s="27" t="n">
        <v>0</v>
      </c>
      <c r="CE31" s="27" t="n">
        <v>0</v>
      </c>
      <c r="CF31" s="27" t="n">
        <v>0</v>
      </c>
      <c r="CG31" s="27" t="n">
        <v>0</v>
      </c>
      <c r="CH31" s="27" t="n">
        <v>0</v>
      </c>
      <c r="CI31" s="27" t="n">
        <v>0</v>
      </c>
      <c r="CJ31" s="27" t="n">
        <v>0</v>
      </c>
      <c r="CK31" s="27" t="n">
        <v>0</v>
      </c>
      <c r="CL31" s="27" t="n">
        <v>0</v>
      </c>
      <c r="CM31" s="27" t="n">
        <v>0</v>
      </c>
      <c r="CN31" s="27" t="n">
        <v>0</v>
      </c>
      <c r="CO31" s="27" t="n">
        <v>0</v>
      </c>
      <c r="CP31" s="27" t="n">
        <v>0</v>
      </c>
      <c r="CQ31" s="27" t="n">
        <v>0</v>
      </c>
      <c r="CR31" s="27" t="n">
        <v>0</v>
      </c>
      <c r="CS31" s="27" t="n">
        <v>0</v>
      </c>
      <c r="CT31" s="27" t="n">
        <v>0</v>
      </c>
      <c r="CU31" s="27" t="n">
        <v>0</v>
      </c>
      <c r="CV31" s="27" t="n">
        <v>0</v>
      </c>
      <c r="CW31" s="27" t="n">
        <v>0</v>
      </c>
      <c r="CX31" s="27" t="n">
        <v>0</v>
      </c>
      <c r="CY31" s="27" t="n">
        <v>0</v>
      </c>
      <c r="CZ31" s="27" t="n">
        <v>0</v>
      </c>
      <c r="DA31" s="27" t="n">
        <v>0</v>
      </c>
    </row>
    <row r="32">
      <c r="A32" t="inlineStr">
        <is>
          <t>TSP-623</t>
        </is>
      </c>
      <c r="B32" s="27" t="n">
        <v>0</v>
      </c>
      <c r="C32" s="27" t="n">
        <v>0</v>
      </c>
      <c r="D32" s="27" t="n">
        <v>0</v>
      </c>
      <c r="E32" s="27" t="n">
        <v>0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0</v>
      </c>
      <c r="L32" s="27" t="n">
        <v>0</v>
      </c>
      <c r="M32" s="27" t="n">
        <v>0</v>
      </c>
      <c r="N32" s="27" t="n">
        <v>0</v>
      </c>
      <c r="O32" s="27" t="n">
        <v>0</v>
      </c>
      <c r="P32" s="27" t="n">
        <v>0</v>
      </c>
      <c r="Q32" s="27" t="n">
        <v>0</v>
      </c>
      <c r="R32" s="27" t="n">
        <v>0</v>
      </c>
      <c r="S32" s="27" t="n">
        <v>0</v>
      </c>
      <c r="T32" s="27" t="n">
        <v>0</v>
      </c>
      <c r="U32" s="27" t="n">
        <v>0</v>
      </c>
      <c r="V32" s="27" t="n">
        <v>0</v>
      </c>
      <c r="W32" s="27" t="n">
        <v>0</v>
      </c>
      <c r="X32" s="27" t="n">
        <v>0</v>
      </c>
      <c r="Y32" s="27" t="n">
        <v>0</v>
      </c>
      <c r="Z32" s="27" t="n">
        <v>0</v>
      </c>
      <c r="AA32" s="27" t="n">
        <v>0</v>
      </c>
      <c r="AB32" s="27" t="n">
        <v>0</v>
      </c>
      <c r="AC32" s="27" t="n">
        <v>0</v>
      </c>
      <c r="AD32" s="27" t="n">
        <v>0</v>
      </c>
      <c r="AE32" s="27" t="n">
        <v>0</v>
      </c>
      <c r="AF32" s="27" t="n">
        <v>0</v>
      </c>
      <c r="AG32" s="27" t="n">
        <v>0</v>
      </c>
      <c r="AH32" s="27" t="n">
        <v>0</v>
      </c>
      <c r="AI32" s="27" t="n">
        <v>0</v>
      </c>
      <c r="AJ32" s="27" t="n">
        <v>0</v>
      </c>
      <c r="AK32" s="27" t="n">
        <v>0</v>
      </c>
      <c r="AL32" s="27" t="n">
        <v>0</v>
      </c>
      <c r="AM32" s="27" t="n">
        <v>0</v>
      </c>
      <c r="AN32" s="27" t="n">
        <v>0</v>
      </c>
      <c r="AO32" s="27" t="n">
        <v>0</v>
      </c>
      <c r="AP32" s="27" t="n">
        <v>0</v>
      </c>
      <c r="AQ32" s="27" t="n">
        <v>0</v>
      </c>
      <c r="AR32" s="27" t="n">
        <v>0</v>
      </c>
      <c r="AS32" s="27" t="n">
        <v>0</v>
      </c>
      <c r="AT32" s="27" t="n">
        <v>0</v>
      </c>
      <c r="AU32" s="27" t="n">
        <v>0</v>
      </c>
      <c r="AV32" s="27" t="n">
        <v>0</v>
      </c>
      <c r="AW32" s="27" t="n">
        <v>0</v>
      </c>
      <c r="AX32" s="27" t="n">
        <v>0</v>
      </c>
      <c r="AY32" s="27" t="n">
        <v>0</v>
      </c>
      <c r="AZ32" s="27" t="n">
        <v>0</v>
      </c>
      <c r="BA32" s="27" t="n">
        <v>0</v>
      </c>
      <c r="BB32" s="27" t="n">
        <v>0</v>
      </c>
      <c r="BC32" s="27" t="n">
        <v>0</v>
      </c>
      <c r="BD32" s="27" t="n">
        <v>0</v>
      </c>
      <c r="BE32" s="27" t="n">
        <v>0</v>
      </c>
      <c r="BF32" s="27" t="n">
        <v>0</v>
      </c>
      <c r="BG32" s="27" t="n">
        <v>0</v>
      </c>
      <c r="BH32" s="27" t="n">
        <v>0</v>
      </c>
      <c r="BI32" s="27" t="n">
        <v>0</v>
      </c>
      <c r="BJ32" s="27" t="n">
        <v>0</v>
      </c>
      <c r="BK32" s="27" t="n">
        <v>0</v>
      </c>
      <c r="BL32" s="27" t="n">
        <v>0</v>
      </c>
      <c r="BM32" s="27" t="n">
        <v>0</v>
      </c>
      <c r="BN32" s="27" t="n">
        <v>0</v>
      </c>
      <c r="BO32" s="27" t="n">
        <v>0</v>
      </c>
      <c r="BP32" s="27" t="n">
        <v>0</v>
      </c>
      <c r="BQ32" s="27" t="n">
        <v>0</v>
      </c>
      <c r="BR32" s="27" t="n">
        <v>0</v>
      </c>
      <c r="BS32" s="27" t="n">
        <v>0</v>
      </c>
      <c r="BT32" s="27" t="n">
        <v>0</v>
      </c>
      <c r="BU32" s="27" t="n">
        <v>0</v>
      </c>
      <c r="BV32" s="27" t="n">
        <v>0</v>
      </c>
      <c r="BW32" s="27" t="n">
        <v>0</v>
      </c>
      <c r="BX32" s="27" t="n">
        <v>0</v>
      </c>
      <c r="BY32" s="27" t="n">
        <v>0</v>
      </c>
      <c r="BZ32" s="27" t="n">
        <v>0</v>
      </c>
      <c r="CA32" s="27" t="n">
        <v>0</v>
      </c>
      <c r="CB32" s="27" t="n">
        <v>0</v>
      </c>
      <c r="CC32" s="27" t="n">
        <v>0</v>
      </c>
      <c r="CD32" s="27" t="n">
        <v>0</v>
      </c>
      <c r="CE32" s="27" t="n">
        <v>0</v>
      </c>
      <c r="CF32" s="27" t="n">
        <v>0</v>
      </c>
      <c r="CG32" s="27" t="n">
        <v>0</v>
      </c>
      <c r="CH32" s="27" t="n">
        <v>0</v>
      </c>
      <c r="CI32" s="27" t="n">
        <v>0</v>
      </c>
      <c r="CJ32" s="27" t="n">
        <v>0</v>
      </c>
      <c r="CK32" s="27" t="n">
        <v>0</v>
      </c>
      <c r="CL32" s="27" t="n">
        <v>0</v>
      </c>
      <c r="CM32" s="27" t="n">
        <v>0</v>
      </c>
      <c r="CN32" s="27" t="n">
        <v>0</v>
      </c>
      <c r="CO32" s="27" t="n">
        <v>0</v>
      </c>
      <c r="CP32" s="27" t="n">
        <v>0</v>
      </c>
      <c r="CQ32" s="27" t="n">
        <v>0</v>
      </c>
      <c r="CR32" s="27" t="n">
        <v>0</v>
      </c>
      <c r="CS32" s="27" t="n">
        <v>0</v>
      </c>
      <c r="CT32" s="27" t="n">
        <v>0</v>
      </c>
      <c r="CU32" s="27" t="n">
        <v>0</v>
      </c>
      <c r="CV32" s="27" t="n">
        <v>0</v>
      </c>
      <c r="CW32" s="27" t="n">
        <v>0</v>
      </c>
      <c r="CX32" s="27" t="n">
        <v>0</v>
      </c>
      <c r="CY32" s="27" t="n">
        <v>0</v>
      </c>
      <c r="CZ32" s="27" t="n">
        <v>0</v>
      </c>
      <c r="DA32" s="27" t="n">
        <v>0</v>
      </c>
    </row>
    <row r="33">
      <c r="A33" t="inlineStr">
        <is>
          <t>TSP-655</t>
        </is>
      </c>
      <c r="B33" s="27" t="n">
        <v>0</v>
      </c>
      <c r="C33" s="27" t="n">
        <v>2.503132938187976</v>
      </c>
      <c r="D33" s="27" t="n">
        <v>2.503132938187976</v>
      </c>
      <c r="E33" s="27" t="n">
        <v>5.006265876375952</v>
      </c>
      <c r="F33" s="27" t="n">
        <v>5.006265876375952</v>
      </c>
      <c r="G33" s="27" t="n">
        <v>5.006265876375952</v>
      </c>
      <c r="H33" s="27" t="n">
        <v>0</v>
      </c>
      <c r="I33" s="27" t="n">
        <v>0</v>
      </c>
      <c r="J33" s="27" t="n">
        <v>0</v>
      </c>
      <c r="K33" s="27" t="n">
        <v>10.0125317527519</v>
      </c>
      <c r="L33" s="27" t="n">
        <v>2.252819644369179</v>
      </c>
      <c r="M33" s="27" t="n">
        <v>2.503132938187976</v>
      </c>
      <c r="N33" s="27" t="n">
        <v>0</v>
      </c>
      <c r="O33" s="27" t="n">
        <v>2.70793472403972</v>
      </c>
      <c r="P33" s="27" t="n">
        <v>5.006265876375952</v>
      </c>
      <c r="Q33" s="27" t="n">
        <v>2.503132938187976</v>
      </c>
      <c r="R33" s="27" t="n">
        <v>4.755952582557154</v>
      </c>
      <c r="S33" s="27" t="n">
        <v>0</v>
      </c>
      <c r="T33" s="27" t="n">
        <v>0</v>
      </c>
      <c r="U33" s="27" t="n">
        <v>3.504386113463167</v>
      </c>
      <c r="V33" s="27" t="n">
        <v>2.503132938187976</v>
      </c>
      <c r="W33" s="27" t="n">
        <v>4.255325994919559</v>
      </c>
      <c r="X33" s="27" t="n">
        <v>0</v>
      </c>
      <c r="Y33" s="27" t="n">
        <v>10.0125317527519</v>
      </c>
      <c r="Z33" s="27" t="n">
        <v>0</v>
      </c>
      <c r="AA33" s="27" t="n">
        <v>5.006265876375952</v>
      </c>
      <c r="AB33" s="27" t="n">
        <v>3.754699407281964</v>
      </c>
      <c r="AC33" s="27" t="n">
        <v>5.006265876375952</v>
      </c>
      <c r="AD33" s="27" t="n">
        <v>2.503132938187976</v>
      </c>
      <c r="AE33" s="27" t="n">
        <v>3.754699407281964</v>
      </c>
      <c r="AF33" s="27" t="n">
        <v>2.503132938187976</v>
      </c>
      <c r="AG33" s="27" t="n">
        <v>3.754699407281964</v>
      </c>
      <c r="AH33" s="27" t="n">
        <v>0</v>
      </c>
      <c r="AI33" s="27" t="n">
        <v>0</v>
      </c>
      <c r="AJ33" s="27" t="n">
        <v>3.754699407281964</v>
      </c>
      <c r="AK33" s="27" t="n">
        <v>0</v>
      </c>
      <c r="AL33" s="27" t="n">
        <v>0</v>
      </c>
      <c r="AM33" s="27" t="n">
        <v>5.006265876375952</v>
      </c>
      <c r="AN33" s="27" t="n">
        <v>0</v>
      </c>
      <c r="AO33" s="27" t="n">
        <v>5.006265876375952</v>
      </c>
      <c r="AP33" s="27" t="n">
        <v>0</v>
      </c>
      <c r="AQ33" s="27" t="n">
        <v>0</v>
      </c>
      <c r="AR33" s="27" t="n">
        <v>5.006265876375952</v>
      </c>
      <c r="AS33" s="27" t="n">
        <v>0</v>
      </c>
      <c r="AT33" s="27" t="n">
        <v>5.006265876375952</v>
      </c>
      <c r="AU33" s="27" t="n">
        <v>5.006265876375952</v>
      </c>
      <c r="AV33" s="27" t="n">
        <v>5.006265876375952</v>
      </c>
      <c r="AW33" s="27" t="n">
        <v>5.006265876375952</v>
      </c>
      <c r="AX33" s="27" t="n">
        <v>5.006265876375952</v>
      </c>
      <c r="AY33" s="27" t="n">
        <v>0</v>
      </c>
      <c r="AZ33" s="27" t="n">
        <v>0</v>
      </c>
      <c r="BA33" s="27" t="n">
        <v>0</v>
      </c>
      <c r="BB33" s="27" t="n">
        <v>0</v>
      </c>
      <c r="BC33" s="27" t="n">
        <v>0</v>
      </c>
      <c r="BD33" s="27" t="n">
        <v>5.006265876375952</v>
      </c>
      <c r="BE33" s="27" t="n">
        <v>0</v>
      </c>
      <c r="BF33" s="27" t="n">
        <v>5.006265876375952</v>
      </c>
      <c r="BG33" s="27" t="n">
        <v>0</v>
      </c>
      <c r="BH33" s="27" t="n">
        <v>5.006265876375952</v>
      </c>
      <c r="BI33" s="27" t="n">
        <v>0</v>
      </c>
      <c r="BJ33" s="27" t="n">
        <v>0</v>
      </c>
      <c r="BK33" s="27" t="n">
        <v>5.006265876375952</v>
      </c>
      <c r="BL33" s="27" t="n">
        <v>0</v>
      </c>
      <c r="BM33" s="27" t="n">
        <v>0</v>
      </c>
      <c r="BN33" s="27" t="n">
        <v>2.503132938187976</v>
      </c>
      <c r="BO33" s="27" t="n">
        <v>0</v>
      </c>
      <c r="BP33" s="27" t="n">
        <v>0</v>
      </c>
      <c r="BQ33" s="27" t="n">
        <v>1.251566469093988</v>
      </c>
      <c r="BR33" s="27" t="n">
        <v>0</v>
      </c>
      <c r="BS33" s="27" t="n">
        <v>0</v>
      </c>
      <c r="BT33" s="27" t="n">
        <v>0</v>
      </c>
      <c r="BU33" s="27" t="n">
        <v>0</v>
      </c>
      <c r="BV33" s="27" t="n">
        <v>0</v>
      </c>
      <c r="BW33" s="27" t="n">
        <v>0</v>
      </c>
      <c r="BX33" s="27" t="n">
        <v>0</v>
      </c>
      <c r="BY33" s="27" t="n">
        <v>0</v>
      </c>
      <c r="BZ33" s="27" t="n">
        <v>0</v>
      </c>
      <c r="CA33" s="27" t="n">
        <v>0</v>
      </c>
      <c r="CB33" s="27" t="n">
        <v>0</v>
      </c>
      <c r="CC33" s="27" t="n">
        <v>0</v>
      </c>
      <c r="CD33" s="27" t="n">
        <v>0</v>
      </c>
      <c r="CE33" s="27" t="n">
        <v>0</v>
      </c>
      <c r="CF33" s="27" t="n">
        <v>0</v>
      </c>
      <c r="CG33" s="27" t="n">
        <v>0</v>
      </c>
      <c r="CH33" s="27" t="n">
        <v>0</v>
      </c>
      <c r="CI33" s="27" t="n">
        <v>0</v>
      </c>
      <c r="CJ33" s="27" t="n">
        <v>0</v>
      </c>
      <c r="CK33" s="27" t="n">
        <v>0</v>
      </c>
      <c r="CL33" s="27" t="n">
        <v>0</v>
      </c>
      <c r="CM33" s="27" t="n">
        <v>0</v>
      </c>
      <c r="CN33" s="27" t="n">
        <v>0</v>
      </c>
      <c r="CO33" s="27" t="n">
        <v>0</v>
      </c>
      <c r="CP33" s="27" t="n">
        <v>0</v>
      </c>
      <c r="CQ33" s="27" t="n">
        <v>0</v>
      </c>
      <c r="CR33" s="27" t="n">
        <v>0</v>
      </c>
      <c r="CS33" s="27" t="n">
        <v>0</v>
      </c>
      <c r="CT33" s="27" t="n">
        <v>0</v>
      </c>
      <c r="CU33" s="27" t="n">
        <v>0</v>
      </c>
      <c r="CV33" s="27" t="n">
        <v>0</v>
      </c>
      <c r="CW33" s="27" t="n">
        <v>0</v>
      </c>
      <c r="CX33" s="27" t="n">
        <v>0</v>
      </c>
      <c r="CY33" s="27" t="n">
        <v>0</v>
      </c>
      <c r="CZ33" s="27" t="n">
        <v>0</v>
      </c>
      <c r="DA33" s="27" t="n">
        <v>0</v>
      </c>
    </row>
    <row r="34">
      <c r="A34" t="inlineStr">
        <is>
          <t>TSP-656</t>
        </is>
      </c>
      <c r="B34" s="27" t="n">
        <v>0</v>
      </c>
      <c r="C34" s="27" t="n">
        <v>1.346887259455148</v>
      </c>
      <c r="D34" s="27" t="n">
        <v>1.346887259455148</v>
      </c>
      <c r="E34" s="27" t="n">
        <v>2.693774518910295</v>
      </c>
      <c r="F34" s="27" t="n">
        <v>2.693774518910295</v>
      </c>
      <c r="G34" s="27" t="n">
        <v>2.693774518910295</v>
      </c>
      <c r="H34" s="27" t="n">
        <v>0</v>
      </c>
      <c r="I34" s="27" t="n">
        <v>0</v>
      </c>
      <c r="J34" s="27" t="n">
        <v>0</v>
      </c>
      <c r="K34" s="27" t="n">
        <v>5.38754903782059</v>
      </c>
      <c r="L34" s="27" t="n">
        <v>1.212198533509633</v>
      </c>
      <c r="M34" s="27" t="n">
        <v>1.346887259455148</v>
      </c>
      <c r="N34" s="27" t="n">
        <v>0</v>
      </c>
      <c r="O34" s="27" t="n">
        <v>1.457087126137842</v>
      </c>
      <c r="P34" s="27" t="n">
        <v>2.693774518910295</v>
      </c>
      <c r="Q34" s="27" t="n">
        <v>1.346887259455148</v>
      </c>
      <c r="R34" s="27" t="n">
        <v>2.559085792964781</v>
      </c>
      <c r="S34" s="27" t="n">
        <v>0</v>
      </c>
      <c r="T34" s="27" t="n">
        <v>0</v>
      </c>
      <c r="U34" s="27" t="n">
        <v>1.885642163237207</v>
      </c>
      <c r="V34" s="27" t="n">
        <v>1.346887259455148</v>
      </c>
      <c r="W34" s="27" t="n">
        <v>2.289708341073751</v>
      </c>
      <c r="X34" s="27" t="n">
        <v>0</v>
      </c>
      <c r="Y34" s="27" t="n">
        <v>5.38754903782059</v>
      </c>
      <c r="Z34" s="27" t="n">
        <v>0</v>
      </c>
      <c r="AA34" s="27" t="n">
        <v>2.693774518910295</v>
      </c>
      <c r="AB34" s="27" t="n">
        <v>2.020330889182722</v>
      </c>
      <c r="AC34" s="27" t="n">
        <v>2.693774518910295</v>
      </c>
      <c r="AD34" s="27" t="n">
        <v>1.346887259455148</v>
      </c>
      <c r="AE34" s="27" t="n">
        <v>2.020330889182722</v>
      </c>
      <c r="AF34" s="27" t="n">
        <v>1.346887259455148</v>
      </c>
      <c r="AG34" s="27" t="n">
        <v>2.020330889182722</v>
      </c>
      <c r="AH34" s="27" t="n">
        <v>0</v>
      </c>
      <c r="AI34" s="27" t="n">
        <v>0</v>
      </c>
      <c r="AJ34" s="27" t="n">
        <v>2.020330889182722</v>
      </c>
      <c r="AK34" s="27" t="n">
        <v>0</v>
      </c>
      <c r="AL34" s="27" t="n">
        <v>0</v>
      </c>
      <c r="AM34" s="27" t="n">
        <v>2.693774518910295</v>
      </c>
      <c r="AN34" s="27" t="n">
        <v>0</v>
      </c>
      <c r="AO34" s="27" t="n">
        <v>2.693774518910295</v>
      </c>
      <c r="AP34" s="27" t="n">
        <v>0</v>
      </c>
      <c r="AQ34" s="27" t="n">
        <v>0</v>
      </c>
      <c r="AR34" s="27" t="n">
        <v>2.693774518910295</v>
      </c>
      <c r="AS34" s="27" t="n">
        <v>0</v>
      </c>
      <c r="AT34" s="27" t="n">
        <v>2.693774518910295</v>
      </c>
      <c r="AU34" s="27" t="n">
        <v>2.693774518910295</v>
      </c>
      <c r="AV34" s="27" t="n">
        <v>2.693774518910295</v>
      </c>
      <c r="AW34" s="27" t="n">
        <v>2.693774518910295</v>
      </c>
      <c r="AX34" s="27" t="n">
        <v>2.693774518910295</v>
      </c>
      <c r="AY34" s="27" t="n">
        <v>0</v>
      </c>
      <c r="AZ34" s="27" t="n">
        <v>0</v>
      </c>
      <c r="BA34" s="27" t="n">
        <v>0</v>
      </c>
      <c r="BB34" s="27" t="n">
        <v>0</v>
      </c>
      <c r="BC34" s="27" t="n">
        <v>0</v>
      </c>
      <c r="BD34" s="27" t="n">
        <v>2.693774518910295</v>
      </c>
      <c r="BE34" s="27" t="n">
        <v>0</v>
      </c>
      <c r="BF34" s="27" t="n">
        <v>2.693774518910295</v>
      </c>
      <c r="BG34" s="27" t="n">
        <v>0</v>
      </c>
      <c r="BH34" s="27" t="n">
        <v>2.693774518910295</v>
      </c>
      <c r="BI34" s="27" t="n">
        <v>0</v>
      </c>
      <c r="BJ34" s="27" t="n">
        <v>0</v>
      </c>
      <c r="BK34" s="27" t="n">
        <v>2.693774518910295</v>
      </c>
      <c r="BL34" s="27" t="n">
        <v>0</v>
      </c>
      <c r="BM34" s="27" t="n">
        <v>0</v>
      </c>
      <c r="BN34" s="27" t="n">
        <v>1.346887259455148</v>
      </c>
      <c r="BO34" s="27" t="n">
        <v>0</v>
      </c>
      <c r="BP34" s="27" t="n">
        <v>0</v>
      </c>
      <c r="BQ34" s="27" t="n">
        <v>0.6734436297275738</v>
      </c>
      <c r="BR34" s="27" t="n">
        <v>0</v>
      </c>
      <c r="BS34" s="27" t="n">
        <v>0</v>
      </c>
      <c r="BT34" s="27" t="n">
        <v>0</v>
      </c>
      <c r="BU34" s="27" t="n">
        <v>0</v>
      </c>
      <c r="BV34" s="27" t="n">
        <v>0</v>
      </c>
      <c r="BW34" s="27" t="n">
        <v>0</v>
      </c>
      <c r="BX34" s="27" t="n">
        <v>0</v>
      </c>
      <c r="BY34" s="27" t="n">
        <v>0</v>
      </c>
      <c r="BZ34" s="27" t="n">
        <v>0</v>
      </c>
      <c r="CA34" s="27" t="n">
        <v>0</v>
      </c>
      <c r="CB34" s="27" t="n">
        <v>0</v>
      </c>
      <c r="CC34" s="27" t="n">
        <v>0</v>
      </c>
      <c r="CD34" s="27" t="n">
        <v>0</v>
      </c>
      <c r="CE34" s="27" t="n">
        <v>0</v>
      </c>
      <c r="CF34" s="27" t="n">
        <v>0</v>
      </c>
      <c r="CG34" s="27" t="n">
        <v>0</v>
      </c>
      <c r="CH34" s="27" t="n">
        <v>0</v>
      </c>
      <c r="CI34" s="27" t="n">
        <v>0</v>
      </c>
      <c r="CJ34" s="27" t="n">
        <v>0</v>
      </c>
      <c r="CK34" s="27" t="n">
        <v>0</v>
      </c>
      <c r="CL34" s="27" t="n">
        <v>0</v>
      </c>
      <c r="CM34" s="27" t="n">
        <v>0</v>
      </c>
      <c r="CN34" s="27" t="n">
        <v>0</v>
      </c>
      <c r="CO34" s="27" t="n">
        <v>0</v>
      </c>
      <c r="CP34" s="27" t="n">
        <v>0</v>
      </c>
      <c r="CQ34" s="27" t="n">
        <v>0</v>
      </c>
      <c r="CR34" s="27" t="n">
        <v>0</v>
      </c>
      <c r="CS34" s="27" t="n">
        <v>0</v>
      </c>
      <c r="CT34" s="27" t="n">
        <v>0</v>
      </c>
      <c r="CU34" s="27" t="n">
        <v>0</v>
      </c>
      <c r="CV34" s="27" t="n">
        <v>0</v>
      </c>
      <c r="CW34" s="27" t="n">
        <v>0</v>
      </c>
      <c r="CX34" s="27" t="n">
        <v>0</v>
      </c>
      <c r="CY34" s="27" t="n">
        <v>0</v>
      </c>
      <c r="CZ34" s="27" t="n">
        <v>0</v>
      </c>
      <c r="DA34" s="27" t="n">
        <v>0</v>
      </c>
    </row>
    <row r="35">
      <c r="A35" t="inlineStr">
        <is>
          <t>TSP-668</t>
        </is>
      </c>
      <c r="B35" s="27" t="n">
        <v>0</v>
      </c>
      <c r="C35" s="27" t="n">
        <v>0</v>
      </c>
      <c r="D35" s="27" t="n">
        <v>0</v>
      </c>
      <c r="E35" s="27" t="n">
        <v>0</v>
      </c>
      <c r="F35" s="27" t="n">
        <v>0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  <c r="L35" s="27" t="n">
        <v>0</v>
      </c>
      <c r="M35" s="27" t="n">
        <v>0</v>
      </c>
      <c r="N35" s="27" t="n">
        <v>0</v>
      </c>
      <c r="O35" s="27" t="n">
        <v>0</v>
      </c>
      <c r="P35" s="27" t="n">
        <v>0</v>
      </c>
      <c r="Q35" s="27" t="n">
        <v>0</v>
      </c>
      <c r="R35" s="27" t="n">
        <v>0</v>
      </c>
      <c r="S35" s="27" t="n">
        <v>0</v>
      </c>
      <c r="T35" s="27" t="n">
        <v>0</v>
      </c>
      <c r="U35" s="27" t="n">
        <v>0</v>
      </c>
      <c r="V35" s="27" t="n">
        <v>0</v>
      </c>
      <c r="W35" s="27" t="n">
        <v>0</v>
      </c>
      <c r="X35" s="27" t="n">
        <v>0</v>
      </c>
      <c r="Y35" s="27" t="n">
        <v>0</v>
      </c>
      <c r="Z35" s="27" t="n">
        <v>0</v>
      </c>
      <c r="AA35" s="27" t="n">
        <v>0</v>
      </c>
      <c r="AB35" s="27" t="n">
        <v>0</v>
      </c>
      <c r="AC35" s="27" t="n">
        <v>0</v>
      </c>
      <c r="AD35" s="27" t="n">
        <v>0</v>
      </c>
      <c r="AE35" s="27" t="n">
        <v>0</v>
      </c>
      <c r="AF35" s="27" t="n">
        <v>0</v>
      </c>
      <c r="AG35" s="27" t="n">
        <v>0</v>
      </c>
      <c r="AH35" s="27" t="n">
        <v>0</v>
      </c>
      <c r="AI35" s="27" t="n">
        <v>0</v>
      </c>
      <c r="AJ35" s="27" t="n">
        <v>0</v>
      </c>
      <c r="AK35" s="27" t="n">
        <v>0</v>
      </c>
      <c r="AL35" s="27" t="n">
        <v>0</v>
      </c>
      <c r="AM35" s="27" t="n">
        <v>0</v>
      </c>
      <c r="AN35" s="27" t="n">
        <v>0</v>
      </c>
      <c r="AO35" s="27" t="n">
        <v>0</v>
      </c>
      <c r="AP35" s="27" t="n">
        <v>0</v>
      </c>
      <c r="AQ35" s="27" t="n">
        <v>0</v>
      </c>
      <c r="AR35" s="27" t="n">
        <v>0</v>
      </c>
      <c r="AS35" s="27" t="n">
        <v>0</v>
      </c>
      <c r="AT35" s="27" t="n">
        <v>0</v>
      </c>
      <c r="AU35" s="27" t="n">
        <v>0</v>
      </c>
      <c r="AV35" s="27" t="n">
        <v>0</v>
      </c>
      <c r="AW35" s="27" t="n">
        <v>0</v>
      </c>
      <c r="AX35" s="27" t="n">
        <v>0</v>
      </c>
      <c r="AY35" s="27" t="n">
        <v>0</v>
      </c>
      <c r="AZ35" s="27" t="n">
        <v>0</v>
      </c>
      <c r="BA35" s="27" t="n">
        <v>0</v>
      </c>
      <c r="BB35" s="27" t="n">
        <v>0</v>
      </c>
      <c r="BC35" s="27" t="n">
        <v>0</v>
      </c>
      <c r="BD35" s="27" t="n">
        <v>0</v>
      </c>
      <c r="BE35" s="27" t="n">
        <v>0</v>
      </c>
      <c r="BF35" s="27" t="n">
        <v>0</v>
      </c>
      <c r="BG35" s="27" t="n">
        <v>0</v>
      </c>
      <c r="BH35" s="27" t="n">
        <v>0</v>
      </c>
      <c r="BI35" s="27" t="n">
        <v>0</v>
      </c>
      <c r="BJ35" s="27" t="n">
        <v>0</v>
      </c>
      <c r="BK35" s="27" t="n">
        <v>0</v>
      </c>
      <c r="BL35" s="27" t="n">
        <v>0</v>
      </c>
      <c r="BM35" s="27" t="n">
        <v>0</v>
      </c>
      <c r="BN35" s="27" t="n">
        <v>0</v>
      </c>
      <c r="BO35" s="27" t="n">
        <v>0</v>
      </c>
      <c r="BP35" s="27" t="n">
        <v>0</v>
      </c>
      <c r="BQ35" s="27" t="n">
        <v>0</v>
      </c>
      <c r="BR35" s="27" t="n">
        <v>0</v>
      </c>
      <c r="BS35" s="27" t="n">
        <v>0</v>
      </c>
      <c r="BT35" s="27" t="n">
        <v>0</v>
      </c>
      <c r="BU35" s="27" t="n">
        <v>0</v>
      </c>
      <c r="BV35" s="27" t="n">
        <v>0</v>
      </c>
      <c r="BW35" s="27" t="n">
        <v>0</v>
      </c>
      <c r="BX35" s="27" t="n">
        <v>0</v>
      </c>
      <c r="BY35" s="27" t="n">
        <v>0</v>
      </c>
      <c r="BZ35" s="27" t="n">
        <v>0</v>
      </c>
      <c r="CA35" s="27" t="n">
        <v>0</v>
      </c>
      <c r="CB35" s="27" t="n">
        <v>0</v>
      </c>
      <c r="CC35" s="27" t="n">
        <v>0</v>
      </c>
      <c r="CD35" s="27" t="n">
        <v>0</v>
      </c>
      <c r="CE35" s="27" t="n">
        <v>0</v>
      </c>
      <c r="CF35" s="27" t="n">
        <v>0</v>
      </c>
      <c r="CG35" s="27" t="n">
        <v>0</v>
      </c>
      <c r="CH35" s="27" t="n">
        <v>0</v>
      </c>
      <c r="CI35" s="27" t="n">
        <v>0</v>
      </c>
      <c r="CJ35" s="27" t="n">
        <v>0</v>
      </c>
      <c r="CK35" s="27" t="n">
        <v>0</v>
      </c>
      <c r="CL35" s="27" t="n">
        <v>0</v>
      </c>
      <c r="CM35" s="27" t="n">
        <v>0</v>
      </c>
      <c r="CN35" s="27" t="n">
        <v>0</v>
      </c>
      <c r="CO35" s="27" t="n">
        <v>0</v>
      </c>
      <c r="CP35" s="27" t="n">
        <v>0</v>
      </c>
      <c r="CQ35" s="27" t="n">
        <v>0</v>
      </c>
      <c r="CR35" s="27" t="n">
        <v>0</v>
      </c>
      <c r="CS35" s="27" t="n">
        <v>0</v>
      </c>
      <c r="CT35" s="27" t="n">
        <v>0</v>
      </c>
      <c r="CU35" s="27" t="n">
        <v>0</v>
      </c>
      <c r="CV35" s="27" t="n">
        <v>0</v>
      </c>
      <c r="CW35" s="27" t="n">
        <v>0</v>
      </c>
      <c r="CX35" s="27" t="n">
        <v>0</v>
      </c>
      <c r="CY35" s="27" t="n">
        <v>0</v>
      </c>
      <c r="CZ35" s="27" t="n">
        <v>0</v>
      </c>
      <c r="DA35" s="27" t="n">
        <v>0</v>
      </c>
    </row>
    <row r="36">
      <c r="A36" t="inlineStr">
        <is>
          <t>TSP-669</t>
        </is>
      </c>
      <c r="B36" s="27" t="n">
        <v>0</v>
      </c>
      <c r="C36" s="27" t="n">
        <v>0</v>
      </c>
      <c r="D36" s="27" t="n">
        <v>0</v>
      </c>
      <c r="E36" s="27" t="n">
        <v>0</v>
      </c>
      <c r="F36" s="27" t="n">
        <v>0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  <c r="L36" s="27" t="n">
        <v>0</v>
      </c>
      <c r="M36" s="27" t="n">
        <v>0</v>
      </c>
      <c r="N36" s="27" t="n">
        <v>0</v>
      </c>
      <c r="O36" s="27" t="n">
        <v>0</v>
      </c>
      <c r="P36" s="27" t="n">
        <v>0</v>
      </c>
      <c r="Q36" s="27" t="n">
        <v>0</v>
      </c>
      <c r="R36" s="27" t="n">
        <v>0</v>
      </c>
      <c r="S36" s="27" t="n">
        <v>0</v>
      </c>
      <c r="T36" s="27" t="n">
        <v>0</v>
      </c>
      <c r="U36" s="27" t="n">
        <v>0</v>
      </c>
      <c r="V36" s="27" t="n">
        <v>0</v>
      </c>
      <c r="W36" s="27" t="n">
        <v>0</v>
      </c>
      <c r="X36" s="27" t="n">
        <v>0</v>
      </c>
      <c r="Y36" s="27" t="n">
        <v>0</v>
      </c>
      <c r="Z36" s="27" t="n">
        <v>0</v>
      </c>
      <c r="AA36" s="27" t="n">
        <v>0</v>
      </c>
      <c r="AB36" s="27" t="n">
        <v>0</v>
      </c>
      <c r="AC36" s="27" t="n">
        <v>0</v>
      </c>
      <c r="AD36" s="27" t="n">
        <v>0</v>
      </c>
      <c r="AE36" s="27" t="n">
        <v>0</v>
      </c>
      <c r="AF36" s="27" t="n">
        <v>0</v>
      </c>
      <c r="AG36" s="27" t="n">
        <v>0</v>
      </c>
      <c r="AH36" s="27" t="n">
        <v>0</v>
      </c>
      <c r="AI36" s="27" t="n">
        <v>0</v>
      </c>
      <c r="AJ36" s="27" t="n">
        <v>0</v>
      </c>
      <c r="AK36" s="27" t="n">
        <v>0</v>
      </c>
      <c r="AL36" s="27" t="n">
        <v>0</v>
      </c>
      <c r="AM36" s="27" t="n">
        <v>0</v>
      </c>
      <c r="AN36" s="27" t="n">
        <v>0</v>
      </c>
      <c r="AO36" s="27" t="n">
        <v>0</v>
      </c>
      <c r="AP36" s="27" t="n">
        <v>0</v>
      </c>
      <c r="AQ36" s="27" t="n">
        <v>0</v>
      </c>
      <c r="AR36" s="27" t="n">
        <v>0</v>
      </c>
      <c r="AS36" s="27" t="n">
        <v>0</v>
      </c>
      <c r="AT36" s="27" t="n">
        <v>0</v>
      </c>
      <c r="AU36" s="27" t="n">
        <v>0</v>
      </c>
      <c r="AV36" s="27" t="n">
        <v>0</v>
      </c>
      <c r="AW36" s="27" t="n">
        <v>0</v>
      </c>
      <c r="AX36" s="27" t="n">
        <v>0</v>
      </c>
      <c r="AY36" s="27" t="n">
        <v>0</v>
      </c>
      <c r="AZ36" s="27" t="n">
        <v>0</v>
      </c>
      <c r="BA36" s="27" t="n">
        <v>0</v>
      </c>
      <c r="BB36" s="27" t="n">
        <v>0</v>
      </c>
      <c r="BC36" s="27" t="n">
        <v>0</v>
      </c>
      <c r="BD36" s="27" t="n">
        <v>0</v>
      </c>
      <c r="BE36" s="27" t="n">
        <v>0</v>
      </c>
      <c r="BF36" s="27" t="n">
        <v>0</v>
      </c>
      <c r="BG36" s="27" t="n">
        <v>0</v>
      </c>
      <c r="BH36" s="27" t="n">
        <v>0</v>
      </c>
      <c r="BI36" s="27" t="n">
        <v>0</v>
      </c>
      <c r="BJ36" s="27" t="n">
        <v>0</v>
      </c>
      <c r="BK36" s="27" t="n">
        <v>0</v>
      </c>
      <c r="BL36" s="27" t="n">
        <v>0</v>
      </c>
      <c r="BM36" s="27" t="n">
        <v>0</v>
      </c>
      <c r="BN36" s="27" t="n">
        <v>0</v>
      </c>
      <c r="BO36" s="27" t="n">
        <v>0</v>
      </c>
      <c r="BP36" s="27" t="n">
        <v>0</v>
      </c>
      <c r="BQ36" s="27" t="n">
        <v>0</v>
      </c>
      <c r="BR36" s="27" t="n">
        <v>0</v>
      </c>
      <c r="BS36" s="27" t="n">
        <v>0</v>
      </c>
      <c r="BT36" s="27" t="n">
        <v>0</v>
      </c>
      <c r="BU36" s="27" t="n">
        <v>0</v>
      </c>
      <c r="BV36" s="27" t="n">
        <v>0</v>
      </c>
      <c r="BW36" s="27" t="n">
        <v>0</v>
      </c>
      <c r="BX36" s="27" t="n">
        <v>0</v>
      </c>
      <c r="BY36" s="27" t="n">
        <v>0</v>
      </c>
      <c r="BZ36" s="27" t="n">
        <v>0</v>
      </c>
      <c r="CA36" s="27" t="n">
        <v>0</v>
      </c>
      <c r="CB36" s="27" t="n">
        <v>0</v>
      </c>
      <c r="CC36" s="27" t="n">
        <v>0</v>
      </c>
      <c r="CD36" s="27" t="n">
        <v>0</v>
      </c>
      <c r="CE36" s="27" t="n">
        <v>0</v>
      </c>
      <c r="CF36" s="27" t="n">
        <v>0</v>
      </c>
      <c r="CG36" s="27" t="n">
        <v>0</v>
      </c>
      <c r="CH36" s="27" t="n">
        <v>0</v>
      </c>
      <c r="CI36" s="27" t="n">
        <v>0</v>
      </c>
      <c r="CJ36" s="27" t="n">
        <v>0</v>
      </c>
      <c r="CK36" s="27" t="n">
        <v>0</v>
      </c>
      <c r="CL36" s="27" t="n">
        <v>0</v>
      </c>
      <c r="CM36" s="27" t="n">
        <v>0</v>
      </c>
      <c r="CN36" s="27" t="n">
        <v>0</v>
      </c>
      <c r="CO36" s="27" t="n">
        <v>0</v>
      </c>
      <c r="CP36" s="27" t="n">
        <v>0</v>
      </c>
      <c r="CQ36" s="27" t="n">
        <v>0</v>
      </c>
      <c r="CR36" s="27" t="n">
        <v>0</v>
      </c>
      <c r="CS36" s="27" t="n">
        <v>0</v>
      </c>
      <c r="CT36" s="27" t="n">
        <v>0</v>
      </c>
      <c r="CU36" s="27" t="n">
        <v>0</v>
      </c>
      <c r="CV36" s="27" t="n">
        <v>0</v>
      </c>
      <c r="CW36" s="27" t="n">
        <v>0</v>
      </c>
      <c r="CX36" s="27" t="n">
        <v>0</v>
      </c>
      <c r="CY36" s="27" t="n">
        <v>0</v>
      </c>
      <c r="CZ36" s="27" t="n">
        <v>0</v>
      </c>
      <c r="DA36" s="27" t="n">
        <v>0</v>
      </c>
    </row>
    <row r="37">
      <c r="A37" t="inlineStr">
        <is>
          <t>TSP-670</t>
        </is>
      </c>
      <c r="B37" s="27" t="n">
        <v>0</v>
      </c>
      <c r="C37" s="27" t="n">
        <v>0</v>
      </c>
      <c r="D37" s="27" t="n">
        <v>0</v>
      </c>
      <c r="E37" s="27" t="n">
        <v>0</v>
      </c>
      <c r="F37" s="27" t="n">
        <v>0</v>
      </c>
      <c r="G37" s="27" t="n">
        <v>0</v>
      </c>
      <c r="H37" s="27" t="n">
        <v>0</v>
      </c>
      <c r="I37" s="27" t="n">
        <v>0</v>
      </c>
      <c r="J37" s="27" t="n">
        <v>0</v>
      </c>
      <c r="K37" s="27" t="n">
        <v>0</v>
      </c>
      <c r="L37" s="27" t="n">
        <v>0</v>
      </c>
      <c r="M37" s="27" t="n">
        <v>0</v>
      </c>
      <c r="N37" s="27" t="n">
        <v>0</v>
      </c>
      <c r="O37" s="27" t="n">
        <v>0</v>
      </c>
      <c r="P37" s="27" t="n">
        <v>0</v>
      </c>
      <c r="Q37" s="27" t="n">
        <v>0</v>
      </c>
      <c r="R37" s="27" t="n">
        <v>0</v>
      </c>
      <c r="S37" s="27" t="n">
        <v>0</v>
      </c>
      <c r="T37" s="27" t="n">
        <v>0</v>
      </c>
      <c r="U37" s="27" t="n">
        <v>0</v>
      </c>
      <c r="V37" s="27" t="n">
        <v>0</v>
      </c>
      <c r="W37" s="27" t="n">
        <v>0</v>
      </c>
      <c r="X37" s="27" t="n">
        <v>0</v>
      </c>
      <c r="Y37" s="27" t="n">
        <v>0</v>
      </c>
      <c r="Z37" s="27" t="n">
        <v>0</v>
      </c>
      <c r="AA37" s="27" t="n">
        <v>0</v>
      </c>
      <c r="AB37" s="27" t="n">
        <v>0</v>
      </c>
      <c r="AC37" s="27" t="n">
        <v>0</v>
      </c>
      <c r="AD37" s="27" t="n">
        <v>0</v>
      </c>
      <c r="AE37" s="27" t="n">
        <v>0</v>
      </c>
      <c r="AF37" s="27" t="n">
        <v>0</v>
      </c>
      <c r="AG37" s="27" t="n">
        <v>0</v>
      </c>
      <c r="AH37" s="27" t="n">
        <v>0</v>
      </c>
      <c r="AI37" s="27" t="n">
        <v>0</v>
      </c>
      <c r="AJ37" s="27" t="n">
        <v>0</v>
      </c>
      <c r="AK37" s="27" t="n">
        <v>0</v>
      </c>
      <c r="AL37" s="27" t="n">
        <v>0</v>
      </c>
      <c r="AM37" s="27" t="n">
        <v>0</v>
      </c>
      <c r="AN37" s="27" t="n">
        <v>0</v>
      </c>
      <c r="AO37" s="27" t="n">
        <v>0</v>
      </c>
      <c r="AP37" s="27" t="n">
        <v>0</v>
      </c>
      <c r="AQ37" s="27" t="n">
        <v>0</v>
      </c>
      <c r="AR37" s="27" t="n">
        <v>0</v>
      </c>
      <c r="AS37" s="27" t="n">
        <v>0</v>
      </c>
      <c r="AT37" s="27" t="n">
        <v>0</v>
      </c>
      <c r="AU37" s="27" t="n">
        <v>0</v>
      </c>
      <c r="AV37" s="27" t="n">
        <v>0</v>
      </c>
      <c r="AW37" s="27" t="n">
        <v>0</v>
      </c>
      <c r="AX37" s="27" t="n">
        <v>0</v>
      </c>
      <c r="AY37" s="27" t="n">
        <v>0</v>
      </c>
      <c r="AZ37" s="27" t="n">
        <v>0</v>
      </c>
      <c r="BA37" s="27" t="n">
        <v>0</v>
      </c>
      <c r="BB37" s="27" t="n">
        <v>0</v>
      </c>
      <c r="BC37" s="27" t="n">
        <v>0</v>
      </c>
      <c r="BD37" s="27" t="n">
        <v>0</v>
      </c>
      <c r="BE37" s="27" t="n">
        <v>0</v>
      </c>
      <c r="BF37" s="27" t="n">
        <v>0</v>
      </c>
      <c r="BG37" s="27" t="n">
        <v>0</v>
      </c>
      <c r="BH37" s="27" t="n">
        <v>0</v>
      </c>
      <c r="BI37" s="27" t="n">
        <v>0</v>
      </c>
      <c r="BJ37" s="27" t="n">
        <v>0</v>
      </c>
      <c r="BK37" s="27" t="n">
        <v>0</v>
      </c>
      <c r="BL37" s="27" t="n">
        <v>0</v>
      </c>
      <c r="BM37" s="27" t="n">
        <v>0</v>
      </c>
      <c r="BN37" s="27" t="n">
        <v>0</v>
      </c>
      <c r="BO37" s="27" t="n">
        <v>0</v>
      </c>
      <c r="BP37" s="27" t="n">
        <v>0</v>
      </c>
      <c r="BQ37" s="27" t="n">
        <v>0</v>
      </c>
      <c r="BR37" s="27" t="n">
        <v>0</v>
      </c>
      <c r="BS37" s="27" t="n">
        <v>0</v>
      </c>
      <c r="BT37" s="27" t="n">
        <v>0</v>
      </c>
      <c r="BU37" s="27" t="n">
        <v>0</v>
      </c>
      <c r="BV37" s="27" t="n">
        <v>0</v>
      </c>
      <c r="BW37" s="27" t="n">
        <v>0</v>
      </c>
      <c r="BX37" s="27" t="n">
        <v>0</v>
      </c>
      <c r="BY37" s="27" t="n">
        <v>0</v>
      </c>
      <c r="BZ37" s="27" t="n">
        <v>0</v>
      </c>
      <c r="CA37" s="27" t="n">
        <v>0</v>
      </c>
      <c r="CB37" s="27" t="n">
        <v>0</v>
      </c>
      <c r="CC37" s="27" t="n">
        <v>0</v>
      </c>
      <c r="CD37" s="27" t="n">
        <v>0</v>
      </c>
      <c r="CE37" s="27" t="n">
        <v>0</v>
      </c>
      <c r="CF37" s="27" t="n">
        <v>0</v>
      </c>
      <c r="CG37" s="27" t="n">
        <v>0</v>
      </c>
      <c r="CH37" s="27" t="n">
        <v>0</v>
      </c>
      <c r="CI37" s="27" t="n">
        <v>0</v>
      </c>
      <c r="CJ37" s="27" t="n">
        <v>0</v>
      </c>
      <c r="CK37" s="27" t="n">
        <v>0</v>
      </c>
      <c r="CL37" s="27" t="n">
        <v>0</v>
      </c>
      <c r="CM37" s="27" t="n">
        <v>0</v>
      </c>
      <c r="CN37" s="27" t="n">
        <v>0</v>
      </c>
      <c r="CO37" s="27" t="n">
        <v>0</v>
      </c>
      <c r="CP37" s="27" t="n">
        <v>0</v>
      </c>
      <c r="CQ37" s="27" t="n">
        <v>0</v>
      </c>
      <c r="CR37" s="27" t="n">
        <v>0</v>
      </c>
      <c r="CS37" s="27" t="n">
        <v>0</v>
      </c>
      <c r="CT37" s="27" t="n">
        <v>0</v>
      </c>
      <c r="CU37" s="27" t="n">
        <v>0</v>
      </c>
      <c r="CV37" s="27" t="n">
        <v>0</v>
      </c>
      <c r="CW37" s="27" t="n">
        <v>0</v>
      </c>
      <c r="CX37" s="27" t="n">
        <v>0</v>
      </c>
      <c r="CY37" s="27" t="n">
        <v>0</v>
      </c>
      <c r="CZ37" s="27" t="n">
        <v>0</v>
      </c>
      <c r="DA37" s="27" t="n">
        <v>0</v>
      </c>
    </row>
    <row r="38">
      <c r="A38" t="inlineStr">
        <is>
          <t>TSP-710</t>
        </is>
      </c>
      <c r="B38" s="27" t="n">
        <v>0</v>
      </c>
      <c r="C38" s="27" t="n">
        <v>0</v>
      </c>
      <c r="D38" s="27" t="n">
        <v>0</v>
      </c>
      <c r="E38" s="27" t="n">
        <v>0</v>
      </c>
      <c r="F38" s="27" t="n">
        <v>0</v>
      </c>
      <c r="G38" s="27" t="n">
        <v>0</v>
      </c>
      <c r="H38" s="27" t="n">
        <v>0</v>
      </c>
      <c r="I38" s="27" t="n">
        <v>0</v>
      </c>
      <c r="J38" s="27" t="n">
        <v>0</v>
      </c>
      <c r="K38" s="27" t="n">
        <v>0</v>
      </c>
      <c r="L38" s="27" t="n">
        <v>0</v>
      </c>
      <c r="M38" s="27" t="n">
        <v>0</v>
      </c>
      <c r="N38" s="27" t="n">
        <v>0</v>
      </c>
      <c r="O38" s="27" t="n">
        <v>0</v>
      </c>
      <c r="P38" s="27" t="n">
        <v>0</v>
      </c>
      <c r="Q38" s="27" t="n">
        <v>0</v>
      </c>
      <c r="R38" s="27" t="n">
        <v>0</v>
      </c>
      <c r="S38" s="27" t="n">
        <v>0</v>
      </c>
      <c r="T38" s="27" t="n">
        <v>0</v>
      </c>
      <c r="U38" s="27" t="n">
        <v>0</v>
      </c>
      <c r="V38" s="27" t="n">
        <v>0</v>
      </c>
      <c r="W38" s="27" t="n">
        <v>0</v>
      </c>
      <c r="X38" s="27" t="n">
        <v>0</v>
      </c>
      <c r="Y38" s="27" t="n">
        <v>0</v>
      </c>
      <c r="Z38" s="27" t="n">
        <v>0</v>
      </c>
      <c r="AA38" s="27" t="n">
        <v>0</v>
      </c>
      <c r="AB38" s="27" t="n">
        <v>0</v>
      </c>
      <c r="AC38" s="27" t="n">
        <v>0</v>
      </c>
      <c r="AD38" s="27" t="n">
        <v>0</v>
      </c>
      <c r="AE38" s="27" t="n">
        <v>0</v>
      </c>
      <c r="AF38" s="27" t="n">
        <v>0</v>
      </c>
      <c r="AG38" s="27" t="n">
        <v>0</v>
      </c>
      <c r="AH38" s="27" t="n">
        <v>0</v>
      </c>
      <c r="AI38" s="27" t="n">
        <v>0</v>
      </c>
      <c r="AJ38" s="27" t="n">
        <v>0</v>
      </c>
      <c r="AK38" s="27" t="n">
        <v>0</v>
      </c>
      <c r="AL38" s="27" t="n">
        <v>0</v>
      </c>
      <c r="AM38" s="27" t="n">
        <v>0</v>
      </c>
      <c r="AN38" s="27" t="n">
        <v>0</v>
      </c>
      <c r="AO38" s="27" t="n">
        <v>0</v>
      </c>
      <c r="AP38" s="27" t="n">
        <v>0</v>
      </c>
      <c r="AQ38" s="27" t="n">
        <v>0</v>
      </c>
      <c r="AR38" s="27" t="n">
        <v>0</v>
      </c>
      <c r="AS38" s="27" t="n">
        <v>0</v>
      </c>
      <c r="AT38" s="27" t="n">
        <v>0</v>
      </c>
      <c r="AU38" s="27" t="n">
        <v>0</v>
      </c>
      <c r="AV38" s="27" t="n">
        <v>0</v>
      </c>
      <c r="AW38" s="27" t="n">
        <v>0</v>
      </c>
      <c r="AX38" s="27" t="n">
        <v>0</v>
      </c>
      <c r="AY38" s="27" t="n">
        <v>0</v>
      </c>
      <c r="AZ38" s="27" t="n">
        <v>0</v>
      </c>
      <c r="BA38" s="27" t="n">
        <v>0</v>
      </c>
      <c r="BB38" s="27" t="n">
        <v>0</v>
      </c>
      <c r="BC38" s="27" t="n">
        <v>0</v>
      </c>
      <c r="BD38" s="27" t="n">
        <v>0</v>
      </c>
      <c r="BE38" s="27" t="n">
        <v>0</v>
      </c>
      <c r="BF38" s="27" t="n">
        <v>0</v>
      </c>
      <c r="BG38" s="27" t="n">
        <v>0</v>
      </c>
      <c r="BH38" s="27" t="n">
        <v>0</v>
      </c>
      <c r="BI38" s="27" t="n">
        <v>0</v>
      </c>
      <c r="BJ38" s="27" t="n">
        <v>0</v>
      </c>
      <c r="BK38" s="27" t="n">
        <v>0</v>
      </c>
      <c r="BL38" s="27" t="n">
        <v>0</v>
      </c>
      <c r="BM38" s="27" t="n">
        <v>0</v>
      </c>
      <c r="BN38" s="27" t="n">
        <v>0</v>
      </c>
      <c r="BO38" s="27" t="n">
        <v>0</v>
      </c>
      <c r="BP38" s="27" t="n">
        <v>0</v>
      </c>
      <c r="BQ38" s="27" t="n">
        <v>0</v>
      </c>
      <c r="BR38" s="27" t="n">
        <v>0</v>
      </c>
      <c r="BS38" s="27" t="n">
        <v>0</v>
      </c>
      <c r="BT38" s="27" t="n">
        <v>0</v>
      </c>
      <c r="BU38" s="27" t="n">
        <v>0</v>
      </c>
      <c r="BV38" s="27" t="n">
        <v>0</v>
      </c>
      <c r="BW38" s="27" t="n">
        <v>0</v>
      </c>
      <c r="BX38" s="27" t="n">
        <v>0</v>
      </c>
      <c r="BY38" s="27" t="n">
        <v>0</v>
      </c>
      <c r="BZ38" s="27" t="n">
        <v>0</v>
      </c>
      <c r="CA38" s="27" t="n">
        <v>0</v>
      </c>
      <c r="CB38" s="27" t="n">
        <v>0</v>
      </c>
      <c r="CC38" s="27" t="n">
        <v>0</v>
      </c>
      <c r="CD38" s="27" t="n">
        <v>0</v>
      </c>
      <c r="CE38" s="27" t="n">
        <v>0</v>
      </c>
      <c r="CF38" s="27" t="n">
        <v>0</v>
      </c>
      <c r="CG38" s="27" t="n">
        <v>0</v>
      </c>
      <c r="CH38" s="27" t="n">
        <v>0</v>
      </c>
      <c r="CI38" s="27" t="n">
        <v>0</v>
      </c>
      <c r="CJ38" s="27" t="n">
        <v>0</v>
      </c>
      <c r="CK38" s="27" t="n">
        <v>0</v>
      </c>
      <c r="CL38" s="27" t="n">
        <v>0</v>
      </c>
      <c r="CM38" s="27" t="n">
        <v>0</v>
      </c>
      <c r="CN38" s="27" t="n">
        <v>0</v>
      </c>
      <c r="CO38" s="27" t="n">
        <v>0</v>
      </c>
      <c r="CP38" s="27" t="n">
        <v>0</v>
      </c>
      <c r="CQ38" s="27" t="n">
        <v>0</v>
      </c>
      <c r="CR38" s="27" t="n">
        <v>0</v>
      </c>
      <c r="CS38" s="27" t="n">
        <v>0</v>
      </c>
      <c r="CT38" s="27" t="n">
        <v>0</v>
      </c>
      <c r="CU38" s="27" t="n">
        <v>0</v>
      </c>
      <c r="CV38" s="27" t="n">
        <v>0</v>
      </c>
      <c r="CW38" s="27" t="n">
        <v>0</v>
      </c>
      <c r="CX38" s="27" t="n">
        <v>0</v>
      </c>
      <c r="CY38" s="27" t="n">
        <v>0</v>
      </c>
      <c r="CZ38" s="27" t="n">
        <v>0</v>
      </c>
      <c r="DA38" s="27" t="n">
        <v>0</v>
      </c>
    </row>
    <row r="39">
      <c r="A39" t="inlineStr">
        <is>
          <t>TSP-828</t>
        </is>
      </c>
      <c r="B39" s="27" t="n">
        <v>0</v>
      </c>
      <c r="C39" s="27" t="n">
        <v>0</v>
      </c>
      <c r="D39" s="27" t="n">
        <v>0</v>
      </c>
      <c r="E39" s="27" t="n">
        <v>0</v>
      </c>
      <c r="F39" s="27" t="n">
        <v>0</v>
      </c>
      <c r="G39" s="27" t="n">
        <v>0</v>
      </c>
      <c r="H39" s="27" t="n">
        <v>0</v>
      </c>
      <c r="I39" s="27" t="n">
        <v>0</v>
      </c>
      <c r="J39" s="27" t="n">
        <v>0</v>
      </c>
      <c r="K39" s="27" t="n">
        <v>0</v>
      </c>
      <c r="L39" s="27" t="n">
        <v>0</v>
      </c>
      <c r="M39" s="27" t="n">
        <v>0</v>
      </c>
      <c r="N39" s="27" t="n">
        <v>0</v>
      </c>
      <c r="O39" s="27" t="n">
        <v>0</v>
      </c>
      <c r="P39" s="27" t="n">
        <v>0</v>
      </c>
      <c r="Q39" s="27" t="n">
        <v>0</v>
      </c>
      <c r="R39" s="27" t="n">
        <v>0</v>
      </c>
      <c r="S39" s="27" t="n">
        <v>0</v>
      </c>
      <c r="T39" s="27" t="n">
        <v>0</v>
      </c>
      <c r="U39" s="27" t="n">
        <v>0</v>
      </c>
      <c r="V39" s="27" t="n">
        <v>0</v>
      </c>
      <c r="W39" s="27" t="n">
        <v>0</v>
      </c>
      <c r="X39" s="27" t="n">
        <v>0</v>
      </c>
      <c r="Y39" s="27" t="n">
        <v>0</v>
      </c>
      <c r="Z39" s="27" t="n">
        <v>0</v>
      </c>
      <c r="AA39" s="27" t="n">
        <v>0</v>
      </c>
      <c r="AB39" s="27" t="n">
        <v>0</v>
      </c>
      <c r="AC39" s="27" t="n">
        <v>0</v>
      </c>
      <c r="AD39" s="27" t="n">
        <v>0</v>
      </c>
      <c r="AE39" s="27" t="n">
        <v>0</v>
      </c>
      <c r="AF39" s="27" t="n">
        <v>0</v>
      </c>
      <c r="AG39" s="27" t="n">
        <v>0</v>
      </c>
      <c r="AH39" s="27" t="n">
        <v>0</v>
      </c>
      <c r="AI39" s="27" t="n">
        <v>0</v>
      </c>
      <c r="AJ39" s="27" t="n">
        <v>0</v>
      </c>
      <c r="AK39" s="27" t="n">
        <v>0</v>
      </c>
      <c r="AL39" s="27" t="n">
        <v>0</v>
      </c>
      <c r="AM39" s="27" t="n">
        <v>0</v>
      </c>
      <c r="AN39" s="27" t="n">
        <v>0</v>
      </c>
      <c r="AO39" s="27" t="n">
        <v>0</v>
      </c>
      <c r="AP39" s="27" t="n">
        <v>0</v>
      </c>
      <c r="AQ39" s="27" t="n">
        <v>0</v>
      </c>
      <c r="AR39" s="27" t="n">
        <v>0</v>
      </c>
      <c r="AS39" s="27" t="n">
        <v>0</v>
      </c>
      <c r="AT39" s="27" t="n">
        <v>0</v>
      </c>
      <c r="AU39" s="27" t="n">
        <v>0</v>
      </c>
      <c r="AV39" s="27" t="n">
        <v>0</v>
      </c>
      <c r="AW39" s="27" t="n">
        <v>0</v>
      </c>
      <c r="AX39" s="27" t="n">
        <v>0</v>
      </c>
      <c r="AY39" s="27" t="n">
        <v>0</v>
      </c>
      <c r="AZ39" s="27" t="n">
        <v>0</v>
      </c>
      <c r="BA39" s="27" t="n">
        <v>0</v>
      </c>
      <c r="BB39" s="27" t="n">
        <v>0</v>
      </c>
      <c r="BC39" s="27" t="n">
        <v>0</v>
      </c>
      <c r="BD39" s="27" t="n">
        <v>0</v>
      </c>
      <c r="BE39" s="27" t="n">
        <v>0</v>
      </c>
      <c r="BF39" s="27" t="n">
        <v>0</v>
      </c>
      <c r="BG39" s="27" t="n">
        <v>0</v>
      </c>
      <c r="BH39" s="27" t="n">
        <v>0</v>
      </c>
      <c r="BI39" s="27" t="n">
        <v>0</v>
      </c>
      <c r="BJ39" s="27" t="n">
        <v>0</v>
      </c>
      <c r="BK39" s="27" t="n">
        <v>0</v>
      </c>
      <c r="BL39" s="27" t="n">
        <v>0</v>
      </c>
      <c r="BM39" s="27" t="n">
        <v>0</v>
      </c>
      <c r="BN39" s="27" t="n">
        <v>0</v>
      </c>
      <c r="BO39" s="27" t="n">
        <v>0</v>
      </c>
      <c r="BP39" s="27" t="n">
        <v>0</v>
      </c>
      <c r="BQ39" s="27" t="n">
        <v>0</v>
      </c>
      <c r="BR39" s="27" t="n">
        <v>0</v>
      </c>
      <c r="BS39" s="27" t="n">
        <v>0</v>
      </c>
      <c r="BT39" s="27" t="n">
        <v>0</v>
      </c>
      <c r="BU39" s="27" t="n">
        <v>0</v>
      </c>
      <c r="BV39" s="27" t="n">
        <v>0</v>
      </c>
      <c r="BW39" s="27" t="n">
        <v>0</v>
      </c>
      <c r="BX39" s="27" t="n">
        <v>0</v>
      </c>
      <c r="BY39" s="27" t="n">
        <v>0</v>
      </c>
      <c r="BZ39" s="27" t="n">
        <v>0</v>
      </c>
      <c r="CA39" s="27" t="n">
        <v>0</v>
      </c>
      <c r="CB39" s="27" t="n">
        <v>0</v>
      </c>
      <c r="CC39" s="27" t="n">
        <v>0</v>
      </c>
      <c r="CD39" s="27" t="n">
        <v>0</v>
      </c>
      <c r="CE39" s="27" t="n">
        <v>0</v>
      </c>
      <c r="CF39" s="27" t="n">
        <v>0</v>
      </c>
      <c r="CG39" s="27" t="n">
        <v>0</v>
      </c>
      <c r="CH39" s="27" t="n">
        <v>0</v>
      </c>
      <c r="CI39" s="27" t="n">
        <v>0</v>
      </c>
      <c r="CJ39" s="27" t="n">
        <v>0</v>
      </c>
      <c r="CK39" s="27" t="n">
        <v>0</v>
      </c>
      <c r="CL39" s="27" t="n">
        <v>0</v>
      </c>
      <c r="CM39" s="27" t="n">
        <v>0</v>
      </c>
      <c r="CN39" s="27" t="n">
        <v>0</v>
      </c>
      <c r="CO39" s="27" t="n">
        <v>0</v>
      </c>
      <c r="CP39" s="27" t="n">
        <v>0</v>
      </c>
      <c r="CQ39" s="27" t="n">
        <v>0</v>
      </c>
      <c r="CR39" s="27" t="n">
        <v>0</v>
      </c>
      <c r="CS39" s="27" t="n">
        <v>0</v>
      </c>
      <c r="CT39" s="27" t="n">
        <v>0</v>
      </c>
      <c r="CU39" s="27" t="n">
        <v>0</v>
      </c>
      <c r="CV39" s="27" t="n">
        <v>0</v>
      </c>
      <c r="CW39" s="27" t="n">
        <v>0</v>
      </c>
      <c r="CX39" s="27" t="n">
        <v>0</v>
      </c>
      <c r="CY39" s="27" t="n">
        <v>0</v>
      </c>
      <c r="CZ39" s="27" t="n">
        <v>0</v>
      </c>
      <c r="DA39" s="27" t="n">
        <v>0</v>
      </c>
    </row>
    <row r="40">
      <c r="A40" t="inlineStr">
        <is>
          <t>TSP-903</t>
        </is>
      </c>
      <c r="B40" s="27" t="n">
        <v>0</v>
      </c>
      <c r="C40" s="27" t="n">
        <v>0</v>
      </c>
      <c r="D40" s="27" t="n">
        <v>0</v>
      </c>
      <c r="E40" s="27" t="n">
        <v>0</v>
      </c>
      <c r="F40" s="27" t="n">
        <v>0</v>
      </c>
      <c r="G40" s="27" t="n">
        <v>0</v>
      </c>
      <c r="H40" s="27" t="n">
        <v>0</v>
      </c>
      <c r="I40" s="27" t="n">
        <v>0</v>
      </c>
      <c r="J40" s="27" t="n">
        <v>0</v>
      </c>
      <c r="K40" s="27" t="n">
        <v>0</v>
      </c>
      <c r="L40" s="27" t="n">
        <v>0</v>
      </c>
      <c r="M40" s="27" t="n">
        <v>0</v>
      </c>
      <c r="N40" s="27" t="n">
        <v>0</v>
      </c>
      <c r="O40" s="27" t="n">
        <v>0</v>
      </c>
      <c r="P40" s="27" t="n">
        <v>0</v>
      </c>
      <c r="Q40" s="27" t="n">
        <v>0</v>
      </c>
      <c r="R40" s="27" t="n">
        <v>0</v>
      </c>
      <c r="S40" s="27" t="n">
        <v>0</v>
      </c>
      <c r="T40" s="27" t="n">
        <v>0</v>
      </c>
      <c r="U40" s="27" t="n">
        <v>0</v>
      </c>
      <c r="V40" s="27" t="n">
        <v>0</v>
      </c>
      <c r="W40" s="27" t="n">
        <v>0</v>
      </c>
      <c r="X40" s="27" t="n">
        <v>0</v>
      </c>
      <c r="Y40" s="27" t="n">
        <v>0</v>
      </c>
      <c r="Z40" s="27" t="n">
        <v>0</v>
      </c>
      <c r="AA40" s="27" t="n">
        <v>0</v>
      </c>
      <c r="AB40" s="27" t="n">
        <v>0</v>
      </c>
      <c r="AC40" s="27" t="n">
        <v>0</v>
      </c>
      <c r="AD40" s="27" t="n">
        <v>0</v>
      </c>
      <c r="AE40" s="27" t="n">
        <v>0</v>
      </c>
      <c r="AF40" s="27" t="n">
        <v>0</v>
      </c>
      <c r="AG40" s="27" t="n">
        <v>0</v>
      </c>
      <c r="AH40" s="27" t="n">
        <v>0</v>
      </c>
      <c r="AI40" s="27" t="n">
        <v>0</v>
      </c>
      <c r="AJ40" s="27" t="n">
        <v>0</v>
      </c>
      <c r="AK40" s="27" t="n">
        <v>0</v>
      </c>
      <c r="AL40" s="27" t="n">
        <v>0</v>
      </c>
      <c r="AM40" s="27" t="n">
        <v>0</v>
      </c>
      <c r="AN40" s="27" t="n">
        <v>0</v>
      </c>
      <c r="AO40" s="27" t="n">
        <v>0</v>
      </c>
      <c r="AP40" s="27" t="n">
        <v>0</v>
      </c>
      <c r="AQ40" s="27" t="n">
        <v>0</v>
      </c>
      <c r="AR40" s="27" t="n">
        <v>0</v>
      </c>
      <c r="AS40" s="27" t="n">
        <v>0</v>
      </c>
      <c r="AT40" s="27" t="n">
        <v>0</v>
      </c>
      <c r="AU40" s="27" t="n">
        <v>0</v>
      </c>
      <c r="AV40" s="27" t="n">
        <v>0</v>
      </c>
      <c r="AW40" s="27" t="n">
        <v>0</v>
      </c>
      <c r="AX40" s="27" t="n">
        <v>0</v>
      </c>
      <c r="AY40" s="27" t="n">
        <v>0</v>
      </c>
      <c r="AZ40" s="27" t="n">
        <v>0</v>
      </c>
      <c r="BA40" s="27" t="n">
        <v>0</v>
      </c>
      <c r="BB40" s="27" t="n">
        <v>0</v>
      </c>
      <c r="BC40" s="27" t="n">
        <v>0</v>
      </c>
      <c r="BD40" s="27" t="n">
        <v>0</v>
      </c>
      <c r="BE40" s="27" t="n">
        <v>0</v>
      </c>
      <c r="BF40" s="27" t="n">
        <v>0</v>
      </c>
      <c r="BG40" s="27" t="n">
        <v>0</v>
      </c>
      <c r="BH40" s="27" t="n">
        <v>0</v>
      </c>
      <c r="BI40" s="27" t="n">
        <v>0</v>
      </c>
      <c r="BJ40" s="27" t="n">
        <v>0</v>
      </c>
      <c r="BK40" s="27" t="n">
        <v>0</v>
      </c>
      <c r="BL40" s="27" t="n">
        <v>0</v>
      </c>
      <c r="BM40" s="27" t="n">
        <v>0</v>
      </c>
      <c r="BN40" s="27" t="n">
        <v>0</v>
      </c>
      <c r="BO40" s="27" t="n">
        <v>0</v>
      </c>
      <c r="BP40" s="27" t="n">
        <v>0</v>
      </c>
      <c r="BQ40" s="27" t="n">
        <v>0</v>
      </c>
      <c r="BR40" s="27" t="n">
        <v>0</v>
      </c>
      <c r="BS40" s="27" t="n">
        <v>0</v>
      </c>
      <c r="BT40" s="27" t="n">
        <v>0</v>
      </c>
      <c r="BU40" s="27" t="n">
        <v>0</v>
      </c>
      <c r="BV40" s="27" t="n">
        <v>0</v>
      </c>
      <c r="BW40" s="27" t="n">
        <v>0</v>
      </c>
      <c r="BX40" s="27" t="n">
        <v>0</v>
      </c>
      <c r="BY40" s="27" t="n">
        <v>0</v>
      </c>
      <c r="BZ40" s="27" t="n">
        <v>0</v>
      </c>
      <c r="CA40" s="27" t="n">
        <v>0</v>
      </c>
      <c r="CB40" s="27" t="n">
        <v>0</v>
      </c>
      <c r="CC40" s="27" t="n">
        <v>0</v>
      </c>
      <c r="CD40" s="27" t="n">
        <v>0</v>
      </c>
      <c r="CE40" s="27" t="n">
        <v>0</v>
      </c>
      <c r="CF40" s="27" t="n">
        <v>0</v>
      </c>
      <c r="CG40" s="27" t="n">
        <v>0</v>
      </c>
      <c r="CH40" s="27" t="n">
        <v>0</v>
      </c>
      <c r="CI40" s="27" t="n">
        <v>0</v>
      </c>
      <c r="CJ40" s="27" t="n">
        <v>0</v>
      </c>
      <c r="CK40" s="27" t="n">
        <v>0</v>
      </c>
      <c r="CL40" s="27" t="n">
        <v>0</v>
      </c>
      <c r="CM40" s="27" t="n">
        <v>0</v>
      </c>
      <c r="CN40" s="27" t="n">
        <v>0</v>
      </c>
      <c r="CO40" s="27" t="n">
        <v>0</v>
      </c>
      <c r="CP40" s="27" t="n">
        <v>0</v>
      </c>
      <c r="CQ40" s="27" t="n">
        <v>0</v>
      </c>
      <c r="CR40" s="27" t="n">
        <v>0</v>
      </c>
      <c r="CS40" s="27" t="n">
        <v>0</v>
      </c>
      <c r="CT40" s="27" t="n">
        <v>0</v>
      </c>
      <c r="CU40" s="27" t="n">
        <v>0</v>
      </c>
      <c r="CV40" s="27" t="n">
        <v>0</v>
      </c>
      <c r="CW40" s="27" t="n">
        <v>0</v>
      </c>
      <c r="CX40" s="27" t="n">
        <v>0</v>
      </c>
      <c r="CY40" s="27" t="n">
        <v>0</v>
      </c>
      <c r="CZ40" s="27" t="n">
        <v>0</v>
      </c>
      <c r="DA40" s="27" t="n">
        <v>0</v>
      </c>
    </row>
    <row r="41">
      <c r="A41" t="inlineStr">
        <is>
          <t>TSP-924</t>
        </is>
      </c>
      <c r="B41" s="27" t="n">
        <v>0</v>
      </c>
      <c r="C41" s="27" t="n">
        <v>0.5132905723431526</v>
      </c>
      <c r="D41" s="27" t="n">
        <v>0</v>
      </c>
      <c r="E41" s="27" t="n">
        <v>0</v>
      </c>
      <c r="F41" s="27" t="n">
        <v>0.5132905723431526</v>
      </c>
      <c r="G41" s="27" t="n">
        <v>0</v>
      </c>
      <c r="H41" s="27" t="n">
        <v>0</v>
      </c>
      <c r="I41" s="27" t="n">
        <v>0.5132905723431526</v>
      </c>
      <c r="J41" s="27" t="n">
        <v>0</v>
      </c>
      <c r="K41" s="27" t="n">
        <v>0.5132905723431526</v>
      </c>
      <c r="L41" s="27" t="n">
        <v>0</v>
      </c>
      <c r="M41" s="27" t="n">
        <v>0.5132905723431526</v>
      </c>
      <c r="N41" s="27" t="n">
        <v>0</v>
      </c>
      <c r="O41" s="27" t="n">
        <v>0</v>
      </c>
      <c r="P41" s="27" t="n">
        <v>0.5132905723431526</v>
      </c>
      <c r="Q41" s="27" t="n">
        <v>0.5132905723431526</v>
      </c>
      <c r="R41" s="27" t="n">
        <v>0.5132905723431526</v>
      </c>
      <c r="S41" s="27" t="n">
        <v>0</v>
      </c>
      <c r="T41" s="27" t="n">
        <v>0</v>
      </c>
      <c r="U41" s="27" t="n">
        <v>0.5132905723431526</v>
      </c>
      <c r="V41" s="27" t="n">
        <v>0</v>
      </c>
      <c r="W41" s="27" t="n">
        <v>0.5132905723431526</v>
      </c>
      <c r="X41" s="27" t="n">
        <v>0</v>
      </c>
      <c r="Y41" s="27" t="n">
        <v>0</v>
      </c>
      <c r="Z41" s="27" t="n">
        <v>0</v>
      </c>
      <c r="AA41" s="27" t="n">
        <v>0</v>
      </c>
      <c r="AB41" s="27" t="n">
        <v>0</v>
      </c>
      <c r="AC41" s="27" t="n">
        <v>0</v>
      </c>
      <c r="AD41" s="27" t="n">
        <v>0</v>
      </c>
      <c r="AE41" s="27" t="n">
        <v>0.5132905723431526</v>
      </c>
      <c r="AF41" s="27" t="n">
        <v>0</v>
      </c>
      <c r="AG41" s="27" t="n">
        <v>0</v>
      </c>
      <c r="AH41" s="27" t="n">
        <v>0.5132905723431526</v>
      </c>
      <c r="AI41" s="27" t="n">
        <v>0</v>
      </c>
      <c r="AJ41" s="27" t="n">
        <v>0</v>
      </c>
      <c r="AK41" s="27" t="n">
        <v>0.5132905723431526</v>
      </c>
      <c r="AL41" s="27" t="n">
        <v>0</v>
      </c>
      <c r="AM41" s="27" t="n">
        <v>0.5132905723431526</v>
      </c>
      <c r="AN41" s="27" t="n">
        <v>0</v>
      </c>
      <c r="AO41" s="27" t="n">
        <v>0</v>
      </c>
      <c r="AP41" s="27" t="n">
        <v>0.5132905723431526</v>
      </c>
      <c r="AQ41" s="27" t="n">
        <v>0</v>
      </c>
      <c r="AR41" s="27" t="n">
        <v>0</v>
      </c>
      <c r="AS41" s="27" t="n">
        <v>0</v>
      </c>
      <c r="AT41" s="27" t="n">
        <v>0.5132905723431526</v>
      </c>
      <c r="AU41" s="27" t="n">
        <v>0</v>
      </c>
      <c r="AV41" s="27" t="n">
        <v>0</v>
      </c>
      <c r="AW41" s="27" t="n">
        <v>0</v>
      </c>
      <c r="AX41" s="27" t="n">
        <v>0.5132905723431526</v>
      </c>
      <c r="AY41" s="27" t="n">
        <v>0</v>
      </c>
      <c r="AZ41" s="27" t="n">
        <v>0</v>
      </c>
      <c r="BA41" s="27" t="n">
        <v>0</v>
      </c>
      <c r="BB41" s="27" t="n">
        <v>0</v>
      </c>
      <c r="BC41" s="27" t="n">
        <v>0</v>
      </c>
      <c r="BD41" s="27" t="n">
        <v>0</v>
      </c>
      <c r="BE41" s="27" t="n">
        <v>0.205316228937261</v>
      </c>
      <c r="BF41" s="27" t="n">
        <v>0</v>
      </c>
      <c r="BG41" s="27" t="n">
        <v>0</v>
      </c>
      <c r="BH41" s="27" t="n">
        <v>0</v>
      </c>
      <c r="BI41" s="27" t="n">
        <v>0</v>
      </c>
      <c r="BJ41" s="27" t="n">
        <v>0</v>
      </c>
      <c r="BK41" s="27" t="n">
        <v>0</v>
      </c>
      <c r="BL41" s="27" t="n">
        <v>0</v>
      </c>
      <c r="BM41" s="27" t="n">
        <v>0</v>
      </c>
      <c r="BN41" s="27" t="n">
        <v>0</v>
      </c>
      <c r="BO41" s="27" t="n">
        <v>0</v>
      </c>
      <c r="BP41" s="27" t="n">
        <v>0</v>
      </c>
      <c r="BQ41" s="27" t="n">
        <v>0</v>
      </c>
      <c r="BR41" s="27" t="n">
        <v>0</v>
      </c>
      <c r="BS41" s="27" t="n">
        <v>0</v>
      </c>
      <c r="BT41" s="27" t="n">
        <v>0</v>
      </c>
      <c r="BU41" s="27" t="n">
        <v>0</v>
      </c>
      <c r="BV41" s="27" t="n">
        <v>0</v>
      </c>
      <c r="BW41" s="27" t="n">
        <v>0</v>
      </c>
      <c r="BX41" s="27" t="n">
        <v>0</v>
      </c>
      <c r="BY41" s="27" t="n">
        <v>0</v>
      </c>
      <c r="BZ41" s="27" t="n">
        <v>0</v>
      </c>
      <c r="CA41" s="27" t="n">
        <v>0</v>
      </c>
      <c r="CB41" s="27" t="n">
        <v>0</v>
      </c>
      <c r="CC41" s="27" t="n">
        <v>0</v>
      </c>
      <c r="CD41" s="27" t="n">
        <v>0</v>
      </c>
      <c r="CE41" s="27" t="n">
        <v>0</v>
      </c>
      <c r="CF41" s="27" t="n">
        <v>0</v>
      </c>
      <c r="CG41" s="27" t="n">
        <v>0</v>
      </c>
      <c r="CH41" s="27" t="n">
        <v>0</v>
      </c>
      <c r="CI41" s="27" t="n">
        <v>0</v>
      </c>
      <c r="CJ41" s="27" t="n">
        <v>0</v>
      </c>
      <c r="CK41" s="27" t="n">
        <v>0</v>
      </c>
      <c r="CL41" s="27" t="n">
        <v>0</v>
      </c>
      <c r="CM41" s="27" t="n">
        <v>0</v>
      </c>
      <c r="CN41" s="27" t="n">
        <v>0</v>
      </c>
      <c r="CO41" s="27" t="n">
        <v>0</v>
      </c>
      <c r="CP41" s="27" t="n">
        <v>0</v>
      </c>
      <c r="CQ41" s="27" t="n">
        <v>0</v>
      </c>
      <c r="CR41" s="27" t="n">
        <v>0</v>
      </c>
      <c r="CS41" s="27" t="n">
        <v>0</v>
      </c>
      <c r="CT41" s="27" t="n">
        <v>0</v>
      </c>
      <c r="CU41" s="27" t="n">
        <v>0</v>
      </c>
      <c r="CV41" s="27" t="n">
        <v>0</v>
      </c>
      <c r="CW41" s="27" t="n">
        <v>0</v>
      </c>
      <c r="CX41" s="27" t="n">
        <v>0</v>
      </c>
      <c r="CY41" s="27" t="n">
        <v>0</v>
      </c>
      <c r="CZ41" s="27" t="n">
        <v>0</v>
      </c>
      <c r="DA41" s="27" t="n">
        <v>0</v>
      </c>
    </row>
    <row r="42">
      <c r="A42" t="inlineStr">
        <is>
          <t>TSP-925</t>
        </is>
      </c>
      <c r="B42" s="27" t="n">
        <v>0</v>
      </c>
      <c r="C42" s="27" t="n">
        <v>0.3892207792207791</v>
      </c>
      <c r="D42" s="27" t="n">
        <v>0</v>
      </c>
      <c r="E42" s="27" t="n">
        <v>0.3892207792207791</v>
      </c>
      <c r="F42" s="27" t="n">
        <v>0</v>
      </c>
      <c r="G42" s="27" t="n">
        <v>0.3892207792207791</v>
      </c>
      <c r="H42" s="27" t="n">
        <v>0</v>
      </c>
      <c r="I42" s="27" t="n">
        <v>0</v>
      </c>
      <c r="J42" s="27" t="n">
        <v>0</v>
      </c>
      <c r="K42" s="27" t="n">
        <v>0</v>
      </c>
      <c r="L42" s="27" t="n">
        <v>0.3892207792207791</v>
      </c>
      <c r="M42" s="27" t="n">
        <v>0.3892207792207791</v>
      </c>
      <c r="N42" s="27" t="n">
        <v>0</v>
      </c>
      <c r="O42" s="27" t="n">
        <v>0</v>
      </c>
      <c r="P42" s="27" t="n">
        <v>0</v>
      </c>
      <c r="Q42" s="27" t="n">
        <v>0</v>
      </c>
      <c r="R42" s="27" t="n">
        <v>0.3892207792207791</v>
      </c>
      <c r="S42" s="27" t="n">
        <v>0</v>
      </c>
      <c r="T42" s="27" t="n">
        <v>0</v>
      </c>
      <c r="U42" s="27" t="n">
        <v>0</v>
      </c>
      <c r="V42" s="27" t="n">
        <v>0</v>
      </c>
      <c r="W42" s="27" t="n">
        <v>0</v>
      </c>
      <c r="X42" s="27" t="n">
        <v>0.3892207792207791</v>
      </c>
      <c r="Y42" s="27" t="n">
        <v>0</v>
      </c>
      <c r="Z42" s="27" t="n">
        <v>0</v>
      </c>
      <c r="AA42" s="27" t="n">
        <v>0</v>
      </c>
      <c r="AB42" s="27" t="n">
        <v>0</v>
      </c>
      <c r="AC42" s="27" t="n">
        <v>0</v>
      </c>
      <c r="AD42" s="27" t="n">
        <v>0.3892207792207791</v>
      </c>
      <c r="AE42" s="27" t="n">
        <v>0</v>
      </c>
      <c r="AF42" s="27" t="n">
        <v>0</v>
      </c>
      <c r="AG42" s="27" t="n">
        <v>0</v>
      </c>
      <c r="AH42" s="27" t="n">
        <v>0</v>
      </c>
      <c r="AI42" s="27" t="n">
        <v>0</v>
      </c>
      <c r="AJ42" s="27" t="n">
        <v>0</v>
      </c>
      <c r="AK42" s="27" t="n">
        <v>0</v>
      </c>
      <c r="AL42" s="27" t="n">
        <v>0</v>
      </c>
      <c r="AM42" s="27" t="n">
        <v>0.3892207792207791</v>
      </c>
      <c r="AN42" s="27" t="n">
        <v>0</v>
      </c>
      <c r="AO42" s="27" t="n">
        <v>0</v>
      </c>
      <c r="AP42" s="27" t="n">
        <v>0</v>
      </c>
      <c r="AQ42" s="27" t="n">
        <v>0</v>
      </c>
      <c r="AR42" s="27" t="n">
        <v>0</v>
      </c>
      <c r="AS42" s="27" t="n">
        <v>0.3784090909090909</v>
      </c>
      <c r="AT42" s="27" t="n">
        <v>0</v>
      </c>
      <c r="AU42" s="27" t="n">
        <v>0</v>
      </c>
      <c r="AV42" s="27" t="n">
        <v>0</v>
      </c>
      <c r="AW42" s="27" t="n">
        <v>0</v>
      </c>
      <c r="AX42" s="27" t="n">
        <v>0</v>
      </c>
      <c r="AY42" s="27" t="n">
        <v>0</v>
      </c>
      <c r="AZ42" s="27" t="n">
        <v>0</v>
      </c>
      <c r="BA42" s="27" t="n">
        <v>0</v>
      </c>
      <c r="BB42" s="27" t="n">
        <v>0</v>
      </c>
      <c r="BC42" s="27" t="n">
        <v>0</v>
      </c>
      <c r="BD42" s="27" t="n">
        <v>0</v>
      </c>
      <c r="BE42" s="27" t="n">
        <v>0</v>
      </c>
      <c r="BF42" s="27" t="n">
        <v>0</v>
      </c>
      <c r="BG42" s="27" t="n">
        <v>0</v>
      </c>
      <c r="BH42" s="27" t="n">
        <v>0</v>
      </c>
      <c r="BI42" s="27" t="n">
        <v>0</v>
      </c>
      <c r="BJ42" s="27" t="n">
        <v>0</v>
      </c>
      <c r="BK42" s="27" t="n">
        <v>0</v>
      </c>
      <c r="BL42" s="27" t="n">
        <v>0</v>
      </c>
      <c r="BM42" s="27" t="n">
        <v>0</v>
      </c>
      <c r="BN42" s="27" t="n">
        <v>0</v>
      </c>
      <c r="BO42" s="27" t="n">
        <v>0</v>
      </c>
      <c r="BP42" s="27" t="n">
        <v>0</v>
      </c>
      <c r="BQ42" s="27" t="n">
        <v>0</v>
      </c>
      <c r="BR42" s="27" t="n">
        <v>0</v>
      </c>
      <c r="BS42" s="27" t="n">
        <v>0</v>
      </c>
      <c r="BT42" s="27" t="n">
        <v>0</v>
      </c>
      <c r="BU42" s="27" t="n">
        <v>0</v>
      </c>
      <c r="BV42" s="27" t="n">
        <v>0</v>
      </c>
      <c r="BW42" s="27" t="n">
        <v>0</v>
      </c>
      <c r="BX42" s="27" t="n">
        <v>0</v>
      </c>
      <c r="BY42" s="27" t="n">
        <v>0</v>
      </c>
      <c r="BZ42" s="27" t="n">
        <v>0</v>
      </c>
      <c r="CA42" s="27" t="n">
        <v>0</v>
      </c>
      <c r="CB42" s="27" t="n">
        <v>0</v>
      </c>
      <c r="CC42" s="27" t="n">
        <v>0</v>
      </c>
      <c r="CD42" s="27" t="n">
        <v>0</v>
      </c>
      <c r="CE42" s="27" t="n">
        <v>0</v>
      </c>
      <c r="CF42" s="27" t="n">
        <v>0</v>
      </c>
      <c r="CG42" s="27" t="n">
        <v>0</v>
      </c>
      <c r="CH42" s="27" t="n">
        <v>0</v>
      </c>
      <c r="CI42" s="27" t="n">
        <v>0</v>
      </c>
      <c r="CJ42" s="27" t="n">
        <v>0</v>
      </c>
      <c r="CK42" s="27" t="n">
        <v>0</v>
      </c>
      <c r="CL42" s="27" t="n">
        <v>0</v>
      </c>
      <c r="CM42" s="27" t="n">
        <v>0</v>
      </c>
      <c r="CN42" s="27" t="n">
        <v>0</v>
      </c>
      <c r="CO42" s="27" t="n">
        <v>0</v>
      </c>
      <c r="CP42" s="27" t="n">
        <v>0</v>
      </c>
      <c r="CQ42" s="27" t="n">
        <v>0</v>
      </c>
      <c r="CR42" s="27" t="n">
        <v>0</v>
      </c>
      <c r="CS42" s="27" t="n">
        <v>0</v>
      </c>
      <c r="CT42" s="27" t="n">
        <v>0</v>
      </c>
      <c r="CU42" s="27" t="n">
        <v>0</v>
      </c>
      <c r="CV42" s="27" t="n">
        <v>0</v>
      </c>
      <c r="CW42" s="27" t="n">
        <v>0</v>
      </c>
      <c r="CX42" s="27" t="n">
        <v>0</v>
      </c>
      <c r="CY42" s="27" t="n">
        <v>0</v>
      </c>
      <c r="CZ42" s="27" t="n">
        <v>0</v>
      </c>
      <c r="DA42" s="27" t="n">
        <v>0</v>
      </c>
    </row>
    <row r="43">
      <c r="A43" t="inlineStr">
        <is>
          <t>TSP-927</t>
        </is>
      </c>
      <c r="B43" s="27" t="n">
        <v>0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0</v>
      </c>
      <c r="J43" s="27" t="n">
        <v>0</v>
      </c>
      <c r="K43" s="27" t="n">
        <v>0</v>
      </c>
      <c r="L43" s="27" t="n">
        <v>0</v>
      </c>
      <c r="M43" s="27" t="n">
        <v>0</v>
      </c>
      <c r="N43" s="27" t="n">
        <v>0</v>
      </c>
      <c r="O43" s="27" t="n">
        <v>0</v>
      </c>
      <c r="P43" s="27" t="n">
        <v>0</v>
      </c>
      <c r="Q43" s="27" t="n">
        <v>0</v>
      </c>
      <c r="R43" s="27" t="n">
        <v>0</v>
      </c>
      <c r="S43" s="27" t="n">
        <v>0</v>
      </c>
      <c r="T43" s="27" t="n">
        <v>0</v>
      </c>
      <c r="U43" s="27" t="n">
        <v>0</v>
      </c>
      <c r="V43" s="27" t="n">
        <v>0</v>
      </c>
      <c r="W43" s="27" t="n">
        <v>0</v>
      </c>
      <c r="X43" s="27" t="n">
        <v>0</v>
      </c>
      <c r="Y43" s="27" t="n">
        <v>0</v>
      </c>
      <c r="Z43" s="27" t="n">
        <v>0</v>
      </c>
      <c r="AA43" s="27" t="n">
        <v>0</v>
      </c>
      <c r="AB43" s="27" t="n">
        <v>0</v>
      </c>
      <c r="AC43" s="27" t="n">
        <v>0</v>
      </c>
      <c r="AD43" s="27" t="n">
        <v>0</v>
      </c>
      <c r="AE43" s="27" t="n">
        <v>0</v>
      </c>
      <c r="AF43" s="27" t="n">
        <v>0</v>
      </c>
      <c r="AG43" s="27" t="n">
        <v>0</v>
      </c>
      <c r="AH43" s="27" t="n">
        <v>0</v>
      </c>
      <c r="AI43" s="27" t="n">
        <v>0</v>
      </c>
      <c r="AJ43" s="27" t="n">
        <v>0</v>
      </c>
      <c r="AK43" s="27" t="n">
        <v>0</v>
      </c>
      <c r="AL43" s="27" t="n">
        <v>0</v>
      </c>
      <c r="AM43" s="27" t="n">
        <v>0</v>
      </c>
      <c r="AN43" s="27" t="n">
        <v>0</v>
      </c>
      <c r="AO43" s="27" t="n">
        <v>0</v>
      </c>
      <c r="AP43" s="27" t="n">
        <v>0</v>
      </c>
      <c r="AQ43" s="27" t="n">
        <v>0</v>
      </c>
      <c r="AR43" s="27" t="n">
        <v>0</v>
      </c>
      <c r="AS43" s="27" t="n">
        <v>0</v>
      </c>
      <c r="AT43" s="27" t="n">
        <v>0</v>
      </c>
      <c r="AU43" s="27" t="n">
        <v>0</v>
      </c>
      <c r="AV43" s="27" t="n">
        <v>0</v>
      </c>
      <c r="AW43" s="27" t="n">
        <v>0</v>
      </c>
      <c r="AX43" s="27" t="n">
        <v>0</v>
      </c>
      <c r="AY43" s="27" t="n">
        <v>0</v>
      </c>
      <c r="AZ43" s="27" t="n">
        <v>0</v>
      </c>
      <c r="BA43" s="27" t="n">
        <v>0</v>
      </c>
      <c r="BB43" s="27" t="n">
        <v>0</v>
      </c>
      <c r="BC43" s="27" t="n">
        <v>0</v>
      </c>
      <c r="BD43" s="27" t="n">
        <v>0</v>
      </c>
      <c r="BE43" s="27" t="n">
        <v>0</v>
      </c>
      <c r="BF43" s="27" t="n">
        <v>0</v>
      </c>
      <c r="BG43" s="27" t="n">
        <v>0</v>
      </c>
      <c r="BH43" s="27" t="n">
        <v>0</v>
      </c>
      <c r="BI43" s="27" t="n">
        <v>0</v>
      </c>
      <c r="BJ43" s="27" t="n">
        <v>0</v>
      </c>
      <c r="BK43" s="27" t="n">
        <v>0</v>
      </c>
      <c r="BL43" s="27" t="n">
        <v>0</v>
      </c>
      <c r="BM43" s="27" t="n">
        <v>0</v>
      </c>
      <c r="BN43" s="27" t="n">
        <v>0</v>
      </c>
      <c r="BO43" s="27" t="n">
        <v>0</v>
      </c>
      <c r="BP43" s="27" t="n">
        <v>0</v>
      </c>
      <c r="BQ43" s="27" t="n">
        <v>0</v>
      </c>
      <c r="BR43" s="27" t="n">
        <v>0</v>
      </c>
      <c r="BS43" s="27" t="n">
        <v>0</v>
      </c>
      <c r="BT43" s="27" t="n">
        <v>0</v>
      </c>
      <c r="BU43" s="27" t="n">
        <v>0</v>
      </c>
      <c r="BV43" s="27" t="n">
        <v>0</v>
      </c>
      <c r="BW43" s="27" t="n">
        <v>0</v>
      </c>
      <c r="BX43" s="27" t="n">
        <v>0</v>
      </c>
      <c r="BY43" s="27" t="n">
        <v>0</v>
      </c>
      <c r="BZ43" s="27" t="n">
        <v>0</v>
      </c>
      <c r="CA43" s="27" t="n">
        <v>0</v>
      </c>
      <c r="CB43" s="27" t="n">
        <v>0</v>
      </c>
      <c r="CC43" s="27" t="n">
        <v>0</v>
      </c>
      <c r="CD43" s="27" t="n">
        <v>0</v>
      </c>
      <c r="CE43" s="27" t="n">
        <v>0</v>
      </c>
      <c r="CF43" s="27" t="n">
        <v>0</v>
      </c>
      <c r="CG43" s="27" t="n">
        <v>0</v>
      </c>
      <c r="CH43" s="27" t="n">
        <v>0</v>
      </c>
      <c r="CI43" s="27" t="n">
        <v>0</v>
      </c>
      <c r="CJ43" s="27" t="n">
        <v>0</v>
      </c>
      <c r="CK43" s="27" t="n">
        <v>0</v>
      </c>
      <c r="CL43" s="27" t="n">
        <v>0</v>
      </c>
      <c r="CM43" s="27" t="n">
        <v>0</v>
      </c>
      <c r="CN43" s="27" t="n">
        <v>0</v>
      </c>
      <c r="CO43" s="27" t="n">
        <v>0</v>
      </c>
      <c r="CP43" s="27" t="n">
        <v>0</v>
      </c>
      <c r="CQ43" s="27" t="n">
        <v>0</v>
      </c>
      <c r="CR43" s="27" t="n">
        <v>0</v>
      </c>
      <c r="CS43" s="27" t="n">
        <v>0</v>
      </c>
      <c r="CT43" s="27" t="n">
        <v>0</v>
      </c>
      <c r="CU43" s="27" t="n">
        <v>0</v>
      </c>
      <c r="CV43" s="27" t="n">
        <v>0</v>
      </c>
      <c r="CW43" s="27" t="n">
        <v>0</v>
      </c>
      <c r="CX43" s="27" t="n">
        <v>0</v>
      </c>
      <c r="CY43" s="27" t="n">
        <v>0</v>
      </c>
      <c r="CZ43" s="27" t="n">
        <v>0</v>
      </c>
      <c r="DA43" s="27" t="n">
        <v>0</v>
      </c>
    </row>
    <row r="44">
      <c r="A44" t="inlineStr">
        <is>
          <t>TSP-928</t>
        </is>
      </c>
      <c r="B44" s="27" t="n">
        <v>0</v>
      </c>
      <c r="C44" s="27" t="n">
        <v>1.595842200578393</v>
      </c>
      <c r="D44" s="27" t="n">
        <v>0</v>
      </c>
      <c r="E44" s="27" t="n">
        <v>0</v>
      </c>
      <c r="F44" s="27" t="n">
        <v>1.595842200578393</v>
      </c>
      <c r="G44" s="27" t="n">
        <v>0</v>
      </c>
      <c r="H44" s="27" t="n">
        <v>0</v>
      </c>
      <c r="I44" s="27" t="n">
        <v>1.595842200578393</v>
      </c>
      <c r="J44" s="27" t="n">
        <v>0</v>
      </c>
      <c r="K44" s="27" t="n">
        <v>1.595842200578393</v>
      </c>
      <c r="L44" s="27" t="n">
        <v>0</v>
      </c>
      <c r="M44" s="27" t="n">
        <v>1.595842200578393</v>
      </c>
      <c r="N44" s="27" t="n">
        <v>0</v>
      </c>
      <c r="O44" s="27" t="n">
        <v>0</v>
      </c>
      <c r="P44" s="27" t="n">
        <v>1.595842200578393</v>
      </c>
      <c r="Q44" s="27" t="n">
        <v>1.595842200578393</v>
      </c>
      <c r="R44" s="27" t="n">
        <v>1.595842200578393</v>
      </c>
      <c r="S44" s="27" t="n">
        <v>0</v>
      </c>
      <c r="T44" s="27" t="n">
        <v>0</v>
      </c>
      <c r="U44" s="27" t="n">
        <v>1.595842200578393</v>
      </c>
      <c r="V44" s="27" t="n">
        <v>0</v>
      </c>
      <c r="W44" s="27" t="n">
        <v>1.595842200578393</v>
      </c>
      <c r="X44" s="27" t="n">
        <v>0</v>
      </c>
      <c r="Y44" s="27" t="n">
        <v>0</v>
      </c>
      <c r="Z44" s="27" t="n">
        <v>0</v>
      </c>
      <c r="AA44" s="27" t="n">
        <v>0</v>
      </c>
      <c r="AB44" s="27" t="n">
        <v>0</v>
      </c>
      <c r="AC44" s="27" t="n">
        <v>0</v>
      </c>
      <c r="AD44" s="27" t="n">
        <v>0</v>
      </c>
      <c r="AE44" s="27" t="n">
        <v>1.595842200578393</v>
      </c>
      <c r="AF44" s="27" t="n">
        <v>0</v>
      </c>
      <c r="AG44" s="27" t="n">
        <v>0</v>
      </c>
      <c r="AH44" s="27" t="n">
        <v>1.595842200578393</v>
      </c>
      <c r="AI44" s="27" t="n">
        <v>0</v>
      </c>
      <c r="AJ44" s="27" t="n">
        <v>0</v>
      </c>
      <c r="AK44" s="27" t="n">
        <v>1.595842200578393</v>
      </c>
      <c r="AL44" s="27" t="n">
        <v>0</v>
      </c>
      <c r="AM44" s="27" t="n">
        <v>1.595842200578393</v>
      </c>
      <c r="AN44" s="27" t="n">
        <v>0</v>
      </c>
      <c r="AO44" s="27" t="n">
        <v>0</v>
      </c>
      <c r="AP44" s="27" t="n">
        <v>1.595842200578393</v>
      </c>
      <c r="AQ44" s="27" t="n">
        <v>0</v>
      </c>
      <c r="AR44" s="27" t="n">
        <v>0</v>
      </c>
      <c r="AS44" s="27" t="n">
        <v>0</v>
      </c>
      <c r="AT44" s="27" t="n">
        <v>1.595842200578393</v>
      </c>
      <c r="AU44" s="27" t="n">
        <v>0</v>
      </c>
      <c r="AV44" s="27" t="n">
        <v>0</v>
      </c>
      <c r="AW44" s="27" t="n">
        <v>0</v>
      </c>
      <c r="AX44" s="27" t="n">
        <v>1.595842200578393</v>
      </c>
      <c r="AY44" s="27" t="n">
        <v>0</v>
      </c>
      <c r="AZ44" s="27" t="n">
        <v>0</v>
      </c>
      <c r="BA44" s="27" t="n">
        <v>0</v>
      </c>
      <c r="BB44" s="27" t="n">
        <v>0</v>
      </c>
      <c r="BC44" s="27" t="n">
        <v>0</v>
      </c>
      <c r="BD44" s="27" t="n">
        <v>0</v>
      </c>
      <c r="BE44" s="27" t="n">
        <v>0.6383368802313572</v>
      </c>
      <c r="BF44" s="27" t="n">
        <v>0</v>
      </c>
      <c r="BG44" s="27" t="n">
        <v>0</v>
      </c>
      <c r="BH44" s="27" t="n">
        <v>0</v>
      </c>
      <c r="BI44" s="27" t="n">
        <v>0</v>
      </c>
      <c r="BJ44" s="27" t="n">
        <v>0</v>
      </c>
      <c r="BK44" s="27" t="n">
        <v>0</v>
      </c>
      <c r="BL44" s="27" t="n">
        <v>0</v>
      </c>
      <c r="BM44" s="27" t="n">
        <v>0</v>
      </c>
      <c r="BN44" s="27" t="n">
        <v>0</v>
      </c>
      <c r="BO44" s="27" t="n">
        <v>0</v>
      </c>
      <c r="BP44" s="27" t="n">
        <v>0</v>
      </c>
      <c r="BQ44" s="27" t="n">
        <v>0</v>
      </c>
      <c r="BR44" s="27" t="n">
        <v>0</v>
      </c>
      <c r="BS44" s="27" t="n">
        <v>0</v>
      </c>
      <c r="BT44" s="27" t="n">
        <v>0</v>
      </c>
      <c r="BU44" s="27" t="n">
        <v>0</v>
      </c>
      <c r="BV44" s="27" t="n">
        <v>0</v>
      </c>
      <c r="BW44" s="27" t="n">
        <v>0</v>
      </c>
      <c r="BX44" s="27" t="n">
        <v>0</v>
      </c>
      <c r="BY44" s="27" t="n">
        <v>0</v>
      </c>
      <c r="BZ44" s="27" t="n">
        <v>0</v>
      </c>
      <c r="CA44" s="27" t="n">
        <v>0</v>
      </c>
      <c r="CB44" s="27" t="n">
        <v>0</v>
      </c>
      <c r="CC44" s="27" t="n">
        <v>0</v>
      </c>
      <c r="CD44" s="27" t="n">
        <v>0</v>
      </c>
      <c r="CE44" s="27" t="n">
        <v>0</v>
      </c>
      <c r="CF44" s="27" t="n">
        <v>0</v>
      </c>
      <c r="CG44" s="27" t="n">
        <v>0</v>
      </c>
      <c r="CH44" s="27" t="n">
        <v>0</v>
      </c>
      <c r="CI44" s="27" t="n">
        <v>0</v>
      </c>
      <c r="CJ44" s="27" t="n">
        <v>0</v>
      </c>
      <c r="CK44" s="27" t="n">
        <v>0</v>
      </c>
      <c r="CL44" s="27" t="n">
        <v>0</v>
      </c>
      <c r="CM44" s="27" t="n">
        <v>0</v>
      </c>
      <c r="CN44" s="27" t="n">
        <v>0</v>
      </c>
      <c r="CO44" s="27" t="n">
        <v>0</v>
      </c>
      <c r="CP44" s="27" t="n">
        <v>0</v>
      </c>
      <c r="CQ44" s="27" t="n">
        <v>0</v>
      </c>
      <c r="CR44" s="27" t="n">
        <v>0</v>
      </c>
      <c r="CS44" s="27" t="n">
        <v>0</v>
      </c>
      <c r="CT44" s="27" t="n">
        <v>0</v>
      </c>
      <c r="CU44" s="27" t="n">
        <v>0</v>
      </c>
      <c r="CV44" s="27" t="n">
        <v>0</v>
      </c>
      <c r="CW44" s="27" t="n">
        <v>0</v>
      </c>
      <c r="CX44" s="27" t="n">
        <v>0</v>
      </c>
      <c r="CY44" s="27" t="n">
        <v>0</v>
      </c>
      <c r="CZ44" s="27" t="n">
        <v>0</v>
      </c>
      <c r="DA44" s="27" t="n">
        <v>0</v>
      </c>
    </row>
    <row r="45">
      <c r="A45" t="inlineStr">
        <is>
          <t>TSP-929</t>
        </is>
      </c>
      <c r="B45" s="27" t="n">
        <v>0</v>
      </c>
      <c r="C45" s="27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0</v>
      </c>
      <c r="J45" s="27" t="n">
        <v>0</v>
      </c>
      <c r="K45" s="27" t="n">
        <v>0</v>
      </c>
      <c r="L45" s="27" t="n">
        <v>0</v>
      </c>
      <c r="M45" s="27" t="n">
        <v>0</v>
      </c>
      <c r="N45" s="27" t="n">
        <v>0</v>
      </c>
      <c r="O45" s="27" t="n">
        <v>0</v>
      </c>
      <c r="P45" s="27" t="n">
        <v>0</v>
      </c>
      <c r="Q45" s="27" t="n">
        <v>0</v>
      </c>
      <c r="R45" s="27" t="n">
        <v>0</v>
      </c>
      <c r="S45" s="27" t="n">
        <v>0</v>
      </c>
      <c r="T45" s="27" t="n">
        <v>0</v>
      </c>
      <c r="U45" s="27" t="n">
        <v>0</v>
      </c>
      <c r="V45" s="27" t="n">
        <v>0</v>
      </c>
      <c r="W45" s="27" t="n">
        <v>0</v>
      </c>
      <c r="X45" s="27" t="n">
        <v>0</v>
      </c>
      <c r="Y45" s="27" t="n">
        <v>0</v>
      </c>
      <c r="Z45" s="27" t="n">
        <v>0</v>
      </c>
      <c r="AA45" s="27" t="n">
        <v>0</v>
      </c>
      <c r="AB45" s="27" t="n">
        <v>0</v>
      </c>
      <c r="AC45" s="27" t="n">
        <v>0</v>
      </c>
      <c r="AD45" s="27" t="n">
        <v>0</v>
      </c>
      <c r="AE45" s="27" t="n">
        <v>0</v>
      </c>
      <c r="AF45" s="27" t="n">
        <v>0</v>
      </c>
      <c r="AG45" s="27" t="n">
        <v>0</v>
      </c>
      <c r="AH45" s="27" t="n">
        <v>0</v>
      </c>
      <c r="AI45" s="27" t="n">
        <v>0</v>
      </c>
      <c r="AJ45" s="27" t="n">
        <v>0</v>
      </c>
      <c r="AK45" s="27" t="n">
        <v>0</v>
      </c>
      <c r="AL45" s="27" t="n">
        <v>0</v>
      </c>
      <c r="AM45" s="27" t="n">
        <v>0</v>
      </c>
      <c r="AN45" s="27" t="n">
        <v>0</v>
      </c>
      <c r="AO45" s="27" t="n">
        <v>0</v>
      </c>
      <c r="AP45" s="27" t="n">
        <v>0</v>
      </c>
      <c r="AQ45" s="27" t="n">
        <v>0</v>
      </c>
      <c r="AR45" s="27" t="n">
        <v>0</v>
      </c>
      <c r="AS45" s="27" t="n">
        <v>0</v>
      </c>
      <c r="AT45" s="27" t="n">
        <v>0</v>
      </c>
      <c r="AU45" s="27" t="n">
        <v>0</v>
      </c>
      <c r="AV45" s="27" t="n">
        <v>0</v>
      </c>
      <c r="AW45" s="27" t="n">
        <v>0</v>
      </c>
      <c r="AX45" s="27" t="n">
        <v>0</v>
      </c>
      <c r="AY45" s="27" t="n">
        <v>0</v>
      </c>
      <c r="AZ45" s="27" t="n">
        <v>0</v>
      </c>
      <c r="BA45" s="27" t="n">
        <v>0</v>
      </c>
      <c r="BB45" s="27" t="n">
        <v>0</v>
      </c>
      <c r="BC45" s="27" t="n">
        <v>0</v>
      </c>
      <c r="BD45" s="27" t="n">
        <v>0</v>
      </c>
      <c r="BE45" s="27" t="n">
        <v>0</v>
      </c>
      <c r="BF45" s="27" t="n">
        <v>0</v>
      </c>
      <c r="BG45" s="27" t="n">
        <v>0</v>
      </c>
      <c r="BH45" s="27" t="n">
        <v>0</v>
      </c>
      <c r="BI45" s="27" t="n">
        <v>0</v>
      </c>
      <c r="BJ45" s="27" t="n">
        <v>0</v>
      </c>
      <c r="BK45" s="27" t="n">
        <v>0</v>
      </c>
      <c r="BL45" s="27" t="n">
        <v>0</v>
      </c>
      <c r="BM45" s="27" t="n">
        <v>0</v>
      </c>
      <c r="BN45" s="27" t="n">
        <v>0</v>
      </c>
      <c r="BO45" s="27" t="n">
        <v>0</v>
      </c>
      <c r="BP45" s="27" t="n">
        <v>0</v>
      </c>
      <c r="BQ45" s="27" t="n">
        <v>0</v>
      </c>
      <c r="BR45" s="27" t="n">
        <v>0</v>
      </c>
      <c r="BS45" s="27" t="n">
        <v>0</v>
      </c>
      <c r="BT45" s="27" t="n">
        <v>0</v>
      </c>
      <c r="BU45" s="27" t="n">
        <v>0</v>
      </c>
      <c r="BV45" s="27" t="n">
        <v>0</v>
      </c>
      <c r="BW45" s="27" t="n">
        <v>0</v>
      </c>
      <c r="BX45" s="27" t="n">
        <v>0</v>
      </c>
      <c r="BY45" s="27" t="n">
        <v>0</v>
      </c>
      <c r="BZ45" s="27" t="n">
        <v>0</v>
      </c>
      <c r="CA45" s="27" t="n">
        <v>0</v>
      </c>
      <c r="CB45" s="27" t="n">
        <v>0</v>
      </c>
      <c r="CC45" s="27" t="n">
        <v>0</v>
      </c>
      <c r="CD45" s="27" t="n">
        <v>0</v>
      </c>
      <c r="CE45" s="27" t="n">
        <v>0</v>
      </c>
      <c r="CF45" s="27" t="n">
        <v>0</v>
      </c>
      <c r="CG45" s="27" t="n">
        <v>0</v>
      </c>
      <c r="CH45" s="27" t="n">
        <v>0</v>
      </c>
      <c r="CI45" s="27" t="n">
        <v>0</v>
      </c>
      <c r="CJ45" s="27" t="n">
        <v>0</v>
      </c>
      <c r="CK45" s="27" t="n">
        <v>0</v>
      </c>
      <c r="CL45" s="27" t="n">
        <v>0</v>
      </c>
      <c r="CM45" s="27" t="n">
        <v>0</v>
      </c>
      <c r="CN45" s="27" t="n">
        <v>0</v>
      </c>
      <c r="CO45" s="27" t="n">
        <v>0</v>
      </c>
      <c r="CP45" s="27" t="n">
        <v>0</v>
      </c>
      <c r="CQ45" s="27" t="n">
        <v>0</v>
      </c>
      <c r="CR45" s="27" t="n">
        <v>0</v>
      </c>
      <c r="CS45" s="27" t="n">
        <v>0</v>
      </c>
      <c r="CT45" s="27" t="n">
        <v>0</v>
      </c>
      <c r="CU45" s="27" t="n">
        <v>0</v>
      </c>
      <c r="CV45" s="27" t="n">
        <v>0</v>
      </c>
      <c r="CW45" s="27" t="n">
        <v>0</v>
      </c>
      <c r="CX45" s="27" t="n">
        <v>0</v>
      </c>
      <c r="CY45" s="27" t="n">
        <v>0</v>
      </c>
      <c r="CZ45" s="27" t="n">
        <v>0</v>
      </c>
      <c r="DA45" s="27" t="n">
        <v>0</v>
      </c>
    </row>
    <row r="46">
      <c r="A46" t="inlineStr">
        <is>
          <t>TSP-930</t>
        </is>
      </c>
      <c r="B46" s="27" t="n">
        <v>0</v>
      </c>
      <c r="C46" s="27" t="n">
        <v>1.20003066745039</v>
      </c>
      <c r="D46" s="27" t="n">
        <v>0</v>
      </c>
      <c r="E46" s="27" t="n">
        <v>1.20003066745039</v>
      </c>
      <c r="F46" s="27" t="n">
        <v>0</v>
      </c>
      <c r="G46" s="27" t="n">
        <v>1.20003066745039</v>
      </c>
      <c r="H46" s="27" t="n">
        <v>0</v>
      </c>
      <c r="I46" s="27" t="n">
        <v>0</v>
      </c>
      <c r="J46" s="27" t="n">
        <v>0</v>
      </c>
      <c r="K46" s="27" t="n">
        <v>0</v>
      </c>
      <c r="L46" s="27" t="n">
        <v>1.20003066745039</v>
      </c>
      <c r="M46" s="27" t="n">
        <v>1.20003066745039</v>
      </c>
      <c r="N46" s="27" t="n">
        <v>0</v>
      </c>
      <c r="O46" s="27" t="n">
        <v>0</v>
      </c>
      <c r="P46" s="27" t="n">
        <v>0</v>
      </c>
      <c r="Q46" s="27" t="n">
        <v>0</v>
      </c>
      <c r="R46" s="27" t="n">
        <v>1.20003066745039</v>
      </c>
      <c r="S46" s="27" t="n">
        <v>0</v>
      </c>
      <c r="T46" s="27" t="n">
        <v>0</v>
      </c>
      <c r="U46" s="27" t="n">
        <v>0</v>
      </c>
      <c r="V46" s="27" t="n">
        <v>0</v>
      </c>
      <c r="W46" s="27" t="n">
        <v>0</v>
      </c>
      <c r="X46" s="27" t="n">
        <v>1.20003066745039</v>
      </c>
      <c r="Y46" s="27" t="n">
        <v>0</v>
      </c>
      <c r="Z46" s="27" t="n">
        <v>0</v>
      </c>
      <c r="AA46" s="27" t="n">
        <v>0</v>
      </c>
      <c r="AB46" s="27" t="n">
        <v>0</v>
      </c>
      <c r="AC46" s="27" t="n">
        <v>0</v>
      </c>
      <c r="AD46" s="27" t="n">
        <v>1.20003066745039</v>
      </c>
      <c r="AE46" s="27" t="n">
        <v>0</v>
      </c>
      <c r="AF46" s="27" t="n">
        <v>0</v>
      </c>
      <c r="AG46" s="27" t="n">
        <v>0</v>
      </c>
      <c r="AH46" s="27" t="n">
        <v>0</v>
      </c>
      <c r="AI46" s="27" t="n">
        <v>0</v>
      </c>
      <c r="AJ46" s="27" t="n">
        <v>0</v>
      </c>
      <c r="AK46" s="27" t="n">
        <v>0</v>
      </c>
      <c r="AL46" s="27" t="n">
        <v>0</v>
      </c>
      <c r="AM46" s="27" t="n">
        <v>1.20003066745039</v>
      </c>
      <c r="AN46" s="27" t="n">
        <v>0</v>
      </c>
      <c r="AO46" s="27" t="n">
        <v>0</v>
      </c>
      <c r="AP46" s="27" t="n">
        <v>0</v>
      </c>
      <c r="AQ46" s="27" t="n">
        <v>0</v>
      </c>
      <c r="AR46" s="27" t="n">
        <v>0</v>
      </c>
      <c r="AS46" s="27" t="n">
        <v>1.166696482243435</v>
      </c>
      <c r="AT46" s="27" t="n">
        <v>0</v>
      </c>
      <c r="AU46" s="27" t="n">
        <v>0</v>
      </c>
      <c r="AV46" s="27" t="n">
        <v>0</v>
      </c>
      <c r="AW46" s="27" t="n">
        <v>0</v>
      </c>
      <c r="AX46" s="27" t="n">
        <v>0</v>
      </c>
      <c r="AY46" s="27" t="n">
        <v>0</v>
      </c>
      <c r="AZ46" s="27" t="n">
        <v>0</v>
      </c>
      <c r="BA46" s="27" t="n">
        <v>0</v>
      </c>
      <c r="BB46" s="27" t="n">
        <v>0</v>
      </c>
      <c r="BC46" s="27" t="n">
        <v>0</v>
      </c>
      <c r="BD46" s="27" t="n">
        <v>0</v>
      </c>
      <c r="BE46" s="27" t="n">
        <v>0</v>
      </c>
      <c r="BF46" s="27" t="n">
        <v>0</v>
      </c>
      <c r="BG46" s="27" t="n">
        <v>0</v>
      </c>
      <c r="BH46" s="27" t="n">
        <v>0</v>
      </c>
      <c r="BI46" s="27" t="n">
        <v>0</v>
      </c>
      <c r="BJ46" s="27" t="n">
        <v>0</v>
      </c>
      <c r="BK46" s="27" t="n">
        <v>0</v>
      </c>
      <c r="BL46" s="27" t="n">
        <v>0</v>
      </c>
      <c r="BM46" s="27" t="n">
        <v>0</v>
      </c>
      <c r="BN46" s="27" t="n">
        <v>0</v>
      </c>
      <c r="BO46" s="27" t="n">
        <v>0</v>
      </c>
      <c r="BP46" s="27" t="n">
        <v>0</v>
      </c>
      <c r="BQ46" s="27" t="n">
        <v>0</v>
      </c>
      <c r="BR46" s="27" t="n">
        <v>0</v>
      </c>
      <c r="BS46" s="27" t="n">
        <v>0</v>
      </c>
      <c r="BT46" s="27" t="n">
        <v>0</v>
      </c>
      <c r="BU46" s="27" t="n">
        <v>0</v>
      </c>
      <c r="BV46" s="27" t="n">
        <v>0</v>
      </c>
      <c r="BW46" s="27" t="n">
        <v>0</v>
      </c>
      <c r="BX46" s="27" t="n">
        <v>0</v>
      </c>
      <c r="BY46" s="27" t="n">
        <v>0</v>
      </c>
      <c r="BZ46" s="27" t="n">
        <v>0</v>
      </c>
      <c r="CA46" s="27" t="n">
        <v>0</v>
      </c>
      <c r="CB46" s="27" t="n">
        <v>0</v>
      </c>
      <c r="CC46" s="27" t="n">
        <v>0</v>
      </c>
      <c r="CD46" s="27" t="n">
        <v>0</v>
      </c>
      <c r="CE46" s="27" t="n">
        <v>0</v>
      </c>
      <c r="CF46" s="27" t="n">
        <v>0</v>
      </c>
      <c r="CG46" s="27" t="n">
        <v>0</v>
      </c>
      <c r="CH46" s="27" t="n">
        <v>0</v>
      </c>
      <c r="CI46" s="27" t="n">
        <v>0</v>
      </c>
      <c r="CJ46" s="27" t="n">
        <v>0</v>
      </c>
      <c r="CK46" s="27" t="n">
        <v>0</v>
      </c>
      <c r="CL46" s="27" t="n">
        <v>0</v>
      </c>
      <c r="CM46" s="27" t="n">
        <v>0</v>
      </c>
      <c r="CN46" s="27" t="n">
        <v>0</v>
      </c>
      <c r="CO46" s="27" t="n">
        <v>0</v>
      </c>
      <c r="CP46" s="27" t="n">
        <v>0</v>
      </c>
      <c r="CQ46" s="27" t="n">
        <v>0</v>
      </c>
      <c r="CR46" s="27" t="n">
        <v>0</v>
      </c>
      <c r="CS46" s="27" t="n">
        <v>0</v>
      </c>
      <c r="CT46" s="27" t="n">
        <v>0</v>
      </c>
      <c r="CU46" s="27" t="n">
        <v>0</v>
      </c>
      <c r="CV46" s="27" t="n">
        <v>0</v>
      </c>
      <c r="CW46" s="27" t="n">
        <v>0</v>
      </c>
      <c r="CX46" s="27" t="n">
        <v>0</v>
      </c>
      <c r="CY46" s="27" t="n">
        <v>0</v>
      </c>
      <c r="CZ46" s="27" t="n">
        <v>0</v>
      </c>
      <c r="DA46" s="27" t="n">
        <v>0</v>
      </c>
    </row>
    <row r="47">
      <c r="A47" t="inlineStr">
        <is>
          <t>TSP-934</t>
        </is>
      </c>
      <c r="B47" s="27" t="n">
        <v>0</v>
      </c>
      <c r="C47" s="27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0</v>
      </c>
      <c r="J47" s="27" t="n">
        <v>0</v>
      </c>
      <c r="K47" s="27" t="n">
        <v>0</v>
      </c>
      <c r="L47" s="27" t="n">
        <v>0</v>
      </c>
      <c r="M47" s="27" t="n">
        <v>0</v>
      </c>
      <c r="N47" s="27" t="n">
        <v>0</v>
      </c>
      <c r="O47" s="27" t="n">
        <v>0</v>
      </c>
      <c r="P47" s="27" t="n">
        <v>0</v>
      </c>
      <c r="Q47" s="27" t="n">
        <v>0</v>
      </c>
      <c r="R47" s="27" t="n">
        <v>0</v>
      </c>
      <c r="S47" s="27" t="n">
        <v>0</v>
      </c>
      <c r="T47" s="27" t="n">
        <v>0</v>
      </c>
      <c r="U47" s="27" t="n">
        <v>0</v>
      </c>
      <c r="V47" s="27" t="n">
        <v>0</v>
      </c>
      <c r="W47" s="27" t="n">
        <v>0</v>
      </c>
      <c r="X47" s="27" t="n">
        <v>0</v>
      </c>
      <c r="Y47" s="27" t="n">
        <v>0</v>
      </c>
      <c r="Z47" s="27" t="n">
        <v>0</v>
      </c>
      <c r="AA47" s="27" t="n">
        <v>0</v>
      </c>
      <c r="AB47" s="27" t="n">
        <v>0</v>
      </c>
      <c r="AC47" s="27" t="n">
        <v>0</v>
      </c>
      <c r="AD47" s="27" t="n">
        <v>0</v>
      </c>
      <c r="AE47" s="27" t="n">
        <v>0</v>
      </c>
      <c r="AF47" s="27" t="n">
        <v>0</v>
      </c>
      <c r="AG47" s="27" t="n">
        <v>0</v>
      </c>
      <c r="AH47" s="27" t="n">
        <v>0</v>
      </c>
      <c r="AI47" s="27" t="n">
        <v>0</v>
      </c>
      <c r="AJ47" s="27" t="n">
        <v>0</v>
      </c>
      <c r="AK47" s="27" t="n">
        <v>0</v>
      </c>
      <c r="AL47" s="27" t="n">
        <v>0</v>
      </c>
      <c r="AM47" s="27" t="n">
        <v>0</v>
      </c>
      <c r="AN47" s="27" t="n">
        <v>0</v>
      </c>
      <c r="AO47" s="27" t="n">
        <v>0</v>
      </c>
      <c r="AP47" s="27" t="n">
        <v>0</v>
      </c>
      <c r="AQ47" s="27" t="n">
        <v>0</v>
      </c>
      <c r="AR47" s="27" t="n">
        <v>0</v>
      </c>
      <c r="AS47" s="27" t="n">
        <v>0</v>
      </c>
      <c r="AT47" s="27" t="n">
        <v>0</v>
      </c>
      <c r="AU47" s="27" t="n">
        <v>0</v>
      </c>
      <c r="AV47" s="27" t="n">
        <v>0</v>
      </c>
      <c r="AW47" s="27" t="n">
        <v>0</v>
      </c>
      <c r="AX47" s="27" t="n">
        <v>0</v>
      </c>
      <c r="AY47" s="27" t="n">
        <v>0</v>
      </c>
      <c r="AZ47" s="27" t="n">
        <v>0</v>
      </c>
      <c r="BA47" s="27" t="n">
        <v>0</v>
      </c>
      <c r="BB47" s="27" t="n">
        <v>0</v>
      </c>
      <c r="BC47" s="27" t="n">
        <v>0</v>
      </c>
      <c r="BD47" s="27" t="n">
        <v>0</v>
      </c>
      <c r="BE47" s="27" t="n">
        <v>0</v>
      </c>
      <c r="BF47" s="27" t="n">
        <v>0</v>
      </c>
      <c r="BG47" s="27" t="n">
        <v>0</v>
      </c>
      <c r="BH47" s="27" t="n">
        <v>0</v>
      </c>
      <c r="BI47" s="27" t="n">
        <v>0</v>
      </c>
      <c r="BJ47" s="27" t="n">
        <v>0</v>
      </c>
      <c r="BK47" s="27" t="n">
        <v>0</v>
      </c>
      <c r="BL47" s="27" t="n">
        <v>0</v>
      </c>
      <c r="BM47" s="27" t="n">
        <v>0</v>
      </c>
      <c r="BN47" s="27" t="n">
        <v>0</v>
      </c>
      <c r="BO47" s="27" t="n">
        <v>0</v>
      </c>
      <c r="BP47" s="27" t="n">
        <v>0</v>
      </c>
      <c r="BQ47" s="27" t="n">
        <v>0</v>
      </c>
      <c r="BR47" s="27" t="n">
        <v>0</v>
      </c>
      <c r="BS47" s="27" t="n">
        <v>0</v>
      </c>
      <c r="BT47" s="27" t="n">
        <v>0</v>
      </c>
      <c r="BU47" s="27" t="n">
        <v>0</v>
      </c>
      <c r="BV47" s="27" t="n">
        <v>0</v>
      </c>
      <c r="BW47" s="27" t="n">
        <v>0</v>
      </c>
      <c r="BX47" s="27" t="n">
        <v>0</v>
      </c>
      <c r="BY47" s="27" t="n">
        <v>0</v>
      </c>
      <c r="BZ47" s="27" t="n">
        <v>0</v>
      </c>
      <c r="CA47" s="27" t="n">
        <v>0</v>
      </c>
      <c r="CB47" s="27" t="n">
        <v>0</v>
      </c>
      <c r="CC47" s="27" t="n">
        <v>0</v>
      </c>
      <c r="CD47" s="27" t="n">
        <v>0</v>
      </c>
      <c r="CE47" s="27" t="n">
        <v>0</v>
      </c>
      <c r="CF47" s="27" t="n">
        <v>0</v>
      </c>
      <c r="CG47" s="27" t="n">
        <v>0</v>
      </c>
      <c r="CH47" s="27" t="n">
        <v>0</v>
      </c>
      <c r="CI47" s="27" t="n">
        <v>0</v>
      </c>
      <c r="CJ47" s="27" t="n">
        <v>0</v>
      </c>
      <c r="CK47" s="27" t="n">
        <v>0</v>
      </c>
      <c r="CL47" s="27" t="n">
        <v>0</v>
      </c>
      <c r="CM47" s="27" t="n">
        <v>0</v>
      </c>
      <c r="CN47" s="27" t="n">
        <v>0</v>
      </c>
      <c r="CO47" s="27" t="n">
        <v>0</v>
      </c>
      <c r="CP47" s="27" t="n">
        <v>0</v>
      </c>
      <c r="CQ47" s="27" t="n">
        <v>0</v>
      </c>
      <c r="CR47" s="27" t="n">
        <v>0</v>
      </c>
      <c r="CS47" s="27" t="n">
        <v>0</v>
      </c>
      <c r="CT47" s="27" t="n">
        <v>0</v>
      </c>
      <c r="CU47" s="27" t="n">
        <v>0</v>
      </c>
      <c r="CV47" s="27" t="n">
        <v>0</v>
      </c>
      <c r="CW47" s="27" t="n">
        <v>0</v>
      </c>
      <c r="CX47" s="27" t="n">
        <v>0</v>
      </c>
      <c r="CY47" s="27" t="n">
        <v>0</v>
      </c>
      <c r="CZ47" s="27" t="n">
        <v>0</v>
      </c>
      <c r="DA47" s="27" t="n">
        <v>0</v>
      </c>
    </row>
    <row r="48">
      <c r="A48" t="inlineStr">
        <is>
          <t>TSP-935</t>
        </is>
      </c>
      <c r="B48" s="27" t="n">
        <v>0</v>
      </c>
      <c r="C48" s="27" t="n">
        <v>1.647732293074346</v>
      </c>
      <c r="D48" s="27" t="n">
        <v>0</v>
      </c>
      <c r="E48" s="27" t="n">
        <v>0</v>
      </c>
      <c r="F48" s="27" t="n">
        <v>1.647732293074346</v>
      </c>
      <c r="G48" s="27" t="n">
        <v>0</v>
      </c>
      <c r="H48" s="27" t="n">
        <v>0</v>
      </c>
      <c r="I48" s="27" t="n">
        <v>1.647732293074346</v>
      </c>
      <c r="J48" s="27" t="n">
        <v>0</v>
      </c>
      <c r="K48" s="27" t="n">
        <v>1.647732293074346</v>
      </c>
      <c r="L48" s="27" t="n">
        <v>0</v>
      </c>
      <c r="M48" s="27" t="n">
        <v>1.647732293074346</v>
      </c>
      <c r="N48" s="27" t="n">
        <v>0</v>
      </c>
      <c r="O48" s="27" t="n">
        <v>0</v>
      </c>
      <c r="P48" s="27" t="n">
        <v>1.647732293074346</v>
      </c>
      <c r="Q48" s="27" t="n">
        <v>1.647732293074346</v>
      </c>
      <c r="R48" s="27" t="n">
        <v>1.647732293074346</v>
      </c>
      <c r="S48" s="27" t="n">
        <v>0</v>
      </c>
      <c r="T48" s="27" t="n">
        <v>0</v>
      </c>
      <c r="U48" s="27" t="n">
        <v>1.647732293074346</v>
      </c>
      <c r="V48" s="27" t="n">
        <v>0</v>
      </c>
      <c r="W48" s="27" t="n">
        <v>1.647732293074346</v>
      </c>
      <c r="X48" s="27" t="n">
        <v>0</v>
      </c>
      <c r="Y48" s="27" t="n">
        <v>0</v>
      </c>
      <c r="Z48" s="27" t="n">
        <v>0</v>
      </c>
      <c r="AA48" s="27" t="n">
        <v>0</v>
      </c>
      <c r="AB48" s="27" t="n">
        <v>0</v>
      </c>
      <c r="AC48" s="27" t="n">
        <v>0</v>
      </c>
      <c r="AD48" s="27" t="n">
        <v>0</v>
      </c>
      <c r="AE48" s="27" t="n">
        <v>1.647732293074346</v>
      </c>
      <c r="AF48" s="27" t="n">
        <v>0</v>
      </c>
      <c r="AG48" s="27" t="n">
        <v>0</v>
      </c>
      <c r="AH48" s="27" t="n">
        <v>1.647732293074346</v>
      </c>
      <c r="AI48" s="27" t="n">
        <v>0</v>
      </c>
      <c r="AJ48" s="27" t="n">
        <v>0</v>
      </c>
      <c r="AK48" s="27" t="n">
        <v>1.647732293074346</v>
      </c>
      <c r="AL48" s="27" t="n">
        <v>0</v>
      </c>
      <c r="AM48" s="27" t="n">
        <v>1.647732293074346</v>
      </c>
      <c r="AN48" s="27" t="n">
        <v>0</v>
      </c>
      <c r="AO48" s="27" t="n">
        <v>0</v>
      </c>
      <c r="AP48" s="27" t="n">
        <v>1.647732293074346</v>
      </c>
      <c r="AQ48" s="27" t="n">
        <v>0</v>
      </c>
      <c r="AR48" s="27" t="n">
        <v>0</v>
      </c>
      <c r="AS48" s="27" t="n">
        <v>0</v>
      </c>
      <c r="AT48" s="27" t="n">
        <v>1.647732293074346</v>
      </c>
      <c r="AU48" s="27" t="n">
        <v>0</v>
      </c>
      <c r="AV48" s="27" t="n">
        <v>0</v>
      </c>
      <c r="AW48" s="27" t="n">
        <v>0</v>
      </c>
      <c r="AX48" s="27" t="n">
        <v>1.647732293074346</v>
      </c>
      <c r="AY48" s="27" t="n">
        <v>0</v>
      </c>
      <c r="AZ48" s="27" t="n">
        <v>0</v>
      </c>
      <c r="BA48" s="27" t="n">
        <v>0</v>
      </c>
      <c r="BB48" s="27" t="n">
        <v>0</v>
      </c>
      <c r="BC48" s="27" t="n">
        <v>0</v>
      </c>
      <c r="BD48" s="27" t="n">
        <v>0</v>
      </c>
      <c r="BE48" s="27" t="n">
        <v>0.6590929172297383</v>
      </c>
      <c r="BF48" s="27" t="n">
        <v>0</v>
      </c>
      <c r="BG48" s="27" t="n">
        <v>0</v>
      </c>
      <c r="BH48" s="27" t="n">
        <v>0</v>
      </c>
      <c r="BI48" s="27" t="n">
        <v>0</v>
      </c>
      <c r="BJ48" s="27" t="n">
        <v>0</v>
      </c>
      <c r="BK48" s="27" t="n">
        <v>0</v>
      </c>
      <c r="BL48" s="27" t="n">
        <v>0</v>
      </c>
      <c r="BM48" s="27" t="n">
        <v>0</v>
      </c>
      <c r="BN48" s="27" t="n">
        <v>0</v>
      </c>
      <c r="BO48" s="27" t="n">
        <v>0</v>
      </c>
      <c r="BP48" s="27" t="n">
        <v>0</v>
      </c>
      <c r="BQ48" s="27" t="n">
        <v>0</v>
      </c>
      <c r="BR48" s="27" t="n">
        <v>0</v>
      </c>
      <c r="BS48" s="27" t="n">
        <v>0</v>
      </c>
      <c r="BT48" s="27" t="n">
        <v>0</v>
      </c>
      <c r="BU48" s="27" t="n">
        <v>0</v>
      </c>
      <c r="BV48" s="27" t="n">
        <v>0</v>
      </c>
      <c r="BW48" s="27" t="n">
        <v>0</v>
      </c>
      <c r="BX48" s="27" t="n">
        <v>0</v>
      </c>
      <c r="BY48" s="27" t="n">
        <v>0</v>
      </c>
      <c r="BZ48" s="27" t="n">
        <v>0</v>
      </c>
      <c r="CA48" s="27" t="n">
        <v>0</v>
      </c>
      <c r="CB48" s="27" t="n">
        <v>0</v>
      </c>
      <c r="CC48" s="27" t="n">
        <v>0</v>
      </c>
      <c r="CD48" s="27" t="n">
        <v>0</v>
      </c>
      <c r="CE48" s="27" t="n">
        <v>0</v>
      </c>
      <c r="CF48" s="27" t="n">
        <v>0</v>
      </c>
      <c r="CG48" s="27" t="n">
        <v>0</v>
      </c>
      <c r="CH48" s="27" t="n">
        <v>0</v>
      </c>
      <c r="CI48" s="27" t="n">
        <v>0</v>
      </c>
      <c r="CJ48" s="27" t="n">
        <v>0</v>
      </c>
      <c r="CK48" s="27" t="n">
        <v>0</v>
      </c>
      <c r="CL48" s="27" t="n">
        <v>0</v>
      </c>
      <c r="CM48" s="27" t="n">
        <v>0</v>
      </c>
      <c r="CN48" s="27" t="n">
        <v>0</v>
      </c>
      <c r="CO48" s="27" t="n">
        <v>0</v>
      </c>
      <c r="CP48" s="27" t="n">
        <v>0</v>
      </c>
      <c r="CQ48" s="27" t="n">
        <v>0</v>
      </c>
      <c r="CR48" s="27" t="n">
        <v>0</v>
      </c>
      <c r="CS48" s="27" t="n">
        <v>0</v>
      </c>
      <c r="CT48" s="27" t="n">
        <v>0</v>
      </c>
      <c r="CU48" s="27" t="n">
        <v>0</v>
      </c>
      <c r="CV48" s="27" t="n">
        <v>0</v>
      </c>
      <c r="CW48" s="27" t="n">
        <v>0</v>
      </c>
      <c r="CX48" s="27" t="n">
        <v>0</v>
      </c>
      <c r="CY48" s="27" t="n">
        <v>0</v>
      </c>
      <c r="CZ48" s="27" t="n">
        <v>0</v>
      </c>
      <c r="DA48" s="27" t="n">
        <v>0</v>
      </c>
    </row>
    <row r="49">
      <c r="A49" t="inlineStr">
        <is>
          <t>TSP-936</t>
        </is>
      </c>
      <c r="B49" s="27" t="n">
        <v>0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0</v>
      </c>
      <c r="J49" s="27" t="n">
        <v>0</v>
      </c>
      <c r="K49" s="27" t="n">
        <v>0</v>
      </c>
      <c r="L49" s="27" t="n">
        <v>0</v>
      </c>
      <c r="M49" s="27" t="n">
        <v>0</v>
      </c>
      <c r="N49" s="27" t="n">
        <v>0</v>
      </c>
      <c r="O49" s="27" t="n">
        <v>0</v>
      </c>
      <c r="P49" s="27" t="n">
        <v>0</v>
      </c>
      <c r="Q49" s="27" t="n">
        <v>0</v>
      </c>
      <c r="R49" s="27" t="n">
        <v>0</v>
      </c>
      <c r="S49" s="27" t="n">
        <v>0</v>
      </c>
      <c r="T49" s="27" t="n">
        <v>0</v>
      </c>
      <c r="U49" s="27" t="n">
        <v>0</v>
      </c>
      <c r="V49" s="27" t="n">
        <v>0</v>
      </c>
      <c r="W49" s="27" t="n">
        <v>0</v>
      </c>
      <c r="X49" s="27" t="n">
        <v>0</v>
      </c>
      <c r="Y49" s="27" t="n">
        <v>0</v>
      </c>
      <c r="Z49" s="27" t="n">
        <v>0</v>
      </c>
      <c r="AA49" s="27" t="n">
        <v>0</v>
      </c>
      <c r="AB49" s="27" t="n">
        <v>0</v>
      </c>
      <c r="AC49" s="27" t="n">
        <v>0</v>
      </c>
      <c r="AD49" s="27" t="n">
        <v>0</v>
      </c>
      <c r="AE49" s="27" t="n">
        <v>0</v>
      </c>
      <c r="AF49" s="27" t="n">
        <v>0</v>
      </c>
      <c r="AG49" s="27" t="n">
        <v>0</v>
      </c>
      <c r="AH49" s="27" t="n">
        <v>0</v>
      </c>
      <c r="AI49" s="27" t="n">
        <v>0</v>
      </c>
      <c r="AJ49" s="27" t="n">
        <v>0</v>
      </c>
      <c r="AK49" s="27" t="n">
        <v>0</v>
      </c>
      <c r="AL49" s="27" t="n">
        <v>0</v>
      </c>
      <c r="AM49" s="27" t="n">
        <v>0</v>
      </c>
      <c r="AN49" s="27" t="n">
        <v>0</v>
      </c>
      <c r="AO49" s="27" t="n">
        <v>0</v>
      </c>
      <c r="AP49" s="27" t="n">
        <v>0</v>
      </c>
      <c r="AQ49" s="27" t="n">
        <v>0</v>
      </c>
      <c r="AR49" s="27" t="n">
        <v>0</v>
      </c>
      <c r="AS49" s="27" t="n">
        <v>0</v>
      </c>
      <c r="AT49" s="27" t="n">
        <v>0</v>
      </c>
      <c r="AU49" s="27" t="n">
        <v>0</v>
      </c>
      <c r="AV49" s="27" t="n">
        <v>0</v>
      </c>
      <c r="AW49" s="27" t="n">
        <v>0</v>
      </c>
      <c r="AX49" s="27" t="n">
        <v>0</v>
      </c>
      <c r="AY49" s="27" t="n">
        <v>0</v>
      </c>
      <c r="AZ49" s="27" t="n">
        <v>0</v>
      </c>
      <c r="BA49" s="27" t="n">
        <v>0</v>
      </c>
      <c r="BB49" s="27" t="n">
        <v>0</v>
      </c>
      <c r="BC49" s="27" t="n">
        <v>0</v>
      </c>
      <c r="BD49" s="27" t="n">
        <v>0</v>
      </c>
      <c r="BE49" s="27" t="n">
        <v>0</v>
      </c>
      <c r="BF49" s="27" t="n">
        <v>0</v>
      </c>
      <c r="BG49" s="27" t="n">
        <v>0</v>
      </c>
      <c r="BH49" s="27" t="n">
        <v>0</v>
      </c>
      <c r="BI49" s="27" t="n">
        <v>0</v>
      </c>
      <c r="BJ49" s="27" t="n">
        <v>0</v>
      </c>
      <c r="BK49" s="27" t="n">
        <v>0</v>
      </c>
      <c r="BL49" s="27" t="n">
        <v>0</v>
      </c>
      <c r="BM49" s="27" t="n">
        <v>0</v>
      </c>
      <c r="BN49" s="27" t="n">
        <v>0</v>
      </c>
      <c r="BO49" s="27" t="n">
        <v>0</v>
      </c>
      <c r="BP49" s="27" t="n">
        <v>0</v>
      </c>
      <c r="BQ49" s="27" t="n">
        <v>0</v>
      </c>
      <c r="BR49" s="27" t="n">
        <v>0</v>
      </c>
      <c r="BS49" s="27" t="n">
        <v>0</v>
      </c>
      <c r="BT49" s="27" t="n">
        <v>0</v>
      </c>
      <c r="BU49" s="27" t="n">
        <v>0</v>
      </c>
      <c r="BV49" s="27" t="n">
        <v>0</v>
      </c>
      <c r="BW49" s="27" t="n">
        <v>0</v>
      </c>
      <c r="BX49" s="27" t="n">
        <v>0</v>
      </c>
      <c r="BY49" s="27" t="n">
        <v>0</v>
      </c>
      <c r="BZ49" s="27" t="n">
        <v>0</v>
      </c>
      <c r="CA49" s="27" t="n">
        <v>0</v>
      </c>
      <c r="CB49" s="27" t="n">
        <v>0</v>
      </c>
      <c r="CC49" s="27" t="n">
        <v>0</v>
      </c>
      <c r="CD49" s="27" t="n">
        <v>0</v>
      </c>
      <c r="CE49" s="27" t="n">
        <v>0</v>
      </c>
      <c r="CF49" s="27" t="n">
        <v>0</v>
      </c>
      <c r="CG49" s="27" t="n">
        <v>0</v>
      </c>
      <c r="CH49" s="27" t="n">
        <v>0</v>
      </c>
      <c r="CI49" s="27" t="n">
        <v>0</v>
      </c>
      <c r="CJ49" s="27" t="n">
        <v>0</v>
      </c>
      <c r="CK49" s="27" t="n">
        <v>0</v>
      </c>
      <c r="CL49" s="27" t="n">
        <v>0</v>
      </c>
      <c r="CM49" s="27" t="n">
        <v>0</v>
      </c>
      <c r="CN49" s="27" t="n">
        <v>0</v>
      </c>
      <c r="CO49" s="27" t="n">
        <v>0</v>
      </c>
      <c r="CP49" s="27" t="n">
        <v>0</v>
      </c>
      <c r="CQ49" s="27" t="n">
        <v>0</v>
      </c>
      <c r="CR49" s="27" t="n">
        <v>0</v>
      </c>
      <c r="CS49" s="27" t="n">
        <v>0</v>
      </c>
      <c r="CT49" s="27" t="n">
        <v>0</v>
      </c>
      <c r="CU49" s="27" t="n">
        <v>0</v>
      </c>
      <c r="CV49" s="27" t="n">
        <v>0</v>
      </c>
      <c r="CW49" s="27" t="n">
        <v>0</v>
      </c>
      <c r="CX49" s="27" t="n">
        <v>0</v>
      </c>
      <c r="CY49" s="27" t="n">
        <v>0</v>
      </c>
      <c r="CZ49" s="27" t="n">
        <v>0</v>
      </c>
      <c r="DA49" s="27" t="n">
        <v>0</v>
      </c>
    </row>
    <row r="50">
      <c r="A50" t="inlineStr">
        <is>
          <t>TSP-937</t>
        </is>
      </c>
      <c r="B50" s="27" t="n">
        <v>0</v>
      </c>
      <c r="C50" s="27" t="n">
        <v>1.239039250313827</v>
      </c>
      <c r="D50" s="27" t="n">
        <v>0</v>
      </c>
      <c r="E50" s="27" t="n">
        <v>1.239039250313827</v>
      </c>
      <c r="F50" s="27" t="n">
        <v>0</v>
      </c>
      <c r="G50" s="27" t="n">
        <v>1.239039250313827</v>
      </c>
      <c r="H50" s="27" t="n">
        <v>0</v>
      </c>
      <c r="I50" s="27" t="n">
        <v>0</v>
      </c>
      <c r="J50" s="27" t="n">
        <v>0</v>
      </c>
      <c r="K50" s="27" t="n">
        <v>0</v>
      </c>
      <c r="L50" s="27" t="n">
        <v>1.239039250313827</v>
      </c>
      <c r="M50" s="27" t="n">
        <v>1.239039250313827</v>
      </c>
      <c r="N50" s="27" t="n">
        <v>0</v>
      </c>
      <c r="O50" s="27" t="n">
        <v>0</v>
      </c>
      <c r="P50" s="27" t="n">
        <v>0</v>
      </c>
      <c r="Q50" s="27" t="n">
        <v>0</v>
      </c>
      <c r="R50" s="27" t="n">
        <v>1.239039250313827</v>
      </c>
      <c r="S50" s="27" t="n">
        <v>0</v>
      </c>
      <c r="T50" s="27" t="n">
        <v>0</v>
      </c>
      <c r="U50" s="27" t="n">
        <v>0</v>
      </c>
      <c r="V50" s="27" t="n">
        <v>0</v>
      </c>
      <c r="W50" s="27" t="n">
        <v>0</v>
      </c>
      <c r="X50" s="27" t="n">
        <v>1.239039250313827</v>
      </c>
      <c r="Y50" s="27" t="n">
        <v>0</v>
      </c>
      <c r="Z50" s="27" t="n">
        <v>0</v>
      </c>
      <c r="AA50" s="27" t="n">
        <v>0</v>
      </c>
      <c r="AB50" s="27" t="n">
        <v>0</v>
      </c>
      <c r="AC50" s="27" t="n">
        <v>0</v>
      </c>
      <c r="AD50" s="27" t="n">
        <v>1.239039250313827</v>
      </c>
      <c r="AE50" s="27" t="n">
        <v>0</v>
      </c>
      <c r="AF50" s="27" t="n">
        <v>0</v>
      </c>
      <c r="AG50" s="27" t="n">
        <v>0</v>
      </c>
      <c r="AH50" s="27" t="n">
        <v>0</v>
      </c>
      <c r="AI50" s="27" t="n">
        <v>0</v>
      </c>
      <c r="AJ50" s="27" t="n">
        <v>0</v>
      </c>
      <c r="AK50" s="27" t="n">
        <v>0</v>
      </c>
      <c r="AL50" s="27" t="n">
        <v>0</v>
      </c>
      <c r="AM50" s="27" t="n">
        <v>1.239039250313827</v>
      </c>
      <c r="AN50" s="27" t="n">
        <v>0</v>
      </c>
      <c r="AO50" s="27" t="n">
        <v>0</v>
      </c>
      <c r="AP50" s="27" t="n">
        <v>0</v>
      </c>
      <c r="AQ50" s="27" t="n">
        <v>0</v>
      </c>
      <c r="AR50" s="27" t="n">
        <v>0</v>
      </c>
      <c r="AS50" s="27" t="n">
        <v>1.204621493360665</v>
      </c>
      <c r="AT50" s="27" t="n">
        <v>0</v>
      </c>
      <c r="AU50" s="27" t="n">
        <v>0</v>
      </c>
      <c r="AV50" s="27" t="n">
        <v>0</v>
      </c>
      <c r="AW50" s="27" t="n">
        <v>0</v>
      </c>
      <c r="AX50" s="27" t="n">
        <v>0</v>
      </c>
      <c r="AY50" s="27" t="n">
        <v>0</v>
      </c>
      <c r="AZ50" s="27" t="n">
        <v>0</v>
      </c>
      <c r="BA50" s="27" t="n">
        <v>0</v>
      </c>
      <c r="BB50" s="27" t="n">
        <v>0</v>
      </c>
      <c r="BC50" s="27" t="n">
        <v>0</v>
      </c>
      <c r="BD50" s="27" t="n">
        <v>0</v>
      </c>
      <c r="BE50" s="27" t="n">
        <v>0</v>
      </c>
      <c r="BF50" s="27" t="n">
        <v>0</v>
      </c>
      <c r="BG50" s="27" t="n">
        <v>0</v>
      </c>
      <c r="BH50" s="27" t="n">
        <v>0</v>
      </c>
      <c r="BI50" s="27" t="n">
        <v>0</v>
      </c>
      <c r="BJ50" s="27" t="n">
        <v>0</v>
      </c>
      <c r="BK50" s="27" t="n">
        <v>0</v>
      </c>
      <c r="BL50" s="27" t="n">
        <v>0</v>
      </c>
      <c r="BM50" s="27" t="n">
        <v>0</v>
      </c>
      <c r="BN50" s="27" t="n">
        <v>0</v>
      </c>
      <c r="BO50" s="27" t="n">
        <v>0</v>
      </c>
      <c r="BP50" s="27" t="n">
        <v>0</v>
      </c>
      <c r="BQ50" s="27" t="n">
        <v>0</v>
      </c>
      <c r="BR50" s="27" t="n">
        <v>0</v>
      </c>
      <c r="BS50" s="27" t="n">
        <v>0</v>
      </c>
      <c r="BT50" s="27" t="n">
        <v>0</v>
      </c>
      <c r="BU50" s="27" t="n">
        <v>0</v>
      </c>
      <c r="BV50" s="27" t="n">
        <v>0</v>
      </c>
      <c r="BW50" s="27" t="n">
        <v>0</v>
      </c>
      <c r="BX50" s="27" t="n">
        <v>0</v>
      </c>
      <c r="BY50" s="27" t="n">
        <v>0</v>
      </c>
      <c r="BZ50" s="27" t="n">
        <v>0</v>
      </c>
      <c r="CA50" s="27" t="n">
        <v>0</v>
      </c>
      <c r="CB50" s="27" t="n">
        <v>0</v>
      </c>
      <c r="CC50" s="27" t="n">
        <v>0</v>
      </c>
      <c r="CD50" s="27" t="n">
        <v>0</v>
      </c>
      <c r="CE50" s="27" t="n">
        <v>0</v>
      </c>
      <c r="CF50" s="27" t="n">
        <v>0</v>
      </c>
      <c r="CG50" s="27" t="n">
        <v>0</v>
      </c>
      <c r="CH50" s="27" t="n">
        <v>0</v>
      </c>
      <c r="CI50" s="27" t="n">
        <v>0</v>
      </c>
      <c r="CJ50" s="27" t="n">
        <v>0</v>
      </c>
      <c r="CK50" s="27" t="n">
        <v>0</v>
      </c>
      <c r="CL50" s="27" t="n">
        <v>0</v>
      </c>
      <c r="CM50" s="27" t="n">
        <v>0</v>
      </c>
      <c r="CN50" s="27" t="n">
        <v>0</v>
      </c>
      <c r="CO50" s="27" t="n">
        <v>0</v>
      </c>
      <c r="CP50" s="27" t="n">
        <v>0</v>
      </c>
      <c r="CQ50" s="27" t="n">
        <v>0</v>
      </c>
      <c r="CR50" s="27" t="n">
        <v>0</v>
      </c>
      <c r="CS50" s="27" t="n">
        <v>0</v>
      </c>
      <c r="CT50" s="27" t="n">
        <v>0</v>
      </c>
      <c r="CU50" s="27" t="n">
        <v>0</v>
      </c>
      <c r="CV50" s="27" t="n">
        <v>0</v>
      </c>
      <c r="CW50" s="27" t="n">
        <v>0</v>
      </c>
      <c r="CX50" s="27" t="n">
        <v>0</v>
      </c>
      <c r="CY50" s="27" t="n">
        <v>0</v>
      </c>
      <c r="CZ50" s="27" t="n">
        <v>0</v>
      </c>
      <c r="DA50" s="27" t="n">
        <v>0</v>
      </c>
    </row>
    <row r="51">
      <c r="A51" t="inlineStr">
        <is>
          <t>TSP-959</t>
        </is>
      </c>
      <c r="B51" s="27" t="n">
        <v>0</v>
      </c>
      <c r="C51" s="27" t="n">
        <v>0</v>
      </c>
      <c r="D51" s="27" t="n">
        <v>1.170635224396568</v>
      </c>
      <c r="E51" s="27" t="n">
        <v>1.170635224396568</v>
      </c>
      <c r="F51" s="27" t="n">
        <v>6.555557256620778</v>
      </c>
      <c r="G51" s="27" t="n">
        <v>6.087303166862152</v>
      </c>
      <c r="H51" s="27" t="n">
        <v>4.682540897586271</v>
      </c>
      <c r="I51" s="27" t="n">
        <v>4.682540897586271</v>
      </c>
      <c r="J51" s="27" t="n">
        <v>4.682540897586271</v>
      </c>
      <c r="K51" s="27" t="n">
        <v>6.087303166862152</v>
      </c>
      <c r="L51" s="27" t="n">
        <v>7.023811346379405</v>
      </c>
      <c r="M51" s="27" t="n">
        <v>7.023811346379405</v>
      </c>
      <c r="N51" s="27" t="n">
        <v>7.023811346379405</v>
      </c>
      <c r="O51" s="27" t="n">
        <v>7.023811346379405</v>
      </c>
      <c r="P51" s="27" t="n">
        <v>4.682540897586271</v>
      </c>
      <c r="Q51" s="27" t="n">
        <v>4.682540897586271</v>
      </c>
      <c r="R51" s="27" t="n">
        <v>5.150794987344898</v>
      </c>
      <c r="S51" s="27" t="n">
        <v>0</v>
      </c>
      <c r="T51" s="27" t="n">
        <v>0</v>
      </c>
      <c r="U51" s="27" t="n">
        <v>7.726192481017346</v>
      </c>
      <c r="V51" s="27" t="n">
        <v>8.194446570775973</v>
      </c>
      <c r="W51" s="27" t="n">
        <v>3.511905673189703</v>
      </c>
      <c r="X51" s="27" t="n">
        <v>4.682540897586271</v>
      </c>
      <c r="Y51" s="27" t="n">
        <v>4.682540897586271</v>
      </c>
      <c r="Z51" s="27" t="n">
        <v>0</v>
      </c>
      <c r="AA51" s="27" t="n">
        <v>5.619049077103525</v>
      </c>
      <c r="AB51" s="27" t="n">
        <v>3.746032718069016</v>
      </c>
      <c r="AC51" s="27" t="n">
        <v>7.023811346379405</v>
      </c>
      <c r="AD51" s="27" t="n">
        <v>4.682540897586271</v>
      </c>
      <c r="AE51" s="27" t="n">
        <v>0</v>
      </c>
      <c r="AF51" s="27" t="n">
        <v>2.341270448793135</v>
      </c>
      <c r="AG51" s="27" t="n">
        <v>4.682540897586271</v>
      </c>
      <c r="AH51" s="27" t="n">
        <v>4.682540897586271</v>
      </c>
      <c r="AI51" s="27" t="n">
        <v>4.682540897586271</v>
      </c>
      <c r="AJ51" s="27" t="n">
        <v>4.682540897586271</v>
      </c>
      <c r="AK51" s="27" t="n">
        <v>4.682540897586271</v>
      </c>
      <c r="AL51" s="27" t="n">
        <v>4.682540897586271</v>
      </c>
      <c r="AM51" s="27" t="n">
        <v>4.682540897586271</v>
      </c>
      <c r="AN51" s="27" t="n">
        <v>4.682540897586271</v>
      </c>
      <c r="AO51" s="27" t="n">
        <v>4.682540897586271</v>
      </c>
      <c r="AP51" s="27" t="n">
        <v>4.682540897586271</v>
      </c>
      <c r="AQ51" s="27" t="n">
        <v>4.682540897586271</v>
      </c>
      <c r="AR51" s="27" t="n">
        <v>4.682540897586271</v>
      </c>
      <c r="AS51" s="27" t="n">
        <v>4.682540897586271</v>
      </c>
      <c r="AT51" s="27" t="n">
        <v>7.023811346379405</v>
      </c>
      <c r="AU51" s="27" t="n">
        <v>7.023811346379405</v>
      </c>
      <c r="AV51" s="27" t="n">
        <v>7.023811346379405</v>
      </c>
      <c r="AW51" s="27" t="n">
        <v>7.023811346379405</v>
      </c>
      <c r="AX51" s="27" t="n">
        <v>4.682540897586271</v>
      </c>
      <c r="AY51" s="27" t="n">
        <v>4.682540897586271</v>
      </c>
      <c r="AZ51" s="27" t="n">
        <v>2.341270448793135</v>
      </c>
      <c r="BA51" s="27" t="n">
        <v>0</v>
      </c>
      <c r="BB51" s="27" t="n">
        <v>0</v>
      </c>
      <c r="BC51" s="27" t="n">
        <v>4.682540897586271</v>
      </c>
      <c r="BD51" s="27" t="n">
        <v>4.682540897586271</v>
      </c>
      <c r="BE51" s="27" t="n">
        <v>4.682540897586271</v>
      </c>
      <c r="BF51" s="27" t="n">
        <v>4.682540897586271</v>
      </c>
      <c r="BG51" s="27" t="n">
        <v>4.682540897586271</v>
      </c>
      <c r="BH51" s="27" t="n">
        <v>4.682540897586271</v>
      </c>
      <c r="BI51" s="27" t="n">
        <v>4.682540897586271</v>
      </c>
      <c r="BJ51" s="27" t="n">
        <v>4.682540897586271</v>
      </c>
      <c r="BK51" s="27" t="n">
        <v>4.682540897586271</v>
      </c>
      <c r="BL51" s="27" t="n">
        <v>0</v>
      </c>
      <c r="BM51" s="27" t="n">
        <v>4.682540897586271</v>
      </c>
      <c r="BN51" s="27" t="n">
        <v>0</v>
      </c>
      <c r="BO51" s="27" t="n">
        <v>2.341270448793135</v>
      </c>
      <c r="BP51" s="27" t="n">
        <v>2.341270448793135</v>
      </c>
      <c r="BQ51" s="27" t="n">
        <v>2.341270448793135</v>
      </c>
      <c r="BR51" s="27" t="n">
        <v>2.341270448793135</v>
      </c>
      <c r="BS51" s="27" t="n">
        <v>0</v>
      </c>
      <c r="BT51" s="27" t="n">
        <v>2.341270448793135</v>
      </c>
      <c r="BU51" s="27" t="n">
        <v>2.341270448793135</v>
      </c>
      <c r="BV51" s="27" t="n">
        <v>2.341270448793135</v>
      </c>
      <c r="BW51" s="27" t="n">
        <v>2.341270448793135</v>
      </c>
      <c r="BX51" s="27" t="n">
        <v>1.404762269275881</v>
      </c>
      <c r="BY51" s="27" t="n">
        <v>0</v>
      </c>
      <c r="BZ51" s="27" t="n">
        <v>0</v>
      </c>
      <c r="CA51" s="27" t="n">
        <v>0</v>
      </c>
      <c r="CB51" s="27" t="n">
        <v>0</v>
      </c>
      <c r="CC51" s="27" t="n">
        <v>0</v>
      </c>
      <c r="CD51" s="27" t="n">
        <v>0</v>
      </c>
      <c r="CE51" s="27" t="n">
        <v>0</v>
      </c>
      <c r="CF51" s="27" t="n">
        <v>0</v>
      </c>
      <c r="CG51" s="27" t="n">
        <v>0</v>
      </c>
      <c r="CH51" s="27" t="n">
        <v>0</v>
      </c>
      <c r="CI51" s="27" t="n">
        <v>0</v>
      </c>
      <c r="CJ51" s="27" t="n">
        <v>0</v>
      </c>
      <c r="CK51" s="27" t="n">
        <v>0</v>
      </c>
      <c r="CL51" s="27" t="n">
        <v>0</v>
      </c>
      <c r="CM51" s="27" t="n">
        <v>0</v>
      </c>
      <c r="CN51" s="27" t="n">
        <v>0</v>
      </c>
      <c r="CO51" s="27" t="n">
        <v>0</v>
      </c>
      <c r="CP51" s="27" t="n">
        <v>0</v>
      </c>
      <c r="CQ51" s="27" t="n">
        <v>0</v>
      </c>
      <c r="CR51" s="27" t="n">
        <v>0</v>
      </c>
      <c r="CS51" s="27" t="n">
        <v>0</v>
      </c>
      <c r="CT51" s="27" t="n">
        <v>0</v>
      </c>
      <c r="CU51" s="27" t="n">
        <v>0</v>
      </c>
      <c r="CV51" s="27" t="n">
        <v>0</v>
      </c>
      <c r="CW51" s="27" t="n">
        <v>0</v>
      </c>
      <c r="CX51" s="27" t="n">
        <v>0</v>
      </c>
      <c r="CY51" s="27" t="n">
        <v>0</v>
      </c>
      <c r="CZ51" s="27" t="n">
        <v>0</v>
      </c>
      <c r="DA51" s="27" t="n">
        <v>0</v>
      </c>
    </row>
    <row r="52">
      <c r="A52" t="inlineStr">
        <is>
          <t>TSP-966</t>
        </is>
      </c>
      <c r="B52" s="27" t="n">
        <v>0</v>
      </c>
      <c r="C52" s="27" t="n">
        <v>0</v>
      </c>
      <c r="D52" s="27" t="n">
        <v>0.9966135129281095</v>
      </c>
      <c r="E52" s="27" t="n">
        <v>0.9966135129281095</v>
      </c>
      <c r="F52" s="27" t="n">
        <v>5.581035672397413</v>
      </c>
      <c r="G52" s="27" t="n">
        <v>5.18239026722617</v>
      </c>
      <c r="H52" s="27" t="n">
        <v>3.986454051712438</v>
      </c>
      <c r="I52" s="27" t="n">
        <v>3.986454051712438</v>
      </c>
      <c r="J52" s="27" t="n">
        <v>3.986454051712438</v>
      </c>
      <c r="K52" s="27" t="n">
        <v>5.18239026722617</v>
      </c>
      <c r="L52" s="27" t="n">
        <v>5.979681077568658</v>
      </c>
      <c r="M52" s="27" t="n">
        <v>5.979681077568658</v>
      </c>
      <c r="N52" s="27" t="n">
        <v>5.979681077568658</v>
      </c>
      <c r="O52" s="27" t="n">
        <v>5.979681077568658</v>
      </c>
      <c r="P52" s="27" t="n">
        <v>3.986454051712438</v>
      </c>
      <c r="Q52" s="27" t="n">
        <v>3.986454051712438</v>
      </c>
      <c r="R52" s="27" t="n">
        <v>4.385099456883682</v>
      </c>
      <c r="S52" s="27" t="n">
        <v>0</v>
      </c>
      <c r="T52" s="27" t="n">
        <v>0</v>
      </c>
      <c r="U52" s="27" t="n">
        <v>6.577649185325523</v>
      </c>
      <c r="V52" s="27" t="n">
        <v>6.976294590496767</v>
      </c>
      <c r="W52" s="27" t="n">
        <v>2.989840538784329</v>
      </c>
      <c r="X52" s="27" t="n">
        <v>3.986454051712438</v>
      </c>
      <c r="Y52" s="27" t="n">
        <v>3.986454051712438</v>
      </c>
      <c r="Z52" s="27" t="n">
        <v>0</v>
      </c>
      <c r="AA52" s="27" t="n">
        <v>4.783744862054926</v>
      </c>
      <c r="AB52" s="27" t="n">
        <v>3.18916324136995</v>
      </c>
      <c r="AC52" s="27" t="n">
        <v>5.979681077568658</v>
      </c>
      <c r="AD52" s="27" t="n">
        <v>3.986454051712438</v>
      </c>
      <c r="AE52" s="27" t="n">
        <v>0</v>
      </c>
      <c r="AF52" s="27" t="n">
        <v>1.993227025856219</v>
      </c>
      <c r="AG52" s="27" t="n">
        <v>3.986454051712438</v>
      </c>
      <c r="AH52" s="27" t="n">
        <v>3.986454051712438</v>
      </c>
      <c r="AI52" s="27" t="n">
        <v>3.986454051712438</v>
      </c>
      <c r="AJ52" s="27" t="n">
        <v>3.986454051712438</v>
      </c>
      <c r="AK52" s="27" t="n">
        <v>3.986454051712438</v>
      </c>
      <c r="AL52" s="27" t="n">
        <v>3.986454051712438</v>
      </c>
      <c r="AM52" s="27" t="n">
        <v>3.986454051712438</v>
      </c>
      <c r="AN52" s="27" t="n">
        <v>3.986454051712438</v>
      </c>
      <c r="AO52" s="27" t="n">
        <v>3.986454051712438</v>
      </c>
      <c r="AP52" s="27" t="n">
        <v>3.986454051712438</v>
      </c>
      <c r="AQ52" s="27" t="n">
        <v>3.986454051712438</v>
      </c>
      <c r="AR52" s="27" t="n">
        <v>3.986454051712438</v>
      </c>
      <c r="AS52" s="27" t="n">
        <v>3.986454051712438</v>
      </c>
      <c r="AT52" s="27" t="n">
        <v>5.979681077568658</v>
      </c>
      <c r="AU52" s="27" t="n">
        <v>5.979681077568658</v>
      </c>
      <c r="AV52" s="27" t="n">
        <v>5.979681077568658</v>
      </c>
      <c r="AW52" s="27" t="n">
        <v>5.979681077568658</v>
      </c>
      <c r="AX52" s="27" t="n">
        <v>3.986454051712438</v>
      </c>
      <c r="AY52" s="27" t="n">
        <v>3.986454051712438</v>
      </c>
      <c r="AZ52" s="27" t="n">
        <v>1.993227025856219</v>
      </c>
      <c r="BA52" s="27" t="n">
        <v>0</v>
      </c>
      <c r="BB52" s="27" t="n">
        <v>0</v>
      </c>
      <c r="BC52" s="27" t="n">
        <v>3.986454051712438</v>
      </c>
      <c r="BD52" s="27" t="n">
        <v>3.986454051712438</v>
      </c>
      <c r="BE52" s="27" t="n">
        <v>3.986454051712438</v>
      </c>
      <c r="BF52" s="27" t="n">
        <v>3.986454051712438</v>
      </c>
      <c r="BG52" s="27" t="n">
        <v>3.986454051712438</v>
      </c>
      <c r="BH52" s="27" t="n">
        <v>3.986454051712438</v>
      </c>
      <c r="BI52" s="27" t="n">
        <v>3.986454051712438</v>
      </c>
      <c r="BJ52" s="27" t="n">
        <v>3.986454051712438</v>
      </c>
      <c r="BK52" s="27" t="n">
        <v>3.986454051712438</v>
      </c>
      <c r="BL52" s="27" t="n">
        <v>0</v>
      </c>
      <c r="BM52" s="27" t="n">
        <v>3.986454051712438</v>
      </c>
      <c r="BN52" s="27" t="n">
        <v>0</v>
      </c>
      <c r="BO52" s="27" t="n">
        <v>1.993227025856219</v>
      </c>
      <c r="BP52" s="27" t="n">
        <v>1.993227025856219</v>
      </c>
      <c r="BQ52" s="27" t="n">
        <v>1.993227025856219</v>
      </c>
      <c r="BR52" s="27" t="n">
        <v>1.993227025856219</v>
      </c>
      <c r="BS52" s="27" t="n">
        <v>0</v>
      </c>
      <c r="BT52" s="27" t="n">
        <v>1.993227025856219</v>
      </c>
      <c r="BU52" s="27" t="n">
        <v>1.993227025856219</v>
      </c>
      <c r="BV52" s="27" t="n">
        <v>1.993227025856219</v>
      </c>
      <c r="BW52" s="27" t="n">
        <v>1.993227025856219</v>
      </c>
      <c r="BX52" s="27" t="n">
        <v>1.195936215513731</v>
      </c>
      <c r="BY52" s="27" t="n">
        <v>0</v>
      </c>
      <c r="BZ52" s="27" t="n">
        <v>0</v>
      </c>
      <c r="CA52" s="27" t="n">
        <v>0</v>
      </c>
      <c r="CB52" s="27" t="n">
        <v>0</v>
      </c>
      <c r="CC52" s="27" t="n">
        <v>0</v>
      </c>
      <c r="CD52" s="27" t="n">
        <v>0</v>
      </c>
      <c r="CE52" s="27" t="n">
        <v>0</v>
      </c>
      <c r="CF52" s="27" t="n">
        <v>0</v>
      </c>
      <c r="CG52" s="27" t="n">
        <v>0</v>
      </c>
      <c r="CH52" s="27" t="n">
        <v>0</v>
      </c>
      <c r="CI52" s="27" t="n">
        <v>0</v>
      </c>
      <c r="CJ52" s="27" t="n">
        <v>0</v>
      </c>
      <c r="CK52" s="27" t="n">
        <v>0</v>
      </c>
      <c r="CL52" s="27" t="n">
        <v>0</v>
      </c>
      <c r="CM52" s="27" t="n">
        <v>0</v>
      </c>
      <c r="CN52" s="27" t="n">
        <v>0</v>
      </c>
      <c r="CO52" s="27" t="n">
        <v>0</v>
      </c>
      <c r="CP52" s="27" t="n">
        <v>0</v>
      </c>
      <c r="CQ52" s="27" t="n">
        <v>0</v>
      </c>
      <c r="CR52" s="27" t="n">
        <v>0</v>
      </c>
      <c r="CS52" s="27" t="n">
        <v>0</v>
      </c>
      <c r="CT52" s="27" t="n">
        <v>0</v>
      </c>
      <c r="CU52" s="27" t="n">
        <v>0</v>
      </c>
      <c r="CV52" s="27" t="n">
        <v>0</v>
      </c>
      <c r="CW52" s="27" t="n">
        <v>0</v>
      </c>
      <c r="CX52" s="27" t="n">
        <v>0</v>
      </c>
      <c r="CY52" s="27" t="n">
        <v>0</v>
      </c>
      <c r="CZ52" s="27" t="n">
        <v>0</v>
      </c>
      <c r="DA52" s="27" t="n">
        <v>0</v>
      </c>
    </row>
    <row r="53">
      <c r="A53" t="inlineStr">
        <is>
          <t>TSZ-616</t>
        </is>
      </c>
      <c r="B53" s="27" t="n">
        <v>0</v>
      </c>
      <c r="C53" s="27" t="n">
        <v>0</v>
      </c>
      <c r="D53" s="27" t="n">
        <v>0</v>
      </c>
      <c r="E53" s="27" t="n">
        <v>0</v>
      </c>
      <c r="F53" s="27" t="n">
        <v>0</v>
      </c>
      <c r="G53" s="27" t="n">
        <v>0</v>
      </c>
      <c r="H53" s="27" t="n">
        <v>0</v>
      </c>
      <c r="I53" s="27" t="n">
        <v>0</v>
      </c>
      <c r="J53" s="27" t="n">
        <v>0</v>
      </c>
      <c r="K53" s="27" t="n">
        <v>0</v>
      </c>
      <c r="L53" s="27" t="n">
        <v>0</v>
      </c>
      <c r="M53" s="27" t="n">
        <v>0</v>
      </c>
      <c r="N53" s="27" t="n">
        <v>0</v>
      </c>
      <c r="O53" s="27" t="n">
        <v>0</v>
      </c>
      <c r="P53" s="27" t="n">
        <v>0</v>
      </c>
      <c r="Q53" s="27" t="n">
        <v>0</v>
      </c>
      <c r="R53" s="27" t="n">
        <v>0</v>
      </c>
      <c r="S53" s="27" t="n">
        <v>0</v>
      </c>
      <c r="T53" s="27" t="n">
        <v>0</v>
      </c>
      <c r="U53" s="27" t="n">
        <v>0</v>
      </c>
      <c r="V53" s="27" t="n">
        <v>0</v>
      </c>
      <c r="W53" s="27" t="n">
        <v>0</v>
      </c>
      <c r="X53" s="27" t="n">
        <v>0</v>
      </c>
      <c r="Y53" s="27" t="n">
        <v>0</v>
      </c>
      <c r="Z53" s="27" t="n">
        <v>0</v>
      </c>
      <c r="AA53" s="27" t="n">
        <v>0</v>
      </c>
      <c r="AB53" s="27" t="n">
        <v>0</v>
      </c>
      <c r="AC53" s="27" t="n">
        <v>0</v>
      </c>
      <c r="AD53" s="27" t="n">
        <v>0</v>
      </c>
      <c r="AE53" s="27" t="n">
        <v>0</v>
      </c>
      <c r="AF53" s="27" t="n">
        <v>0</v>
      </c>
      <c r="AG53" s="27" t="n">
        <v>0</v>
      </c>
      <c r="AH53" s="27" t="n">
        <v>0</v>
      </c>
      <c r="AI53" s="27" t="n">
        <v>0</v>
      </c>
      <c r="AJ53" s="27" t="n">
        <v>0</v>
      </c>
      <c r="AK53" s="27" t="n">
        <v>0</v>
      </c>
      <c r="AL53" s="27" t="n">
        <v>0</v>
      </c>
      <c r="AM53" s="27" t="n">
        <v>0</v>
      </c>
      <c r="AN53" s="27" t="n">
        <v>0</v>
      </c>
      <c r="AO53" s="27" t="n">
        <v>0</v>
      </c>
      <c r="AP53" s="27" t="n">
        <v>0</v>
      </c>
      <c r="AQ53" s="27" t="n">
        <v>0</v>
      </c>
      <c r="AR53" s="27" t="n">
        <v>0</v>
      </c>
      <c r="AS53" s="27" t="n">
        <v>0</v>
      </c>
      <c r="AT53" s="27" t="n">
        <v>0</v>
      </c>
      <c r="AU53" s="27" t="n">
        <v>0</v>
      </c>
      <c r="AV53" s="27" t="n">
        <v>0</v>
      </c>
      <c r="AW53" s="27" t="n">
        <v>0</v>
      </c>
      <c r="AX53" s="27" t="n">
        <v>0</v>
      </c>
      <c r="AY53" s="27" t="n">
        <v>0</v>
      </c>
      <c r="AZ53" s="27" t="n">
        <v>0</v>
      </c>
      <c r="BA53" s="27" t="n">
        <v>0</v>
      </c>
      <c r="BB53" s="27" t="n">
        <v>0</v>
      </c>
      <c r="BC53" s="27" t="n">
        <v>0</v>
      </c>
      <c r="BD53" s="27" t="n">
        <v>0</v>
      </c>
      <c r="BE53" s="27" t="n">
        <v>0</v>
      </c>
      <c r="BF53" s="27" t="n">
        <v>0</v>
      </c>
      <c r="BG53" s="27" t="n">
        <v>0</v>
      </c>
      <c r="BH53" s="27" t="n">
        <v>0</v>
      </c>
      <c r="BI53" s="27" t="n">
        <v>0</v>
      </c>
      <c r="BJ53" s="27" t="n">
        <v>0</v>
      </c>
      <c r="BK53" s="27" t="n">
        <v>0</v>
      </c>
      <c r="BL53" s="27" t="n">
        <v>0</v>
      </c>
      <c r="BM53" s="27" t="n">
        <v>0</v>
      </c>
      <c r="BN53" s="27" t="n">
        <v>0</v>
      </c>
      <c r="BO53" s="27" t="n">
        <v>0</v>
      </c>
      <c r="BP53" s="27" t="n">
        <v>0</v>
      </c>
      <c r="BQ53" s="27" t="n">
        <v>0</v>
      </c>
      <c r="BR53" s="27" t="n">
        <v>0</v>
      </c>
      <c r="BS53" s="27" t="n">
        <v>0</v>
      </c>
      <c r="BT53" s="27" t="n">
        <v>0</v>
      </c>
      <c r="BU53" s="27" t="n">
        <v>0</v>
      </c>
      <c r="BV53" s="27" t="n">
        <v>0</v>
      </c>
      <c r="BW53" s="27" t="n">
        <v>0</v>
      </c>
      <c r="BX53" s="27" t="n">
        <v>0</v>
      </c>
      <c r="BY53" s="27" t="n">
        <v>0</v>
      </c>
      <c r="BZ53" s="27" t="n">
        <v>0</v>
      </c>
      <c r="CA53" s="27" t="n">
        <v>0</v>
      </c>
      <c r="CB53" s="27" t="n">
        <v>0</v>
      </c>
      <c r="CC53" s="27" t="n">
        <v>0</v>
      </c>
      <c r="CD53" s="27" t="n">
        <v>0</v>
      </c>
      <c r="CE53" s="27" t="n">
        <v>0</v>
      </c>
      <c r="CF53" s="27" t="n">
        <v>0</v>
      </c>
      <c r="CG53" s="27" t="n">
        <v>0</v>
      </c>
      <c r="CH53" s="27" t="n">
        <v>0</v>
      </c>
      <c r="CI53" s="27" t="n">
        <v>0</v>
      </c>
      <c r="CJ53" s="27" t="n">
        <v>0</v>
      </c>
      <c r="CK53" s="27" t="n">
        <v>0</v>
      </c>
      <c r="CL53" s="27" t="n">
        <v>0</v>
      </c>
      <c r="CM53" s="27" t="n">
        <v>0</v>
      </c>
      <c r="CN53" s="27" t="n">
        <v>0</v>
      </c>
      <c r="CO53" s="27" t="n">
        <v>0</v>
      </c>
      <c r="CP53" s="27" t="n">
        <v>0</v>
      </c>
      <c r="CQ53" s="27" t="n">
        <v>0</v>
      </c>
      <c r="CR53" s="27" t="n">
        <v>0</v>
      </c>
      <c r="CS53" s="27" t="n">
        <v>0</v>
      </c>
      <c r="CT53" s="27" t="n">
        <v>0</v>
      </c>
      <c r="CU53" s="27" t="n">
        <v>0</v>
      </c>
      <c r="CV53" s="27" t="n">
        <v>0</v>
      </c>
      <c r="CW53" s="27" t="n">
        <v>0</v>
      </c>
      <c r="CX53" s="27" t="n">
        <v>0</v>
      </c>
      <c r="CY53" s="27" t="n">
        <v>0</v>
      </c>
      <c r="CZ53" s="27" t="n">
        <v>0</v>
      </c>
      <c r="DA53" s="27" t="n">
        <v>0</v>
      </c>
    </row>
    <row r="54">
      <c r="A54" t="inlineStr">
        <is>
          <t>TSZ-938</t>
        </is>
      </c>
      <c r="B54" s="27" t="n">
        <v>0</v>
      </c>
      <c r="C54" s="27" t="n">
        <v>0</v>
      </c>
      <c r="D54" s="27" t="n">
        <v>0</v>
      </c>
      <c r="E54" s="27" t="n">
        <v>0</v>
      </c>
      <c r="F54" s="27" t="n">
        <v>0</v>
      </c>
      <c r="G54" s="27" t="n">
        <v>0</v>
      </c>
      <c r="H54" s="27" t="n">
        <v>0</v>
      </c>
      <c r="I54" s="27" t="n">
        <v>0</v>
      </c>
      <c r="J54" s="27" t="n">
        <v>0</v>
      </c>
      <c r="K54" s="27" t="n">
        <v>0</v>
      </c>
      <c r="L54" s="27" t="n">
        <v>0</v>
      </c>
      <c r="M54" s="27" t="n">
        <v>0</v>
      </c>
      <c r="N54" s="27" t="n">
        <v>0</v>
      </c>
      <c r="O54" s="27" t="n">
        <v>0</v>
      </c>
      <c r="P54" s="27" t="n">
        <v>0</v>
      </c>
      <c r="Q54" s="27" t="n">
        <v>0</v>
      </c>
      <c r="R54" s="27" t="n">
        <v>0</v>
      </c>
      <c r="S54" s="27" t="n">
        <v>0</v>
      </c>
      <c r="T54" s="27" t="n">
        <v>0</v>
      </c>
      <c r="U54" s="27" t="n">
        <v>0</v>
      </c>
      <c r="V54" s="27" t="n">
        <v>0</v>
      </c>
      <c r="W54" s="27" t="n">
        <v>0</v>
      </c>
      <c r="X54" s="27" t="n">
        <v>0</v>
      </c>
      <c r="Y54" s="27" t="n">
        <v>0</v>
      </c>
      <c r="Z54" s="27" t="n">
        <v>0</v>
      </c>
      <c r="AA54" s="27" t="n">
        <v>0</v>
      </c>
      <c r="AB54" s="27" t="n">
        <v>0</v>
      </c>
      <c r="AC54" s="27" t="n">
        <v>0</v>
      </c>
      <c r="AD54" s="27" t="n">
        <v>0</v>
      </c>
      <c r="AE54" s="27" t="n">
        <v>0</v>
      </c>
      <c r="AF54" s="27" t="n">
        <v>0</v>
      </c>
      <c r="AG54" s="27" t="n">
        <v>0</v>
      </c>
      <c r="AH54" s="27" t="n">
        <v>0</v>
      </c>
      <c r="AI54" s="27" t="n">
        <v>0</v>
      </c>
      <c r="AJ54" s="27" t="n">
        <v>0</v>
      </c>
      <c r="AK54" s="27" t="n">
        <v>0</v>
      </c>
      <c r="AL54" s="27" t="n">
        <v>0</v>
      </c>
      <c r="AM54" s="27" t="n">
        <v>0</v>
      </c>
      <c r="AN54" s="27" t="n">
        <v>0</v>
      </c>
      <c r="AO54" s="27" t="n">
        <v>0</v>
      </c>
      <c r="AP54" s="27" t="n">
        <v>0</v>
      </c>
      <c r="AQ54" s="27" t="n">
        <v>0</v>
      </c>
      <c r="AR54" s="27" t="n">
        <v>0</v>
      </c>
      <c r="AS54" s="27" t="n">
        <v>0</v>
      </c>
      <c r="AT54" s="27" t="n">
        <v>0</v>
      </c>
      <c r="AU54" s="27" t="n">
        <v>0</v>
      </c>
      <c r="AV54" s="27" t="n">
        <v>0</v>
      </c>
      <c r="AW54" s="27" t="n">
        <v>0</v>
      </c>
      <c r="AX54" s="27" t="n">
        <v>0</v>
      </c>
      <c r="AY54" s="27" t="n">
        <v>0</v>
      </c>
      <c r="AZ54" s="27" t="n">
        <v>0</v>
      </c>
      <c r="BA54" s="27" t="n">
        <v>0</v>
      </c>
      <c r="BB54" s="27" t="n">
        <v>0</v>
      </c>
      <c r="BC54" s="27" t="n">
        <v>0</v>
      </c>
      <c r="BD54" s="27" t="n">
        <v>0</v>
      </c>
      <c r="BE54" s="27" t="n">
        <v>0</v>
      </c>
      <c r="BF54" s="27" t="n">
        <v>0</v>
      </c>
      <c r="BG54" s="27" t="n">
        <v>0</v>
      </c>
      <c r="BH54" s="27" t="n">
        <v>0</v>
      </c>
      <c r="BI54" s="27" t="n">
        <v>0</v>
      </c>
      <c r="BJ54" s="27" t="n">
        <v>0</v>
      </c>
      <c r="BK54" s="27" t="n">
        <v>0</v>
      </c>
      <c r="BL54" s="27" t="n">
        <v>0</v>
      </c>
      <c r="BM54" s="27" t="n">
        <v>0</v>
      </c>
      <c r="BN54" s="27" t="n">
        <v>0</v>
      </c>
      <c r="BO54" s="27" t="n">
        <v>0</v>
      </c>
      <c r="BP54" s="27" t="n">
        <v>0</v>
      </c>
      <c r="BQ54" s="27" t="n">
        <v>0</v>
      </c>
      <c r="BR54" s="27" t="n">
        <v>0</v>
      </c>
      <c r="BS54" s="27" t="n">
        <v>0</v>
      </c>
      <c r="BT54" s="27" t="n">
        <v>0</v>
      </c>
      <c r="BU54" s="27" t="n">
        <v>0</v>
      </c>
      <c r="BV54" s="27" t="n">
        <v>0</v>
      </c>
      <c r="BW54" s="27" t="n">
        <v>0</v>
      </c>
      <c r="BX54" s="27" t="n">
        <v>0</v>
      </c>
      <c r="BY54" s="27" t="n">
        <v>0</v>
      </c>
      <c r="BZ54" s="27" t="n">
        <v>0</v>
      </c>
      <c r="CA54" s="27" t="n">
        <v>0</v>
      </c>
      <c r="CB54" s="27" t="n">
        <v>0</v>
      </c>
      <c r="CC54" s="27" t="n">
        <v>0</v>
      </c>
      <c r="CD54" s="27" t="n">
        <v>0</v>
      </c>
      <c r="CE54" s="27" t="n">
        <v>0</v>
      </c>
      <c r="CF54" s="27" t="n">
        <v>0</v>
      </c>
      <c r="CG54" s="27" t="n">
        <v>0</v>
      </c>
      <c r="CH54" s="27" t="n">
        <v>0</v>
      </c>
      <c r="CI54" s="27" t="n">
        <v>0</v>
      </c>
      <c r="CJ54" s="27" t="n">
        <v>0</v>
      </c>
      <c r="CK54" s="27" t="n">
        <v>0</v>
      </c>
      <c r="CL54" s="27" t="n">
        <v>0</v>
      </c>
      <c r="CM54" s="27" t="n">
        <v>0</v>
      </c>
      <c r="CN54" s="27" t="n">
        <v>0</v>
      </c>
      <c r="CO54" s="27" t="n">
        <v>0</v>
      </c>
      <c r="CP54" s="27" t="n">
        <v>0</v>
      </c>
      <c r="CQ54" s="27" t="n">
        <v>0</v>
      </c>
      <c r="CR54" s="27" t="n">
        <v>0</v>
      </c>
      <c r="CS54" s="27" t="n">
        <v>0</v>
      </c>
      <c r="CT54" s="27" t="n">
        <v>0</v>
      </c>
      <c r="CU54" s="27" t="n">
        <v>0</v>
      </c>
      <c r="CV54" s="27" t="n">
        <v>0</v>
      </c>
      <c r="CW54" s="27" t="n">
        <v>0</v>
      </c>
      <c r="CX54" s="27" t="n">
        <v>0</v>
      </c>
      <c r="CY54" s="27" t="n">
        <v>0</v>
      </c>
      <c r="CZ54" s="27" t="n">
        <v>0</v>
      </c>
      <c r="DA54" s="27" t="n">
        <v>0</v>
      </c>
    </row>
    <row r="55">
      <c r="A55" t="inlineStr">
        <is>
          <t>TVS-267</t>
        </is>
      </c>
      <c r="B55" s="27" t="n">
        <v>0</v>
      </c>
      <c r="C55" s="27" t="n">
        <v>1.039041627515491</v>
      </c>
      <c r="D55" s="27" t="n">
        <v>0</v>
      </c>
      <c r="E55" s="27" t="n">
        <v>1.039041627515491</v>
      </c>
      <c r="F55" s="27" t="n">
        <v>0</v>
      </c>
      <c r="G55" s="27" t="n">
        <v>1.039041627515491</v>
      </c>
      <c r="H55" s="27" t="n">
        <v>0</v>
      </c>
      <c r="I55" s="27" t="n">
        <v>0</v>
      </c>
      <c r="J55" s="27" t="n">
        <v>0</v>
      </c>
      <c r="K55" s="27" t="n">
        <v>0</v>
      </c>
      <c r="L55" s="27" t="n">
        <v>1.039041627515491</v>
      </c>
      <c r="M55" s="27" t="n">
        <v>1.039041627515491</v>
      </c>
      <c r="N55" s="27" t="n">
        <v>0</v>
      </c>
      <c r="O55" s="27" t="n">
        <v>0</v>
      </c>
      <c r="P55" s="27" t="n">
        <v>0</v>
      </c>
      <c r="Q55" s="27" t="n">
        <v>0</v>
      </c>
      <c r="R55" s="27" t="n">
        <v>1.039041627515491</v>
      </c>
      <c r="S55" s="27" t="n">
        <v>0</v>
      </c>
      <c r="T55" s="27" t="n">
        <v>0</v>
      </c>
      <c r="U55" s="27" t="n">
        <v>0</v>
      </c>
      <c r="V55" s="27" t="n">
        <v>0</v>
      </c>
      <c r="W55" s="27" t="n">
        <v>0</v>
      </c>
      <c r="X55" s="27" t="n">
        <v>1.039041627515491</v>
      </c>
      <c r="Y55" s="27" t="n">
        <v>0</v>
      </c>
      <c r="Z55" s="27" t="n">
        <v>0</v>
      </c>
      <c r="AA55" s="27" t="n">
        <v>0</v>
      </c>
      <c r="AB55" s="27" t="n">
        <v>0</v>
      </c>
      <c r="AC55" s="27" t="n">
        <v>0</v>
      </c>
      <c r="AD55" s="27" t="n">
        <v>1.039041627515491</v>
      </c>
      <c r="AE55" s="27" t="n">
        <v>0</v>
      </c>
      <c r="AF55" s="27" t="n">
        <v>0</v>
      </c>
      <c r="AG55" s="27" t="n">
        <v>0</v>
      </c>
      <c r="AH55" s="27" t="n">
        <v>0</v>
      </c>
      <c r="AI55" s="27" t="n">
        <v>0</v>
      </c>
      <c r="AJ55" s="27" t="n">
        <v>0</v>
      </c>
      <c r="AK55" s="27" t="n">
        <v>0</v>
      </c>
      <c r="AL55" s="27" t="n">
        <v>0</v>
      </c>
      <c r="AM55" s="27" t="n">
        <v>1.039041627515491</v>
      </c>
      <c r="AN55" s="27" t="n">
        <v>0</v>
      </c>
      <c r="AO55" s="27" t="n">
        <v>0</v>
      </c>
      <c r="AP55" s="27" t="n">
        <v>0</v>
      </c>
      <c r="AQ55" s="27" t="n">
        <v>0</v>
      </c>
      <c r="AR55" s="27" t="n">
        <v>0</v>
      </c>
      <c r="AS55" s="27" t="n">
        <v>1.010179360084505</v>
      </c>
      <c r="AT55" s="27" t="n">
        <v>0</v>
      </c>
      <c r="AU55" s="27" t="n">
        <v>0</v>
      </c>
      <c r="AV55" s="27" t="n">
        <v>0</v>
      </c>
      <c r="AW55" s="27" t="n">
        <v>0</v>
      </c>
      <c r="AX55" s="27" t="n">
        <v>0</v>
      </c>
      <c r="AY55" s="27" t="n">
        <v>0</v>
      </c>
      <c r="AZ55" s="27" t="n">
        <v>0</v>
      </c>
      <c r="BA55" s="27" t="n">
        <v>0</v>
      </c>
      <c r="BB55" s="27" t="n">
        <v>0</v>
      </c>
      <c r="BC55" s="27" t="n">
        <v>0</v>
      </c>
      <c r="BD55" s="27" t="n">
        <v>0</v>
      </c>
      <c r="BE55" s="27" t="n">
        <v>0</v>
      </c>
      <c r="BF55" s="27" t="n">
        <v>0</v>
      </c>
      <c r="BG55" s="27" t="n">
        <v>0</v>
      </c>
      <c r="BH55" s="27" t="n">
        <v>0</v>
      </c>
      <c r="BI55" s="27" t="n">
        <v>0</v>
      </c>
      <c r="BJ55" s="27" t="n">
        <v>0</v>
      </c>
      <c r="BK55" s="27" t="n">
        <v>0</v>
      </c>
      <c r="BL55" s="27" t="n">
        <v>0</v>
      </c>
      <c r="BM55" s="27" t="n">
        <v>0</v>
      </c>
      <c r="BN55" s="27" t="n">
        <v>0</v>
      </c>
      <c r="BO55" s="27" t="n">
        <v>0</v>
      </c>
      <c r="BP55" s="27" t="n">
        <v>0</v>
      </c>
      <c r="BQ55" s="27" t="n">
        <v>0</v>
      </c>
      <c r="BR55" s="27" t="n">
        <v>0</v>
      </c>
      <c r="BS55" s="27" t="n">
        <v>0</v>
      </c>
      <c r="BT55" s="27" t="n">
        <v>0</v>
      </c>
      <c r="BU55" s="27" t="n">
        <v>0</v>
      </c>
      <c r="BV55" s="27" t="n">
        <v>0</v>
      </c>
      <c r="BW55" s="27" t="n">
        <v>0</v>
      </c>
      <c r="BX55" s="27" t="n">
        <v>0</v>
      </c>
      <c r="BY55" s="27" t="n">
        <v>0</v>
      </c>
      <c r="BZ55" s="27" t="n">
        <v>0</v>
      </c>
      <c r="CA55" s="27" t="n">
        <v>0</v>
      </c>
      <c r="CB55" s="27" t="n">
        <v>0</v>
      </c>
      <c r="CC55" s="27" t="n">
        <v>0</v>
      </c>
      <c r="CD55" s="27" t="n">
        <v>0</v>
      </c>
      <c r="CE55" s="27" t="n">
        <v>0</v>
      </c>
      <c r="CF55" s="27" t="n">
        <v>0</v>
      </c>
      <c r="CG55" s="27" t="n">
        <v>0</v>
      </c>
      <c r="CH55" s="27" t="n">
        <v>0</v>
      </c>
      <c r="CI55" s="27" t="n">
        <v>0</v>
      </c>
      <c r="CJ55" s="27" t="n">
        <v>0</v>
      </c>
      <c r="CK55" s="27" t="n">
        <v>0</v>
      </c>
      <c r="CL55" s="27" t="n">
        <v>0</v>
      </c>
      <c r="CM55" s="27" t="n">
        <v>0</v>
      </c>
      <c r="CN55" s="27" t="n">
        <v>0</v>
      </c>
      <c r="CO55" s="27" t="n">
        <v>0</v>
      </c>
      <c r="CP55" s="27" t="n">
        <v>0</v>
      </c>
      <c r="CQ55" s="27" t="n">
        <v>0</v>
      </c>
      <c r="CR55" s="27" t="n">
        <v>0</v>
      </c>
      <c r="CS55" s="27" t="n">
        <v>0</v>
      </c>
      <c r="CT55" s="27" t="n">
        <v>0</v>
      </c>
      <c r="CU55" s="27" t="n">
        <v>0</v>
      </c>
      <c r="CV55" s="27" t="n">
        <v>0</v>
      </c>
      <c r="CW55" s="27" t="n">
        <v>0</v>
      </c>
      <c r="CX55" s="27" t="n">
        <v>0</v>
      </c>
      <c r="CY55" s="27" t="n">
        <v>0</v>
      </c>
      <c r="CZ55" s="27" t="n">
        <v>0</v>
      </c>
      <c r="DA55" s="27" t="n">
        <v>0</v>
      </c>
    </row>
    <row r="56">
      <c r="A56" t="inlineStr">
        <is>
          <t>TVS-500</t>
        </is>
      </c>
      <c r="B56" s="27" t="n">
        <v>0</v>
      </c>
      <c r="C56" s="27" t="n">
        <v>0</v>
      </c>
      <c r="D56" s="27" t="n">
        <v>0</v>
      </c>
      <c r="E56" s="27" t="n">
        <v>0</v>
      </c>
      <c r="F56" s="27" t="n">
        <v>0</v>
      </c>
      <c r="G56" s="27" t="n">
        <v>0</v>
      </c>
      <c r="H56" s="27" t="n">
        <v>0</v>
      </c>
      <c r="I56" s="27" t="n">
        <v>0</v>
      </c>
      <c r="J56" s="27" t="n">
        <v>0</v>
      </c>
      <c r="K56" s="27" t="n">
        <v>0</v>
      </c>
      <c r="L56" s="27" t="n">
        <v>0</v>
      </c>
      <c r="M56" s="27" t="n">
        <v>0</v>
      </c>
      <c r="N56" s="27" t="n">
        <v>0</v>
      </c>
      <c r="O56" s="27" t="n">
        <v>0</v>
      </c>
      <c r="P56" s="27" t="n">
        <v>0</v>
      </c>
      <c r="Q56" s="27" t="n">
        <v>0</v>
      </c>
      <c r="R56" s="27" t="n">
        <v>0</v>
      </c>
      <c r="S56" s="27" t="n">
        <v>0</v>
      </c>
      <c r="T56" s="27" t="n">
        <v>0</v>
      </c>
      <c r="U56" s="27" t="n">
        <v>0</v>
      </c>
      <c r="V56" s="27" t="n">
        <v>0</v>
      </c>
      <c r="W56" s="27" t="n">
        <v>0</v>
      </c>
      <c r="X56" s="27" t="n">
        <v>0</v>
      </c>
      <c r="Y56" s="27" t="n">
        <v>0</v>
      </c>
      <c r="Z56" s="27" t="n">
        <v>0</v>
      </c>
      <c r="AA56" s="27" t="n">
        <v>0</v>
      </c>
      <c r="AB56" s="27" t="n">
        <v>0</v>
      </c>
      <c r="AC56" s="27" t="n">
        <v>0</v>
      </c>
      <c r="AD56" s="27" t="n">
        <v>0</v>
      </c>
      <c r="AE56" s="27" t="n">
        <v>0</v>
      </c>
      <c r="AF56" s="27" t="n">
        <v>0</v>
      </c>
      <c r="AG56" s="27" t="n">
        <v>0</v>
      </c>
      <c r="AH56" s="27" t="n">
        <v>0</v>
      </c>
      <c r="AI56" s="27" t="n">
        <v>0</v>
      </c>
      <c r="AJ56" s="27" t="n">
        <v>0</v>
      </c>
      <c r="AK56" s="27" t="n">
        <v>0</v>
      </c>
      <c r="AL56" s="27" t="n">
        <v>0</v>
      </c>
      <c r="AM56" s="27" t="n">
        <v>0</v>
      </c>
      <c r="AN56" s="27" t="n">
        <v>0</v>
      </c>
      <c r="AO56" s="27" t="n">
        <v>0</v>
      </c>
      <c r="AP56" s="27" t="n">
        <v>0</v>
      </c>
      <c r="AQ56" s="27" t="n">
        <v>0</v>
      </c>
      <c r="AR56" s="27" t="n">
        <v>0</v>
      </c>
      <c r="AS56" s="27" t="n">
        <v>0</v>
      </c>
      <c r="AT56" s="27" t="n">
        <v>0</v>
      </c>
      <c r="AU56" s="27" t="n">
        <v>0</v>
      </c>
      <c r="AV56" s="27" t="n">
        <v>0</v>
      </c>
      <c r="AW56" s="27" t="n">
        <v>0</v>
      </c>
      <c r="AX56" s="27" t="n">
        <v>0</v>
      </c>
      <c r="AY56" s="27" t="n">
        <v>0</v>
      </c>
      <c r="AZ56" s="27" t="n">
        <v>0</v>
      </c>
      <c r="BA56" s="27" t="n">
        <v>0</v>
      </c>
      <c r="BB56" s="27" t="n">
        <v>0</v>
      </c>
      <c r="BC56" s="27" t="n">
        <v>0</v>
      </c>
      <c r="BD56" s="27" t="n">
        <v>0</v>
      </c>
      <c r="BE56" s="27" t="n">
        <v>0</v>
      </c>
      <c r="BF56" s="27" t="n">
        <v>0</v>
      </c>
      <c r="BG56" s="27" t="n">
        <v>0</v>
      </c>
      <c r="BH56" s="27" t="n">
        <v>0</v>
      </c>
      <c r="BI56" s="27" t="n">
        <v>0</v>
      </c>
      <c r="BJ56" s="27" t="n">
        <v>0</v>
      </c>
      <c r="BK56" s="27" t="n">
        <v>0</v>
      </c>
      <c r="BL56" s="27" t="n">
        <v>0</v>
      </c>
      <c r="BM56" s="27" t="n">
        <v>0</v>
      </c>
      <c r="BN56" s="27" t="n">
        <v>0</v>
      </c>
      <c r="BO56" s="27" t="n">
        <v>0</v>
      </c>
      <c r="BP56" s="27" t="n">
        <v>0</v>
      </c>
      <c r="BQ56" s="27" t="n">
        <v>0</v>
      </c>
      <c r="BR56" s="27" t="n">
        <v>0</v>
      </c>
      <c r="BS56" s="27" t="n">
        <v>0</v>
      </c>
      <c r="BT56" s="27" t="n">
        <v>0</v>
      </c>
      <c r="BU56" s="27" t="n">
        <v>0</v>
      </c>
      <c r="BV56" s="27" t="n">
        <v>0</v>
      </c>
      <c r="BW56" s="27" t="n">
        <v>0</v>
      </c>
      <c r="BX56" s="27" t="n">
        <v>0</v>
      </c>
      <c r="BY56" s="27" t="n">
        <v>0</v>
      </c>
      <c r="BZ56" s="27" t="n">
        <v>0</v>
      </c>
      <c r="CA56" s="27" t="n">
        <v>0</v>
      </c>
      <c r="CB56" s="27" t="n">
        <v>0</v>
      </c>
      <c r="CC56" s="27" t="n">
        <v>0</v>
      </c>
      <c r="CD56" s="27" t="n">
        <v>0</v>
      </c>
      <c r="CE56" s="27" t="n">
        <v>0</v>
      </c>
      <c r="CF56" s="27" t="n">
        <v>0</v>
      </c>
      <c r="CG56" s="27" t="n">
        <v>0</v>
      </c>
      <c r="CH56" s="27" t="n">
        <v>0</v>
      </c>
      <c r="CI56" s="27" t="n">
        <v>0</v>
      </c>
      <c r="CJ56" s="27" t="n">
        <v>0</v>
      </c>
      <c r="CK56" s="27" t="n">
        <v>0</v>
      </c>
      <c r="CL56" s="27" t="n">
        <v>0</v>
      </c>
      <c r="CM56" s="27" t="n">
        <v>0</v>
      </c>
      <c r="CN56" s="27" t="n">
        <v>0</v>
      </c>
      <c r="CO56" s="27" t="n">
        <v>0</v>
      </c>
      <c r="CP56" s="27" t="n">
        <v>0</v>
      </c>
      <c r="CQ56" s="27" t="n">
        <v>0</v>
      </c>
      <c r="CR56" s="27" t="n">
        <v>0</v>
      </c>
      <c r="CS56" s="27" t="n">
        <v>0</v>
      </c>
      <c r="CT56" s="27" t="n">
        <v>0</v>
      </c>
      <c r="CU56" s="27" t="n">
        <v>0</v>
      </c>
      <c r="CV56" s="27" t="n">
        <v>0</v>
      </c>
      <c r="CW56" s="27" t="n">
        <v>0</v>
      </c>
      <c r="CX56" s="27" t="n">
        <v>0</v>
      </c>
      <c r="CY56" s="27" t="n">
        <v>0</v>
      </c>
      <c r="CZ56" s="27" t="n">
        <v>0</v>
      </c>
      <c r="DA56" s="27" t="n">
        <v>0</v>
      </c>
    </row>
    <row r="57">
      <c r="A57" t="inlineStr">
        <is>
          <t>TVS-664</t>
        </is>
      </c>
      <c r="B57" s="27" t="n">
        <v>0</v>
      </c>
      <c r="C57" s="27" t="n">
        <v>0</v>
      </c>
      <c r="D57" s="27" t="n">
        <v>0</v>
      </c>
      <c r="E57" s="27" t="n">
        <v>0</v>
      </c>
      <c r="F57" s="27" t="n">
        <v>0</v>
      </c>
      <c r="G57" s="27" t="n">
        <v>0</v>
      </c>
      <c r="H57" s="27" t="n">
        <v>0</v>
      </c>
      <c r="I57" s="27" t="n">
        <v>0</v>
      </c>
      <c r="J57" s="27" t="n">
        <v>0</v>
      </c>
      <c r="K57" s="27" t="n">
        <v>0</v>
      </c>
      <c r="L57" s="27" t="n">
        <v>0</v>
      </c>
      <c r="M57" s="27" t="n">
        <v>0</v>
      </c>
      <c r="N57" s="27" t="n">
        <v>0</v>
      </c>
      <c r="O57" s="27" t="n">
        <v>0</v>
      </c>
      <c r="P57" s="27" t="n">
        <v>0</v>
      </c>
      <c r="Q57" s="27" t="n">
        <v>0</v>
      </c>
      <c r="R57" s="27" t="n">
        <v>0</v>
      </c>
      <c r="S57" s="27" t="n">
        <v>0</v>
      </c>
      <c r="T57" s="27" t="n">
        <v>0</v>
      </c>
      <c r="U57" s="27" t="n">
        <v>0</v>
      </c>
      <c r="V57" s="27" t="n">
        <v>0</v>
      </c>
      <c r="W57" s="27" t="n">
        <v>0</v>
      </c>
      <c r="X57" s="27" t="n">
        <v>0</v>
      </c>
      <c r="Y57" s="27" t="n">
        <v>0</v>
      </c>
      <c r="Z57" s="27" t="n">
        <v>0</v>
      </c>
      <c r="AA57" s="27" t="n">
        <v>0</v>
      </c>
      <c r="AB57" s="27" t="n">
        <v>0</v>
      </c>
      <c r="AC57" s="27" t="n">
        <v>0</v>
      </c>
      <c r="AD57" s="27" t="n">
        <v>0</v>
      </c>
      <c r="AE57" s="27" t="n">
        <v>0</v>
      </c>
      <c r="AF57" s="27" t="n">
        <v>0</v>
      </c>
      <c r="AG57" s="27" t="n">
        <v>0</v>
      </c>
      <c r="AH57" s="27" t="n">
        <v>0</v>
      </c>
      <c r="AI57" s="27" t="n">
        <v>0</v>
      </c>
      <c r="AJ57" s="27" t="n">
        <v>0</v>
      </c>
      <c r="AK57" s="27" t="n">
        <v>0</v>
      </c>
      <c r="AL57" s="27" t="n">
        <v>0</v>
      </c>
      <c r="AM57" s="27" t="n">
        <v>0</v>
      </c>
      <c r="AN57" s="27" t="n">
        <v>0</v>
      </c>
      <c r="AO57" s="27" t="n">
        <v>0</v>
      </c>
      <c r="AP57" s="27" t="n">
        <v>0</v>
      </c>
      <c r="AQ57" s="27" t="n">
        <v>0</v>
      </c>
      <c r="AR57" s="27" t="n">
        <v>0</v>
      </c>
      <c r="AS57" s="27" t="n">
        <v>0</v>
      </c>
      <c r="AT57" s="27" t="n">
        <v>0</v>
      </c>
      <c r="AU57" s="27" t="n">
        <v>0</v>
      </c>
      <c r="AV57" s="27" t="n">
        <v>0</v>
      </c>
      <c r="AW57" s="27" t="n">
        <v>0</v>
      </c>
      <c r="AX57" s="27" t="n">
        <v>0</v>
      </c>
      <c r="AY57" s="27" t="n">
        <v>0</v>
      </c>
      <c r="AZ57" s="27" t="n">
        <v>0</v>
      </c>
      <c r="BA57" s="27" t="n">
        <v>0</v>
      </c>
      <c r="BB57" s="27" t="n">
        <v>0</v>
      </c>
      <c r="BC57" s="27" t="n">
        <v>0</v>
      </c>
      <c r="BD57" s="27" t="n">
        <v>0</v>
      </c>
      <c r="BE57" s="27" t="n">
        <v>0</v>
      </c>
      <c r="BF57" s="27" t="n">
        <v>0</v>
      </c>
      <c r="BG57" s="27" t="n">
        <v>0</v>
      </c>
      <c r="BH57" s="27" t="n">
        <v>0</v>
      </c>
      <c r="BI57" s="27" t="n">
        <v>0</v>
      </c>
      <c r="BJ57" s="27" t="n">
        <v>0</v>
      </c>
      <c r="BK57" s="27" t="n">
        <v>0</v>
      </c>
      <c r="BL57" s="27" t="n">
        <v>0</v>
      </c>
      <c r="BM57" s="27" t="n">
        <v>0</v>
      </c>
      <c r="BN57" s="27" t="n">
        <v>0</v>
      </c>
      <c r="BO57" s="27" t="n">
        <v>0</v>
      </c>
      <c r="BP57" s="27" t="n">
        <v>0</v>
      </c>
      <c r="BQ57" s="27" t="n">
        <v>0</v>
      </c>
      <c r="BR57" s="27" t="n">
        <v>0</v>
      </c>
      <c r="BS57" s="27" t="n">
        <v>0</v>
      </c>
      <c r="BT57" s="27" t="n">
        <v>0</v>
      </c>
      <c r="BU57" s="27" t="n">
        <v>0</v>
      </c>
      <c r="BV57" s="27" t="n">
        <v>0</v>
      </c>
      <c r="BW57" s="27" t="n">
        <v>0</v>
      </c>
      <c r="BX57" s="27" t="n">
        <v>0</v>
      </c>
      <c r="BY57" s="27" t="n">
        <v>0</v>
      </c>
      <c r="BZ57" s="27" t="n">
        <v>0</v>
      </c>
      <c r="CA57" s="27" t="n">
        <v>0</v>
      </c>
      <c r="CB57" s="27" t="n">
        <v>0</v>
      </c>
      <c r="CC57" s="27" t="n">
        <v>0</v>
      </c>
      <c r="CD57" s="27" t="n">
        <v>0</v>
      </c>
      <c r="CE57" s="27" t="n">
        <v>0</v>
      </c>
      <c r="CF57" s="27" t="n">
        <v>0</v>
      </c>
      <c r="CG57" s="27" t="n">
        <v>0</v>
      </c>
      <c r="CH57" s="27" t="n">
        <v>0</v>
      </c>
      <c r="CI57" s="27" t="n">
        <v>0</v>
      </c>
      <c r="CJ57" s="27" t="n">
        <v>0</v>
      </c>
      <c r="CK57" s="27" t="n">
        <v>0</v>
      </c>
      <c r="CL57" s="27" t="n">
        <v>0</v>
      </c>
      <c r="CM57" s="27" t="n">
        <v>0</v>
      </c>
      <c r="CN57" s="27" t="n">
        <v>0</v>
      </c>
      <c r="CO57" s="27" t="n">
        <v>0</v>
      </c>
      <c r="CP57" s="27" t="n">
        <v>0</v>
      </c>
      <c r="CQ57" s="27" t="n">
        <v>0</v>
      </c>
      <c r="CR57" s="27" t="n">
        <v>0</v>
      </c>
      <c r="CS57" s="27" t="n">
        <v>0</v>
      </c>
      <c r="CT57" s="27" t="n">
        <v>0</v>
      </c>
      <c r="CU57" s="27" t="n">
        <v>0</v>
      </c>
      <c r="CV57" s="27" t="n">
        <v>0</v>
      </c>
      <c r="CW57" s="27" t="n">
        <v>0</v>
      </c>
      <c r="CX57" s="27" t="n">
        <v>0</v>
      </c>
      <c r="CY57" s="27" t="n">
        <v>0</v>
      </c>
      <c r="CZ57" s="27" t="n">
        <v>0</v>
      </c>
      <c r="DA57" s="27" t="n">
        <v>0</v>
      </c>
    </row>
    <row r="58">
      <c r="A58" t="inlineStr">
        <is>
          <t>TVS-833</t>
        </is>
      </c>
      <c r="B58" s="27" t="n">
        <v>0</v>
      </c>
      <c r="C58" s="27" t="n">
        <v>12.78298311377936</v>
      </c>
      <c r="D58" s="27" t="n">
        <v>13.66098314386007</v>
      </c>
      <c r="E58" s="27" t="n">
        <v>13.66098314386007</v>
      </c>
      <c r="F58" s="27" t="n">
        <v>14.6619955883344</v>
      </c>
      <c r="G58" s="27" t="n">
        <v>10.84246443202751</v>
      </c>
      <c r="H58" s="27" t="n">
        <v>8.02394572019495</v>
      </c>
      <c r="I58" s="27" t="n">
        <v>11.2171393849835</v>
      </c>
      <c r="J58" s="27" t="n">
        <v>12.82586648850227</v>
      </c>
      <c r="K58" s="27" t="n">
        <v>9.024958164669282</v>
      </c>
      <c r="L58" s="27" t="n">
        <v>13.66098314386007</v>
      </c>
      <c r="M58" s="27" t="n">
        <v>7.831504016404367</v>
      </c>
      <c r="N58" s="27" t="n">
        <v>12.78120266023805</v>
      </c>
      <c r="O58" s="27" t="n">
        <v>10.84246443202751</v>
      </c>
      <c r="P58" s="27" t="n">
        <v>11.84347687650184</v>
      </c>
      <c r="Q58" s="27" t="n">
        <v>11.84347687650184</v>
      </c>
      <c r="R58" s="27" t="n">
        <v>11.84347687650184</v>
      </c>
      <c r="S58" s="27" t="n">
        <v>0</v>
      </c>
      <c r="T58" s="27" t="n">
        <v>10.84246443202751</v>
      </c>
      <c r="U58" s="27" t="n">
        <v>10.96369639287982</v>
      </c>
      <c r="V58" s="27" t="n">
        <v>11.81183354613278</v>
      </c>
      <c r="W58" s="27" t="n">
        <v>11.84347687650184</v>
      </c>
      <c r="X58" s="27" t="n">
        <v>13.66098314386007</v>
      </c>
      <c r="Y58" s="27" t="n">
        <v>2.818518711832559</v>
      </c>
      <c r="Z58" s="27" t="n">
        <v>0</v>
      </c>
      <c r="AA58" s="27" t="n">
        <v>5.890985334652514</v>
      </c>
      <c r="AB58" s="27" t="n">
        <v>8.769229800140572</v>
      </c>
      <c r="AC58" s="27" t="n">
        <v>2.818518711832559</v>
      </c>
      <c r="AD58" s="27" t="n">
        <v>8.02394572019495</v>
      </c>
      <c r="AE58" s="27" t="n">
        <v>10.96369639287982</v>
      </c>
      <c r="AF58" s="27" t="n">
        <v>9.902958194749989</v>
      </c>
      <c r="AG58" s="27" t="n">
        <v>6.830491571930034</v>
      </c>
      <c r="AH58" s="27" t="n">
        <v>11.84347687650184</v>
      </c>
      <c r="AI58" s="27" t="n">
        <v>12.78120266023805</v>
      </c>
      <c r="AJ58" s="27" t="n">
        <v>10.84246443202751</v>
      </c>
      <c r="AK58" s="27" t="n">
        <v>11.84347687650184</v>
      </c>
      <c r="AL58" s="27" t="n">
        <v>10.84246443202751</v>
      </c>
      <c r="AM58" s="27" t="n">
        <v>9.024958164669282</v>
      </c>
      <c r="AN58" s="27" t="n">
        <v>8.769229800140572</v>
      </c>
      <c r="AO58" s="27" t="n">
        <v>6.830491571930034</v>
      </c>
      <c r="AP58" s="27" t="n">
        <v>11.84347687650184</v>
      </c>
      <c r="AQ58" s="27" t="n">
        <v>10.84246443202751</v>
      </c>
      <c r="AR58" s="27" t="n">
        <v>6.830491571930034</v>
      </c>
      <c r="AS58" s="27" t="n">
        <v>11.84169642296053</v>
      </c>
      <c r="AT58" s="27" t="n">
        <v>13.78221510471238</v>
      </c>
      <c r="AU58" s="27" t="n">
        <v>14.85443729212498</v>
      </c>
      <c r="AV58" s="27" t="n">
        <v>14.85443729212498</v>
      </c>
      <c r="AW58" s="27" t="n">
        <v>12.78120266023805</v>
      </c>
      <c r="AX58" s="27" t="n">
        <v>11.84347687650184</v>
      </c>
      <c r="AY58" s="27" t="n">
        <v>12.78120266023805</v>
      </c>
      <c r="AZ58" s="27" t="n">
        <v>4.011972860097475</v>
      </c>
      <c r="BA58" s="27" t="n">
        <v>0</v>
      </c>
      <c r="BB58" s="27" t="n">
        <v>0</v>
      </c>
      <c r="BC58" s="27" t="n">
        <v>4.011972860097475</v>
      </c>
      <c r="BD58" s="27" t="n">
        <v>12.78120266023805</v>
      </c>
      <c r="BE58" s="27" t="n">
        <v>11.24286940981724</v>
      </c>
      <c r="BF58" s="27" t="n">
        <v>10.84246443202751</v>
      </c>
      <c r="BG58" s="27" t="n">
        <v>6.830491571930034</v>
      </c>
      <c r="BH58" s="27" t="n">
        <v>10.84246443202751</v>
      </c>
      <c r="BI58" s="27" t="n">
        <v>4.011972860097475</v>
      </c>
      <c r="BJ58" s="27" t="n">
        <v>8.769229800140572</v>
      </c>
      <c r="BK58" s="27" t="n">
        <v>4.011972860097475</v>
      </c>
      <c r="BL58" s="27" t="n">
        <v>10.84246443202751</v>
      </c>
      <c r="BM58" s="27" t="n">
        <v>4.981341974202745</v>
      </c>
      <c r="BN58" s="27" t="n">
        <v>6.830491571930034</v>
      </c>
      <c r="BO58" s="27" t="n">
        <v>4.011972860097475</v>
      </c>
      <c r="BP58" s="27" t="n">
        <v>0</v>
      </c>
      <c r="BQ58" s="27" t="n">
        <v>4.658218936167655</v>
      </c>
      <c r="BR58" s="27" t="n">
        <v>4.011972860097475</v>
      </c>
      <c r="BS58" s="27" t="n">
        <v>4.011972860097475</v>
      </c>
      <c r="BT58" s="27" t="n">
        <v>0</v>
      </c>
      <c r="BU58" s="27" t="n">
        <v>4.011972860097475</v>
      </c>
      <c r="BV58" s="27" t="n">
        <v>3.008979645073107</v>
      </c>
      <c r="BW58" s="27" t="n">
        <v>0</v>
      </c>
      <c r="BX58" s="27" t="n">
        <v>0</v>
      </c>
      <c r="BY58" s="27" t="n">
        <v>3.677641788422686</v>
      </c>
      <c r="BZ58" s="27" t="n">
        <v>0</v>
      </c>
      <c r="CA58" s="27" t="n">
        <v>0</v>
      </c>
      <c r="CB58" s="27" t="n">
        <v>0</v>
      </c>
      <c r="CC58" s="27" t="n">
        <v>0</v>
      </c>
      <c r="CD58" s="27" t="n">
        <v>0</v>
      </c>
      <c r="CE58" s="27" t="n">
        <v>0</v>
      </c>
      <c r="CF58" s="27" t="n">
        <v>0</v>
      </c>
      <c r="CG58" s="27" t="n">
        <v>0</v>
      </c>
      <c r="CH58" s="27" t="n">
        <v>0</v>
      </c>
      <c r="CI58" s="27" t="n">
        <v>0</v>
      </c>
      <c r="CJ58" s="27" t="n">
        <v>0</v>
      </c>
      <c r="CK58" s="27" t="n">
        <v>0</v>
      </c>
      <c r="CL58" s="27" t="n">
        <v>0</v>
      </c>
      <c r="CM58" s="27" t="n">
        <v>0</v>
      </c>
      <c r="CN58" s="27" t="n">
        <v>0</v>
      </c>
      <c r="CO58" s="27" t="n">
        <v>0</v>
      </c>
      <c r="CP58" s="27" t="n">
        <v>0</v>
      </c>
      <c r="CQ58" s="27" t="n">
        <v>0</v>
      </c>
      <c r="CR58" s="27" t="n">
        <v>0</v>
      </c>
      <c r="CS58" s="27" t="n">
        <v>0</v>
      </c>
      <c r="CT58" s="27" t="n">
        <v>0</v>
      </c>
      <c r="CU58" s="27" t="n">
        <v>0</v>
      </c>
      <c r="CV58" s="27" t="n">
        <v>0</v>
      </c>
      <c r="CW58" s="27" t="n">
        <v>0</v>
      </c>
      <c r="CX58" s="27" t="n">
        <v>0</v>
      </c>
      <c r="CY58" s="27" t="n">
        <v>0</v>
      </c>
      <c r="CZ58" s="27" t="n">
        <v>0</v>
      </c>
      <c r="DA58" s="27" t="n">
        <v>0</v>
      </c>
    </row>
    <row r="59">
      <c r="A59" t="inlineStr">
        <is>
          <t>VSP-600</t>
        </is>
      </c>
      <c r="B59" s="27" t="n">
        <v>0</v>
      </c>
      <c r="C59" s="27" t="n">
        <v>0</v>
      </c>
      <c r="D59" s="27" t="n">
        <v>0</v>
      </c>
      <c r="E59" s="27" t="n">
        <v>0</v>
      </c>
      <c r="F59" s="27" t="n">
        <v>0</v>
      </c>
      <c r="G59" s="27" t="n">
        <v>0</v>
      </c>
      <c r="H59" s="27" t="n">
        <v>0</v>
      </c>
      <c r="I59" s="27" t="n">
        <v>0</v>
      </c>
      <c r="J59" s="27" t="n">
        <v>0</v>
      </c>
      <c r="K59" s="27" t="n">
        <v>3.840891207323119</v>
      </c>
      <c r="L59" s="27" t="n">
        <v>0</v>
      </c>
      <c r="M59" s="27" t="n">
        <v>3.840891207323119</v>
      </c>
      <c r="N59" s="27" t="n">
        <v>0</v>
      </c>
      <c r="O59" s="27" t="n">
        <v>0</v>
      </c>
      <c r="P59" s="27" t="n">
        <v>0</v>
      </c>
      <c r="Q59" s="27" t="n">
        <v>3.840891207323119</v>
      </c>
      <c r="R59" s="27" t="n">
        <v>0</v>
      </c>
      <c r="S59" s="27" t="n">
        <v>0</v>
      </c>
      <c r="T59" s="27" t="n">
        <v>0</v>
      </c>
      <c r="U59" s="27" t="n">
        <v>3.840891207323119</v>
      </c>
      <c r="V59" s="27" t="n">
        <v>0</v>
      </c>
      <c r="W59" s="27" t="n">
        <v>0</v>
      </c>
      <c r="X59" s="27" t="n">
        <v>0</v>
      </c>
      <c r="Y59" s="27" t="n">
        <v>3.840891207323119</v>
      </c>
      <c r="Z59" s="27" t="n">
        <v>0</v>
      </c>
      <c r="AA59" s="27" t="n">
        <v>0</v>
      </c>
      <c r="AB59" s="27" t="n">
        <v>0</v>
      </c>
      <c r="AC59" s="27" t="n">
        <v>3.840891207323119</v>
      </c>
      <c r="AD59" s="27" t="n">
        <v>0</v>
      </c>
      <c r="AE59" s="27" t="n">
        <v>0</v>
      </c>
      <c r="AF59" s="27" t="n">
        <v>0</v>
      </c>
      <c r="AG59" s="27" t="n">
        <v>0</v>
      </c>
      <c r="AH59" s="27" t="n">
        <v>0</v>
      </c>
      <c r="AI59" s="27" t="n">
        <v>3.840891207323119</v>
      </c>
      <c r="AJ59" s="27" t="n">
        <v>3.840891207323119</v>
      </c>
      <c r="AK59" s="27" t="n">
        <v>0</v>
      </c>
      <c r="AL59" s="27" t="n">
        <v>3.840891207323119</v>
      </c>
      <c r="AM59" s="27" t="n">
        <v>0</v>
      </c>
      <c r="AN59" s="27" t="n">
        <v>0</v>
      </c>
      <c r="AO59" s="27" t="n">
        <v>0</v>
      </c>
      <c r="AP59" s="27" t="n">
        <v>0</v>
      </c>
      <c r="AQ59" s="27" t="n">
        <v>3.840891207323119</v>
      </c>
      <c r="AR59" s="27" t="n">
        <v>0</v>
      </c>
      <c r="AS59" s="27" t="n">
        <v>0</v>
      </c>
      <c r="AT59" s="27" t="n">
        <v>0</v>
      </c>
      <c r="AU59" s="27" t="n">
        <v>0</v>
      </c>
      <c r="AV59" s="27" t="n">
        <v>0</v>
      </c>
      <c r="AW59" s="27" t="n">
        <v>3.840891207323119</v>
      </c>
      <c r="AX59" s="27" t="n">
        <v>0</v>
      </c>
      <c r="AY59" s="27" t="n">
        <v>0</v>
      </c>
      <c r="AZ59" s="27" t="n">
        <v>0</v>
      </c>
      <c r="BA59" s="27" t="n">
        <v>0</v>
      </c>
      <c r="BB59" s="27" t="n">
        <v>0</v>
      </c>
      <c r="BC59" s="27" t="n">
        <v>0</v>
      </c>
      <c r="BD59" s="27" t="n">
        <v>0</v>
      </c>
      <c r="BE59" s="27" t="n">
        <v>3.840891207323119</v>
      </c>
      <c r="BF59" s="27" t="n">
        <v>0</v>
      </c>
      <c r="BG59" s="27" t="n">
        <v>0</v>
      </c>
      <c r="BH59" s="27" t="n">
        <v>0</v>
      </c>
      <c r="BI59" s="27" t="n">
        <v>3.840891207323119</v>
      </c>
      <c r="BJ59" s="27" t="n">
        <v>0</v>
      </c>
      <c r="BK59" s="27" t="n">
        <v>0</v>
      </c>
      <c r="BL59" s="27" t="n">
        <v>0</v>
      </c>
      <c r="BM59" s="27" t="n">
        <v>0</v>
      </c>
      <c r="BN59" s="27" t="n">
        <v>0</v>
      </c>
      <c r="BO59" s="27" t="n">
        <v>0</v>
      </c>
      <c r="BP59" s="27" t="n">
        <v>0</v>
      </c>
      <c r="BQ59" s="27" t="n">
        <v>0</v>
      </c>
      <c r="BR59" s="27" t="n">
        <v>0</v>
      </c>
      <c r="BS59" s="27" t="n">
        <v>0</v>
      </c>
      <c r="BT59" s="27" t="n">
        <v>0</v>
      </c>
      <c r="BU59" s="27" t="n">
        <v>0</v>
      </c>
      <c r="BV59" s="27" t="n">
        <v>0</v>
      </c>
      <c r="BW59" s="27" t="n">
        <v>0</v>
      </c>
      <c r="BX59" s="27" t="n">
        <v>0</v>
      </c>
      <c r="BY59" s="27" t="n">
        <v>0</v>
      </c>
      <c r="BZ59" s="27" t="n">
        <v>0</v>
      </c>
      <c r="CA59" s="27" t="n">
        <v>0</v>
      </c>
      <c r="CB59" s="27" t="n">
        <v>0</v>
      </c>
      <c r="CC59" s="27" t="n">
        <v>0</v>
      </c>
      <c r="CD59" s="27" t="n">
        <v>0</v>
      </c>
      <c r="CE59" s="27" t="n">
        <v>0</v>
      </c>
      <c r="CF59" s="27" t="n">
        <v>0</v>
      </c>
      <c r="CG59" s="27" t="n">
        <v>0</v>
      </c>
      <c r="CH59" s="27" t="n">
        <v>0</v>
      </c>
      <c r="CI59" s="27" t="n">
        <v>0</v>
      </c>
      <c r="CJ59" s="27" t="n">
        <v>0</v>
      </c>
      <c r="CK59" s="27" t="n">
        <v>0</v>
      </c>
      <c r="CL59" s="27" t="n">
        <v>0</v>
      </c>
      <c r="CM59" s="27" t="n">
        <v>0</v>
      </c>
      <c r="CN59" s="27" t="n">
        <v>0</v>
      </c>
      <c r="CO59" s="27" t="n">
        <v>0</v>
      </c>
      <c r="CP59" s="27" t="n">
        <v>0</v>
      </c>
      <c r="CQ59" s="27" t="n">
        <v>0</v>
      </c>
      <c r="CR59" s="27" t="n">
        <v>0</v>
      </c>
      <c r="CS59" s="27" t="n">
        <v>0</v>
      </c>
      <c r="CT59" s="27" t="n">
        <v>0</v>
      </c>
      <c r="CU59" s="27" t="n">
        <v>0</v>
      </c>
      <c r="CV59" s="27" t="n">
        <v>0</v>
      </c>
      <c r="CW59" s="27" t="n">
        <v>0</v>
      </c>
      <c r="CX59" s="27" t="n">
        <v>0</v>
      </c>
      <c r="CY59" s="27" t="n">
        <v>0</v>
      </c>
      <c r="CZ59" s="27" t="n">
        <v>0</v>
      </c>
      <c r="DA59" s="27" t="n">
        <v>0</v>
      </c>
    </row>
    <row r="60">
      <c r="A60" t="inlineStr">
        <is>
          <t>VSP-601</t>
        </is>
      </c>
      <c r="B60" s="27" t="n">
        <v>0</v>
      </c>
      <c r="C60" s="27" t="n">
        <v>0</v>
      </c>
      <c r="D60" s="27" t="n">
        <v>0</v>
      </c>
      <c r="E60" s="27" t="n">
        <v>0</v>
      </c>
      <c r="F60" s="27" t="n">
        <v>0</v>
      </c>
      <c r="G60" s="27" t="n">
        <v>0</v>
      </c>
      <c r="H60" s="27" t="n">
        <v>0</v>
      </c>
      <c r="I60" s="27" t="n">
        <v>0</v>
      </c>
      <c r="J60" s="27" t="n">
        <v>0</v>
      </c>
      <c r="K60" s="27" t="n">
        <v>3.844512359077455</v>
      </c>
      <c r="L60" s="27" t="n">
        <v>0</v>
      </c>
      <c r="M60" s="27" t="n">
        <v>3.844512359077455</v>
      </c>
      <c r="N60" s="27" t="n">
        <v>0</v>
      </c>
      <c r="O60" s="27" t="n">
        <v>0</v>
      </c>
      <c r="P60" s="27" t="n">
        <v>0</v>
      </c>
      <c r="Q60" s="27" t="n">
        <v>3.844512359077455</v>
      </c>
      <c r="R60" s="27" t="n">
        <v>0</v>
      </c>
      <c r="S60" s="27" t="n">
        <v>0</v>
      </c>
      <c r="T60" s="27" t="n">
        <v>0</v>
      </c>
      <c r="U60" s="27" t="n">
        <v>3.844512359077455</v>
      </c>
      <c r="V60" s="27" t="n">
        <v>0</v>
      </c>
      <c r="W60" s="27" t="n">
        <v>0</v>
      </c>
      <c r="X60" s="27" t="n">
        <v>0</v>
      </c>
      <c r="Y60" s="27" t="n">
        <v>3.844512359077455</v>
      </c>
      <c r="Z60" s="27" t="n">
        <v>0</v>
      </c>
      <c r="AA60" s="27" t="n">
        <v>0</v>
      </c>
      <c r="AB60" s="27" t="n">
        <v>0</v>
      </c>
      <c r="AC60" s="27" t="n">
        <v>3.844512359077455</v>
      </c>
      <c r="AD60" s="27" t="n">
        <v>0</v>
      </c>
      <c r="AE60" s="27" t="n">
        <v>0</v>
      </c>
      <c r="AF60" s="27" t="n">
        <v>0</v>
      </c>
      <c r="AG60" s="27" t="n">
        <v>0</v>
      </c>
      <c r="AH60" s="27" t="n">
        <v>0</v>
      </c>
      <c r="AI60" s="27" t="n">
        <v>3.844512359077455</v>
      </c>
      <c r="AJ60" s="27" t="n">
        <v>3.844512359077455</v>
      </c>
      <c r="AK60" s="27" t="n">
        <v>0</v>
      </c>
      <c r="AL60" s="27" t="n">
        <v>3.844512359077455</v>
      </c>
      <c r="AM60" s="27" t="n">
        <v>0</v>
      </c>
      <c r="AN60" s="27" t="n">
        <v>0</v>
      </c>
      <c r="AO60" s="27" t="n">
        <v>0</v>
      </c>
      <c r="AP60" s="27" t="n">
        <v>0</v>
      </c>
      <c r="AQ60" s="27" t="n">
        <v>3.844512359077455</v>
      </c>
      <c r="AR60" s="27" t="n">
        <v>0</v>
      </c>
      <c r="AS60" s="27" t="n">
        <v>0</v>
      </c>
      <c r="AT60" s="27" t="n">
        <v>0</v>
      </c>
      <c r="AU60" s="27" t="n">
        <v>0</v>
      </c>
      <c r="AV60" s="27" t="n">
        <v>0</v>
      </c>
      <c r="AW60" s="27" t="n">
        <v>3.844512359077455</v>
      </c>
      <c r="AX60" s="27" t="n">
        <v>0</v>
      </c>
      <c r="AY60" s="27" t="n">
        <v>0</v>
      </c>
      <c r="AZ60" s="27" t="n">
        <v>0</v>
      </c>
      <c r="BA60" s="27" t="n">
        <v>0</v>
      </c>
      <c r="BB60" s="27" t="n">
        <v>0</v>
      </c>
      <c r="BC60" s="27" t="n">
        <v>0</v>
      </c>
      <c r="BD60" s="27" t="n">
        <v>0</v>
      </c>
      <c r="BE60" s="27" t="n">
        <v>3.844512359077455</v>
      </c>
      <c r="BF60" s="27" t="n">
        <v>0</v>
      </c>
      <c r="BG60" s="27" t="n">
        <v>0</v>
      </c>
      <c r="BH60" s="27" t="n">
        <v>0</v>
      </c>
      <c r="BI60" s="27" t="n">
        <v>3.844512359077455</v>
      </c>
      <c r="BJ60" s="27" t="n">
        <v>0</v>
      </c>
      <c r="BK60" s="27" t="n">
        <v>0</v>
      </c>
      <c r="BL60" s="27" t="n">
        <v>0</v>
      </c>
      <c r="BM60" s="27" t="n">
        <v>0</v>
      </c>
      <c r="BN60" s="27" t="n">
        <v>0</v>
      </c>
      <c r="BO60" s="27" t="n">
        <v>0</v>
      </c>
      <c r="BP60" s="27" t="n">
        <v>0</v>
      </c>
      <c r="BQ60" s="27" t="n">
        <v>0</v>
      </c>
      <c r="BR60" s="27" t="n">
        <v>0</v>
      </c>
      <c r="BS60" s="27" t="n">
        <v>0</v>
      </c>
      <c r="BT60" s="27" t="n">
        <v>0</v>
      </c>
      <c r="BU60" s="27" t="n">
        <v>0</v>
      </c>
      <c r="BV60" s="27" t="n">
        <v>0</v>
      </c>
      <c r="BW60" s="27" t="n">
        <v>0</v>
      </c>
      <c r="BX60" s="27" t="n">
        <v>0</v>
      </c>
      <c r="BY60" s="27" t="n">
        <v>0</v>
      </c>
      <c r="BZ60" s="27" t="n">
        <v>0</v>
      </c>
      <c r="CA60" s="27" t="n">
        <v>0</v>
      </c>
      <c r="CB60" s="27" t="n">
        <v>0</v>
      </c>
      <c r="CC60" s="27" t="n">
        <v>0</v>
      </c>
      <c r="CD60" s="27" t="n">
        <v>0</v>
      </c>
      <c r="CE60" s="27" t="n">
        <v>0</v>
      </c>
      <c r="CF60" s="27" t="n">
        <v>0</v>
      </c>
      <c r="CG60" s="27" t="n">
        <v>0</v>
      </c>
      <c r="CH60" s="27" t="n">
        <v>0</v>
      </c>
      <c r="CI60" s="27" t="n">
        <v>0</v>
      </c>
      <c r="CJ60" s="27" t="n">
        <v>0</v>
      </c>
      <c r="CK60" s="27" t="n">
        <v>0</v>
      </c>
      <c r="CL60" s="27" t="n">
        <v>0</v>
      </c>
      <c r="CM60" s="27" t="n">
        <v>0</v>
      </c>
      <c r="CN60" s="27" t="n">
        <v>0</v>
      </c>
      <c r="CO60" s="27" t="n">
        <v>0</v>
      </c>
      <c r="CP60" s="27" t="n">
        <v>0</v>
      </c>
      <c r="CQ60" s="27" t="n">
        <v>0</v>
      </c>
      <c r="CR60" s="27" t="n">
        <v>0</v>
      </c>
      <c r="CS60" s="27" t="n">
        <v>0</v>
      </c>
      <c r="CT60" s="27" t="n">
        <v>0</v>
      </c>
      <c r="CU60" s="27" t="n">
        <v>0</v>
      </c>
      <c r="CV60" s="27" t="n">
        <v>0</v>
      </c>
      <c r="CW60" s="27" t="n">
        <v>0</v>
      </c>
      <c r="CX60" s="27" t="n">
        <v>0</v>
      </c>
      <c r="CY60" s="27" t="n">
        <v>0</v>
      </c>
      <c r="CZ60" s="27" t="n">
        <v>0</v>
      </c>
      <c r="DA60" s="27" t="n">
        <v>0</v>
      </c>
    </row>
    <row r="61">
      <c r="A61" t="inlineStr">
        <is>
          <t>VSP-602</t>
        </is>
      </c>
      <c r="B61" s="27" t="n">
        <v>0</v>
      </c>
      <c r="C61" s="27" t="n">
        <v>0</v>
      </c>
      <c r="D61" s="27" t="n">
        <v>0</v>
      </c>
      <c r="E61" s="27" t="n">
        <v>0</v>
      </c>
      <c r="F61" s="27" t="n">
        <v>0</v>
      </c>
      <c r="G61" s="27" t="n">
        <v>0</v>
      </c>
      <c r="H61" s="27" t="n">
        <v>0</v>
      </c>
      <c r="I61" s="27" t="n">
        <v>0</v>
      </c>
      <c r="J61" s="27" t="n">
        <v>0</v>
      </c>
      <c r="K61" s="27" t="n">
        <v>3.845278475612647</v>
      </c>
      <c r="L61" s="27" t="n">
        <v>0</v>
      </c>
      <c r="M61" s="27" t="n">
        <v>3.845278475612647</v>
      </c>
      <c r="N61" s="27" t="n">
        <v>0</v>
      </c>
      <c r="O61" s="27" t="n">
        <v>0</v>
      </c>
      <c r="P61" s="27" t="n">
        <v>0</v>
      </c>
      <c r="Q61" s="27" t="n">
        <v>3.845278475612647</v>
      </c>
      <c r="R61" s="27" t="n">
        <v>0</v>
      </c>
      <c r="S61" s="27" t="n">
        <v>0</v>
      </c>
      <c r="T61" s="27" t="n">
        <v>0</v>
      </c>
      <c r="U61" s="27" t="n">
        <v>3.845278475612647</v>
      </c>
      <c r="V61" s="27" t="n">
        <v>0</v>
      </c>
      <c r="W61" s="27" t="n">
        <v>0</v>
      </c>
      <c r="X61" s="27" t="n">
        <v>0</v>
      </c>
      <c r="Y61" s="27" t="n">
        <v>3.845278475612647</v>
      </c>
      <c r="Z61" s="27" t="n">
        <v>0</v>
      </c>
      <c r="AA61" s="27" t="n">
        <v>0</v>
      </c>
      <c r="AB61" s="27" t="n">
        <v>0</v>
      </c>
      <c r="AC61" s="27" t="n">
        <v>3.845278475612647</v>
      </c>
      <c r="AD61" s="27" t="n">
        <v>0</v>
      </c>
      <c r="AE61" s="27" t="n">
        <v>0</v>
      </c>
      <c r="AF61" s="27" t="n">
        <v>0</v>
      </c>
      <c r="AG61" s="27" t="n">
        <v>0</v>
      </c>
      <c r="AH61" s="27" t="n">
        <v>0</v>
      </c>
      <c r="AI61" s="27" t="n">
        <v>3.845278475612647</v>
      </c>
      <c r="AJ61" s="27" t="n">
        <v>3.845278475612647</v>
      </c>
      <c r="AK61" s="27" t="n">
        <v>0</v>
      </c>
      <c r="AL61" s="27" t="n">
        <v>3.845278475612647</v>
      </c>
      <c r="AM61" s="27" t="n">
        <v>0</v>
      </c>
      <c r="AN61" s="27" t="n">
        <v>0</v>
      </c>
      <c r="AO61" s="27" t="n">
        <v>0</v>
      </c>
      <c r="AP61" s="27" t="n">
        <v>0</v>
      </c>
      <c r="AQ61" s="27" t="n">
        <v>3.845278475612647</v>
      </c>
      <c r="AR61" s="27" t="n">
        <v>0</v>
      </c>
      <c r="AS61" s="27" t="n">
        <v>0</v>
      </c>
      <c r="AT61" s="27" t="n">
        <v>0</v>
      </c>
      <c r="AU61" s="27" t="n">
        <v>0</v>
      </c>
      <c r="AV61" s="27" t="n">
        <v>0</v>
      </c>
      <c r="AW61" s="27" t="n">
        <v>3.845278475612647</v>
      </c>
      <c r="AX61" s="27" t="n">
        <v>0</v>
      </c>
      <c r="AY61" s="27" t="n">
        <v>0</v>
      </c>
      <c r="AZ61" s="27" t="n">
        <v>0</v>
      </c>
      <c r="BA61" s="27" t="n">
        <v>0</v>
      </c>
      <c r="BB61" s="27" t="n">
        <v>0</v>
      </c>
      <c r="BC61" s="27" t="n">
        <v>0</v>
      </c>
      <c r="BD61" s="27" t="n">
        <v>0</v>
      </c>
      <c r="BE61" s="27" t="n">
        <v>3.845278475612647</v>
      </c>
      <c r="BF61" s="27" t="n">
        <v>0</v>
      </c>
      <c r="BG61" s="27" t="n">
        <v>0</v>
      </c>
      <c r="BH61" s="27" t="n">
        <v>0</v>
      </c>
      <c r="BI61" s="27" t="n">
        <v>3.845278475612647</v>
      </c>
      <c r="BJ61" s="27" t="n">
        <v>0</v>
      </c>
      <c r="BK61" s="27" t="n">
        <v>0</v>
      </c>
      <c r="BL61" s="27" t="n">
        <v>0</v>
      </c>
      <c r="BM61" s="27" t="n">
        <v>0</v>
      </c>
      <c r="BN61" s="27" t="n">
        <v>0</v>
      </c>
      <c r="BO61" s="27" t="n">
        <v>0</v>
      </c>
      <c r="BP61" s="27" t="n">
        <v>0</v>
      </c>
      <c r="BQ61" s="27" t="n">
        <v>0</v>
      </c>
      <c r="BR61" s="27" t="n">
        <v>0</v>
      </c>
      <c r="BS61" s="27" t="n">
        <v>0</v>
      </c>
      <c r="BT61" s="27" t="n">
        <v>0</v>
      </c>
      <c r="BU61" s="27" t="n">
        <v>0</v>
      </c>
      <c r="BV61" s="27" t="n">
        <v>0</v>
      </c>
      <c r="BW61" s="27" t="n">
        <v>0</v>
      </c>
      <c r="BX61" s="27" t="n">
        <v>0</v>
      </c>
      <c r="BY61" s="27" t="n">
        <v>0</v>
      </c>
      <c r="BZ61" s="27" t="n">
        <v>0</v>
      </c>
      <c r="CA61" s="27" t="n">
        <v>0</v>
      </c>
      <c r="CB61" s="27" t="n">
        <v>0</v>
      </c>
      <c r="CC61" s="27" t="n">
        <v>0</v>
      </c>
      <c r="CD61" s="27" t="n">
        <v>0</v>
      </c>
      <c r="CE61" s="27" t="n">
        <v>0</v>
      </c>
      <c r="CF61" s="27" t="n">
        <v>0</v>
      </c>
      <c r="CG61" s="27" t="n">
        <v>0</v>
      </c>
      <c r="CH61" s="27" t="n">
        <v>0</v>
      </c>
      <c r="CI61" s="27" t="n">
        <v>0</v>
      </c>
      <c r="CJ61" s="27" t="n">
        <v>0</v>
      </c>
      <c r="CK61" s="27" t="n">
        <v>0</v>
      </c>
      <c r="CL61" s="27" t="n">
        <v>0</v>
      </c>
      <c r="CM61" s="27" t="n">
        <v>0</v>
      </c>
      <c r="CN61" s="27" t="n">
        <v>0</v>
      </c>
      <c r="CO61" s="27" t="n">
        <v>0</v>
      </c>
      <c r="CP61" s="27" t="n">
        <v>0</v>
      </c>
      <c r="CQ61" s="27" t="n">
        <v>0</v>
      </c>
      <c r="CR61" s="27" t="n">
        <v>0</v>
      </c>
      <c r="CS61" s="27" t="n">
        <v>0</v>
      </c>
      <c r="CT61" s="27" t="n">
        <v>0</v>
      </c>
      <c r="CU61" s="27" t="n">
        <v>0</v>
      </c>
      <c r="CV61" s="27" t="n">
        <v>0</v>
      </c>
      <c r="CW61" s="27" t="n">
        <v>0</v>
      </c>
      <c r="CX61" s="27" t="n">
        <v>0</v>
      </c>
      <c r="CY61" s="27" t="n">
        <v>0</v>
      </c>
      <c r="CZ61" s="27" t="n">
        <v>0</v>
      </c>
      <c r="DA61" s="27" t="n">
        <v>0</v>
      </c>
    </row>
    <row r="62">
      <c r="A62" t="inlineStr">
        <is>
          <t>VSP-820</t>
        </is>
      </c>
      <c r="B62" s="27" t="n">
        <v>0</v>
      </c>
      <c r="C62" s="27" t="n">
        <v>0</v>
      </c>
      <c r="D62" s="27" t="n">
        <v>0</v>
      </c>
      <c r="E62" s="27" t="n">
        <v>0</v>
      </c>
      <c r="F62" s="27" t="n">
        <v>0</v>
      </c>
      <c r="G62" s="27" t="n">
        <v>0</v>
      </c>
      <c r="H62" s="27" t="n">
        <v>0</v>
      </c>
      <c r="I62" s="27" t="n">
        <v>0</v>
      </c>
      <c r="J62" s="27" t="n">
        <v>0</v>
      </c>
      <c r="K62" s="27" t="n">
        <v>0</v>
      </c>
      <c r="L62" s="27" t="n">
        <v>0</v>
      </c>
      <c r="M62" s="27" t="n">
        <v>0</v>
      </c>
      <c r="N62" s="27" t="n">
        <v>0</v>
      </c>
      <c r="O62" s="27" t="n">
        <v>0</v>
      </c>
      <c r="P62" s="27" t="n">
        <v>0</v>
      </c>
      <c r="Q62" s="27" t="n">
        <v>0</v>
      </c>
      <c r="R62" s="27" t="n">
        <v>0</v>
      </c>
      <c r="S62" s="27" t="n">
        <v>0</v>
      </c>
      <c r="T62" s="27" t="n">
        <v>0</v>
      </c>
      <c r="U62" s="27" t="n">
        <v>0</v>
      </c>
      <c r="V62" s="27" t="n">
        <v>0</v>
      </c>
      <c r="W62" s="27" t="n">
        <v>0</v>
      </c>
      <c r="X62" s="27" t="n">
        <v>0</v>
      </c>
      <c r="Y62" s="27" t="n">
        <v>0</v>
      </c>
      <c r="Z62" s="27" t="n">
        <v>0</v>
      </c>
      <c r="AA62" s="27" t="n">
        <v>0</v>
      </c>
      <c r="AB62" s="27" t="n">
        <v>0</v>
      </c>
      <c r="AC62" s="27" t="n">
        <v>0</v>
      </c>
      <c r="AD62" s="27" t="n">
        <v>0</v>
      </c>
      <c r="AE62" s="27" t="n">
        <v>0</v>
      </c>
      <c r="AF62" s="27" t="n">
        <v>0</v>
      </c>
      <c r="AG62" s="27" t="n">
        <v>0</v>
      </c>
      <c r="AH62" s="27" t="n">
        <v>0</v>
      </c>
      <c r="AI62" s="27" t="n">
        <v>0</v>
      </c>
      <c r="AJ62" s="27" t="n">
        <v>0</v>
      </c>
      <c r="AK62" s="27" t="n">
        <v>0</v>
      </c>
      <c r="AL62" s="27" t="n">
        <v>0</v>
      </c>
      <c r="AM62" s="27" t="n">
        <v>0</v>
      </c>
      <c r="AN62" s="27" t="n">
        <v>0</v>
      </c>
      <c r="AO62" s="27" t="n">
        <v>0</v>
      </c>
      <c r="AP62" s="27" t="n">
        <v>0</v>
      </c>
      <c r="AQ62" s="27" t="n">
        <v>0</v>
      </c>
      <c r="AR62" s="27" t="n">
        <v>0</v>
      </c>
      <c r="AS62" s="27" t="n">
        <v>0</v>
      </c>
      <c r="AT62" s="27" t="n">
        <v>0</v>
      </c>
      <c r="AU62" s="27" t="n">
        <v>0</v>
      </c>
      <c r="AV62" s="27" t="n">
        <v>0</v>
      </c>
      <c r="AW62" s="27" t="n">
        <v>0</v>
      </c>
      <c r="AX62" s="27" t="n">
        <v>0</v>
      </c>
      <c r="AY62" s="27" t="n">
        <v>0</v>
      </c>
      <c r="AZ62" s="27" t="n">
        <v>0</v>
      </c>
      <c r="BA62" s="27" t="n">
        <v>0</v>
      </c>
      <c r="BB62" s="27" t="n">
        <v>0</v>
      </c>
      <c r="BC62" s="27" t="n">
        <v>0</v>
      </c>
      <c r="BD62" s="27" t="n">
        <v>0</v>
      </c>
      <c r="BE62" s="27" t="n">
        <v>0</v>
      </c>
      <c r="BF62" s="27" t="n">
        <v>0</v>
      </c>
      <c r="BG62" s="27" t="n">
        <v>0</v>
      </c>
      <c r="BH62" s="27" t="n">
        <v>0</v>
      </c>
      <c r="BI62" s="27" t="n">
        <v>0</v>
      </c>
      <c r="BJ62" s="27" t="n">
        <v>0</v>
      </c>
      <c r="BK62" s="27" t="n">
        <v>0</v>
      </c>
      <c r="BL62" s="27" t="n">
        <v>0</v>
      </c>
      <c r="BM62" s="27" t="n">
        <v>0</v>
      </c>
      <c r="BN62" s="27" t="n">
        <v>0</v>
      </c>
      <c r="BO62" s="27" t="n">
        <v>0</v>
      </c>
      <c r="BP62" s="27" t="n">
        <v>0</v>
      </c>
      <c r="BQ62" s="27" t="n">
        <v>0</v>
      </c>
      <c r="BR62" s="27" t="n">
        <v>0</v>
      </c>
      <c r="BS62" s="27" t="n">
        <v>0</v>
      </c>
      <c r="BT62" s="27" t="n">
        <v>0</v>
      </c>
      <c r="BU62" s="27" t="n">
        <v>0</v>
      </c>
      <c r="BV62" s="27" t="n">
        <v>0</v>
      </c>
      <c r="BW62" s="27" t="n">
        <v>0</v>
      </c>
      <c r="BX62" s="27" t="n">
        <v>0</v>
      </c>
      <c r="BY62" s="27" t="n">
        <v>0</v>
      </c>
      <c r="BZ62" s="27" t="n">
        <v>0</v>
      </c>
      <c r="CA62" s="27" t="n">
        <v>0</v>
      </c>
      <c r="CB62" s="27" t="n">
        <v>0</v>
      </c>
      <c r="CC62" s="27" t="n">
        <v>0</v>
      </c>
      <c r="CD62" s="27" t="n">
        <v>0</v>
      </c>
      <c r="CE62" s="27" t="n">
        <v>0</v>
      </c>
      <c r="CF62" s="27" t="n">
        <v>0</v>
      </c>
      <c r="CG62" s="27" t="n">
        <v>0</v>
      </c>
      <c r="CH62" s="27" t="n">
        <v>0</v>
      </c>
      <c r="CI62" s="27" t="n">
        <v>0</v>
      </c>
      <c r="CJ62" s="27" t="n">
        <v>0</v>
      </c>
      <c r="CK62" s="27" t="n">
        <v>0</v>
      </c>
      <c r="CL62" s="27" t="n">
        <v>0</v>
      </c>
      <c r="CM62" s="27" t="n">
        <v>0</v>
      </c>
      <c r="CN62" s="27" t="n">
        <v>0</v>
      </c>
      <c r="CO62" s="27" t="n">
        <v>0</v>
      </c>
      <c r="CP62" s="27" t="n">
        <v>0</v>
      </c>
      <c r="CQ62" s="27" t="n">
        <v>0</v>
      </c>
      <c r="CR62" s="27" t="n">
        <v>0</v>
      </c>
      <c r="CS62" s="27" t="n">
        <v>0</v>
      </c>
      <c r="CT62" s="27" t="n">
        <v>0</v>
      </c>
      <c r="CU62" s="27" t="n">
        <v>0</v>
      </c>
      <c r="CV62" s="27" t="n">
        <v>0</v>
      </c>
      <c r="CW62" s="27" t="n">
        <v>0</v>
      </c>
      <c r="CX62" s="27" t="n">
        <v>0</v>
      </c>
      <c r="CY62" s="27" t="n">
        <v>0</v>
      </c>
      <c r="CZ62" s="27" t="n">
        <v>0</v>
      </c>
      <c r="DA62" s="27" t="n">
        <v>0</v>
      </c>
    </row>
    <row r="63">
      <c r="A63" t="inlineStr">
        <is>
          <t>VSP-822</t>
        </is>
      </c>
      <c r="B63" s="27" t="n">
        <v>0</v>
      </c>
      <c r="C63" s="27" t="n">
        <v>0</v>
      </c>
      <c r="D63" s="27" t="n">
        <v>0</v>
      </c>
      <c r="E63" s="27" t="n">
        <v>0</v>
      </c>
      <c r="F63" s="27" t="n">
        <v>0</v>
      </c>
      <c r="G63" s="27" t="n">
        <v>0</v>
      </c>
      <c r="H63" s="27" t="n">
        <v>0</v>
      </c>
      <c r="I63" s="27" t="n">
        <v>0</v>
      </c>
      <c r="J63" s="27" t="n">
        <v>0</v>
      </c>
      <c r="K63" s="27" t="n">
        <v>0</v>
      </c>
      <c r="L63" s="27" t="n">
        <v>0</v>
      </c>
      <c r="M63" s="27" t="n">
        <v>0</v>
      </c>
      <c r="N63" s="27" t="n">
        <v>0</v>
      </c>
      <c r="O63" s="27" t="n">
        <v>0</v>
      </c>
      <c r="P63" s="27" t="n">
        <v>0</v>
      </c>
      <c r="Q63" s="27" t="n">
        <v>0</v>
      </c>
      <c r="R63" s="27" t="n">
        <v>0</v>
      </c>
      <c r="S63" s="27" t="n">
        <v>0</v>
      </c>
      <c r="T63" s="27" t="n">
        <v>0</v>
      </c>
      <c r="U63" s="27" t="n">
        <v>0</v>
      </c>
      <c r="V63" s="27" t="n">
        <v>0</v>
      </c>
      <c r="W63" s="27" t="n">
        <v>0</v>
      </c>
      <c r="X63" s="27" t="n">
        <v>0</v>
      </c>
      <c r="Y63" s="27" t="n">
        <v>0</v>
      </c>
      <c r="Z63" s="27" t="n">
        <v>0</v>
      </c>
      <c r="AA63" s="27" t="n">
        <v>0</v>
      </c>
      <c r="AB63" s="27" t="n">
        <v>0</v>
      </c>
      <c r="AC63" s="27" t="n">
        <v>0</v>
      </c>
      <c r="AD63" s="27" t="n">
        <v>0</v>
      </c>
      <c r="AE63" s="27" t="n">
        <v>0</v>
      </c>
      <c r="AF63" s="27" t="n">
        <v>0</v>
      </c>
      <c r="AG63" s="27" t="n">
        <v>0</v>
      </c>
      <c r="AH63" s="27" t="n">
        <v>0</v>
      </c>
      <c r="AI63" s="27" t="n">
        <v>0</v>
      </c>
      <c r="AJ63" s="27" t="n">
        <v>0</v>
      </c>
      <c r="AK63" s="27" t="n">
        <v>0</v>
      </c>
      <c r="AL63" s="27" t="n">
        <v>0</v>
      </c>
      <c r="AM63" s="27" t="n">
        <v>0</v>
      </c>
      <c r="AN63" s="27" t="n">
        <v>0</v>
      </c>
      <c r="AO63" s="27" t="n">
        <v>0</v>
      </c>
      <c r="AP63" s="27" t="n">
        <v>0</v>
      </c>
      <c r="AQ63" s="27" t="n">
        <v>0</v>
      </c>
      <c r="AR63" s="27" t="n">
        <v>0</v>
      </c>
      <c r="AS63" s="27" t="n">
        <v>0</v>
      </c>
      <c r="AT63" s="27" t="n">
        <v>0</v>
      </c>
      <c r="AU63" s="27" t="n">
        <v>0</v>
      </c>
      <c r="AV63" s="27" t="n">
        <v>0</v>
      </c>
      <c r="AW63" s="27" t="n">
        <v>0</v>
      </c>
      <c r="AX63" s="27" t="n">
        <v>0</v>
      </c>
      <c r="AY63" s="27" t="n">
        <v>0</v>
      </c>
      <c r="AZ63" s="27" t="n">
        <v>0</v>
      </c>
      <c r="BA63" s="27" t="n">
        <v>0</v>
      </c>
      <c r="BB63" s="27" t="n">
        <v>0</v>
      </c>
      <c r="BC63" s="27" t="n">
        <v>0</v>
      </c>
      <c r="BD63" s="27" t="n">
        <v>0</v>
      </c>
      <c r="BE63" s="27" t="n">
        <v>0</v>
      </c>
      <c r="BF63" s="27" t="n">
        <v>0</v>
      </c>
      <c r="BG63" s="27" t="n">
        <v>0</v>
      </c>
      <c r="BH63" s="27" t="n">
        <v>0</v>
      </c>
      <c r="BI63" s="27" t="n">
        <v>0</v>
      </c>
      <c r="BJ63" s="27" t="n">
        <v>0</v>
      </c>
      <c r="BK63" s="27" t="n">
        <v>0</v>
      </c>
      <c r="BL63" s="27" t="n">
        <v>0</v>
      </c>
      <c r="BM63" s="27" t="n">
        <v>0</v>
      </c>
      <c r="BN63" s="27" t="n">
        <v>0</v>
      </c>
      <c r="BO63" s="27" t="n">
        <v>0</v>
      </c>
      <c r="BP63" s="27" t="n">
        <v>0</v>
      </c>
      <c r="BQ63" s="27" t="n">
        <v>0</v>
      </c>
      <c r="BR63" s="27" t="n">
        <v>0</v>
      </c>
      <c r="BS63" s="27" t="n">
        <v>0</v>
      </c>
      <c r="BT63" s="27" t="n">
        <v>0</v>
      </c>
      <c r="BU63" s="27" t="n">
        <v>0</v>
      </c>
      <c r="BV63" s="27" t="n">
        <v>0</v>
      </c>
      <c r="BW63" s="27" t="n">
        <v>0</v>
      </c>
      <c r="BX63" s="27" t="n">
        <v>0</v>
      </c>
      <c r="BY63" s="27" t="n">
        <v>0</v>
      </c>
      <c r="BZ63" s="27" t="n">
        <v>0</v>
      </c>
      <c r="CA63" s="27" t="n">
        <v>0</v>
      </c>
      <c r="CB63" s="27" t="n">
        <v>0</v>
      </c>
      <c r="CC63" s="27" t="n">
        <v>0</v>
      </c>
      <c r="CD63" s="27" t="n">
        <v>0</v>
      </c>
      <c r="CE63" s="27" t="n">
        <v>0</v>
      </c>
      <c r="CF63" s="27" t="n">
        <v>0</v>
      </c>
      <c r="CG63" s="27" t="n">
        <v>0</v>
      </c>
      <c r="CH63" s="27" t="n">
        <v>0</v>
      </c>
      <c r="CI63" s="27" t="n">
        <v>0</v>
      </c>
      <c r="CJ63" s="27" t="n">
        <v>0</v>
      </c>
      <c r="CK63" s="27" t="n">
        <v>0</v>
      </c>
      <c r="CL63" s="27" t="n">
        <v>0</v>
      </c>
      <c r="CM63" s="27" t="n">
        <v>0</v>
      </c>
      <c r="CN63" s="27" t="n">
        <v>0</v>
      </c>
      <c r="CO63" s="27" t="n">
        <v>0</v>
      </c>
      <c r="CP63" s="27" t="n">
        <v>0</v>
      </c>
      <c r="CQ63" s="27" t="n">
        <v>0</v>
      </c>
      <c r="CR63" s="27" t="n">
        <v>0</v>
      </c>
      <c r="CS63" s="27" t="n">
        <v>0</v>
      </c>
      <c r="CT63" s="27" t="n">
        <v>0</v>
      </c>
      <c r="CU63" s="27" t="n">
        <v>0</v>
      </c>
      <c r="CV63" s="27" t="n">
        <v>0</v>
      </c>
      <c r="CW63" s="27" t="n">
        <v>0</v>
      </c>
      <c r="CX63" s="27" t="n">
        <v>0</v>
      </c>
      <c r="CY63" s="27" t="n">
        <v>0</v>
      </c>
      <c r="CZ63" s="27" t="n">
        <v>0</v>
      </c>
      <c r="DA63" s="27" t="n">
        <v>0</v>
      </c>
    </row>
    <row r="64">
      <c r="A64" t="inlineStr">
        <is>
          <t>VSP-910</t>
        </is>
      </c>
      <c r="B64" s="27" t="n">
        <v>0</v>
      </c>
      <c r="C64" s="27" t="n">
        <v>0</v>
      </c>
      <c r="D64" s="27" t="n">
        <v>0</v>
      </c>
      <c r="E64" s="27" t="n">
        <v>0</v>
      </c>
      <c r="F64" s="27" t="n">
        <v>0</v>
      </c>
      <c r="G64" s="27" t="n">
        <v>0</v>
      </c>
      <c r="H64" s="27" t="n">
        <v>0</v>
      </c>
      <c r="I64" s="27" t="n">
        <v>0</v>
      </c>
      <c r="J64" s="27" t="n">
        <v>0</v>
      </c>
      <c r="K64" s="27" t="n">
        <v>0</v>
      </c>
      <c r="L64" s="27" t="n">
        <v>0</v>
      </c>
      <c r="M64" s="27" t="n">
        <v>0</v>
      </c>
      <c r="N64" s="27" t="n">
        <v>0</v>
      </c>
      <c r="O64" s="27" t="n">
        <v>0</v>
      </c>
      <c r="P64" s="27" t="n">
        <v>0</v>
      </c>
      <c r="Q64" s="27" t="n">
        <v>0</v>
      </c>
      <c r="R64" s="27" t="n">
        <v>0</v>
      </c>
      <c r="S64" s="27" t="n">
        <v>0</v>
      </c>
      <c r="T64" s="27" t="n">
        <v>0</v>
      </c>
      <c r="U64" s="27" t="n">
        <v>0</v>
      </c>
      <c r="V64" s="27" t="n">
        <v>0</v>
      </c>
      <c r="W64" s="27" t="n">
        <v>0</v>
      </c>
      <c r="X64" s="27" t="n">
        <v>0</v>
      </c>
      <c r="Y64" s="27" t="n">
        <v>0</v>
      </c>
      <c r="Z64" s="27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7" t="n">
        <v>0</v>
      </c>
      <c r="AF64" s="27" t="n">
        <v>0</v>
      </c>
      <c r="AG64" s="27" t="n">
        <v>0</v>
      </c>
      <c r="AH64" s="27" t="n">
        <v>0</v>
      </c>
      <c r="AI64" s="27" t="n">
        <v>0</v>
      </c>
      <c r="AJ64" s="27" t="n">
        <v>0</v>
      </c>
      <c r="AK64" s="27" t="n">
        <v>0</v>
      </c>
      <c r="AL64" s="27" t="n">
        <v>0</v>
      </c>
      <c r="AM64" s="27" t="n">
        <v>0</v>
      </c>
      <c r="AN64" s="27" t="n">
        <v>0</v>
      </c>
      <c r="AO64" s="27" t="n">
        <v>0</v>
      </c>
      <c r="AP64" s="27" t="n">
        <v>0</v>
      </c>
      <c r="AQ64" s="27" t="n">
        <v>0</v>
      </c>
      <c r="AR64" s="27" t="n">
        <v>0</v>
      </c>
      <c r="AS64" s="27" t="n">
        <v>0</v>
      </c>
      <c r="AT64" s="27" t="n">
        <v>0</v>
      </c>
      <c r="AU64" s="27" t="n">
        <v>0</v>
      </c>
      <c r="AV64" s="27" t="n">
        <v>0</v>
      </c>
      <c r="AW64" s="27" t="n">
        <v>0</v>
      </c>
      <c r="AX64" s="27" t="n">
        <v>0</v>
      </c>
      <c r="AY64" s="27" t="n">
        <v>0</v>
      </c>
      <c r="AZ64" s="27" t="n">
        <v>0</v>
      </c>
      <c r="BA64" s="27" t="n">
        <v>0</v>
      </c>
      <c r="BB64" s="27" t="n">
        <v>0</v>
      </c>
      <c r="BC64" s="27" t="n">
        <v>0</v>
      </c>
      <c r="BD64" s="27" t="n">
        <v>0</v>
      </c>
      <c r="BE64" s="27" t="n">
        <v>0</v>
      </c>
      <c r="BF64" s="27" t="n">
        <v>0</v>
      </c>
      <c r="BG64" s="27" t="n">
        <v>0</v>
      </c>
      <c r="BH64" s="27" t="n">
        <v>0</v>
      </c>
      <c r="BI64" s="27" t="n">
        <v>0</v>
      </c>
      <c r="BJ64" s="27" t="n">
        <v>0</v>
      </c>
      <c r="BK64" s="27" t="n">
        <v>0</v>
      </c>
      <c r="BL64" s="27" t="n">
        <v>0</v>
      </c>
      <c r="BM64" s="27" t="n">
        <v>0</v>
      </c>
      <c r="BN64" s="27" t="n">
        <v>0</v>
      </c>
      <c r="BO64" s="27" t="n">
        <v>0</v>
      </c>
      <c r="BP64" s="27" t="n">
        <v>0</v>
      </c>
      <c r="BQ64" s="27" t="n">
        <v>0</v>
      </c>
      <c r="BR64" s="27" t="n">
        <v>0</v>
      </c>
      <c r="BS64" s="27" t="n">
        <v>0</v>
      </c>
      <c r="BT64" s="27" t="n">
        <v>0</v>
      </c>
      <c r="BU64" s="27" t="n">
        <v>0</v>
      </c>
      <c r="BV64" s="27" t="n">
        <v>0</v>
      </c>
      <c r="BW64" s="27" t="n">
        <v>0</v>
      </c>
      <c r="BX64" s="27" t="n">
        <v>0</v>
      </c>
      <c r="BY64" s="27" t="n">
        <v>0</v>
      </c>
      <c r="BZ64" s="27" t="n">
        <v>0</v>
      </c>
      <c r="CA64" s="27" t="n">
        <v>0</v>
      </c>
      <c r="CB64" s="27" t="n">
        <v>0</v>
      </c>
      <c r="CC64" s="27" t="n">
        <v>0</v>
      </c>
      <c r="CD64" s="27" t="n">
        <v>0</v>
      </c>
      <c r="CE64" s="27" t="n">
        <v>0</v>
      </c>
      <c r="CF64" s="27" t="n">
        <v>0</v>
      </c>
      <c r="CG64" s="27" t="n">
        <v>0</v>
      </c>
      <c r="CH64" s="27" t="n">
        <v>0</v>
      </c>
      <c r="CI64" s="27" t="n">
        <v>0</v>
      </c>
      <c r="CJ64" s="27" t="n">
        <v>0</v>
      </c>
      <c r="CK64" s="27" t="n">
        <v>0</v>
      </c>
      <c r="CL64" s="27" t="n">
        <v>0</v>
      </c>
      <c r="CM64" s="27" t="n">
        <v>0</v>
      </c>
      <c r="CN64" s="27" t="n">
        <v>0</v>
      </c>
      <c r="CO64" s="27" t="n">
        <v>0</v>
      </c>
      <c r="CP64" s="27" t="n">
        <v>0</v>
      </c>
      <c r="CQ64" s="27" t="n">
        <v>0</v>
      </c>
      <c r="CR64" s="27" t="n">
        <v>0</v>
      </c>
      <c r="CS64" s="27" t="n">
        <v>0</v>
      </c>
      <c r="CT64" s="27" t="n">
        <v>0</v>
      </c>
      <c r="CU64" s="27" t="n">
        <v>0</v>
      </c>
      <c r="CV64" s="27" t="n">
        <v>0</v>
      </c>
      <c r="CW64" s="27" t="n">
        <v>0</v>
      </c>
      <c r="CX64" s="27" t="n">
        <v>0</v>
      </c>
      <c r="CY64" s="27" t="n">
        <v>0</v>
      </c>
      <c r="CZ64" s="27" t="n">
        <v>0</v>
      </c>
      <c r="DA64" s="27" t="n">
        <v>0</v>
      </c>
    </row>
    <row r="65">
      <c r="A65" t="inlineStr">
        <is>
          <t>VSP-989</t>
        </is>
      </c>
      <c r="B65" s="27" t="n">
        <v>0</v>
      </c>
      <c r="C65" s="27" t="n">
        <v>0</v>
      </c>
      <c r="D65" s="27" t="n">
        <v>0</v>
      </c>
      <c r="E65" s="27" t="n">
        <v>0</v>
      </c>
      <c r="F65" s="27" t="n">
        <v>0</v>
      </c>
      <c r="G65" s="27" t="n">
        <v>0</v>
      </c>
      <c r="H65" s="27" t="n">
        <v>0</v>
      </c>
      <c r="I65" s="27" t="n">
        <v>0</v>
      </c>
      <c r="J65" s="27" t="n">
        <v>0</v>
      </c>
      <c r="K65" s="27" t="n">
        <v>0</v>
      </c>
      <c r="L65" s="27" t="n">
        <v>0</v>
      </c>
      <c r="M65" s="27" t="n">
        <v>0</v>
      </c>
      <c r="N65" s="27" t="n">
        <v>0</v>
      </c>
      <c r="O65" s="27" t="n">
        <v>0</v>
      </c>
      <c r="P65" s="27" t="n">
        <v>0</v>
      </c>
      <c r="Q65" s="27" t="n">
        <v>0</v>
      </c>
      <c r="R65" s="27" t="n">
        <v>0</v>
      </c>
      <c r="S65" s="27" t="n">
        <v>0</v>
      </c>
      <c r="T65" s="27" t="n">
        <v>0</v>
      </c>
      <c r="U65" s="27" t="n">
        <v>0</v>
      </c>
      <c r="V65" s="27" t="n">
        <v>0</v>
      </c>
      <c r="W65" s="27" t="n">
        <v>0</v>
      </c>
      <c r="X65" s="27" t="n">
        <v>0</v>
      </c>
      <c r="Y65" s="27" t="n">
        <v>0</v>
      </c>
      <c r="Z65" s="27" t="n">
        <v>0</v>
      </c>
      <c r="AA65" s="27" t="n">
        <v>0</v>
      </c>
      <c r="AB65" s="27" t="n">
        <v>0</v>
      </c>
      <c r="AC65" s="27" t="n">
        <v>0</v>
      </c>
      <c r="AD65" s="27" t="n">
        <v>0</v>
      </c>
      <c r="AE65" s="27" t="n">
        <v>0</v>
      </c>
      <c r="AF65" s="27" t="n">
        <v>0</v>
      </c>
      <c r="AG65" s="27" t="n">
        <v>0</v>
      </c>
      <c r="AH65" s="27" t="n">
        <v>0</v>
      </c>
      <c r="AI65" s="27" t="n">
        <v>0</v>
      </c>
      <c r="AJ65" s="27" t="n">
        <v>0</v>
      </c>
      <c r="AK65" s="27" t="n">
        <v>0</v>
      </c>
      <c r="AL65" s="27" t="n">
        <v>0</v>
      </c>
      <c r="AM65" s="27" t="n">
        <v>0</v>
      </c>
      <c r="AN65" s="27" t="n">
        <v>0</v>
      </c>
      <c r="AO65" s="27" t="n">
        <v>0</v>
      </c>
      <c r="AP65" s="27" t="n">
        <v>0</v>
      </c>
      <c r="AQ65" s="27" t="n">
        <v>0</v>
      </c>
      <c r="AR65" s="27" t="n">
        <v>0</v>
      </c>
      <c r="AS65" s="27" t="n">
        <v>0</v>
      </c>
      <c r="AT65" s="27" t="n">
        <v>0</v>
      </c>
      <c r="AU65" s="27" t="n">
        <v>0</v>
      </c>
      <c r="AV65" s="27" t="n">
        <v>0</v>
      </c>
      <c r="AW65" s="27" t="n">
        <v>0</v>
      </c>
      <c r="AX65" s="27" t="n">
        <v>0</v>
      </c>
      <c r="AY65" s="27" t="n">
        <v>0</v>
      </c>
      <c r="AZ65" s="27" t="n">
        <v>0</v>
      </c>
      <c r="BA65" s="27" t="n">
        <v>0</v>
      </c>
      <c r="BB65" s="27" t="n">
        <v>0</v>
      </c>
      <c r="BC65" s="27" t="n">
        <v>0</v>
      </c>
      <c r="BD65" s="27" t="n">
        <v>0</v>
      </c>
      <c r="BE65" s="27" t="n">
        <v>0</v>
      </c>
      <c r="BF65" s="27" t="n">
        <v>0</v>
      </c>
      <c r="BG65" s="27" t="n">
        <v>0</v>
      </c>
      <c r="BH65" s="27" t="n">
        <v>0</v>
      </c>
      <c r="BI65" s="27" t="n">
        <v>0</v>
      </c>
      <c r="BJ65" s="27" t="n">
        <v>0</v>
      </c>
      <c r="BK65" s="27" t="n">
        <v>0</v>
      </c>
      <c r="BL65" s="27" t="n">
        <v>0</v>
      </c>
      <c r="BM65" s="27" t="n">
        <v>0</v>
      </c>
      <c r="BN65" s="27" t="n">
        <v>0</v>
      </c>
      <c r="BO65" s="27" t="n">
        <v>0</v>
      </c>
      <c r="BP65" s="27" t="n">
        <v>0</v>
      </c>
      <c r="BQ65" s="27" t="n">
        <v>0</v>
      </c>
      <c r="BR65" s="27" t="n">
        <v>0</v>
      </c>
      <c r="BS65" s="27" t="n">
        <v>0</v>
      </c>
      <c r="BT65" s="27" t="n">
        <v>0</v>
      </c>
      <c r="BU65" s="27" t="n">
        <v>0</v>
      </c>
      <c r="BV65" s="27" t="n">
        <v>0</v>
      </c>
      <c r="BW65" s="27" t="n">
        <v>0</v>
      </c>
      <c r="BX65" s="27" t="n">
        <v>0</v>
      </c>
      <c r="BY65" s="27" t="n">
        <v>0</v>
      </c>
      <c r="BZ65" s="27" t="n">
        <v>0</v>
      </c>
      <c r="CA65" s="27" t="n">
        <v>0</v>
      </c>
      <c r="CB65" s="27" t="n">
        <v>0</v>
      </c>
      <c r="CC65" s="27" t="n">
        <v>0</v>
      </c>
      <c r="CD65" s="27" t="n">
        <v>0</v>
      </c>
      <c r="CE65" s="27" t="n">
        <v>0</v>
      </c>
      <c r="CF65" s="27" t="n">
        <v>0</v>
      </c>
      <c r="CG65" s="27" t="n">
        <v>0</v>
      </c>
      <c r="CH65" s="27" t="n">
        <v>0</v>
      </c>
      <c r="CI65" s="27" t="n">
        <v>0</v>
      </c>
      <c r="CJ65" s="27" t="n">
        <v>0</v>
      </c>
      <c r="CK65" s="27" t="n">
        <v>0</v>
      </c>
      <c r="CL65" s="27" t="n">
        <v>0</v>
      </c>
      <c r="CM65" s="27" t="n">
        <v>0</v>
      </c>
      <c r="CN65" s="27" t="n">
        <v>0</v>
      </c>
      <c r="CO65" s="27" t="n">
        <v>0</v>
      </c>
      <c r="CP65" s="27" t="n">
        <v>0</v>
      </c>
      <c r="CQ65" s="27" t="n">
        <v>0</v>
      </c>
      <c r="CR65" s="27" t="n">
        <v>0</v>
      </c>
      <c r="CS65" s="27" t="n">
        <v>0</v>
      </c>
      <c r="CT65" s="27" t="n">
        <v>0</v>
      </c>
      <c r="CU65" s="27" t="n">
        <v>0</v>
      </c>
      <c r="CV65" s="27" t="n">
        <v>0</v>
      </c>
      <c r="CW65" s="27" t="n">
        <v>0</v>
      </c>
      <c r="CX65" s="27" t="n">
        <v>0</v>
      </c>
      <c r="CY65" s="27" t="n">
        <v>0</v>
      </c>
      <c r="CZ65" s="27" t="n">
        <v>0</v>
      </c>
      <c r="DA65" s="27" t="n">
        <v>0</v>
      </c>
    </row>
    <row r="66">
      <c r="A66" t="inlineStr">
        <is>
          <t>VSP-990</t>
        </is>
      </c>
      <c r="B66" s="27" t="n">
        <v>0</v>
      </c>
      <c r="C66" s="27" t="n">
        <v>0</v>
      </c>
      <c r="D66" s="27" t="n">
        <v>0</v>
      </c>
      <c r="E66" s="27" t="n">
        <v>0</v>
      </c>
      <c r="F66" s="27" t="n">
        <v>0</v>
      </c>
      <c r="G66" s="27" t="n">
        <v>0</v>
      </c>
      <c r="H66" s="27" t="n">
        <v>0</v>
      </c>
      <c r="I66" s="27" t="n">
        <v>0</v>
      </c>
      <c r="J66" s="27" t="n">
        <v>0</v>
      </c>
      <c r="K66" s="27" t="n">
        <v>0</v>
      </c>
      <c r="L66" s="27" t="n">
        <v>0</v>
      </c>
      <c r="M66" s="27" t="n">
        <v>0</v>
      </c>
      <c r="N66" s="27" t="n">
        <v>0</v>
      </c>
      <c r="O66" s="27" t="n">
        <v>0</v>
      </c>
      <c r="P66" s="27" t="n">
        <v>0</v>
      </c>
      <c r="Q66" s="27" t="n">
        <v>0</v>
      </c>
      <c r="R66" s="27" t="n">
        <v>0</v>
      </c>
      <c r="S66" s="27" t="n">
        <v>0</v>
      </c>
      <c r="T66" s="27" t="n">
        <v>0</v>
      </c>
      <c r="U66" s="27" t="n">
        <v>0</v>
      </c>
      <c r="V66" s="27" t="n">
        <v>0</v>
      </c>
      <c r="W66" s="27" t="n">
        <v>0</v>
      </c>
      <c r="X66" s="27" t="n">
        <v>0</v>
      </c>
      <c r="Y66" s="27" t="n">
        <v>0</v>
      </c>
      <c r="Z66" s="27" t="n">
        <v>0</v>
      </c>
      <c r="AA66" s="27" t="n">
        <v>0</v>
      </c>
      <c r="AB66" s="27" t="n">
        <v>0</v>
      </c>
      <c r="AC66" s="27" t="n">
        <v>0</v>
      </c>
      <c r="AD66" s="27" t="n">
        <v>0</v>
      </c>
      <c r="AE66" s="27" t="n">
        <v>0</v>
      </c>
      <c r="AF66" s="27" t="n">
        <v>0</v>
      </c>
      <c r="AG66" s="27" t="n">
        <v>0</v>
      </c>
      <c r="AH66" s="27" t="n">
        <v>0</v>
      </c>
      <c r="AI66" s="27" t="n">
        <v>0</v>
      </c>
      <c r="AJ66" s="27" t="n">
        <v>0</v>
      </c>
      <c r="AK66" s="27" t="n">
        <v>0</v>
      </c>
      <c r="AL66" s="27" t="n">
        <v>0</v>
      </c>
      <c r="AM66" s="27" t="n">
        <v>0</v>
      </c>
      <c r="AN66" s="27" t="n">
        <v>0</v>
      </c>
      <c r="AO66" s="27" t="n">
        <v>0</v>
      </c>
      <c r="AP66" s="27" t="n">
        <v>0</v>
      </c>
      <c r="AQ66" s="27" t="n">
        <v>0</v>
      </c>
      <c r="AR66" s="27" t="n">
        <v>0</v>
      </c>
      <c r="AS66" s="27" t="n">
        <v>0</v>
      </c>
      <c r="AT66" s="27" t="n">
        <v>0</v>
      </c>
      <c r="AU66" s="27" t="n">
        <v>0</v>
      </c>
      <c r="AV66" s="27" t="n">
        <v>0</v>
      </c>
      <c r="AW66" s="27" t="n">
        <v>0</v>
      </c>
      <c r="AX66" s="27" t="n">
        <v>0</v>
      </c>
      <c r="AY66" s="27" t="n">
        <v>0</v>
      </c>
      <c r="AZ66" s="27" t="n">
        <v>0</v>
      </c>
      <c r="BA66" s="27" t="n">
        <v>0</v>
      </c>
      <c r="BB66" s="27" t="n">
        <v>0</v>
      </c>
      <c r="BC66" s="27" t="n">
        <v>0</v>
      </c>
      <c r="BD66" s="27" t="n">
        <v>0</v>
      </c>
      <c r="BE66" s="27" t="n">
        <v>0</v>
      </c>
      <c r="BF66" s="27" t="n">
        <v>0</v>
      </c>
      <c r="BG66" s="27" t="n">
        <v>0</v>
      </c>
      <c r="BH66" s="27" t="n">
        <v>0</v>
      </c>
      <c r="BI66" s="27" t="n">
        <v>0</v>
      </c>
      <c r="BJ66" s="27" t="n">
        <v>0</v>
      </c>
      <c r="BK66" s="27" t="n">
        <v>0</v>
      </c>
      <c r="BL66" s="27" t="n">
        <v>0</v>
      </c>
      <c r="BM66" s="27" t="n">
        <v>0</v>
      </c>
      <c r="BN66" s="27" t="n">
        <v>0</v>
      </c>
      <c r="BO66" s="27" t="n">
        <v>0</v>
      </c>
      <c r="BP66" s="27" t="n">
        <v>0</v>
      </c>
      <c r="BQ66" s="27" t="n">
        <v>0</v>
      </c>
      <c r="BR66" s="27" t="n">
        <v>0</v>
      </c>
      <c r="BS66" s="27" t="n">
        <v>0</v>
      </c>
      <c r="BT66" s="27" t="n">
        <v>0</v>
      </c>
      <c r="BU66" s="27" t="n">
        <v>0</v>
      </c>
      <c r="BV66" s="27" t="n">
        <v>0</v>
      </c>
      <c r="BW66" s="27" t="n">
        <v>0</v>
      </c>
      <c r="BX66" s="27" t="n">
        <v>0</v>
      </c>
      <c r="BY66" s="27" t="n">
        <v>0</v>
      </c>
      <c r="BZ66" s="27" t="n">
        <v>0</v>
      </c>
      <c r="CA66" s="27" t="n">
        <v>0</v>
      </c>
      <c r="CB66" s="27" t="n">
        <v>0</v>
      </c>
      <c r="CC66" s="27" t="n">
        <v>0</v>
      </c>
      <c r="CD66" s="27" t="n">
        <v>0</v>
      </c>
      <c r="CE66" s="27" t="n">
        <v>0</v>
      </c>
      <c r="CF66" s="27" t="n">
        <v>0</v>
      </c>
      <c r="CG66" s="27" t="n">
        <v>0</v>
      </c>
      <c r="CH66" s="27" t="n">
        <v>0</v>
      </c>
      <c r="CI66" s="27" t="n">
        <v>0</v>
      </c>
      <c r="CJ66" s="27" t="n">
        <v>0</v>
      </c>
      <c r="CK66" s="27" t="n">
        <v>0</v>
      </c>
      <c r="CL66" s="27" t="n">
        <v>0</v>
      </c>
      <c r="CM66" s="27" t="n">
        <v>0</v>
      </c>
      <c r="CN66" s="27" t="n">
        <v>0</v>
      </c>
      <c r="CO66" s="27" t="n">
        <v>0</v>
      </c>
      <c r="CP66" s="27" t="n">
        <v>0</v>
      </c>
      <c r="CQ66" s="27" t="n">
        <v>0</v>
      </c>
      <c r="CR66" s="27" t="n">
        <v>0</v>
      </c>
      <c r="CS66" s="27" t="n">
        <v>0</v>
      </c>
      <c r="CT66" s="27" t="n">
        <v>0</v>
      </c>
      <c r="CU66" s="27" t="n">
        <v>0</v>
      </c>
      <c r="CV66" s="27" t="n">
        <v>0</v>
      </c>
      <c r="CW66" s="27" t="n">
        <v>0</v>
      </c>
      <c r="CX66" s="27" t="n">
        <v>0</v>
      </c>
      <c r="CY66" s="27" t="n">
        <v>0</v>
      </c>
      <c r="CZ66" s="27" t="n">
        <v>0</v>
      </c>
      <c r="DA66" s="27" t="n">
        <v>0</v>
      </c>
    </row>
    <row r="67">
      <c r="A67" t="inlineStr">
        <is>
          <t>TPP-103</t>
        </is>
      </c>
      <c r="B67" s="27" t="n">
        <v>0</v>
      </c>
      <c r="C67" s="27" t="n">
        <v>0</v>
      </c>
      <c r="D67" s="27" t="n">
        <v>0</v>
      </c>
      <c r="E67" s="27" t="n">
        <v>0</v>
      </c>
      <c r="F67" s="27" t="n">
        <v>0</v>
      </c>
      <c r="G67" s="27" t="n">
        <v>0</v>
      </c>
      <c r="H67" s="27" t="n">
        <v>0</v>
      </c>
      <c r="I67" s="27" t="n">
        <v>0</v>
      </c>
      <c r="J67" s="27" t="n">
        <v>0</v>
      </c>
      <c r="K67" s="27" t="n">
        <v>0</v>
      </c>
      <c r="L67" s="27" t="n">
        <v>0</v>
      </c>
      <c r="M67" s="27" t="n">
        <v>0</v>
      </c>
      <c r="N67" s="27" t="n">
        <v>0</v>
      </c>
      <c r="O67" s="27" t="n">
        <v>0</v>
      </c>
      <c r="P67" s="27" t="n">
        <v>0</v>
      </c>
      <c r="Q67" s="27" t="n">
        <v>0</v>
      </c>
      <c r="R67" s="27" t="n">
        <v>0</v>
      </c>
      <c r="S67" s="27" t="n">
        <v>0</v>
      </c>
      <c r="T67" s="27" t="n">
        <v>0</v>
      </c>
      <c r="U67" s="27" t="n">
        <v>0</v>
      </c>
      <c r="V67" s="27" t="n">
        <v>0</v>
      </c>
      <c r="W67" s="27" t="n">
        <v>0</v>
      </c>
      <c r="X67" s="27" t="n">
        <v>0</v>
      </c>
      <c r="Y67" s="27" t="n">
        <v>0</v>
      </c>
      <c r="Z67" s="27" t="n">
        <v>0</v>
      </c>
      <c r="AA67" s="27" t="n">
        <v>0</v>
      </c>
      <c r="AB67" s="27" t="n">
        <v>0</v>
      </c>
      <c r="AC67" s="27" t="n">
        <v>0</v>
      </c>
      <c r="AD67" s="27" t="n">
        <v>0</v>
      </c>
      <c r="AE67" s="27" t="n">
        <v>0</v>
      </c>
      <c r="AF67" s="27" t="n">
        <v>0</v>
      </c>
      <c r="AG67" s="27" t="n">
        <v>0</v>
      </c>
      <c r="AH67" s="27" t="n">
        <v>0</v>
      </c>
      <c r="AI67" s="27" t="n">
        <v>0</v>
      </c>
      <c r="AJ67" s="27" t="n">
        <v>0</v>
      </c>
      <c r="AK67" s="27" t="n">
        <v>0</v>
      </c>
      <c r="AL67" s="27" t="n">
        <v>0</v>
      </c>
      <c r="AM67" s="27" t="n">
        <v>0</v>
      </c>
      <c r="AN67" s="27" t="n">
        <v>0</v>
      </c>
      <c r="AO67" s="27" t="n">
        <v>0</v>
      </c>
      <c r="AP67" s="27" t="n">
        <v>0</v>
      </c>
      <c r="AQ67" s="27" t="n">
        <v>0</v>
      </c>
      <c r="AR67" s="27" t="n">
        <v>0</v>
      </c>
      <c r="AS67" s="27" t="n">
        <v>0</v>
      </c>
      <c r="AT67" s="27" t="n">
        <v>0</v>
      </c>
      <c r="AU67" s="27" t="n">
        <v>0</v>
      </c>
      <c r="AV67" s="27" t="n">
        <v>0</v>
      </c>
      <c r="AW67" s="27" t="n">
        <v>0</v>
      </c>
      <c r="AX67" s="27" t="n">
        <v>0</v>
      </c>
      <c r="AY67" s="27" t="n">
        <v>0</v>
      </c>
      <c r="AZ67" s="27" t="n">
        <v>0</v>
      </c>
      <c r="BA67" s="27" t="n">
        <v>0</v>
      </c>
      <c r="BB67" s="27" t="n">
        <v>0</v>
      </c>
      <c r="BC67" s="27" t="n">
        <v>0</v>
      </c>
      <c r="BD67" s="27" t="n">
        <v>0</v>
      </c>
      <c r="BE67" s="27" t="n">
        <v>0</v>
      </c>
      <c r="BF67" s="27" t="n">
        <v>0</v>
      </c>
      <c r="BG67" s="27" t="n">
        <v>0</v>
      </c>
      <c r="BH67" s="27" t="n">
        <v>0</v>
      </c>
      <c r="BI67" s="27" t="n">
        <v>0</v>
      </c>
      <c r="BJ67" s="27" t="n">
        <v>0</v>
      </c>
      <c r="BK67" s="27" t="n">
        <v>0</v>
      </c>
      <c r="BL67" s="27" t="n">
        <v>0</v>
      </c>
      <c r="BM67" s="27" t="n">
        <v>0</v>
      </c>
      <c r="BN67" s="27" t="n">
        <v>0</v>
      </c>
      <c r="BO67" s="27" t="n">
        <v>0</v>
      </c>
      <c r="BP67" s="27" t="n">
        <v>0</v>
      </c>
      <c r="BQ67" s="27" t="n">
        <v>0</v>
      </c>
      <c r="BR67" s="27" t="n">
        <v>0</v>
      </c>
      <c r="BS67" s="27" t="n">
        <v>0</v>
      </c>
      <c r="BT67" s="27" t="n">
        <v>0</v>
      </c>
      <c r="BU67" s="27" t="n">
        <v>0</v>
      </c>
      <c r="BV67" s="27" t="n">
        <v>0</v>
      </c>
      <c r="BW67" s="27" t="n">
        <v>0</v>
      </c>
      <c r="BX67" s="27" t="n">
        <v>0</v>
      </c>
      <c r="BY67" s="27" t="n">
        <v>0</v>
      </c>
      <c r="BZ67" s="27" t="n">
        <v>0</v>
      </c>
      <c r="CA67" s="27" t="n">
        <v>0</v>
      </c>
      <c r="CB67" s="27" t="n">
        <v>0</v>
      </c>
      <c r="CC67" s="27" t="n">
        <v>0</v>
      </c>
      <c r="CD67" s="27" t="n">
        <v>0</v>
      </c>
      <c r="CE67" s="27" t="n">
        <v>0</v>
      </c>
      <c r="CF67" s="27" t="n">
        <v>0</v>
      </c>
      <c r="CG67" s="27" t="n">
        <v>0</v>
      </c>
      <c r="CH67" s="27" t="n">
        <v>0</v>
      </c>
      <c r="CI67" s="27" t="n">
        <v>0</v>
      </c>
      <c r="CJ67" s="27" t="n">
        <v>0</v>
      </c>
      <c r="CK67" s="27" t="n">
        <v>0</v>
      </c>
      <c r="CL67" s="27" t="n">
        <v>0</v>
      </c>
      <c r="CM67" s="27" t="n">
        <v>0</v>
      </c>
      <c r="CN67" s="27" t="n">
        <v>0</v>
      </c>
      <c r="CO67" s="27" t="n">
        <v>0</v>
      </c>
      <c r="CP67" s="27" t="n">
        <v>0</v>
      </c>
      <c r="CQ67" s="27" t="n">
        <v>0</v>
      </c>
      <c r="CR67" s="27" t="n">
        <v>0</v>
      </c>
      <c r="CS67" s="27" t="n">
        <v>0</v>
      </c>
      <c r="CT67" s="27" t="n">
        <v>0</v>
      </c>
      <c r="CU67" s="27" t="n">
        <v>0</v>
      </c>
      <c r="CV67" s="27" t="n">
        <v>0</v>
      </c>
      <c r="CW67" s="27" t="n">
        <v>0</v>
      </c>
      <c r="CX67" s="27" t="n">
        <v>0</v>
      </c>
      <c r="CY67" s="27" t="n">
        <v>0</v>
      </c>
      <c r="CZ67" s="27" t="n">
        <v>0</v>
      </c>
      <c r="DA67" s="27" t="n">
        <v>0</v>
      </c>
    </row>
    <row r="68">
      <c r="A68" t="inlineStr">
        <is>
          <t>TPP-358</t>
        </is>
      </c>
      <c r="B68" s="27" t="n">
        <v>0</v>
      </c>
      <c r="C68" s="27" t="n">
        <v>0</v>
      </c>
      <c r="D68" s="27" t="n">
        <v>0</v>
      </c>
      <c r="E68" s="27" t="n">
        <v>0</v>
      </c>
      <c r="F68" s="27" t="n">
        <v>0</v>
      </c>
      <c r="G68" s="27" t="n">
        <v>0</v>
      </c>
      <c r="H68" s="27" t="n">
        <v>0</v>
      </c>
      <c r="I68" s="27" t="n">
        <v>0</v>
      </c>
      <c r="J68" s="27" t="n">
        <v>0</v>
      </c>
      <c r="K68" s="27" t="n">
        <v>0</v>
      </c>
      <c r="L68" s="27" t="n">
        <v>0</v>
      </c>
      <c r="M68" s="27" t="n">
        <v>0</v>
      </c>
      <c r="N68" s="27" t="n">
        <v>0</v>
      </c>
      <c r="O68" s="27" t="n">
        <v>0</v>
      </c>
      <c r="P68" s="27" t="n">
        <v>0</v>
      </c>
      <c r="Q68" s="27" t="n">
        <v>0</v>
      </c>
      <c r="R68" s="27" t="n">
        <v>0</v>
      </c>
      <c r="S68" s="27" t="n">
        <v>0</v>
      </c>
      <c r="T68" s="27" t="n">
        <v>0</v>
      </c>
      <c r="U68" s="27" t="n">
        <v>0</v>
      </c>
      <c r="V68" s="27" t="n">
        <v>0</v>
      </c>
      <c r="W68" s="27" t="n">
        <v>0</v>
      </c>
      <c r="X68" s="27" t="n">
        <v>0</v>
      </c>
      <c r="Y68" s="27" t="n">
        <v>0</v>
      </c>
      <c r="Z68" s="27" t="n">
        <v>0</v>
      </c>
      <c r="AA68" s="27" t="n">
        <v>0</v>
      </c>
      <c r="AB68" s="27" t="n">
        <v>0</v>
      </c>
      <c r="AC68" s="27" t="n">
        <v>0</v>
      </c>
      <c r="AD68" s="27" t="n">
        <v>0</v>
      </c>
      <c r="AE68" s="27" t="n">
        <v>0</v>
      </c>
      <c r="AF68" s="27" t="n">
        <v>0</v>
      </c>
      <c r="AG68" s="27" t="n">
        <v>0</v>
      </c>
      <c r="AH68" s="27" t="n">
        <v>0</v>
      </c>
      <c r="AI68" s="27" t="n">
        <v>0</v>
      </c>
      <c r="AJ68" s="27" t="n">
        <v>0</v>
      </c>
      <c r="AK68" s="27" t="n">
        <v>0</v>
      </c>
      <c r="AL68" s="27" t="n">
        <v>0</v>
      </c>
      <c r="AM68" s="27" t="n">
        <v>0</v>
      </c>
      <c r="AN68" s="27" t="n">
        <v>0</v>
      </c>
      <c r="AO68" s="27" t="n">
        <v>0</v>
      </c>
      <c r="AP68" s="27" t="n">
        <v>0</v>
      </c>
      <c r="AQ68" s="27" t="n">
        <v>0</v>
      </c>
      <c r="AR68" s="27" t="n">
        <v>0</v>
      </c>
      <c r="AS68" s="27" t="n">
        <v>0</v>
      </c>
      <c r="AT68" s="27" t="n">
        <v>0</v>
      </c>
      <c r="AU68" s="27" t="n">
        <v>0</v>
      </c>
      <c r="AV68" s="27" t="n">
        <v>0</v>
      </c>
      <c r="AW68" s="27" t="n">
        <v>0</v>
      </c>
      <c r="AX68" s="27" t="n">
        <v>0</v>
      </c>
      <c r="AY68" s="27" t="n">
        <v>0</v>
      </c>
      <c r="AZ68" s="27" t="n">
        <v>0</v>
      </c>
      <c r="BA68" s="27" t="n">
        <v>0</v>
      </c>
      <c r="BB68" s="27" t="n">
        <v>0</v>
      </c>
      <c r="BC68" s="27" t="n">
        <v>0</v>
      </c>
      <c r="BD68" s="27" t="n">
        <v>0</v>
      </c>
      <c r="BE68" s="27" t="n">
        <v>0</v>
      </c>
      <c r="BF68" s="27" t="n">
        <v>0</v>
      </c>
      <c r="BG68" s="27" t="n">
        <v>0</v>
      </c>
      <c r="BH68" s="27" t="n">
        <v>0</v>
      </c>
      <c r="BI68" s="27" t="n">
        <v>0</v>
      </c>
      <c r="BJ68" s="27" t="n">
        <v>0</v>
      </c>
      <c r="BK68" s="27" t="n">
        <v>0</v>
      </c>
      <c r="BL68" s="27" t="n">
        <v>0</v>
      </c>
      <c r="BM68" s="27" t="n">
        <v>0</v>
      </c>
      <c r="BN68" s="27" t="n">
        <v>0</v>
      </c>
      <c r="BO68" s="27" t="n">
        <v>0</v>
      </c>
      <c r="BP68" s="27" t="n">
        <v>0</v>
      </c>
      <c r="BQ68" s="27" t="n">
        <v>0</v>
      </c>
      <c r="BR68" s="27" t="n">
        <v>0</v>
      </c>
      <c r="BS68" s="27" t="n">
        <v>0</v>
      </c>
      <c r="BT68" s="27" t="n">
        <v>0</v>
      </c>
      <c r="BU68" s="27" t="n">
        <v>0</v>
      </c>
      <c r="BV68" s="27" t="n">
        <v>0</v>
      </c>
      <c r="BW68" s="27" t="n">
        <v>0</v>
      </c>
      <c r="BX68" s="27" t="n">
        <v>0</v>
      </c>
      <c r="BY68" s="27" t="n">
        <v>0</v>
      </c>
      <c r="BZ68" s="27" t="n">
        <v>0</v>
      </c>
      <c r="CA68" s="27" t="n">
        <v>0</v>
      </c>
      <c r="CB68" s="27" t="n">
        <v>0</v>
      </c>
      <c r="CC68" s="27" t="n">
        <v>0</v>
      </c>
      <c r="CD68" s="27" t="n">
        <v>0</v>
      </c>
      <c r="CE68" s="27" t="n">
        <v>0</v>
      </c>
      <c r="CF68" s="27" t="n">
        <v>0</v>
      </c>
      <c r="CG68" s="27" t="n">
        <v>0</v>
      </c>
      <c r="CH68" s="27" t="n">
        <v>0</v>
      </c>
      <c r="CI68" s="27" t="n">
        <v>0</v>
      </c>
      <c r="CJ68" s="27" t="n">
        <v>0</v>
      </c>
      <c r="CK68" s="27" t="n">
        <v>0</v>
      </c>
      <c r="CL68" s="27" t="n">
        <v>0</v>
      </c>
      <c r="CM68" s="27" t="n">
        <v>0</v>
      </c>
      <c r="CN68" s="27" t="n">
        <v>0</v>
      </c>
      <c r="CO68" s="27" t="n">
        <v>0</v>
      </c>
      <c r="CP68" s="27" t="n">
        <v>0</v>
      </c>
      <c r="CQ68" s="27" t="n">
        <v>0</v>
      </c>
      <c r="CR68" s="27" t="n">
        <v>0</v>
      </c>
      <c r="CS68" s="27" t="n">
        <v>0</v>
      </c>
      <c r="CT68" s="27" t="n">
        <v>0</v>
      </c>
      <c r="CU68" s="27" t="n">
        <v>0</v>
      </c>
      <c r="CV68" s="27" t="n">
        <v>0</v>
      </c>
      <c r="CW68" s="27" t="n">
        <v>0</v>
      </c>
      <c r="CX68" s="27" t="n">
        <v>0</v>
      </c>
      <c r="CY68" s="27" t="n">
        <v>0</v>
      </c>
      <c r="CZ68" s="27" t="n">
        <v>0</v>
      </c>
      <c r="DA68" s="27" t="n">
        <v>0</v>
      </c>
    </row>
    <row r="69">
      <c r="A69" t="inlineStr">
        <is>
          <t>TPP-533</t>
        </is>
      </c>
      <c r="B69" s="27" t="n">
        <v>0</v>
      </c>
      <c r="C69" s="27" t="n">
        <v>0</v>
      </c>
      <c r="D69" s="27" t="n">
        <v>0</v>
      </c>
      <c r="E69" s="27" t="n">
        <v>0</v>
      </c>
      <c r="F69" s="27" t="n">
        <v>0</v>
      </c>
      <c r="G69" s="27" t="n">
        <v>0</v>
      </c>
      <c r="H69" s="27" t="n">
        <v>0</v>
      </c>
      <c r="I69" s="27" t="n">
        <v>0</v>
      </c>
      <c r="J69" s="27" t="n">
        <v>0</v>
      </c>
      <c r="K69" s="27" t="n">
        <v>0</v>
      </c>
      <c r="L69" s="27" t="n">
        <v>0</v>
      </c>
      <c r="M69" s="27" t="n">
        <v>0</v>
      </c>
      <c r="N69" s="27" t="n">
        <v>0</v>
      </c>
      <c r="O69" s="27" t="n">
        <v>0</v>
      </c>
      <c r="P69" s="27" t="n">
        <v>0</v>
      </c>
      <c r="Q69" s="27" t="n">
        <v>0</v>
      </c>
      <c r="R69" s="27" t="n">
        <v>0</v>
      </c>
      <c r="S69" s="27" t="n">
        <v>0</v>
      </c>
      <c r="T69" s="27" t="n">
        <v>0</v>
      </c>
      <c r="U69" s="27" t="n">
        <v>0</v>
      </c>
      <c r="V69" s="27" t="n">
        <v>0</v>
      </c>
      <c r="W69" s="27" t="n">
        <v>0</v>
      </c>
      <c r="X69" s="27" t="n">
        <v>0</v>
      </c>
      <c r="Y69" s="27" t="n">
        <v>0</v>
      </c>
      <c r="Z69" s="27" t="n">
        <v>0</v>
      </c>
      <c r="AA69" s="27" t="n">
        <v>0</v>
      </c>
      <c r="AB69" s="27" t="n">
        <v>0</v>
      </c>
      <c r="AC69" s="27" t="n">
        <v>0</v>
      </c>
      <c r="AD69" s="27" t="n">
        <v>0</v>
      </c>
      <c r="AE69" s="27" t="n">
        <v>0</v>
      </c>
      <c r="AF69" s="27" t="n">
        <v>0</v>
      </c>
      <c r="AG69" s="27" t="n">
        <v>0</v>
      </c>
      <c r="AH69" s="27" t="n">
        <v>0</v>
      </c>
      <c r="AI69" s="27" t="n">
        <v>0</v>
      </c>
      <c r="AJ69" s="27" t="n">
        <v>0</v>
      </c>
      <c r="AK69" s="27" t="n">
        <v>0</v>
      </c>
      <c r="AL69" s="27" t="n">
        <v>0</v>
      </c>
      <c r="AM69" s="27" t="n">
        <v>0</v>
      </c>
      <c r="AN69" s="27" t="n">
        <v>0</v>
      </c>
      <c r="AO69" s="27" t="n">
        <v>0</v>
      </c>
      <c r="AP69" s="27" t="n">
        <v>0</v>
      </c>
      <c r="AQ69" s="27" t="n">
        <v>0</v>
      </c>
      <c r="AR69" s="27" t="n">
        <v>0</v>
      </c>
      <c r="AS69" s="27" t="n">
        <v>0</v>
      </c>
      <c r="AT69" s="27" t="n">
        <v>0</v>
      </c>
      <c r="AU69" s="27" t="n">
        <v>0</v>
      </c>
      <c r="AV69" s="27" t="n">
        <v>0</v>
      </c>
      <c r="AW69" s="27" t="n">
        <v>0</v>
      </c>
      <c r="AX69" s="27" t="n">
        <v>0</v>
      </c>
      <c r="AY69" s="27" t="n">
        <v>0</v>
      </c>
      <c r="AZ69" s="27" t="n">
        <v>0</v>
      </c>
      <c r="BA69" s="27" t="n">
        <v>0</v>
      </c>
      <c r="BB69" s="27" t="n">
        <v>0</v>
      </c>
      <c r="BC69" s="27" t="n">
        <v>0</v>
      </c>
      <c r="BD69" s="27" t="n">
        <v>0</v>
      </c>
      <c r="BE69" s="27" t="n">
        <v>0</v>
      </c>
      <c r="BF69" s="27" t="n">
        <v>0</v>
      </c>
      <c r="BG69" s="27" t="n">
        <v>0</v>
      </c>
      <c r="BH69" s="27" t="n">
        <v>0</v>
      </c>
      <c r="BI69" s="27" t="n">
        <v>0</v>
      </c>
      <c r="BJ69" s="27" t="n">
        <v>0</v>
      </c>
      <c r="BK69" s="27" t="n">
        <v>0</v>
      </c>
      <c r="BL69" s="27" t="n">
        <v>0</v>
      </c>
      <c r="BM69" s="27" t="n">
        <v>0</v>
      </c>
      <c r="BN69" s="27" t="n">
        <v>0</v>
      </c>
      <c r="BO69" s="27" t="n">
        <v>0</v>
      </c>
      <c r="BP69" s="27" t="n">
        <v>0</v>
      </c>
      <c r="BQ69" s="27" t="n">
        <v>0</v>
      </c>
      <c r="BR69" s="27" t="n">
        <v>0</v>
      </c>
      <c r="BS69" s="27" t="n">
        <v>0</v>
      </c>
      <c r="BT69" s="27" t="n">
        <v>0</v>
      </c>
      <c r="BU69" s="27" t="n">
        <v>0</v>
      </c>
      <c r="BV69" s="27" t="n">
        <v>0</v>
      </c>
      <c r="BW69" s="27" t="n">
        <v>0</v>
      </c>
      <c r="BX69" s="27" t="n">
        <v>0</v>
      </c>
      <c r="BY69" s="27" t="n">
        <v>0</v>
      </c>
      <c r="BZ69" s="27" t="n">
        <v>0</v>
      </c>
      <c r="CA69" s="27" t="n">
        <v>0</v>
      </c>
      <c r="CB69" s="27" t="n">
        <v>0</v>
      </c>
      <c r="CC69" s="27" t="n">
        <v>0</v>
      </c>
      <c r="CD69" s="27" t="n">
        <v>0</v>
      </c>
      <c r="CE69" s="27" t="n">
        <v>0</v>
      </c>
      <c r="CF69" s="27" t="n">
        <v>0</v>
      </c>
      <c r="CG69" s="27" t="n">
        <v>0</v>
      </c>
      <c r="CH69" s="27" t="n">
        <v>0</v>
      </c>
      <c r="CI69" s="27" t="n">
        <v>0</v>
      </c>
      <c r="CJ69" s="27" t="n">
        <v>0</v>
      </c>
      <c r="CK69" s="27" t="n">
        <v>0</v>
      </c>
      <c r="CL69" s="27" t="n">
        <v>0</v>
      </c>
      <c r="CM69" s="27" t="n">
        <v>0</v>
      </c>
      <c r="CN69" s="27" t="n">
        <v>0</v>
      </c>
      <c r="CO69" s="27" t="n">
        <v>0</v>
      </c>
      <c r="CP69" s="27" t="n">
        <v>0</v>
      </c>
      <c r="CQ69" s="27" t="n">
        <v>0</v>
      </c>
      <c r="CR69" s="27" t="n">
        <v>0</v>
      </c>
      <c r="CS69" s="27" t="n">
        <v>0</v>
      </c>
      <c r="CT69" s="27" t="n">
        <v>0</v>
      </c>
      <c r="CU69" s="27" t="n">
        <v>0</v>
      </c>
      <c r="CV69" s="27" t="n">
        <v>0</v>
      </c>
      <c r="CW69" s="27" t="n">
        <v>0</v>
      </c>
      <c r="CX69" s="27" t="n">
        <v>0</v>
      </c>
      <c r="CY69" s="27" t="n">
        <v>0</v>
      </c>
      <c r="CZ69" s="27" t="n">
        <v>0</v>
      </c>
      <c r="DA69" s="27" t="n">
        <v>0</v>
      </c>
    </row>
    <row r="70">
      <c r="A70" t="inlineStr">
        <is>
          <t>TPP-611</t>
        </is>
      </c>
      <c r="B70" s="27" t="n">
        <v>0</v>
      </c>
      <c r="C70" s="27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0</v>
      </c>
      <c r="J70" s="27" t="n">
        <v>0</v>
      </c>
      <c r="K70" s="27" t="n">
        <v>0</v>
      </c>
      <c r="L70" s="27" t="n">
        <v>0</v>
      </c>
      <c r="M70" s="27" t="n">
        <v>0</v>
      </c>
      <c r="N70" s="27" t="n">
        <v>0</v>
      </c>
      <c r="O70" s="27" t="n">
        <v>0</v>
      </c>
      <c r="P70" s="27" t="n">
        <v>0</v>
      </c>
      <c r="Q70" s="27" t="n">
        <v>0</v>
      </c>
      <c r="R70" s="27" t="n">
        <v>0</v>
      </c>
      <c r="S70" s="27" t="n">
        <v>0</v>
      </c>
      <c r="T70" s="27" t="n">
        <v>0</v>
      </c>
      <c r="U70" s="27" t="n">
        <v>0</v>
      </c>
      <c r="V70" s="27" t="n">
        <v>0</v>
      </c>
      <c r="W70" s="27" t="n">
        <v>0</v>
      </c>
      <c r="X70" s="27" t="n">
        <v>0</v>
      </c>
      <c r="Y70" s="27" t="n">
        <v>0</v>
      </c>
      <c r="Z70" s="27" t="n">
        <v>0</v>
      </c>
      <c r="AA70" s="27" t="n">
        <v>0</v>
      </c>
      <c r="AB70" s="27" t="n">
        <v>0</v>
      </c>
      <c r="AC70" s="27" t="n">
        <v>0</v>
      </c>
      <c r="AD70" s="27" t="n">
        <v>0</v>
      </c>
      <c r="AE70" s="27" t="n">
        <v>0</v>
      </c>
      <c r="AF70" s="27" t="n">
        <v>0</v>
      </c>
      <c r="AG70" s="27" t="n">
        <v>0</v>
      </c>
      <c r="AH70" s="27" t="n">
        <v>0</v>
      </c>
      <c r="AI70" s="27" t="n">
        <v>0</v>
      </c>
      <c r="AJ70" s="27" t="n">
        <v>0</v>
      </c>
      <c r="AK70" s="27" t="n">
        <v>0</v>
      </c>
      <c r="AL70" s="27" t="n">
        <v>0</v>
      </c>
      <c r="AM70" s="27" t="n">
        <v>0</v>
      </c>
      <c r="AN70" s="27" t="n">
        <v>0</v>
      </c>
      <c r="AO70" s="27" t="n">
        <v>0</v>
      </c>
      <c r="AP70" s="27" t="n">
        <v>0</v>
      </c>
      <c r="AQ70" s="27" t="n">
        <v>0</v>
      </c>
      <c r="AR70" s="27" t="n">
        <v>0</v>
      </c>
      <c r="AS70" s="27" t="n">
        <v>0</v>
      </c>
      <c r="AT70" s="27" t="n">
        <v>0</v>
      </c>
      <c r="AU70" s="27" t="n">
        <v>0</v>
      </c>
      <c r="AV70" s="27" t="n">
        <v>0</v>
      </c>
      <c r="AW70" s="27" t="n">
        <v>0</v>
      </c>
      <c r="AX70" s="27" t="n">
        <v>0</v>
      </c>
      <c r="AY70" s="27" t="n">
        <v>0</v>
      </c>
      <c r="AZ70" s="27" t="n">
        <v>0</v>
      </c>
      <c r="BA70" s="27" t="n">
        <v>0</v>
      </c>
      <c r="BB70" s="27" t="n">
        <v>0</v>
      </c>
      <c r="BC70" s="27" t="n">
        <v>0</v>
      </c>
      <c r="BD70" s="27" t="n">
        <v>0</v>
      </c>
      <c r="BE70" s="27" t="n">
        <v>0</v>
      </c>
      <c r="BF70" s="27" t="n">
        <v>0</v>
      </c>
      <c r="BG70" s="27" t="n">
        <v>0</v>
      </c>
      <c r="BH70" s="27" t="n">
        <v>0</v>
      </c>
      <c r="BI70" s="27" t="n">
        <v>0</v>
      </c>
      <c r="BJ70" s="27" t="n">
        <v>0</v>
      </c>
      <c r="BK70" s="27" t="n">
        <v>0</v>
      </c>
      <c r="BL70" s="27" t="n">
        <v>0</v>
      </c>
      <c r="BM70" s="27" t="n">
        <v>0</v>
      </c>
      <c r="BN70" s="27" t="n">
        <v>0</v>
      </c>
      <c r="BO70" s="27" t="n">
        <v>0</v>
      </c>
      <c r="BP70" s="27" t="n">
        <v>0</v>
      </c>
      <c r="BQ70" s="27" t="n">
        <v>0</v>
      </c>
      <c r="BR70" s="27" t="n">
        <v>0</v>
      </c>
      <c r="BS70" s="27" t="n">
        <v>0</v>
      </c>
      <c r="BT70" s="27" t="n">
        <v>0</v>
      </c>
      <c r="BU70" s="27" t="n">
        <v>0</v>
      </c>
      <c r="BV70" s="27" t="n">
        <v>0</v>
      </c>
      <c r="BW70" s="27" t="n">
        <v>0</v>
      </c>
      <c r="BX70" s="27" t="n">
        <v>0</v>
      </c>
      <c r="BY70" s="27" t="n">
        <v>0</v>
      </c>
      <c r="BZ70" s="27" t="n">
        <v>0</v>
      </c>
      <c r="CA70" s="27" t="n">
        <v>0</v>
      </c>
      <c r="CB70" s="27" t="n">
        <v>0</v>
      </c>
      <c r="CC70" s="27" t="n">
        <v>0</v>
      </c>
      <c r="CD70" s="27" t="n">
        <v>0</v>
      </c>
      <c r="CE70" s="27" t="n">
        <v>0</v>
      </c>
      <c r="CF70" s="27" t="n">
        <v>0</v>
      </c>
      <c r="CG70" s="27" t="n">
        <v>0</v>
      </c>
      <c r="CH70" s="27" t="n">
        <v>0</v>
      </c>
      <c r="CI70" s="27" t="n">
        <v>0</v>
      </c>
      <c r="CJ70" s="27" t="n">
        <v>0</v>
      </c>
      <c r="CK70" s="27" t="n">
        <v>0</v>
      </c>
      <c r="CL70" s="27" t="n">
        <v>0</v>
      </c>
      <c r="CM70" s="27" t="n">
        <v>0</v>
      </c>
      <c r="CN70" s="27" t="n">
        <v>0</v>
      </c>
      <c r="CO70" s="27" t="n">
        <v>0</v>
      </c>
      <c r="CP70" s="27" t="n">
        <v>0</v>
      </c>
      <c r="CQ70" s="27" t="n">
        <v>0</v>
      </c>
      <c r="CR70" s="27" t="n">
        <v>0</v>
      </c>
      <c r="CS70" s="27" t="n">
        <v>0</v>
      </c>
      <c r="CT70" s="27" t="n">
        <v>0</v>
      </c>
      <c r="CU70" s="27" t="n">
        <v>0</v>
      </c>
      <c r="CV70" s="27" t="n">
        <v>0</v>
      </c>
      <c r="CW70" s="27" t="n">
        <v>0</v>
      </c>
      <c r="CX70" s="27" t="n">
        <v>0</v>
      </c>
      <c r="CY70" s="27" t="n">
        <v>0</v>
      </c>
      <c r="CZ70" s="27" t="n">
        <v>0</v>
      </c>
      <c r="DA70" s="27" t="n">
        <v>0</v>
      </c>
    </row>
    <row r="71">
      <c r="A71" t="inlineStr">
        <is>
          <t>TPP-613</t>
        </is>
      </c>
      <c r="B71" s="27" t="n">
        <v>0</v>
      </c>
      <c r="C71" s="27" t="n">
        <v>0</v>
      </c>
      <c r="D71" s="27" t="n">
        <v>0</v>
      </c>
      <c r="E71" s="27" t="n">
        <v>0</v>
      </c>
      <c r="F71" s="27" t="n">
        <v>0</v>
      </c>
      <c r="G71" s="27" t="n">
        <v>0</v>
      </c>
      <c r="H71" s="27" t="n">
        <v>0</v>
      </c>
      <c r="I71" s="27" t="n">
        <v>0</v>
      </c>
      <c r="J71" s="27" t="n">
        <v>0</v>
      </c>
      <c r="K71" s="27" t="n">
        <v>0</v>
      </c>
      <c r="L71" s="27" t="n">
        <v>0</v>
      </c>
      <c r="M71" s="27" t="n">
        <v>0</v>
      </c>
      <c r="N71" s="27" t="n">
        <v>0</v>
      </c>
      <c r="O71" s="27" t="n">
        <v>0</v>
      </c>
      <c r="P71" s="27" t="n">
        <v>0</v>
      </c>
      <c r="Q71" s="27" t="n">
        <v>0</v>
      </c>
      <c r="R71" s="27" t="n">
        <v>0</v>
      </c>
      <c r="S71" s="27" t="n">
        <v>0</v>
      </c>
      <c r="T71" s="27" t="n">
        <v>0</v>
      </c>
      <c r="U71" s="27" t="n">
        <v>0</v>
      </c>
      <c r="V71" s="27" t="n">
        <v>0</v>
      </c>
      <c r="W71" s="27" t="n">
        <v>0</v>
      </c>
      <c r="X71" s="27" t="n">
        <v>0</v>
      </c>
      <c r="Y71" s="27" t="n">
        <v>0</v>
      </c>
      <c r="Z71" s="27" t="n">
        <v>0</v>
      </c>
      <c r="AA71" s="27" t="n">
        <v>0</v>
      </c>
      <c r="AB71" s="27" t="n">
        <v>0</v>
      </c>
      <c r="AC71" s="27" t="n">
        <v>0</v>
      </c>
      <c r="AD71" s="27" t="n">
        <v>0</v>
      </c>
      <c r="AE71" s="27" t="n">
        <v>0</v>
      </c>
      <c r="AF71" s="27" t="n">
        <v>0</v>
      </c>
      <c r="AG71" s="27" t="n">
        <v>0</v>
      </c>
      <c r="AH71" s="27" t="n">
        <v>0</v>
      </c>
      <c r="AI71" s="27" t="n">
        <v>0</v>
      </c>
      <c r="AJ71" s="27" t="n">
        <v>0</v>
      </c>
      <c r="AK71" s="27" t="n">
        <v>0</v>
      </c>
      <c r="AL71" s="27" t="n">
        <v>0</v>
      </c>
      <c r="AM71" s="27" t="n">
        <v>0</v>
      </c>
      <c r="AN71" s="27" t="n">
        <v>0</v>
      </c>
      <c r="AO71" s="27" t="n">
        <v>0</v>
      </c>
      <c r="AP71" s="27" t="n">
        <v>0</v>
      </c>
      <c r="AQ71" s="27" t="n">
        <v>0</v>
      </c>
      <c r="AR71" s="27" t="n">
        <v>0</v>
      </c>
      <c r="AS71" s="27" t="n">
        <v>0</v>
      </c>
      <c r="AT71" s="27" t="n">
        <v>0</v>
      </c>
      <c r="AU71" s="27" t="n">
        <v>0</v>
      </c>
      <c r="AV71" s="27" t="n">
        <v>0</v>
      </c>
      <c r="AW71" s="27" t="n">
        <v>0</v>
      </c>
      <c r="AX71" s="27" t="n">
        <v>0</v>
      </c>
      <c r="AY71" s="27" t="n">
        <v>0</v>
      </c>
      <c r="AZ71" s="27" t="n">
        <v>0</v>
      </c>
      <c r="BA71" s="27" t="n">
        <v>0</v>
      </c>
      <c r="BB71" s="27" t="n">
        <v>0</v>
      </c>
      <c r="BC71" s="27" t="n">
        <v>0</v>
      </c>
      <c r="BD71" s="27" t="n">
        <v>0</v>
      </c>
      <c r="BE71" s="27" t="n">
        <v>0</v>
      </c>
      <c r="BF71" s="27" t="n">
        <v>0</v>
      </c>
      <c r="BG71" s="27" t="n">
        <v>0</v>
      </c>
      <c r="BH71" s="27" t="n">
        <v>0</v>
      </c>
      <c r="BI71" s="27" t="n">
        <v>0</v>
      </c>
      <c r="BJ71" s="27" t="n">
        <v>0</v>
      </c>
      <c r="BK71" s="27" t="n">
        <v>0</v>
      </c>
      <c r="BL71" s="27" t="n">
        <v>0</v>
      </c>
      <c r="BM71" s="27" t="n">
        <v>0</v>
      </c>
      <c r="BN71" s="27" t="n">
        <v>0</v>
      </c>
      <c r="BO71" s="27" t="n">
        <v>0</v>
      </c>
      <c r="BP71" s="27" t="n">
        <v>0</v>
      </c>
      <c r="BQ71" s="27" t="n">
        <v>0</v>
      </c>
      <c r="BR71" s="27" t="n">
        <v>0</v>
      </c>
      <c r="BS71" s="27" t="n">
        <v>0</v>
      </c>
      <c r="BT71" s="27" t="n">
        <v>0</v>
      </c>
      <c r="BU71" s="27" t="n">
        <v>0</v>
      </c>
      <c r="BV71" s="27" t="n">
        <v>0</v>
      </c>
      <c r="BW71" s="27" t="n">
        <v>0</v>
      </c>
      <c r="BX71" s="27" t="n">
        <v>0</v>
      </c>
      <c r="BY71" s="27" t="n">
        <v>0</v>
      </c>
      <c r="BZ71" s="27" t="n">
        <v>0</v>
      </c>
      <c r="CA71" s="27" t="n">
        <v>0</v>
      </c>
      <c r="CB71" s="27" t="n">
        <v>0</v>
      </c>
      <c r="CC71" s="27" t="n">
        <v>0</v>
      </c>
      <c r="CD71" s="27" t="n">
        <v>0</v>
      </c>
      <c r="CE71" s="27" t="n">
        <v>0</v>
      </c>
      <c r="CF71" s="27" t="n">
        <v>0</v>
      </c>
      <c r="CG71" s="27" t="n">
        <v>0</v>
      </c>
      <c r="CH71" s="27" t="n">
        <v>0</v>
      </c>
      <c r="CI71" s="27" t="n">
        <v>0</v>
      </c>
      <c r="CJ71" s="27" t="n">
        <v>0</v>
      </c>
      <c r="CK71" s="27" t="n">
        <v>0</v>
      </c>
      <c r="CL71" s="27" t="n">
        <v>0</v>
      </c>
      <c r="CM71" s="27" t="n">
        <v>0</v>
      </c>
      <c r="CN71" s="27" t="n">
        <v>0</v>
      </c>
      <c r="CO71" s="27" t="n">
        <v>0</v>
      </c>
      <c r="CP71" s="27" t="n">
        <v>0</v>
      </c>
      <c r="CQ71" s="27" t="n">
        <v>0</v>
      </c>
      <c r="CR71" s="27" t="n">
        <v>0</v>
      </c>
      <c r="CS71" s="27" t="n">
        <v>0</v>
      </c>
      <c r="CT71" s="27" t="n">
        <v>0</v>
      </c>
      <c r="CU71" s="27" t="n">
        <v>0</v>
      </c>
      <c r="CV71" s="27" t="n">
        <v>0</v>
      </c>
      <c r="CW71" s="27" t="n">
        <v>0</v>
      </c>
      <c r="CX71" s="27" t="n">
        <v>0</v>
      </c>
      <c r="CY71" s="27" t="n">
        <v>0</v>
      </c>
      <c r="CZ71" s="27" t="n">
        <v>0</v>
      </c>
      <c r="DA71" s="27" t="n">
        <v>0</v>
      </c>
    </row>
    <row r="72">
      <c r="A72" t="inlineStr">
        <is>
          <t>TPP-635</t>
        </is>
      </c>
      <c r="B72" s="27" t="n">
        <v>0</v>
      </c>
      <c r="C72" s="27" t="n">
        <v>0</v>
      </c>
      <c r="D72" s="27" t="n">
        <v>0</v>
      </c>
      <c r="E72" s="27" t="n">
        <v>0</v>
      </c>
      <c r="F72" s="27" t="n">
        <v>0</v>
      </c>
      <c r="G72" s="27" t="n">
        <v>0</v>
      </c>
      <c r="H72" s="27" t="n">
        <v>0</v>
      </c>
      <c r="I72" s="27" t="n">
        <v>0</v>
      </c>
      <c r="J72" s="27" t="n">
        <v>0</v>
      </c>
      <c r="K72" s="27" t="n">
        <v>0</v>
      </c>
      <c r="L72" s="27" t="n">
        <v>0</v>
      </c>
      <c r="M72" s="27" t="n">
        <v>0</v>
      </c>
      <c r="N72" s="27" t="n">
        <v>0</v>
      </c>
      <c r="O72" s="27" t="n">
        <v>0</v>
      </c>
      <c r="P72" s="27" t="n">
        <v>0</v>
      </c>
      <c r="Q72" s="27" t="n">
        <v>0</v>
      </c>
      <c r="R72" s="27" t="n">
        <v>0</v>
      </c>
      <c r="S72" s="27" t="n">
        <v>0</v>
      </c>
      <c r="T72" s="27" t="n">
        <v>0</v>
      </c>
      <c r="U72" s="27" t="n">
        <v>0</v>
      </c>
      <c r="V72" s="27" t="n">
        <v>0</v>
      </c>
      <c r="W72" s="27" t="n">
        <v>0</v>
      </c>
      <c r="X72" s="27" t="n">
        <v>0</v>
      </c>
      <c r="Y72" s="27" t="n">
        <v>0</v>
      </c>
      <c r="Z72" s="27" t="n">
        <v>0</v>
      </c>
      <c r="AA72" s="27" t="n">
        <v>0</v>
      </c>
      <c r="AB72" s="27" t="n">
        <v>0</v>
      </c>
      <c r="AC72" s="27" t="n">
        <v>0</v>
      </c>
      <c r="AD72" s="27" t="n">
        <v>0</v>
      </c>
      <c r="AE72" s="27" t="n">
        <v>0</v>
      </c>
      <c r="AF72" s="27" t="n">
        <v>0</v>
      </c>
      <c r="AG72" s="27" t="n">
        <v>0</v>
      </c>
      <c r="AH72" s="27" t="n">
        <v>0</v>
      </c>
      <c r="AI72" s="27" t="n">
        <v>0</v>
      </c>
      <c r="AJ72" s="27" t="n">
        <v>0</v>
      </c>
      <c r="AK72" s="27" t="n">
        <v>0</v>
      </c>
      <c r="AL72" s="27" t="n">
        <v>0</v>
      </c>
      <c r="AM72" s="27" t="n">
        <v>0</v>
      </c>
      <c r="AN72" s="27" t="n">
        <v>0</v>
      </c>
      <c r="AO72" s="27" t="n">
        <v>0</v>
      </c>
      <c r="AP72" s="27" t="n">
        <v>0</v>
      </c>
      <c r="AQ72" s="27" t="n">
        <v>0</v>
      </c>
      <c r="AR72" s="27" t="n">
        <v>0</v>
      </c>
      <c r="AS72" s="27" t="n">
        <v>0</v>
      </c>
      <c r="AT72" s="27" t="n">
        <v>0</v>
      </c>
      <c r="AU72" s="27" t="n">
        <v>0</v>
      </c>
      <c r="AV72" s="27" t="n">
        <v>0</v>
      </c>
      <c r="AW72" s="27" t="n">
        <v>0</v>
      </c>
      <c r="AX72" s="27" t="n">
        <v>0</v>
      </c>
      <c r="AY72" s="27" t="n">
        <v>0</v>
      </c>
      <c r="AZ72" s="27" t="n">
        <v>0</v>
      </c>
      <c r="BA72" s="27" t="n">
        <v>0</v>
      </c>
      <c r="BB72" s="27" t="n">
        <v>0</v>
      </c>
      <c r="BC72" s="27" t="n">
        <v>0</v>
      </c>
      <c r="BD72" s="27" t="n">
        <v>0</v>
      </c>
      <c r="BE72" s="27" t="n">
        <v>0</v>
      </c>
      <c r="BF72" s="27" t="n">
        <v>0</v>
      </c>
      <c r="BG72" s="27" t="n">
        <v>0</v>
      </c>
      <c r="BH72" s="27" t="n">
        <v>0</v>
      </c>
      <c r="BI72" s="27" t="n">
        <v>0</v>
      </c>
      <c r="BJ72" s="27" t="n">
        <v>0</v>
      </c>
      <c r="BK72" s="27" t="n">
        <v>0</v>
      </c>
      <c r="BL72" s="27" t="n">
        <v>0</v>
      </c>
      <c r="BM72" s="27" t="n">
        <v>0</v>
      </c>
      <c r="BN72" s="27" t="n">
        <v>0</v>
      </c>
      <c r="BO72" s="27" t="n">
        <v>0</v>
      </c>
      <c r="BP72" s="27" t="n">
        <v>0</v>
      </c>
      <c r="BQ72" s="27" t="n">
        <v>0</v>
      </c>
      <c r="BR72" s="27" t="n">
        <v>0</v>
      </c>
      <c r="BS72" s="27" t="n">
        <v>0</v>
      </c>
      <c r="BT72" s="27" t="n">
        <v>0</v>
      </c>
      <c r="BU72" s="27" t="n">
        <v>0</v>
      </c>
      <c r="BV72" s="27" t="n">
        <v>0</v>
      </c>
      <c r="BW72" s="27" t="n">
        <v>0</v>
      </c>
      <c r="BX72" s="27" t="n">
        <v>0</v>
      </c>
      <c r="BY72" s="27" t="n">
        <v>0</v>
      </c>
      <c r="BZ72" s="27" t="n">
        <v>0</v>
      </c>
      <c r="CA72" s="27" t="n">
        <v>0</v>
      </c>
      <c r="CB72" s="27" t="n">
        <v>0</v>
      </c>
      <c r="CC72" s="27" t="n">
        <v>0</v>
      </c>
      <c r="CD72" s="27" t="n">
        <v>0</v>
      </c>
      <c r="CE72" s="27" t="n">
        <v>0</v>
      </c>
      <c r="CF72" s="27" t="n">
        <v>0</v>
      </c>
      <c r="CG72" s="27" t="n">
        <v>0</v>
      </c>
      <c r="CH72" s="27" t="n">
        <v>0</v>
      </c>
      <c r="CI72" s="27" t="n">
        <v>0</v>
      </c>
      <c r="CJ72" s="27" t="n">
        <v>0</v>
      </c>
      <c r="CK72" s="27" t="n">
        <v>0</v>
      </c>
      <c r="CL72" s="27" t="n">
        <v>0</v>
      </c>
      <c r="CM72" s="27" t="n">
        <v>0</v>
      </c>
      <c r="CN72" s="27" t="n">
        <v>0</v>
      </c>
      <c r="CO72" s="27" t="n">
        <v>0</v>
      </c>
      <c r="CP72" s="27" t="n">
        <v>0</v>
      </c>
      <c r="CQ72" s="27" t="n">
        <v>0</v>
      </c>
      <c r="CR72" s="27" t="n">
        <v>0</v>
      </c>
      <c r="CS72" s="27" t="n">
        <v>0</v>
      </c>
      <c r="CT72" s="27" t="n">
        <v>0</v>
      </c>
      <c r="CU72" s="27" t="n">
        <v>0</v>
      </c>
      <c r="CV72" s="27" t="n">
        <v>0</v>
      </c>
      <c r="CW72" s="27" t="n">
        <v>0</v>
      </c>
      <c r="CX72" s="27" t="n">
        <v>0</v>
      </c>
      <c r="CY72" s="27" t="n">
        <v>0</v>
      </c>
      <c r="CZ72" s="27" t="n">
        <v>0</v>
      </c>
      <c r="DA72" s="27" t="n">
        <v>0</v>
      </c>
    </row>
    <row r="73">
      <c r="A73" t="inlineStr">
        <is>
          <t>TPP-650</t>
        </is>
      </c>
      <c r="B73" s="27" t="n">
        <v>0</v>
      </c>
      <c r="C73" s="27" t="n">
        <v>0</v>
      </c>
      <c r="D73" s="27" t="n">
        <v>4</v>
      </c>
      <c r="E73" s="27" t="n">
        <v>2</v>
      </c>
      <c r="F73" s="27" t="n">
        <v>0</v>
      </c>
      <c r="G73" s="27" t="n">
        <v>2</v>
      </c>
      <c r="H73" s="27" t="n">
        <v>0</v>
      </c>
      <c r="I73" s="27" t="n">
        <v>2</v>
      </c>
      <c r="J73" s="27" t="n">
        <v>0</v>
      </c>
      <c r="K73" s="27" t="n">
        <v>2</v>
      </c>
      <c r="L73" s="27" t="n">
        <v>0</v>
      </c>
      <c r="M73" s="27" t="n">
        <v>2</v>
      </c>
      <c r="N73" s="27" t="n">
        <v>2</v>
      </c>
      <c r="O73" s="27" t="n">
        <v>2</v>
      </c>
      <c r="P73" s="27" t="n">
        <v>2</v>
      </c>
      <c r="Q73" s="27" t="n">
        <v>4</v>
      </c>
      <c r="R73" s="27" t="n">
        <v>4</v>
      </c>
      <c r="S73" s="27" t="n">
        <v>0</v>
      </c>
      <c r="T73" s="27" t="n">
        <v>0</v>
      </c>
      <c r="U73" s="27" t="n">
        <v>0</v>
      </c>
      <c r="V73" s="27" t="n">
        <v>0</v>
      </c>
      <c r="W73" s="27" t="n">
        <v>2</v>
      </c>
      <c r="X73" s="27" t="n">
        <v>0</v>
      </c>
      <c r="Y73" s="27" t="n">
        <v>4</v>
      </c>
      <c r="Z73" s="27" t="n">
        <v>0</v>
      </c>
      <c r="AA73" s="27" t="n">
        <v>4</v>
      </c>
      <c r="AB73" s="27" t="n">
        <v>2</v>
      </c>
      <c r="AC73" s="27" t="n">
        <v>4</v>
      </c>
      <c r="AD73" s="27" t="n">
        <v>2</v>
      </c>
      <c r="AE73" s="27" t="n">
        <v>4</v>
      </c>
      <c r="AF73" s="27" t="n">
        <v>0</v>
      </c>
      <c r="AG73" s="27" t="n">
        <v>4</v>
      </c>
      <c r="AH73" s="27" t="n">
        <v>0</v>
      </c>
      <c r="AI73" s="27" t="n">
        <v>0</v>
      </c>
      <c r="AJ73" s="27" t="n">
        <v>0</v>
      </c>
      <c r="AK73" s="27" t="n">
        <v>2</v>
      </c>
      <c r="AL73" s="27" t="n">
        <v>0</v>
      </c>
      <c r="AM73" s="27" t="n">
        <v>0</v>
      </c>
      <c r="AN73" s="27" t="n">
        <v>4</v>
      </c>
      <c r="AO73" s="27" t="n">
        <v>0</v>
      </c>
      <c r="AP73" s="27" t="n">
        <v>0</v>
      </c>
      <c r="AQ73" s="27" t="n">
        <v>2</v>
      </c>
      <c r="AR73" s="27" t="n">
        <v>4</v>
      </c>
      <c r="AS73" s="27" t="n">
        <v>2</v>
      </c>
      <c r="AT73" s="27" t="n">
        <v>2</v>
      </c>
      <c r="AU73" s="27" t="n">
        <v>2</v>
      </c>
      <c r="AV73" s="27" t="n">
        <v>2</v>
      </c>
      <c r="AW73" s="27" t="n">
        <v>4</v>
      </c>
      <c r="AX73" s="27" t="n">
        <v>0</v>
      </c>
      <c r="AY73" s="27" t="n">
        <v>4</v>
      </c>
      <c r="AZ73" s="27" t="n">
        <v>0</v>
      </c>
      <c r="BA73" s="27" t="n">
        <v>0</v>
      </c>
      <c r="BB73" s="27" t="n">
        <v>0</v>
      </c>
      <c r="BC73" s="27" t="n">
        <v>0</v>
      </c>
      <c r="BD73" s="27" t="n">
        <v>2</v>
      </c>
      <c r="BE73" s="27" t="n">
        <v>0</v>
      </c>
      <c r="BF73" s="27" t="n">
        <v>0</v>
      </c>
      <c r="BG73" s="27" t="n">
        <v>2</v>
      </c>
      <c r="BH73" s="27" t="n">
        <v>0</v>
      </c>
      <c r="BI73" s="27" t="n">
        <v>2</v>
      </c>
      <c r="BJ73" s="27" t="n">
        <v>0</v>
      </c>
      <c r="BK73" s="27" t="n">
        <v>0</v>
      </c>
      <c r="BL73" s="27" t="n">
        <v>2</v>
      </c>
      <c r="BM73" s="27" t="n">
        <v>0</v>
      </c>
      <c r="BN73" s="27" t="n">
        <v>0</v>
      </c>
      <c r="BO73" s="27" t="n">
        <v>0</v>
      </c>
      <c r="BP73" s="27" t="n">
        <v>0</v>
      </c>
      <c r="BQ73" s="27" t="n">
        <v>0</v>
      </c>
      <c r="BR73" s="27" t="n">
        <v>0</v>
      </c>
      <c r="BS73" s="27" t="n">
        <v>0</v>
      </c>
      <c r="BT73" s="27" t="n">
        <v>0</v>
      </c>
      <c r="BU73" s="27" t="n">
        <v>0</v>
      </c>
      <c r="BV73" s="27" t="n">
        <v>0</v>
      </c>
      <c r="BW73" s="27" t="n">
        <v>0</v>
      </c>
      <c r="BX73" s="27" t="n">
        <v>0</v>
      </c>
      <c r="BY73" s="27" t="n">
        <v>0</v>
      </c>
      <c r="BZ73" s="27" t="n">
        <v>0</v>
      </c>
      <c r="CA73" s="27" t="n">
        <v>0</v>
      </c>
      <c r="CB73" s="27" t="n">
        <v>0</v>
      </c>
      <c r="CC73" s="27" t="n">
        <v>0</v>
      </c>
      <c r="CD73" s="27" t="n">
        <v>0</v>
      </c>
      <c r="CE73" s="27" t="n">
        <v>0</v>
      </c>
      <c r="CF73" s="27" t="n">
        <v>0</v>
      </c>
      <c r="CG73" s="27" t="n">
        <v>0</v>
      </c>
      <c r="CH73" s="27" t="n">
        <v>0</v>
      </c>
      <c r="CI73" s="27" t="n">
        <v>0</v>
      </c>
      <c r="CJ73" s="27" t="n">
        <v>0</v>
      </c>
      <c r="CK73" s="27" t="n">
        <v>0</v>
      </c>
      <c r="CL73" s="27" t="n">
        <v>0</v>
      </c>
      <c r="CM73" s="27" t="n">
        <v>0</v>
      </c>
      <c r="CN73" s="27" t="n">
        <v>0</v>
      </c>
      <c r="CO73" s="27" t="n">
        <v>0</v>
      </c>
      <c r="CP73" s="27" t="n">
        <v>0</v>
      </c>
      <c r="CQ73" s="27" t="n">
        <v>0</v>
      </c>
      <c r="CR73" s="27" t="n">
        <v>0</v>
      </c>
      <c r="CS73" s="27" t="n">
        <v>0</v>
      </c>
      <c r="CT73" s="27" t="n">
        <v>0</v>
      </c>
      <c r="CU73" s="27" t="n">
        <v>0</v>
      </c>
      <c r="CV73" s="27" t="n">
        <v>0</v>
      </c>
      <c r="CW73" s="27" t="n">
        <v>0</v>
      </c>
      <c r="CX73" s="27" t="n">
        <v>0</v>
      </c>
      <c r="CY73" s="27" t="n">
        <v>0</v>
      </c>
      <c r="CZ73" s="27" t="n">
        <v>0</v>
      </c>
      <c r="DA73" s="27" t="n">
        <v>0</v>
      </c>
    </row>
    <row r="74">
      <c r="A74" t="inlineStr">
        <is>
          <t>TPP-699</t>
        </is>
      </c>
      <c r="B74" s="27" t="n">
        <v>0</v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0</v>
      </c>
      <c r="J74" s="27" t="n">
        <v>0</v>
      </c>
      <c r="K74" s="27" t="n">
        <v>0</v>
      </c>
      <c r="L74" s="27" t="n">
        <v>0</v>
      </c>
      <c r="M74" s="27" t="n">
        <v>0</v>
      </c>
      <c r="N74" s="27" t="n">
        <v>0</v>
      </c>
      <c r="O74" s="27" t="n">
        <v>0</v>
      </c>
      <c r="P74" s="27" t="n">
        <v>0</v>
      </c>
      <c r="Q74" s="27" t="n">
        <v>0</v>
      </c>
      <c r="R74" s="27" t="n">
        <v>0</v>
      </c>
      <c r="S74" s="27" t="n">
        <v>0</v>
      </c>
      <c r="T74" s="27" t="n">
        <v>0</v>
      </c>
      <c r="U74" s="27" t="n">
        <v>0</v>
      </c>
      <c r="V74" s="27" t="n">
        <v>0</v>
      </c>
      <c r="W74" s="27" t="n">
        <v>0</v>
      </c>
      <c r="X74" s="27" t="n">
        <v>0</v>
      </c>
      <c r="Y74" s="27" t="n">
        <v>0</v>
      </c>
      <c r="Z74" s="27" t="n">
        <v>0</v>
      </c>
      <c r="AA74" s="27" t="n">
        <v>0</v>
      </c>
      <c r="AB74" s="27" t="n">
        <v>0</v>
      </c>
      <c r="AC74" s="27" t="n">
        <v>0</v>
      </c>
      <c r="AD74" s="27" t="n">
        <v>0</v>
      </c>
      <c r="AE74" s="27" t="n">
        <v>0</v>
      </c>
      <c r="AF74" s="27" t="n">
        <v>0</v>
      </c>
      <c r="AG74" s="27" t="n">
        <v>0</v>
      </c>
      <c r="AH74" s="27" t="n">
        <v>0</v>
      </c>
      <c r="AI74" s="27" t="n">
        <v>0</v>
      </c>
      <c r="AJ74" s="27" t="n">
        <v>0</v>
      </c>
      <c r="AK74" s="27" t="n">
        <v>0</v>
      </c>
      <c r="AL74" s="27" t="n">
        <v>0</v>
      </c>
      <c r="AM74" s="27" t="n">
        <v>0</v>
      </c>
      <c r="AN74" s="27" t="n">
        <v>0</v>
      </c>
      <c r="AO74" s="27" t="n">
        <v>0</v>
      </c>
      <c r="AP74" s="27" t="n">
        <v>0</v>
      </c>
      <c r="AQ74" s="27" t="n">
        <v>0</v>
      </c>
      <c r="AR74" s="27" t="n">
        <v>0</v>
      </c>
      <c r="AS74" s="27" t="n">
        <v>0</v>
      </c>
      <c r="AT74" s="27" t="n">
        <v>0</v>
      </c>
      <c r="AU74" s="27" t="n">
        <v>0</v>
      </c>
      <c r="AV74" s="27" t="n">
        <v>0</v>
      </c>
      <c r="AW74" s="27" t="n">
        <v>0</v>
      </c>
      <c r="AX74" s="27" t="n">
        <v>0</v>
      </c>
      <c r="AY74" s="27" t="n">
        <v>0</v>
      </c>
      <c r="AZ74" s="27" t="n">
        <v>0</v>
      </c>
      <c r="BA74" s="27" t="n">
        <v>0</v>
      </c>
      <c r="BB74" s="27" t="n">
        <v>0</v>
      </c>
      <c r="BC74" s="27" t="n">
        <v>0</v>
      </c>
      <c r="BD74" s="27" t="n">
        <v>0</v>
      </c>
      <c r="BE74" s="27" t="n">
        <v>0</v>
      </c>
      <c r="BF74" s="27" t="n">
        <v>0</v>
      </c>
      <c r="BG74" s="27" t="n">
        <v>0</v>
      </c>
      <c r="BH74" s="27" t="n">
        <v>0</v>
      </c>
      <c r="BI74" s="27" t="n">
        <v>0</v>
      </c>
      <c r="BJ74" s="27" t="n">
        <v>0</v>
      </c>
      <c r="BK74" s="27" t="n">
        <v>0</v>
      </c>
      <c r="BL74" s="27" t="n">
        <v>0</v>
      </c>
      <c r="BM74" s="27" t="n">
        <v>0</v>
      </c>
      <c r="BN74" s="27" t="n">
        <v>0</v>
      </c>
      <c r="BO74" s="27" t="n">
        <v>0</v>
      </c>
      <c r="BP74" s="27" t="n">
        <v>0</v>
      </c>
      <c r="BQ74" s="27" t="n">
        <v>0</v>
      </c>
      <c r="BR74" s="27" t="n">
        <v>0</v>
      </c>
      <c r="BS74" s="27" t="n">
        <v>0</v>
      </c>
      <c r="BT74" s="27" t="n">
        <v>0</v>
      </c>
      <c r="BU74" s="27" t="n">
        <v>0</v>
      </c>
      <c r="BV74" s="27" t="n">
        <v>0</v>
      </c>
      <c r="BW74" s="27" t="n">
        <v>0</v>
      </c>
      <c r="BX74" s="27" t="n">
        <v>0</v>
      </c>
      <c r="BY74" s="27" t="n">
        <v>0</v>
      </c>
      <c r="BZ74" s="27" t="n">
        <v>0</v>
      </c>
      <c r="CA74" s="27" t="n">
        <v>0</v>
      </c>
      <c r="CB74" s="27" t="n">
        <v>0</v>
      </c>
      <c r="CC74" s="27" t="n">
        <v>0</v>
      </c>
      <c r="CD74" s="27" t="n">
        <v>0</v>
      </c>
      <c r="CE74" s="27" t="n">
        <v>0</v>
      </c>
      <c r="CF74" s="27" t="n">
        <v>0</v>
      </c>
      <c r="CG74" s="27" t="n">
        <v>0</v>
      </c>
      <c r="CH74" s="27" t="n">
        <v>0</v>
      </c>
      <c r="CI74" s="27" t="n">
        <v>0</v>
      </c>
      <c r="CJ74" s="27" t="n">
        <v>0</v>
      </c>
      <c r="CK74" s="27" t="n">
        <v>0</v>
      </c>
      <c r="CL74" s="27" t="n">
        <v>0</v>
      </c>
      <c r="CM74" s="27" t="n">
        <v>0</v>
      </c>
      <c r="CN74" s="27" t="n">
        <v>0</v>
      </c>
      <c r="CO74" s="27" t="n">
        <v>0</v>
      </c>
      <c r="CP74" s="27" t="n">
        <v>0</v>
      </c>
      <c r="CQ74" s="27" t="n">
        <v>0</v>
      </c>
      <c r="CR74" s="27" t="n">
        <v>0</v>
      </c>
      <c r="CS74" s="27" t="n">
        <v>0</v>
      </c>
      <c r="CT74" s="27" t="n">
        <v>0</v>
      </c>
      <c r="CU74" s="27" t="n">
        <v>0</v>
      </c>
      <c r="CV74" s="27" t="n">
        <v>0</v>
      </c>
      <c r="CW74" s="27" t="n">
        <v>0</v>
      </c>
      <c r="CX74" s="27" t="n">
        <v>0</v>
      </c>
      <c r="CY74" s="27" t="n">
        <v>0</v>
      </c>
      <c r="CZ74" s="27" t="n">
        <v>0</v>
      </c>
      <c r="DA74" s="27" t="n">
        <v>0</v>
      </c>
    </row>
    <row r="75">
      <c r="A75" t="inlineStr">
        <is>
          <t>TPP-700</t>
        </is>
      </c>
      <c r="B75" s="27" t="n">
        <v>0</v>
      </c>
      <c r="C75" s="27" t="n">
        <v>0</v>
      </c>
      <c r="D75" s="27" t="n">
        <v>0</v>
      </c>
      <c r="E75" s="27" t="n">
        <v>0</v>
      </c>
      <c r="F75" s="27" t="n">
        <v>0</v>
      </c>
      <c r="G75" s="27" t="n">
        <v>0</v>
      </c>
      <c r="H75" s="27" t="n">
        <v>0</v>
      </c>
      <c r="I75" s="27" t="n">
        <v>0</v>
      </c>
      <c r="J75" s="27" t="n">
        <v>0</v>
      </c>
      <c r="K75" s="27" t="n">
        <v>0</v>
      </c>
      <c r="L75" s="27" t="n">
        <v>0</v>
      </c>
      <c r="M75" s="27" t="n">
        <v>0</v>
      </c>
      <c r="N75" s="27" t="n">
        <v>0</v>
      </c>
      <c r="O75" s="27" t="n">
        <v>0</v>
      </c>
      <c r="P75" s="27" t="n">
        <v>0</v>
      </c>
      <c r="Q75" s="27" t="n">
        <v>0</v>
      </c>
      <c r="R75" s="27" t="n">
        <v>0</v>
      </c>
      <c r="S75" s="27" t="n">
        <v>0</v>
      </c>
      <c r="T75" s="27" t="n">
        <v>0</v>
      </c>
      <c r="U75" s="27" t="n">
        <v>0</v>
      </c>
      <c r="V75" s="27" t="n">
        <v>0</v>
      </c>
      <c r="W75" s="27" t="n">
        <v>0</v>
      </c>
      <c r="X75" s="27" t="n">
        <v>0</v>
      </c>
      <c r="Y75" s="27" t="n">
        <v>0</v>
      </c>
      <c r="Z75" s="27" t="n">
        <v>0</v>
      </c>
      <c r="AA75" s="27" t="n">
        <v>0</v>
      </c>
      <c r="AB75" s="27" t="n">
        <v>0</v>
      </c>
      <c r="AC75" s="27" t="n">
        <v>0</v>
      </c>
      <c r="AD75" s="27" t="n">
        <v>0</v>
      </c>
      <c r="AE75" s="27" t="n">
        <v>0</v>
      </c>
      <c r="AF75" s="27" t="n">
        <v>0</v>
      </c>
      <c r="AG75" s="27" t="n">
        <v>0</v>
      </c>
      <c r="AH75" s="27" t="n">
        <v>0</v>
      </c>
      <c r="AI75" s="27" t="n">
        <v>0</v>
      </c>
      <c r="AJ75" s="27" t="n">
        <v>0</v>
      </c>
      <c r="AK75" s="27" t="n">
        <v>0</v>
      </c>
      <c r="AL75" s="27" t="n">
        <v>0</v>
      </c>
      <c r="AM75" s="27" t="n">
        <v>0</v>
      </c>
      <c r="AN75" s="27" t="n">
        <v>0</v>
      </c>
      <c r="AO75" s="27" t="n">
        <v>0</v>
      </c>
      <c r="AP75" s="27" t="n">
        <v>0</v>
      </c>
      <c r="AQ75" s="27" t="n">
        <v>0</v>
      </c>
      <c r="AR75" s="27" t="n">
        <v>0</v>
      </c>
      <c r="AS75" s="27" t="n">
        <v>0</v>
      </c>
      <c r="AT75" s="27" t="n">
        <v>0</v>
      </c>
      <c r="AU75" s="27" t="n">
        <v>0</v>
      </c>
      <c r="AV75" s="27" t="n">
        <v>0</v>
      </c>
      <c r="AW75" s="27" t="n">
        <v>0</v>
      </c>
      <c r="AX75" s="27" t="n">
        <v>0</v>
      </c>
      <c r="AY75" s="27" t="n">
        <v>0</v>
      </c>
      <c r="AZ75" s="27" t="n">
        <v>0</v>
      </c>
      <c r="BA75" s="27" t="n">
        <v>0</v>
      </c>
      <c r="BB75" s="27" t="n">
        <v>0</v>
      </c>
      <c r="BC75" s="27" t="n">
        <v>0</v>
      </c>
      <c r="BD75" s="27" t="n">
        <v>0</v>
      </c>
      <c r="BE75" s="27" t="n">
        <v>0</v>
      </c>
      <c r="BF75" s="27" t="n">
        <v>0</v>
      </c>
      <c r="BG75" s="27" t="n">
        <v>0</v>
      </c>
      <c r="BH75" s="27" t="n">
        <v>0</v>
      </c>
      <c r="BI75" s="27" t="n">
        <v>0</v>
      </c>
      <c r="BJ75" s="27" t="n">
        <v>0</v>
      </c>
      <c r="BK75" s="27" t="n">
        <v>0</v>
      </c>
      <c r="BL75" s="27" t="n">
        <v>0</v>
      </c>
      <c r="BM75" s="27" t="n">
        <v>0</v>
      </c>
      <c r="BN75" s="27" t="n">
        <v>0</v>
      </c>
      <c r="BO75" s="27" t="n">
        <v>0</v>
      </c>
      <c r="BP75" s="27" t="n">
        <v>0</v>
      </c>
      <c r="BQ75" s="27" t="n">
        <v>0</v>
      </c>
      <c r="BR75" s="27" t="n">
        <v>0</v>
      </c>
      <c r="BS75" s="27" t="n">
        <v>0</v>
      </c>
      <c r="BT75" s="27" t="n">
        <v>0</v>
      </c>
      <c r="BU75" s="27" t="n">
        <v>0</v>
      </c>
      <c r="BV75" s="27" t="n">
        <v>0</v>
      </c>
      <c r="BW75" s="27" t="n">
        <v>0</v>
      </c>
      <c r="BX75" s="27" t="n">
        <v>0</v>
      </c>
      <c r="BY75" s="27" t="n">
        <v>0</v>
      </c>
      <c r="BZ75" s="27" t="n">
        <v>0</v>
      </c>
      <c r="CA75" s="27" t="n">
        <v>0</v>
      </c>
      <c r="CB75" s="27" t="n">
        <v>0</v>
      </c>
      <c r="CC75" s="27" t="n">
        <v>0</v>
      </c>
      <c r="CD75" s="27" t="n">
        <v>0</v>
      </c>
      <c r="CE75" s="27" t="n">
        <v>0</v>
      </c>
      <c r="CF75" s="27" t="n">
        <v>0</v>
      </c>
      <c r="CG75" s="27" t="n">
        <v>0</v>
      </c>
      <c r="CH75" s="27" t="n">
        <v>0</v>
      </c>
      <c r="CI75" s="27" t="n">
        <v>0</v>
      </c>
      <c r="CJ75" s="27" t="n">
        <v>0</v>
      </c>
      <c r="CK75" s="27" t="n">
        <v>0</v>
      </c>
      <c r="CL75" s="27" t="n">
        <v>0</v>
      </c>
      <c r="CM75" s="27" t="n">
        <v>0</v>
      </c>
      <c r="CN75" s="27" t="n">
        <v>0</v>
      </c>
      <c r="CO75" s="27" t="n">
        <v>0</v>
      </c>
      <c r="CP75" s="27" t="n">
        <v>0</v>
      </c>
      <c r="CQ75" s="27" t="n">
        <v>0</v>
      </c>
      <c r="CR75" s="27" t="n">
        <v>0</v>
      </c>
      <c r="CS75" s="27" t="n">
        <v>0</v>
      </c>
      <c r="CT75" s="27" t="n">
        <v>0</v>
      </c>
      <c r="CU75" s="27" t="n">
        <v>0</v>
      </c>
      <c r="CV75" s="27" t="n">
        <v>0</v>
      </c>
      <c r="CW75" s="27" t="n">
        <v>0</v>
      </c>
      <c r="CX75" s="27" t="n">
        <v>0</v>
      </c>
      <c r="CY75" s="27" t="n">
        <v>0</v>
      </c>
      <c r="CZ75" s="27" t="n">
        <v>0</v>
      </c>
      <c r="DA75" s="27" t="n">
        <v>0</v>
      </c>
    </row>
    <row r="76">
      <c r="A76" t="inlineStr">
        <is>
          <t>TPP-701</t>
        </is>
      </c>
      <c r="B76" s="27" t="n">
        <v>0</v>
      </c>
      <c r="C76" s="27" t="n">
        <v>0</v>
      </c>
      <c r="D76" s="27" t="n">
        <v>0</v>
      </c>
      <c r="E76" s="27" t="n">
        <v>0</v>
      </c>
      <c r="F76" s="27" t="n">
        <v>0</v>
      </c>
      <c r="G76" s="27" t="n">
        <v>0</v>
      </c>
      <c r="H76" s="27" t="n">
        <v>0</v>
      </c>
      <c r="I76" s="27" t="n">
        <v>0</v>
      </c>
      <c r="J76" s="27" t="n">
        <v>0</v>
      </c>
      <c r="K76" s="27" t="n">
        <v>0</v>
      </c>
      <c r="L76" s="27" t="n">
        <v>0</v>
      </c>
      <c r="M76" s="27" t="n">
        <v>0</v>
      </c>
      <c r="N76" s="27" t="n">
        <v>0</v>
      </c>
      <c r="O76" s="27" t="n">
        <v>0</v>
      </c>
      <c r="P76" s="27" t="n">
        <v>0</v>
      </c>
      <c r="Q76" s="27" t="n">
        <v>0</v>
      </c>
      <c r="R76" s="27" t="n">
        <v>0</v>
      </c>
      <c r="S76" s="27" t="n">
        <v>0</v>
      </c>
      <c r="T76" s="27" t="n">
        <v>0</v>
      </c>
      <c r="U76" s="27" t="n">
        <v>0</v>
      </c>
      <c r="V76" s="27" t="n">
        <v>0</v>
      </c>
      <c r="W76" s="27" t="n">
        <v>0</v>
      </c>
      <c r="X76" s="27" t="n">
        <v>0</v>
      </c>
      <c r="Y76" s="27" t="n">
        <v>0</v>
      </c>
      <c r="Z76" s="27" t="n">
        <v>0</v>
      </c>
      <c r="AA76" s="27" t="n">
        <v>0</v>
      </c>
      <c r="AB76" s="27" t="n">
        <v>0</v>
      </c>
      <c r="AC76" s="27" t="n">
        <v>0</v>
      </c>
      <c r="AD76" s="27" t="n">
        <v>0</v>
      </c>
      <c r="AE76" s="27" t="n">
        <v>0</v>
      </c>
      <c r="AF76" s="27" t="n">
        <v>0</v>
      </c>
      <c r="AG76" s="27" t="n">
        <v>0</v>
      </c>
      <c r="AH76" s="27" t="n">
        <v>0</v>
      </c>
      <c r="AI76" s="27" t="n">
        <v>0</v>
      </c>
      <c r="AJ76" s="27" t="n">
        <v>0</v>
      </c>
      <c r="AK76" s="27" t="n">
        <v>0</v>
      </c>
      <c r="AL76" s="27" t="n">
        <v>0</v>
      </c>
      <c r="AM76" s="27" t="n">
        <v>0</v>
      </c>
      <c r="AN76" s="27" t="n">
        <v>0</v>
      </c>
      <c r="AO76" s="27" t="n">
        <v>0</v>
      </c>
      <c r="AP76" s="27" t="n">
        <v>0</v>
      </c>
      <c r="AQ76" s="27" t="n">
        <v>0</v>
      </c>
      <c r="AR76" s="27" t="n">
        <v>0</v>
      </c>
      <c r="AS76" s="27" t="n">
        <v>0</v>
      </c>
      <c r="AT76" s="27" t="n">
        <v>0</v>
      </c>
      <c r="AU76" s="27" t="n">
        <v>0</v>
      </c>
      <c r="AV76" s="27" t="n">
        <v>0</v>
      </c>
      <c r="AW76" s="27" t="n">
        <v>0</v>
      </c>
      <c r="AX76" s="27" t="n">
        <v>0</v>
      </c>
      <c r="AY76" s="27" t="n">
        <v>0</v>
      </c>
      <c r="AZ76" s="27" t="n">
        <v>0</v>
      </c>
      <c r="BA76" s="27" t="n">
        <v>0</v>
      </c>
      <c r="BB76" s="27" t="n">
        <v>0</v>
      </c>
      <c r="BC76" s="27" t="n">
        <v>0</v>
      </c>
      <c r="BD76" s="27" t="n">
        <v>0</v>
      </c>
      <c r="BE76" s="27" t="n">
        <v>0</v>
      </c>
      <c r="BF76" s="27" t="n">
        <v>0</v>
      </c>
      <c r="BG76" s="27" t="n">
        <v>0</v>
      </c>
      <c r="BH76" s="27" t="n">
        <v>0</v>
      </c>
      <c r="BI76" s="27" t="n">
        <v>0</v>
      </c>
      <c r="BJ76" s="27" t="n">
        <v>0</v>
      </c>
      <c r="BK76" s="27" t="n">
        <v>0</v>
      </c>
      <c r="BL76" s="27" t="n">
        <v>0</v>
      </c>
      <c r="BM76" s="27" t="n">
        <v>0</v>
      </c>
      <c r="BN76" s="27" t="n">
        <v>0</v>
      </c>
      <c r="BO76" s="27" t="n">
        <v>0</v>
      </c>
      <c r="BP76" s="27" t="n">
        <v>0</v>
      </c>
      <c r="BQ76" s="27" t="n">
        <v>0</v>
      </c>
      <c r="BR76" s="27" t="n">
        <v>0</v>
      </c>
      <c r="BS76" s="27" t="n">
        <v>0</v>
      </c>
      <c r="BT76" s="27" t="n">
        <v>0</v>
      </c>
      <c r="BU76" s="27" t="n">
        <v>0</v>
      </c>
      <c r="BV76" s="27" t="n">
        <v>0</v>
      </c>
      <c r="BW76" s="27" t="n">
        <v>0</v>
      </c>
      <c r="BX76" s="27" t="n">
        <v>0</v>
      </c>
      <c r="BY76" s="27" t="n">
        <v>0</v>
      </c>
      <c r="BZ76" s="27" t="n">
        <v>0</v>
      </c>
      <c r="CA76" s="27" t="n">
        <v>0</v>
      </c>
      <c r="CB76" s="27" t="n">
        <v>0</v>
      </c>
      <c r="CC76" s="27" t="n">
        <v>0</v>
      </c>
      <c r="CD76" s="27" t="n">
        <v>0</v>
      </c>
      <c r="CE76" s="27" t="n">
        <v>0</v>
      </c>
      <c r="CF76" s="27" t="n">
        <v>0</v>
      </c>
      <c r="CG76" s="27" t="n">
        <v>0</v>
      </c>
      <c r="CH76" s="27" t="n">
        <v>0</v>
      </c>
      <c r="CI76" s="27" t="n">
        <v>0</v>
      </c>
      <c r="CJ76" s="27" t="n">
        <v>0</v>
      </c>
      <c r="CK76" s="27" t="n">
        <v>0</v>
      </c>
      <c r="CL76" s="27" t="n">
        <v>0</v>
      </c>
      <c r="CM76" s="27" t="n">
        <v>0</v>
      </c>
      <c r="CN76" s="27" t="n">
        <v>0</v>
      </c>
      <c r="CO76" s="27" t="n">
        <v>0</v>
      </c>
      <c r="CP76" s="27" t="n">
        <v>0</v>
      </c>
      <c r="CQ76" s="27" t="n">
        <v>0</v>
      </c>
      <c r="CR76" s="27" t="n">
        <v>0</v>
      </c>
      <c r="CS76" s="27" t="n">
        <v>0</v>
      </c>
      <c r="CT76" s="27" t="n">
        <v>0</v>
      </c>
      <c r="CU76" s="27" t="n">
        <v>0</v>
      </c>
      <c r="CV76" s="27" t="n">
        <v>0</v>
      </c>
      <c r="CW76" s="27" t="n">
        <v>0</v>
      </c>
      <c r="CX76" s="27" t="n">
        <v>0</v>
      </c>
      <c r="CY76" s="27" t="n">
        <v>0</v>
      </c>
      <c r="CZ76" s="27" t="n">
        <v>0</v>
      </c>
      <c r="DA76" s="27" t="n">
        <v>0</v>
      </c>
    </row>
    <row r="77">
      <c r="A77" t="inlineStr">
        <is>
          <t>TPP-825</t>
        </is>
      </c>
      <c r="B77" s="27" t="n">
        <v>0</v>
      </c>
      <c r="C77" s="27" t="n">
        <v>0</v>
      </c>
      <c r="D77" s="27" t="n">
        <v>0</v>
      </c>
      <c r="E77" s="27" t="n">
        <v>0</v>
      </c>
      <c r="F77" s="27" t="n">
        <v>0</v>
      </c>
      <c r="G77" s="27" t="n">
        <v>0</v>
      </c>
      <c r="H77" s="27" t="n">
        <v>0</v>
      </c>
      <c r="I77" s="27" t="n">
        <v>0</v>
      </c>
      <c r="J77" s="27" t="n">
        <v>0</v>
      </c>
      <c r="K77" s="27" t="n">
        <v>0</v>
      </c>
      <c r="L77" s="27" t="n">
        <v>0</v>
      </c>
      <c r="M77" s="27" t="n">
        <v>0</v>
      </c>
      <c r="N77" s="27" t="n">
        <v>0</v>
      </c>
      <c r="O77" s="27" t="n">
        <v>0</v>
      </c>
      <c r="P77" s="27" t="n">
        <v>0</v>
      </c>
      <c r="Q77" s="27" t="n">
        <v>0</v>
      </c>
      <c r="R77" s="27" t="n">
        <v>0</v>
      </c>
      <c r="S77" s="27" t="n">
        <v>0</v>
      </c>
      <c r="T77" s="27" t="n">
        <v>0</v>
      </c>
      <c r="U77" s="27" t="n">
        <v>0</v>
      </c>
      <c r="V77" s="27" t="n">
        <v>0</v>
      </c>
      <c r="W77" s="27" t="n">
        <v>0</v>
      </c>
      <c r="X77" s="27" t="n">
        <v>0</v>
      </c>
      <c r="Y77" s="27" t="n">
        <v>0</v>
      </c>
      <c r="Z77" s="27" t="n">
        <v>0</v>
      </c>
      <c r="AA77" s="27" t="n">
        <v>0</v>
      </c>
      <c r="AB77" s="27" t="n">
        <v>0</v>
      </c>
      <c r="AC77" s="27" t="n">
        <v>0</v>
      </c>
      <c r="AD77" s="27" t="n">
        <v>0</v>
      </c>
      <c r="AE77" s="27" t="n">
        <v>0</v>
      </c>
      <c r="AF77" s="27" t="n">
        <v>0</v>
      </c>
      <c r="AG77" s="27" t="n">
        <v>0</v>
      </c>
      <c r="AH77" s="27" t="n">
        <v>0</v>
      </c>
      <c r="AI77" s="27" t="n">
        <v>0</v>
      </c>
      <c r="AJ77" s="27" t="n">
        <v>0</v>
      </c>
      <c r="AK77" s="27" t="n">
        <v>0</v>
      </c>
      <c r="AL77" s="27" t="n">
        <v>0</v>
      </c>
      <c r="AM77" s="27" t="n">
        <v>0</v>
      </c>
      <c r="AN77" s="27" t="n">
        <v>0</v>
      </c>
      <c r="AO77" s="27" t="n">
        <v>0</v>
      </c>
      <c r="AP77" s="27" t="n">
        <v>0</v>
      </c>
      <c r="AQ77" s="27" t="n">
        <v>0</v>
      </c>
      <c r="AR77" s="27" t="n">
        <v>0</v>
      </c>
      <c r="AS77" s="27" t="n">
        <v>0</v>
      </c>
      <c r="AT77" s="27" t="n">
        <v>0</v>
      </c>
      <c r="AU77" s="27" t="n">
        <v>0</v>
      </c>
      <c r="AV77" s="27" t="n">
        <v>0</v>
      </c>
      <c r="AW77" s="27" t="n">
        <v>0</v>
      </c>
      <c r="AX77" s="27" t="n">
        <v>0</v>
      </c>
      <c r="AY77" s="27" t="n">
        <v>0</v>
      </c>
      <c r="AZ77" s="27" t="n">
        <v>0</v>
      </c>
      <c r="BA77" s="27" t="n">
        <v>0</v>
      </c>
      <c r="BB77" s="27" t="n">
        <v>0</v>
      </c>
      <c r="BC77" s="27" t="n">
        <v>0</v>
      </c>
      <c r="BD77" s="27" t="n">
        <v>0</v>
      </c>
      <c r="BE77" s="27" t="n">
        <v>0</v>
      </c>
      <c r="BF77" s="27" t="n">
        <v>0</v>
      </c>
      <c r="BG77" s="27" t="n">
        <v>0</v>
      </c>
      <c r="BH77" s="27" t="n">
        <v>0</v>
      </c>
      <c r="BI77" s="27" t="n">
        <v>0</v>
      </c>
      <c r="BJ77" s="27" t="n">
        <v>0</v>
      </c>
      <c r="BK77" s="27" t="n">
        <v>0</v>
      </c>
      <c r="BL77" s="27" t="n">
        <v>0</v>
      </c>
      <c r="BM77" s="27" t="n">
        <v>0</v>
      </c>
      <c r="BN77" s="27" t="n">
        <v>0</v>
      </c>
      <c r="BO77" s="27" t="n">
        <v>0</v>
      </c>
      <c r="BP77" s="27" t="n">
        <v>0</v>
      </c>
      <c r="BQ77" s="27" t="n">
        <v>0</v>
      </c>
      <c r="BR77" s="27" t="n">
        <v>0</v>
      </c>
      <c r="BS77" s="27" t="n">
        <v>0</v>
      </c>
      <c r="BT77" s="27" t="n">
        <v>0</v>
      </c>
      <c r="BU77" s="27" t="n">
        <v>0</v>
      </c>
      <c r="BV77" s="27" t="n">
        <v>0</v>
      </c>
      <c r="BW77" s="27" t="n">
        <v>0</v>
      </c>
      <c r="BX77" s="27" t="n">
        <v>0</v>
      </c>
      <c r="BY77" s="27" t="n">
        <v>0</v>
      </c>
      <c r="BZ77" s="27" t="n">
        <v>0</v>
      </c>
      <c r="CA77" s="27" t="n">
        <v>0</v>
      </c>
      <c r="CB77" s="27" t="n">
        <v>0</v>
      </c>
      <c r="CC77" s="27" t="n">
        <v>0</v>
      </c>
      <c r="CD77" s="27" t="n">
        <v>0</v>
      </c>
      <c r="CE77" s="27" t="n">
        <v>0</v>
      </c>
      <c r="CF77" s="27" t="n">
        <v>0</v>
      </c>
      <c r="CG77" s="27" t="n">
        <v>0</v>
      </c>
      <c r="CH77" s="27" t="n">
        <v>0</v>
      </c>
      <c r="CI77" s="27" t="n">
        <v>0</v>
      </c>
      <c r="CJ77" s="27" t="n">
        <v>0</v>
      </c>
      <c r="CK77" s="27" t="n">
        <v>0</v>
      </c>
      <c r="CL77" s="27" t="n">
        <v>0</v>
      </c>
      <c r="CM77" s="27" t="n">
        <v>0</v>
      </c>
      <c r="CN77" s="27" t="n">
        <v>0</v>
      </c>
      <c r="CO77" s="27" t="n">
        <v>0</v>
      </c>
      <c r="CP77" s="27" t="n">
        <v>0</v>
      </c>
      <c r="CQ77" s="27" t="n">
        <v>0</v>
      </c>
      <c r="CR77" s="27" t="n">
        <v>0</v>
      </c>
      <c r="CS77" s="27" t="n">
        <v>0</v>
      </c>
      <c r="CT77" s="27" t="n">
        <v>0</v>
      </c>
      <c r="CU77" s="27" t="n">
        <v>0</v>
      </c>
      <c r="CV77" s="27" t="n">
        <v>0</v>
      </c>
      <c r="CW77" s="27" t="n">
        <v>0</v>
      </c>
      <c r="CX77" s="27" t="n">
        <v>0</v>
      </c>
      <c r="CY77" s="27" t="n">
        <v>0</v>
      </c>
      <c r="CZ77" s="27" t="n">
        <v>0</v>
      </c>
      <c r="DA77" s="27" t="n">
        <v>0</v>
      </c>
    </row>
    <row r="78">
      <c r="A78" t="inlineStr">
        <is>
          <t>TPP-911</t>
        </is>
      </c>
      <c r="B78" s="27" t="n">
        <v>0</v>
      </c>
      <c r="C78" s="27" t="n">
        <v>0</v>
      </c>
      <c r="D78" s="27" t="n">
        <v>0</v>
      </c>
      <c r="E78" s="27" t="n">
        <v>0</v>
      </c>
      <c r="F78" s="27" t="n">
        <v>0</v>
      </c>
      <c r="G78" s="27" t="n">
        <v>3</v>
      </c>
      <c r="H78" s="27" t="n">
        <v>0</v>
      </c>
      <c r="I78" s="27" t="n">
        <v>0</v>
      </c>
      <c r="J78" s="27" t="n">
        <v>0</v>
      </c>
      <c r="K78" s="27" t="n">
        <v>0</v>
      </c>
      <c r="L78" s="27" t="n">
        <v>0</v>
      </c>
      <c r="M78" s="27" t="n">
        <v>0</v>
      </c>
      <c r="N78" s="27" t="n">
        <v>0</v>
      </c>
      <c r="O78" s="27" t="n">
        <v>0</v>
      </c>
      <c r="P78" s="27" t="n">
        <v>3</v>
      </c>
      <c r="Q78" s="27" t="n">
        <v>0</v>
      </c>
      <c r="R78" s="27" t="n">
        <v>0</v>
      </c>
      <c r="S78" s="27" t="n">
        <v>0</v>
      </c>
      <c r="T78" s="27" t="n">
        <v>0</v>
      </c>
      <c r="U78" s="27" t="n">
        <v>0</v>
      </c>
      <c r="V78" s="27" t="n">
        <v>0</v>
      </c>
      <c r="W78" s="27" t="n">
        <v>0</v>
      </c>
      <c r="X78" s="27" t="n">
        <v>0</v>
      </c>
      <c r="Y78" s="27" t="n">
        <v>0</v>
      </c>
      <c r="Z78" s="27" t="n">
        <v>0</v>
      </c>
      <c r="AA78" s="27" t="n">
        <v>0</v>
      </c>
      <c r="AB78" s="27" t="n">
        <v>0</v>
      </c>
      <c r="AC78" s="27" t="n">
        <v>0</v>
      </c>
      <c r="AD78" s="27" t="n">
        <v>0</v>
      </c>
      <c r="AE78" s="27" t="n">
        <v>0</v>
      </c>
      <c r="AF78" s="27" t="n">
        <v>0</v>
      </c>
      <c r="AG78" s="27" t="n">
        <v>0</v>
      </c>
      <c r="AH78" s="27" t="n">
        <v>0</v>
      </c>
      <c r="AI78" s="27" t="n">
        <v>0</v>
      </c>
      <c r="AJ78" s="27" t="n">
        <v>0</v>
      </c>
      <c r="AK78" s="27" t="n">
        <v>3</v>
      </c>
      <c r="AL78" s="27" t="n">
        <v>0</v>
      </c>
      <c r="AM78" s="27" t="n">
        <v>0</v>
      </c>
      <c r="AN78" s="27" t="n">
        <v>0</v>
      </c>
      <c r="AO78" s="27" t="n">
        <v>0</v>
      </c>
      <c r="AP78" s="27" t="n">
        <v>0</v>
      </c>
      <c r="AQ78" s="27" t="n">
        <v>0</v>
      </c>
      <c r="AR78" s="27" t="n">
        <v>0</v>
      </c>
      <c r="AS78" s="27" t="n">
        <v>0</v>
      </c>
      <c r="AT78" s="27" t="n">
        <v>0</v>
      </c>
      <c r="AU78" s="27" t="n">
        <v>0</v>
      </c>
      <c r="AV78" s="27" t="n">
        <v>0</v>
      </c>
      <c r="AW78" s="27" t="n">
        <v>2</v>
      </c>
      <c r="AX78" s="27" t="n">
        <v>0</v>
      </c>
      <c r="AY78" s="27" t="n">
        <v>0</v>
      </c>
      <c r="AZ78" s="27" t="n">
        <v>0</v>
      </c>
      <c r="BA78" s="27" t="n">
        <v>0</v>
      </c>
      <c r="BB78" s="27" t="n">
        <v>0</v>
      </c>
      <c r="BC78" s="27" t="n">
        <v>0</v>
      </c>
      <c r="BD78" s="27" t="n">
        <v>0</v>
      </c>
      <c r="BE78" s="27" t="n">
        <v>0</v>
      </c>
      <c r="BF78" s="27" t="n">
        <v>0</v>
      </c>
      <c r="BG78" s="27" t="n">
        <v>0</v>
      </c>
      <c r="BH78" s="27" t="n">
        <v>0</v>
      </c>
      <c r="BI78" s="27" t="n">
        <v>0</v>
      </c>
      <c r="BJ78" s="27" t="n">
        <v>0</v>
      </c>
      <c r="BK78" s="27" t="n">
        <v>0</v>
      </c>
      <c r="BL78" s="27" t="n">
        <v>0</v>
      </c>
      <c r="BM78" s="27" t="n">
        <v>0</v>
      </c>
      <c r="BN78" s="27" t="n">
        <v>0</v>
      </c>
      <c r="BO78" s="27" t="n">
        <v>0</v>
      </c>
      <c r="BP78" s="27" t="n">
        <v>0</v>
      </c>
      <c r="BQ78" s="27" t="n">
        <v>0</v>
      </c>
      <c r="BR78" s="27" t="n">
        <v>0</v>
      </c>
      <c r="BS78" s="27" t="n">
        <v>0</v>
      </c>
      <c r="BT78" s="27" t="n">
        <v>0</v>
      </c>
      <c r="BU78" s="27" t="n">
        <v>0</v>
      </c>
      <c r="BV78" s="27" t="n">
        <v>0</v>
      </c>
      <c r="BW78" s="27" t="n">
        <v>0</v>
      </c>
      <c r="BX78" s="27" t="n">
        <v>0</v>
      </c>
      <c r="BY78" s="27" t="n">
        <v>0</v>
      </c>
      <c r="BZ78" s="27" t="n">
        <v>0</v>
      </c>
      <c r="CA78" s="27" t="n">
        <v>0</v>
      </c>
      <c r="CB78" s="27" t="n">
        <v>0</v>
      </c>
      <c r="CC78" s="27" t="n">
        <v>0</v>
      </c>
      <c r="CD78" s="27" t="n">
        <v>0</v>
      </c>
      <c r="CE78" s="27" t="n">
        <v>0</v>
      </c>
      <c r="CF78" s="27" t="n">
        <v>0</v>
      </c>
      <c r="CG78" s="27" t="n">
        <v>0</v>
      </c>
      <c r="CH78" s="27" t="n">
        <v>0</v>
      </c>
      <c r="CI78" s="27" t="n">
        <v>0</v>
      </c>
      <c r="CJ78" s="27" t="n">
        <v>0</v>
      </c>
      <c r="CK78" s="27" t="n">
        <v>0</v>
      </c>
      <c r="CL78" s="27" t="n">
        <v>0</v>
      </c>
      <c r="CM78" s="27" t="n">
        <v>0</v>
      </c>
      <c r="CN78" s="27" t="n">
        <v>0</v>
      </c>
      <c r="CO78" s="27" t="n">
        <v>0</v>
      </c>
      <c r="CP78" s="27" t="n">
        <v>0</v>
      </c>
      <c r="CQ78" s="27" t="n">
        <v>0</v>
      </c>
      <c r="CR78" s="27" t="n">
        <v>0</v>
      </c>
      <c r="CS78" s="27" t="n">
        <v>0</v>
      </c>
      <c r="CT78" s="27" t="n">
        <v>0</v>
      </c>
      <c r="CU78" s="27" t="n">
        <v>0</v>
      </c>
      <c r="CV78" s="27" t="n">
        <v>0</v>
      </c>
      <c r="CW78" s="27" t="n">
        <v>0</v>
      </c>
      <c r="CX78" s="27" t="n">
        <v>0</v>
      </c>
      <c r="CY78" s="27" t="n">
        <v>0</v>
      </c>
      <c r="CZ78" s="27" t="n">
        <v>0</v>
      </c>
      <c r="DA78" s="27" t="n">
        <v>0</v>
      </c>
    </row>
    <row r="79">
      <c r="A79" t="inlineStr">
        <is>
          <t>TPP-912</t>
        </is>
      </c>
      <c r="B79" s="27" t="n">
        <v>0</v>
      </c>
      <c r="C79" s="27" t="n">
        <v>0</v>
      </c>
      <c r="D79" s="27" t="n">
        <v>0</v>
      </c>
      <c r="E79" s="27" t="n">
        <v>0</v>
      </c>
      <c r="F79" s="27" t="n">
        <v>0</v>
      </c>
      <c r="G79" s="27" t="n">
        <v>0</v>
      </c>
      <c r="H79" s="27" t="n">
        <v>0</v>
      </c>
      <c r="I79" s="27" t="n">
        <v>0</v>
      </c>
      <c r="J79" s="27" t="n">
        <v>0</v>
      </c>
      <c r="K79" s="27" t="n">
        <v>0</v>
      </c>
      <c r="L79" s="27" t="n">
        <v>0</v>
      </c>
      <c r="M79" s="27" t="n">
        <v>0</v>
      </c>
      <c r="N79" s="27" t="n">
        <v>0</v>
      </c>
      <c r="O79" s="27" t="n">
        <v>0</v>
      </c>
      <c r="P79" s="27" t="n">
        <v>0</v>
      </c>
      <c r="Q79" s="27" t="n">
        <v>0</v>
      </c>
      <c r="R79" s="27" t="n">
        <v>0</v>
      </c>
      <c r="S79" s="27" t="n">
        <v>0</v>
      </c>
      <c r="T79" s="27" t="n">
        <v>0</v>
      </c>
      <c r="U79" s="27" t="n">
        <v>0</v>
      </c>
      <c r="V79" s="27" t="n">
        <v>0</v>
      </c>
      <c r="W79" s="27" t="n">
        <v>0</v>
      </c>
      <c r="X79" s="27" t="n">
        <v>0</v>
      </c>
      <c r="Y79" s="27" t="n">
        <v>0</v>
      </c>
      <c r="Z79" s="27" t="n">
        <v>0</v>
      </c>
      <c r="AA79" s="27" t="n">
        <v>0</v>
      </c>
      <c r="AB79" s="27" t="n">
        <v>0</v>
      </c>
      <c r="AC79" s="27" t="n">
        <v>0</v>
      </c>
      <c r="AD79" s="27" t="n">
        <v>0</v>
      </c>
      <c r="AE79" s="27" t="n">
        <v>0</v>
      </c>
      <c r="AF79" s="27" t="n">
        <v>0</v>
      </c>
      <c r="AG79" s="27" t="n">
        <v>0</v>
      </c>
      <c r="AH79" s="27" t="n">
        <v>0</v>
      </c>
      <c r="AI79" s="27" t="n">
        <v>0</v>
      </c>
      <c r="AJ79" s="27" t="n">
        <v>1</v>
      </c>
      <c r="AK79" s="27" t="n">
        <v>0</v>
      </c>
      <c r="AL79" s="27" t="n">
        <v>0</v>
      </c>
      <c r="AM79" s="27" t="n">
        <v>0</v>
      </c>
      <c r="AN79" s="27" t="n">
        <v>0</v>
      </c>
      <c r="AO79" s="27" t="n">
        <v>0</v>
      </c>
      <c r="AP79" s="27" t="n">
        <v>0</v>
      </c>
      <c r="AQ79" s="27" t="n">
        <v>0</v>
      </c>
      <c r="AR79" s="27" t="n">
        <v>0</v>
      </c>
      <c r="AS79" s="27" t="n">
        <v>0</v>
      </c>
      <c r="AT79" s="27" t="n">
        <v>0</v>
      </c>
      <c r="AU79" s="27" t="n">
        <v>0</v>
      </c>
      <c r="AV79" s="27" t="n">
        <v>0</v>
      </c>
      <c r="AW79" s="27" t="n">
        <v>0</v>
      </c>
      <c r="AX79" s="27" t="n">
        <v>0</v>
      </c>
      <c r="AY79" s="27" t="n">
        <v>0</v>
      </c>
      <c r="AZ79" s="27" t="n">
        <v>0</v>
      </c>
      <c r="BA79" s="27" t="n">
        <v>0</v>
      </c>
      <c r="BB79" s="27" t="n">
        <v>0</v>
      </c>
      <c r="BC79" s="27" t="n">
        <v>0</v>
      </c>
      <c r="BD79" s="27" t="n">
        <v>0</v>
      </c>
      <c r="BE79" s="27" t="n">
        <v>0</v>
      </c>
      <c r="BF79" s="27" t="n">
        <v>0</v>
      </c>
      <c r="BG79" s="27" t="n">
        <v>0</v>
      </c>
      <c r="BH79" s="27" t="n">
        <v>0</v>
      </c>
      <c r="BI79" s="27" t="n">
        <v>0</v>
      </c>
      <c r="BJ79" s="27" t="n">
        <v>0</v>
      </c>
      <c r="BK79" s="27" t="n">
        <v>0</v>
      </c>
      <c r="BL79" s="27" t="n">
        <v>0</v>
      </c>
      <c r="BM79" s="27" t="n">
        <v>0</v>
      </c>
      <c r="BN79" s="27" t="n">
        <v>0</v>
      </c>
      <c r="BO79" s="27" t="n">
        <v>0</v>
      </c>
      <c r="BP79" s="27" t="n">
        <v>0</v>
      </c>
      <c r="BQ79" s="27" t="n">
        <v>0</v>
      </c>
      <c r="BR79" s="27" t="n">
        <v>0</v>
      </c>
      <c r="BS79" s="27" t="n">
        <v>0</v>
      </c>
      <c r="BT79" s="27" t="n">
        <v>0</v>
      </c>
      <c r="BU79" s="27" t="n">
        <v>0</v>
      </c>
      <c r="BV79" s="27" t="n">
        <v>0</v>
      </c>
      <c r="BW79" s="27" t="n">
        <v>0</v>
      </c>
      <c r="BX79" s="27" t="n">
        <v>0</v>
      </c>
      <c r="BY79" s="27" t="n">
        <v>0</v>
      </c>
      <c r="BZ79" s="27" t="n">
        <v>0</v>
      </c>
      <c r="CA79" s="27" t="n">
        <v>0</v>
      </c>
      <c r="CB79" s="27" t="n">
        <v>0</v>
      </c>
      <c r="CC79" s="27" t="n">
        <v>0</v>
      </c>
      <c r="CD79" s="27" t="n">
        <v>0</v>
      </c>
      <c r="CE79" s="27" t="n">
        <v>0</v>
      </c>
      <c r="CF79" s="27" t="n">
        <v>0</v>
      </c>
      <c r="CG79" s="27" t="n">
        <v>0</v>
      </c>
      <c r="CH79" s="27" t="n">
        <v>0</v>
      </c>
      <c r="CI79" s="27" t="n">
        <v>0</v>
      </c>
      <c r="CJ79" s="27" t="n">
        <v>0</v>
      </c>
      <c r="CK79" s="27" t="n">
        <v>0</v>
      </c>
      <c r="CL79" s="27" t="n">
        <v>0</v>
      </c>
      <c r="CM79" s="27" t="n">
        <v>0</v>
      </c>
      <c r="CN79" s="27" t="n">
        <v>0</v>
      </c>
      <c r="CO79" s="27" t="n">
        <v>0</v>
      </c>
      <c r="CP79" s="27" t="n">
        <v>0</v>
      </c>
      <c r="CQ79" s="27" t="n">
        <v>0</v>
      </c>
      <c r="CR79" s="27" t="n">
        <v>0</v>
      </c>
      <c r="CS79" s="27" t="n">
        <v>0</v>
      </c>
      <c r="CT79" s="27" t="n">
        <v>0</v>
      </c>
      <c r="CU79" s="27" t="n">
        <v>0</v>
      </c>
      <c r="CV79" s="27" t="n">
        <v>0</v>
      </c>
      <c r="CW79" s="27" t="n">
        <v>0</v>
      </c>
      <c r="CX79" s="27" t="n">
        <v>0</v>
      </c>
      <c r="CY79" s="27" t="n">
        <v>0</v>
      </c>
      <c r="CZ79" s="27" t="n">
        <v>0</v>
      </c>
      <c r="DA79" s="27" t="n">
        <v>0</v>
      </c>
    </row>
    <row r="80">
      <c r="A80" t="inlineStr">
        <is>
          <t>TPP-914</t>
        </is>
      </c>
      <c r="B80" s="27" t="n">
        <v>0</v>
      </c>
      <c r="C80" s="27" t="n">
        <v>0</v>
      </c>
      <c r="D80" s="27" t="n">
        <v>0</v>
      </c>
      <c r="E80" s="27" t="n">
        <v>0</v>
      </c>
      <c r="F80" s="27" t="n">
        <v>0</v>
      </c>
      <c r="G80" s="27" t="n">
        <v>0</v>
      </c>
      <c r="H80" s="27" t="n">
        <v>0</v>
      </c>
      <c r="I80" s="27" t="n">
        <v>0</v>
      </c>
      <c r="J80" s="27" t="n">
        <v>0</v>
      </c>
      <c r="K80" s="27" t="n">
        <v>0</v>
      </c>
      <c r="L80" s="27" t="n">
        <v>0</v>
      </c>
      <c r="M80" s="27" t="n">
        <v>0</v>
      </c>
      <c r="N80" s="27" t="n">
        <v>0</v>
      </c>
      <c r="O80" s="27" t="n">
        <v>0</v>
      </c>
      <c r="P80" s="27" t="n">
        <v>0</v>
      </c>
      <c r="Q80" s="27" t="n">
        <v>0</v>
      </c>
      <c r="R80" s="27" t="n">
        <v>0</v>
      </c>
      <c r="S80" s="27" t="n">
        <v>0</v>
      </c>
      <c r="T80" s="27" t="n">
        <v>0</v>
      </c>
      <c r="U80" s="27" t="n">
        <v>0</v>
      </c>
      <c r="V80" s="27" t="n">
        <v>0</v>
      </c>
      <c r="W80" s="27" t="n">
        <v>0</v>
      </c>
      <c r="X80" s="27" t="n">
        <v>0</v>
      </c>
      <c r="Y80" s="27" t="n">
        <v>0</v>
      </c>
      <c r="Z80" s="27" t="n">
        <v>0</v>
      </c>
      <c r="AA80" s="27" t="n">
        <v>0</v>
      </c>
      <c r="AB80" s="27" t="n">
        <v>0</v>
      </c>
      <c r="AC80" s="27" t="n">
        <v>0</v>
      </c>
      <c r="AD80" s="27" t="n">
        <v>0</v>
      </c>
      <c r="AE80" s="27" t="n">
        <v>0</v>
      </c>
      <c r="AF80" s="27" t="n">
        <v>0</v>
      </c>
      <c r="AG80" s="27" t="n">
        <v>0</v>
      </c>
      <c r="AH80" s="27" t="n">
        <v>0</v>
      </c>
      <c r="AI80" s="27" t="n">
        <v>0</v>
      </c>
      <c r="AJ80" s="27" t="n">
        <v>0</v>
      </c>
      <c r="AK80" s="27" t="n">
        <v>0</v>
      </c>
      <c r="AL80" s="27" t="n">
        <v>0</v>
      </c>
      <c r="AM80" s="27" t="n">
        <v>0</v>
      </c>
      <c r="AN80" s="27" t="n">
        <v>0</v>
      </c>
      <c r="AO80" s="27" t="n">
        <v>0</v>
      </c>
      <c r="AP80" s="27" t="n">
        <v>0</v>
      </c>
      <c r="AQ80" s="27" t="n">
        <v>0</v>
      </c>
      <c r="AR80" s="27" t="n">
        <v>0</v>
      </c>
      <c r="AS80" s="27" t="n">
        <v>0</v>
      </c>
      <c r="AT80" s="27" t="n">
        <v>0</v>
      </c>
      <c r="AU80" s="27" t="n">
        <v>0</v>
      </c>
      <c r="AV80" s="27" t="n">
        <v>0</v>
      </c>
      <c r="AW80" s="27" t="n">
        <v>0</v>
      </c>
      <c r="AX80" s="27" t="n">
        <v>0</v>
      </c>
      <c r="AY80" s="27" t="n">
        <v>0</v>
      </c>
      <c r="AZ80" s="27" t="n">
        <v>0</v>
      </c>
      <c r="BA80" s="27" t="n">
        <v>0</v>
      </c>
      <c r="BB80" s="27" t="n">
        <v>0</v>
      </c>
      <c r="BC80" s="27" t="n">
        <v>0</v>
      </c>
      <c r="BD80" s="27" t="n">
        <v>0</v>
      </c>
      <c r="BE80" s="27" t="n">
        <v>0</v>
      </c>
      <c r="BF80" s="27" t="n">
        <v>0</v>
      </c>
      <c r="BG80" s="27" t="n">
        <v>0</v>
      </c>
      <c r="BH80" s="27" t="n">
        <v>0</v>
      </c>
      <c r="BI80" s="27" t="n">
        <v>0</v>
      </c>
      <c r="BJ80" s="27" t="n">
        <v>0</v>
      </c>
      <c r="BK80" s="27" t="n">
        <v>0</v>
      </c>
      <c r="BL80" s="27" t="n">
        <v>0</v>
      </c>
      <c r="BM80" s="27" t="n">
        <v>0</v>
      </c>
      <c r="BN80" s="27" t="n">
        <v>0</v>
      </c>
      <c r="BO80" s="27" t="n">
        <v>0</v>
      </c>
      <c r="BP80" s="27" t="n">
        <v>0</v>
      </c>
      <c r="BQ80" s="27" t="n">
        <v>0</v>
      </c>
      <c r="BR80" s="27" t="n">
        <v>0</v>
      </c>
      <c r="BS80" s="27" t="n">
        <v>0</v>
      </c>
      <c r="BT80" s="27" t="n">
        <v>0</v>
      </c>
      <c r="BU80" s="27" t="n">
        <v>0</v>
      </c>
      <c r="BV80" s="27" t="n">
        <v>0</v>
      </c>
      <c r="BW80" s="27" t="n">
        <v>0</v>
      </c>
      <c r="BX80" s="27" t="n">
        <v>0</v>
      </c>
      <c r="BY80" s="27" t="n">
        <v>0</v>
      </c>
      <c r="BZ80" s="27" t="n">
        <v>0</v>
      </c>
      <c r="CA80" s="27" t="n">
        <v>0</v>
      </c>
      <c r="CB80" s="27" t="n">
        <v>0</v>
      </c>
      <c r="CC80" s="27" t="n">
        <v>0</v>
      </c>
      <c r="CD80" s="27" t="n">
        <v>0</v>
      </c>
      <c r="CE80" s="27" t="n">
        <v>0</v>
      </c>
      <c r="CF80" s="27" t="n">
        <v>0</v>
      </c>
      <c r="CG80" s="27" t="n">
        <v>0</v>
      </c>
      <c r="CH80" s="27" t="n">
        <v>0</v>
      </c>
      <c r="CI80" s="27" t="n">
        <v>0</v>
      </c>
      <c r="CJ80" s="27" t="n">
        <v>0</v>
      </c>
      <c r="CK80" s="27" t="n">
        <v>0</v>
      </c>
      <c r="CL80" s="27" t="n">
        <v>0</v>
      </c>
      <c r="CM80" s="27" t="n">
        <v>0</v>
      </c>
      <c r="CN80" s="27" t="n">
        <v>0</v>
      </c>
      <c r="CO80" s="27" t="n">
        <v>0</v>
      </c>
      <c r="CP80" s="27" t="n">
        <v>0</v>
      </c>
      <c r="CQ80" s="27" t="n">
        <v>0</v>
      </c>
      <c r="CR80" s="27" t="n">
        <v>0</v>
      </c>
      <c r="CS80" s="27" t="n">
        <v>0</v>
      </c>
      <c r="CT80" s="27" t="n">
        <v>0</v>
      </c>
      <c r="CU80" s="27" t="n">
        <v>0</v>
      </c>
      <c r="CV80" s="27" t="n">
        <v>0</v>
      </c>
      <c r="CW80" s="27" t="n">
        <v>0</v>
      </c>
      <c r="CX80" s="27" t="n">
        <v>0</v>
      </c>
      <c r="CY80" s="27" t="n">
        <v>0</v>
      </c>
      <c r="CZ80" s="27" t="n">
        <v>0</v>
      </c>
      <c r="DA80" s="27" t="n">
        <v>0</v>
      </c>
    </row>
    <row r="81">
      <c r="A81" t="inlineStr">
        <is>
          <t>TPP-915</t>
        </is>
      </c>
      <c r="B81" s="27" t="n">
        <v>0</v>
      </c>
      <c r="C81" s="27" t="n">
        <v>0</v>
      </c>
      <c r="D81" s="27" t="n">
        <v>0</v>
      </c>
      <c r="E81" s="27" t="n">
        <v>0</v>
      </c>
      <c r="F81" s="27" t="n">
        <v>4</v>
      </c>
      <c r="G81" s="27" t="n">
        <v>0</v>
      </c>
      <c r="H81" s="27" t="n">
        <v>0</v>
      </c>
      <c r="I81" s="27" t="n">
        <v>0</v>
      </c>
      <c r="J81" s="27" t="n">
        <v>3</v>
      </c>
      <c r="K81" s="27" t="n">
        <v>0</v>
      </c>
      <c r="L81" s="27" t="n">
        <v>4</v>
      </c>
      <c r="M81" s="27" t="n">
        <v>0</v>
      </c>
      <c r="N81" s="27" t="n">
        <v>0</v>
      </c>
      <c r="O81" s="27" t="n">
        <v>0</v>
      </c>
      <c r="P81" s="27" t="n">
        <v>0</v>
      </c>
      <c r="Q81" s="27" t="n">
        <v>0</v>
      </c>
      <c r="R81" s="27" t="n">
        <v>4</v>
      </c>
      <c r="S81" s="27" t="n">
        <v>0</v>
      </c>
      <c r="T81" s="27" t="n">
        <v>0</v>
      </c>
      <c r="U81" s="27" t="n">
        <v>0</v>
      </c>
      <c r="V81" s="27" t="n">
        <v>0</v>
      </c>
      <c r="W81" s="27" t="n">
        <v>0</v>
      </c>
      <c r="X81" s="27" t="n">
        <v>0</v>
      </c>
      <c r="Y81" s="27" t="n">
        <v>0</v>
      </c>
      <c r="Z81" s="27" t="n">
        <v>0</v>
      </c>
      <c r="AA81" s="27" t="n">
        <v>0</v>
      </c>
      <c r="AB81" s="27" t="n">
        <v>0</v>
      </c>
      <c r="AC81" s="27" t="n">
        <v>0</v>
      </c>
      <c r="AD81" s="27" t="n">
        <v>0</v>
      </c>
      <c r="AE81" s="27" t="n">
        <v>0</v>
      </c>
      <c r="AF81" s="27" t="n">
        <v>0</v>
      </c>
      <c r="AG81" s="27" t="n">
        <v>2</v>
      </c>
      <c r="AH81" s="27" t="n">
        <v>0</v>
      </c>
      <c r="AI81" s="27" t="n">
        <v>0</v>
      </c>
      <c r="AJ81" s="27" t="n">
        <v>4</v>
      </c>
      <c r="AK81" s="27" t="n">
        <v>0</v>
      </c>
      <c r="AL81" s="27" t="n">
        <v>0</v>
      </c>
      <c r="AM81" s="27" t="n">
        <v>0</v>
      </c>
      <c r="AN81" s="27" t="n">
        <v>0</v>
      </c>
      <c r="AO81" s="27" t="n">
        <v>4</v>
      </c>
      <c r="AP81" s="27" t="n">
        <v>0</v>
      </c>
      <c r="AQ81" s="27" t="n">
        <v>0</v>
      </c>
      <c r="AR81" s="27" t="n">
        <v>0</v>
      </c>
      <c r="AS81" s="27" t="n">
        <v>0</v>
      </c>
      <c r="AT81" s="27" t="n">
        <v>0</v>
      </c>
      <c r="AU81" s="27" t="n">
        <v>0</v>
      </c>
      <c r="AV81" s="27" t="n">
        <v>0</v>
      </c>
      <c r="AW81" s="27" t="n">
        <v>2</v>
      </c>
      <c r="AX81" s="27" t="n">
        <v>0</v>
      </c>
      <c r="AY81" s="27" t="n">
        <v>0</v>
      </c>
      <c r="AZ81" s="27" t="n">
        <v>0</v>
      </c>
      <c r="BA81" s="27" t="n">
        <v>0</v>
      </c>
      <c r="BB81" s="27" t="n">
        <v>0</v>
      </c>
      <c r="BC81" s="27" t="n">
        <v>0</v>
      </c>
      <c r="BD81" s="27" t="n">
        <v>0</v>
      </c>
      <c r="BE81" s="27" t="n">
        <v>0</v>
      </c>
      <c r="BF81" s="27" t="n">
        <v>0</v>
      </c>
      <c r="BG81" s="27" t="n">
        <v>0</v>
      </c>
      <c r="BH81" s="27" t="n">
        <v>0</v>
      </c>
      <c r="BI81" s="27" t="n">
        <v>0</v>
      </c>
      <c r="BJ81" s="27" t="n">
        <v>0</v>
      </c>
      <c r="BK81" s="27" t="n">
        <v>0</v>
      </c>
      <c r="BL81" s="27" t="n">
        <v>0</v>
      </c>
      <c r="BM81" s="27" t="n">
        <v>0</v>
      </c>
      <c r="BN81" s="27" t="n">
        <v>0</v>
      </c>
      <c r="BO81" s="27" t="n">
        <v>0</v>
      </c>
      <c r="BP81" s="27" t="n">
        <v>0</v>
      </c>
      <c r="BQ81" s="27" t="n">
        <v>0</v>
      </c>
      <c r="BR81" s="27" t="n">
        <v>0</v>
      </c>
      <c r="BS81" s="27" t="n">
        <v>0</v>
      </c>
      <c r="BT81" s="27" t="n">
        <v>0</v>
      </c>
      <c r="BU81" s="27" t="n">
        <v>0</v>
      </c>
      <c r="BV81" s="27" t="n">
        <v>0</v>
      </c>
      <c r="BW81" s="27" t="n">
        <v>0</v>
      </c>
      <c r="BX81" s="27" t="n">
        <v>0</v>
      </c>
      <c r="BY81" s="27" t="n">
        <v>0</v>
      </c>
      <c r="BZ81" s="27" t="n">
        <v>0</v>
      </c>
      <c r="CA81" s="27" t="n">
        <v>0</v>
      </c>
      <c r="CB81" s="27" t="n">
        <v>0</v>
      </c>
      <c r="CC81" s="27" t="n">
        <v>0</v>
      </c>
      <c r="CD81" s="27" t="n">
        <v>0</v>
      </c>
      <c r="CE81" s="27" t="n">
        <v>0</v>
      </c>
      <c r="CF81" s="27" t="n">
        <v>0</v>
      </c>
      <c r="CG81" s="27" t="n">
        <v>0</v>
      </c>
      <c r="CH81" s="27" t="n">
        <v>0</v>
      </c>
      <c r="CI81" s="27" t="n">
        <v>0</v>
      </c>
      <c r="CJ81" s="27" t="n">
        <v>0</v>
      </c>
      <c r="CK81" s="27" t="n">
        <v>0</v>
      </c>
      <c r="CL81" s="27" t="n">
        <v>0</v>
      </c>
      <c r="CM81" s="27" t="n">
        <v>0</v>
      </c>
      <c r="CN81" s="27" t="n">
        <v>0</v>
      </c>
      <c r="CO81" s="27" t="n">
        <v>0</v>
      </c>
      <c r="CP81" s="27" t="n">
        <v>0</v>
      </c>
      <c r="CQ81" s="27" t="n">
        <v>0</v>
      </c>
      <c r="CR81" s="27" t="n">
        <v>0</v>
      </c>
      <c r="CS81" s="27" t="n">
        <v>0</v>
      </c>
      <c r="CT81" s="27" t="n">
        <v>0</v>
      </c>
      <c r="CU81" s="27" t="n">
        <v>0</v>
      </c>
      <c r="CV81" s="27" t="n">
        <v>0</v>
      </c>
      <c r="CW81" s="27" t="n">
        <v>0</v>
      </c>
      <c r="CX81" s="27" t="n">
        <v>0</v>
      </c>
      <c r="CY81" s="27" t="n">
        <v>0</v>
      </c>
      <c r="CZ81" s="27" t="n">
        <v>0</v>
      </c>
      <c r="DA81" s="27" t="n">
        <v>0</v>
      </c>
    </row>
    <row r="82">
      <c r="A82" t="inlineStr">
        <is>
          <t>TPP-916</t>
        </is>
      </c>
      <c r="B82" s="27" t="n">
        <v>0</v>
      </c>
      <c r="C82" s="27" t="n">
        <v>0</v>
      </c>
      <c r="D82" s="27" t="n">
        <v>0</v>
      </c>
      <c r="E82" s="27" t="n">
        <v>0</v>
      </c>
      <c r="F82" s="27" t="n">
        <v>0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  <c r="L82" s="27" t="n">
        <v>0</v>
      </c>
      <c r="M82" s="27" t="n">
        <v>0</v>
      </c>
      <c r="N82" s="27" t="n">
        <v>0</v>
      </c>
      <c r="O82" s="27" t="n">
        <v>0</v>
      </c>
      <c r="P82" s="27" t="n">
        <v>0</v>
      </c>
      <c r="Q82" s="27" t="n">
        <v>0</v>
      </c>
      <c r="R82" s="27" t="n">
        <v>0</v>
      </c>
      <c r="S82" s="27" t="n">
        <v>0</v>
      </c>
      <c r="T82" s="27" t="n">
        <v>0</v>
      </c>
      <c r="U82" s="27" t="n">
        <v>0</v>
      </c>
      <c r="V82" s="27" t="n">
        <v>0</v>
      </c>
      <c r="W82" s="27" t="n">
        <v>0</v>
      </c>
      <c r="X82" s="27" t="n">
        <v>0</v>
      </c>
      <c r="Y82" s="27" t="n">
        <v>0</v>
      </c>
      <c r="Z82" s="27" t="n">
        <v>0</v>
      </c>
      <c r="AA82" s="27" t="n">
        <v>0</v>
      </c>
      <c r="AB82" s="27" t="n">
        <v>0</v>
      </c>
      <c r="AC82" s="27" t="n">
        <v>0</v>
      </c>
      <c r="AD82" s="27" t="n">
        <v>0</v>
      </c>
      <c r="AE82" s="27" t="n">
        <v>0</v>
      </c>
      <c r="AF82" s="27" t="n">
        <v>0</v>
      </c>
      <c r="AG82" s="27" t="n">
        <v>0</v>
      </c>
      <c r="AH82" s="27" t="n">
        <v>0</v>
      </c>
      <c r="AI82" s="27" t="n">
        <v>0</v>
      </c>
      <c r="AJ82" s="27" t="n">
        <v>0</v>
      </c>
      <c r="AK82" s="27" t="n">
        <v>0</v>
      </c>
      <c r="AL82" s="27" t="n">
        <v>0</v>
      </c>
      <c r="AM82" s="27" t="n">
        <v>0</v>
      </c>
      <c r="AN82" s="27" t="n">
        <v>0</v>
      </c>
      <c r="AO82" s="27" t="n">
        <v>0</v>
      </c>
      <c r="AP82" s="27" t="n">
        <v>0</v>
      </c>
      <c r="AQ82" s="27" t="n">
        <v>0</v>
      </c>
      <c r="AR82" s="27" t="n">
        <v>0</v>
      </c>
      <c r="AS82" s="27" t="n">
        <v>0</v>
      </c>
      <c r="AT82" s="27" t="n">
        <v>0</v>
      </c>
      <c r="AU82" s="27" t="n">
        <v>0</v>
      </c>
      <c r="AV82" s="27" t="n">
        <v>0</v>
      </c>
      <c r="AW82" s="27" t="n">
        <v>0</v>
      </c>
      <c r="AX82" s="27" t="n">
        <v>0</v>
      </c>
      <c r="AY82" s="27" t="n">
        <v>0</v>
      </c>
      <c r="AZ82" s="27" t="n">
        <v>0</v>
      </c>
      <c r="BA82" s="27" t="n">
        <v>0</v>
      </c>
      <c r="BB82" s="27" t="n">
        <v>0</v>
      </c>
      <c r="BC82" s="27" t="n">
        <v>0</v>
      </c>
      <c r="BD82" s="27" t="n">
        <v>0</v>
      </c>
      <c r="BE82" s="27" t="n">
        <v>0</v>
      </c>
      <c r="BF82" s="27" t="n">
        <v>0</v>
      </c>
      <c r="BG82" s="27" t="n">
        <v>0</v>
      </c>
      <c r="BH82" s="27" t="n">
        <v>0</v>
      </c>
      <c r="BI82" s="27" t="n">
        <v>0</v>
      </c>
      <c r="BJ82" s="27" t="n">
        <v>0</v>
      </c>
      <c r="BK82" s="27" t="n">
        <v>0</v>
      </c>
      <c r="BL82" s="27" t="n">
        <v>0</v>
      </c>
      <c r="BM82" s="27" t="n">
        <v>0</v>
      </c>
      <c r="BN82" s="27" t="n">
        <v>0</v>
      </c>
      <c r="BO82" s="27" t="n">
        <v>0</v>
      </c>
      <c r="BP82" s="27" t="n">
        <v>0</v>
      </c>
      <c r="BQ82" s="27" t="n">
        <v>0</v>
      </c>
      <c r="BR82" s="27" t="n">
        <v>0</v>
      </c>
      <c r="BS82" s="27" t="n">
        <v>0</v>
      </c>
      <c r="BT82" s="27" t="n">
        <v>0</v>
      </c>
      <c r="BU82" s="27" t="n">
        <v>0</v>
      </c>
      <c r="BV82" s="27" t="n">
        <v>0</v>
      </c>
      <c r="BW82" s="27" t="n">
        <v>0</v>
      </c>
      <c r="BX82" s="27" t="n">
        <v>0</v>
      </c>
      <c r="BY82" s="27" t="n">
        <v>0</v>
      </c>
      <c r="BZ82" s="27" t="n">
        <v>0</v>
      </c>
      <c r="CA82" s="27" t="n">
        <v>0</v>
      </c>
      <c r="CB82" s="27" t="n">
        <v>0</v>
      </c>
      <c r="CC82" s="27" t="n">
        <v>0</v>
      </c>
      <c r="CD82" s="27" t="n">
        <v>0</v>
      </c>
      <c r="CE82" s="27" t="n">
        <v>0</v>
      </c>
      <c r="CF82" s="27" t="n">
        <v>0</v>
      </c>
      <c r="CG82" s="27" t="n">
        <v>0</v>
      </c>
      <c r="CH82" s="27" t="n">
        <v>0</v>
      </c>
      <c r="CI82" s="27" t="n">
        <v>0</v>
      </c>
      <c r="CJ82" s="27" t="n">
        <v>0</v>
      </c>
      <c r="CK82" s="27" t="n">
        <v>0</v>
      </c>
      <c r="CL82" s="27" t="n">
        <v>0</v>
      </c>
      <c r="CM82" s="27" t="n">
        <v>0</v>
      </c>
      <c r="CN82" s="27" t="n">
        <v>0</v>
      </c>
      <c r="CO82" s="27" t="n">
        <v>0</v>
      </c>
      <c r="CP82" s="27" t="n">
        <v>0</v>
      </c>
      <c r="CQ82" s="27" t="n">
        <v>0</v>
      </c>
      <c r="CR82" s="27" t="n">
        <v>0</v>
      </c>
      <c r="CS82" s="27" t="n">
        <v>0</v>
      </c>
      <c r="CT82" s="27" t="n">
        <v>0</v>
      </c>
      <c r="CU82" s="27" t="n">
        <v>0</v>
      </c>
      <c r="CV82" s="27" t="n">
        <v>0</v>
      </c>
      <c r="CW82" s="27" t="n">
        <v>0</v>
      </c>
      <c r="CX82" s="27" t="n">
        <v>0</v>
      </c>
      <c r="CY82" s="27" t="n">
        <v>0</v>
      </c>
      <c r="CZ82" s="27" t="n">
        <v>0</v>
      </c>
      <c r="DA82" s="27" t="n">
        <v>0</v>
      </c>
    </row>
    <row r="83">
      <c r="A83" t="inlineStr">
        <is>
          <t>TPP-917</t>
        </is>
      </c>
      <c r="B83" s="27" t="n">
        <v>0</v>
      </c>
      <c r="C83" s="27" t="n">
        <v>0</v>
      </c>
      <c r="D83" s="27" t="n">
        <v>4</v>
      </c>
      <c r="E83" s="27" t="n">
        <v>0</v>
      </c>
      <c r="F83" s="27" t="n">
        <v>0</v>
      </c>
      <c r="G83" s="27" t="n">
        <v>0</v>
      </c>
      <c r="H83" s="27" t="n">
        <v>0</v>
      </c>
      <c r="I83" s="27" t="n">
        <v>0</v>
      </c>
      <c r="J83" s="27" t="n">
        <v>0</v>
      </c>
      <c r="K83" s="27" t="n">
        <v>0</v>
      </c>
      <c r="L83" s="27" t="n">
        <v>0</v>
      </c>
      <c r="M83" s="27" t="n">
        <v>0</v>
      </c>
      <c r="N83" s="27" t="n">
        <v>0</v>
      </c>
      <c r="O83" s="27" t="n">
        <v>0</v>
      </c>
      <c r="P83" s="27" t="n">
        <v>0</v>
      </c>
      <c r="Q83" s="27" t="n">
        <v>0</v>
      </c>
      <c r="R83" s="27" t="n">
        <v>0</v>
      </c>
      <c r="S83" s="27" t="n">
        <v>0</v>
      </c>
      <c r="T83" s="27" t="n">
        <v>0</v>
      </c>
      <c r="U83" s="27" t="n">
        <v>0</v>
      </c>
      <c r="V83" s="27" t="n">
        <v>4</v>
      </c>
      <c r="W83" s="27" t="n">
        <v>0</v>
      </c>
      <c r="X83" s="27" t="n">
        <v>0</v>
      </c>
      <c r="Y83" s="27" t="n">
        <v>0</v>
      </c>
      <c r="Z83" s="27" t="n">
        <v>0</v>
      </c>
      <c r="AA83" s="27" t="n">
        <v>0</v>
      </c>
      <c r="AB83" s="27" t="n">
        <v>0</v>
      </c>
      <c r="AC83" s="27" t="n">
        <v>0</v>
      </c>
      <c r="AD83" s="27" t="n">
        <v>0</v>
      </c>
      <c r="AE83" s="27" t="n">
        <v>0</v>
      </c>
      <c r="AF83" s="27" t="n">
        <v>0</v>
      </c>
      <c r="AG83" s="27" t="n">
        <v>0</v>
      </c>
      <c r="AH83" s="27" t="n">
        <v>0</v>
      </c>
      <c r="AI83" s="27" t="n">
        <v>0</v>
      </c>
      <c r="AJ83" s="27" t="n">
        <v>0</v>
      </c>
      <c r="AK83" s="27" t="n">
        <v>0</v>
      </c>
      <c r="AL83" s="27" t="n">
        <v>3</v>
      </c>
      <c r="AM83" s="27" t="n">
        <v>0</v>
      </c>
      <c r="AN83" s="27" t="n">
        <v>0</v>
      </c>
      <c r="AO83" s="27" t="n">
        <v>0</v>
      </c>
      <c r="AP83" s="27" t="n">
        <v>0</v>
      </c>
      <c r="AQ83" s="27" t="n">
        <v>0</v>
      </c>
      <c r="AR83" s="27" t="n">
        <v>0</v>
      </c>
      <c r="AS83" s="27" t="n">
        <v>0</v>
      </c>
      <c r="AT83" s="27" t="n">
        <v>0</v>
      </c>
      <c r="AU83" s="27" t="n">
        <v>0</v>
      </c>
      <c r="AV83" s="27" t="n">
        <v>0</v>
      </c>
      <c r="AW83" s="27" t="n">
        <v>0</v>
      </c>
      <c r="AX83" s="27" t="n">
        <v>0</v>
      </c>
      <c r="AY83" s="27" t="n">
        <v>0</v>
      </c>
      <c r="AZ83" s="27" t="n">
        <v>0</v>
      </c>
      <c r="BA83" s="27" t="n">
        <v>0</v>
      </c>
      <c r="BB83" s="27" t="n">
        <v>0</v>
      </c>
      <c r="BC83" s="27" t="n">
        <v>0</v>
      </c>
      <c r="BD83" s="27" t="n">
        <v>0</v>
      </c>
      <c r="BE83" s="27" t="n">
        <v>0</v>
      </c>
      <c r="BF83" s="27" t="n">
        <v>0</v>
      </c>
      <c r="BG83" s="27" t="n">
        <v>0</v>
      </c>
      <c r="BH83" s="27" t="n">
        <v>0</v>
      </c>
      <c r="BI83" s="27" t="n">
        <v>0</v>
      </c>
      <c r="BJ83" s="27" t="n">
        <v>0</v>
      </c>
      <c r="BK83" s="27" t="n">
        <v>0</v>
      </c>
      <c r="BL83" s="27" t="n">
        <v>0</v>
      </c>
      <c r="BM83" s="27" t="n">
        <v>0</v>
      </c>
      <c r="BN83" s="27" t="n">
        <v>0</v>
      </c>
      <c r="BO83" s="27" t="n">
        <v>0</v>
      </c>
      <c r="BP83" s="27" t="n">
        <v>0</v>
      </c>
      <c r="BQ83" s="27" t="n">
        <v>0</v>
      </c>
      <c r="BR83" s="27" t="n">
        <v>0</v>
      </c>
      <c r="BS83" s="27" t="n">
        <v>0</v>
      </c>
      <c r="BT83" s="27" t="n">
        <v>0</v>
      </c>
      <c r="BU83" s="27" t="n">
        <v>0</v>
      </c>
      <c r="BV83" s="27" t="n">
        <v>0</v>
      </c>
      <c r="BW83" s="27" t="n">
        <v>0</v>
      </c>
      <c r="BX83" s="27" t="n">
        <v>0</v>
      </c>
      <c r="BY83" s="27" t="n">
        <v>0</v>
      </c>
      <c r="BZ83" s="27" t="n">
        <v>0</v>
      </c>
      <c r="CA83" s="27" t="n">
        <v>0</v>
      </c>
      <c r="CB83" s="27" t="n">
        <v>0</v>
      </c>
      <c r="CC83" s="27" t="n">
        <v>0</v>
      </c>
      <c r="CD83" s="27" t="n">
        <v>0</v>
      </c>
      <c r="CE83" s="27" t="n">
        <v>0</v>
      </c>
      <c r="CF83" s="27" t="n">
        <v>0</v>
      </c>
      <c r="CG83" s="27" t="n">
        <v>0</v>
      </c>
      <c r="CH83" s="27" t="n">
        <v>0</v>
      </c>
      <c r="CI83" s="27" t="n">
        <v>0</v>
      </c>
      <c r="CJ83" s="27" t="n">
        <v>0</v>
      </c>
      <c r="CK83" s="27" t="n">
        <v>0</v>
      </c>
      <c r="CL83" s="27" t="n">
        <v>0</v>
      </c>
      <c r="CM83" s="27" t="n">
        <v>0</v>
      </c>
      <c r="CN83" s="27" t="n">
        <v>0</v>
      </c>
      <c r="CO83" s="27" t="n">
        <v>0</v>
      </c>
      <c r="CP83" s="27" t="n">
        <v>0</v>
      </c>
      <c r="CQ83" s="27" t="n">
        <v>0</v>
      </c>
      <c r="CR83" s="27" t="n">
        <v>0</v>
      </c>
      <c r="CS83" s="27" t="n">
        <v>0</v>
      </c>
      <c r="CT83" s="27" t="n">
        <v>0</v>
      </c>
      <c r="CU83" s="27" t="n">
        <v>0</v>
      </c>
      <c r="CV83" s="27" t="n">
        <v>0</v>
      </c>
      <c r="CW83" s="27" t="n">
        <v>0</v>
      </c>
      <c r="CX83" s="27" t="n">
        <v>0</v>
      </c>
      <c r="CY83" s="27" t="n">
        <v>0</v>
      </c>
      <c r="CZ83" s="27" t="n">
        <v>0</v>
      </c>
      <c r="DA83" s="27" t="n">
        <v>0</v>
      </c>
    </row>
    <row r="84">
      <c r="A84" t="inlineStr">
        <is>
          <t>TPP-919</t>
        </is>
      </c>
      <c r="B84" s="27" t="n">
        <v>0</v>
      </c>
      <c r="C84" s="27" t="n">
        <v>0</v>
      </c>
      <c r="D84" s="27" t="n">
        <v>0</v>
      </c>
      <c r="E84" s="27" t="n">
        <v>0</v>
      </c>
      <c r="F84" s="27" t="n">
        <v>0</v>
      </c>
      <c r="G84" s="27" t="n">
        <v>0</v>
      </c>
      <c r="H84" s="27" t="n">
        <v>0</v>
      </c>
      <c r="I84" s="27" t="n">
        <v>0</v>
      </c>
      <c r="J84" s="27" t="n">
        <v>0</v>
      </c>
      <c r="K84" s="27" t="n">
        <v>0</v>
      </c>
      <c r="L84" s="27" t="n">
        <v>0</v>
      </c>
      <c r="M84" s="27" t="n">
        <v>0</v>
      </c>
      <c r="N84" s="27" t="n">
        <v>0</v>
      </c>
      <c r="O84" s="27" t="n">
        <v>0</v>
      </c>
      <c r="P84" s="27" t="n">
        <v>0</v>
      </c>
      <c r="Q84" s="27" t="n">
        <v>0</v>
      </c>
      <c r="R84" s="27" t="n">
        <v>0</v>
      </c>
      <c r="S84" s="27" t="n">
        <v>0</v>
      </c>
      <c r="T84" s="27" t="n">
        <v>0</v>
      </c>
      <c r="U84" s="27" t="n">
        <v>0</v>
      </c>
      <c r="V84" s="27" t="n">
        <v>0</v>
      </c>
      <c r="W84" s="27" t="n">
        <v>0</v>
      </c>
      <c r="X84" s="27" t="n">
        <v>0</v>
      </c>
      <c r="Y84" s="27" t="n">
        <v>0</v>
      </c>
      <c r="Z84" s="27" t="n">
        <v>0</v>
      </c>
      <c r="AA84" s="27" t="n">
        <v>0</v>
      </c>
      <c r="AB84" s="27" t="n">
        <v>0</v>
      </c>
      <c r="AC84" s="27" t="n">
        <v>0</v>
      </c>
      <c r="AD84" s="27" t="n">
        <v>0</v>
      </c>
      <c r="AE84" s="27" t="n">
        <v>0</v>
      </c>
      <c r="AF84" s="27" t="n">
        <v>0</v>
      </c>
      <c r="AG84" s="27" t="n">
        <v>0</v>
      </c>
      <c r="AH84" s="27" t="n">
        <v>0</v>
      </c>
      <c r="AI84" s="27" t="n">
        <v>0</v>
      </c>
      <c r="AJ84" s="27" t="n">
        <v>0</v>
      </c>
      <c r="AK84" s="27" t="n">
        <v>0</v>
      </c>
      <c r="AL84" s="27" t="n">
        <v>0</v>
      </c>
      <c r="AM84" s="27" t="n">
        <v>0</v>
      </c>
      <c r="AN84" s="27" t="n">
        <v>0</v>
      </c>
      <c r="AO84" s="27" t="n">
        <v>0</v>
      </c>
      <c r="AP84" s="27" t="n">
        <v>0</v>
      </c>
      <c r="AQ84" s="27" t="n">
        <v>0</v>
      </c>
      <c r="AR84" s="27" t="n">
        <v>0</v>
      </c>
      <c r="AS84" s="27" t="n">
        <v>0</v>
      </c>
      <c r="AT84" s="27" t="n">
        <v>0</v>
      </c>
      <c r="AU84" s="27" t="n">
        <v>0</v>
      </c>
      <c r="AV84" s="27" t="n">
        <v>0</v>
      </c>
      <c r="AW84" s="27" t="n">
        <v>0</v>
      </c>
      <c r="AX84" s="27" t="n">
        <v>0</v>
      </c>
      <c r="AY84" s="27" t="n">
        <v>0</v>
      </c>
      <c r="AZ84" s="27" t="n">
        <v>0</v>
      </c>
      <c r="BA84" s="27" t="n">
        <v>0</v>
      </c>
      <c r="BB84" s="27" t="n">
        <v>0</v>
      </c>
      <c r="BC84" s="27" t="n">
        <v>0</v>
      </c>
      <c r="BD84" s="27" t="n">
        <v>0</v>
      </c>
      <c r="BE84" s="27" t="n">
        <v>0</v>
      </c>
      <c r="BF84" s="27" t="n">
        <v>0</v>
      </c>
      <c r="BG84" s="27" t="n">
        <v>0</v>
      </c>
      <c r="BH84" s="27" t="n">
        <v>0</v>
      </c>
      <c r="BI84" s="27" t="n">
        <v>0</v>
      </c>
      <c r="BJ84" s="27" t="n">
        <v>0</v>
      </c>
      <c r="BK84" s="27" t="n">
        <v>0</v>
      </c>
      <c r="BL84" s="27" t="n">
        <v>0</v>
      </c>
      <c r="BM84" s="27" t="n">
        <v>0</v>
      </c>
      <c r="BN84" s="27" t="n">
        <v>0</v>
      </c>
      <c r="BO84" s="27" t="n">
        <v>0</v>
      </c>
      <c r="BP84" s="27" t="n">
        <v>0</v>
      </c>
      <c r="BQ84" s="27" t="n">
        <v>0</v>
      </c>
      <c r="BR84" s="27" t="n">
        <v>0</v>
      </c>
      <c r="BS84" s="27" t="n">
        <v>0</v>
      </c>
      <c r="BT84" s="27" t="n">
        <v>0</v>
      </c>
      <c r="BU84" s="27" t="n">
        <v>0</v>
      </c>
      <c r="BV84" s="27" t="n">
        <v>0</v>
      </c>
      <c r="BW84" s="27" t="n">
        <v>0</v>
      </c>
      <c r="BX84" s="27" t="n">
        <v>0</v>
      </c>
      <c r="BY84" s="27" t="n">
        <v>0</v>
      </c>
      <c r="BZ84" s="27" t="n">
        <v>0</v>
      </c>
      <c r="CA84" s="27" t="n">
        <v>0</v>
      </c>
      <c r="CB84" s="27" t="n">
        <v>0</v>
      </c>
      <c r="CC84" s="27" t="n">
        <v>0</v>
      </c>
      <c r="CD84" s="27" t="n">
        <v>0</v>
      </c>
      <c r="CE84" s="27" t="n">
        <v>0</v>
      </c>
      <c r="CF84" s="27" t="n">
        <v>0</v>
      </c>
      <c r="CG84" s="27" t="n">
        <v>0</v>
      </c>
      <c r="CH84" s="27" t="n">
        <v>0</v>
      </c>
      <c r="CI84" s="27" t="n">
        <v>0</v>
      </c>
      <c r="CJ84" s="27" t="n">
        <v>0</v>
      </c>
      <c r="CK84" s="27" t="n">
        <v>0</v>
      </c>
      <c r="CL84" s="27" t="n">
        <v>0</v>
      </c>
      <c r="CM84" s="27" t="n">
        <v>0</v>
      </c>
      <c r="CN84" s="27" t="n">
        <v>0</v>
      </c>
      <c r="CO84" s="27" t="n">
        <v>0</v>
      </c>
      <c r="CP84" s="27" t="n">
        <v>0</v>
      </c>
      <c r="CQ84" s="27" t="n">
        <v>0</v>
      </c>
      <c r="CR84" s="27" t="n">
        <v>0</v>
      </c>
      <c r="CS84" s="27" t="n">
        <v>0</v>
      </c>
      <c r="CT84" s="27" t="n">
        <v>0</v>
      </c>
      <c r="CU84" s="27" t="n">
        <v>0</v>
      </c>
      <c r="CV84" s="27" t="n">
        <v>0</v>
      </c>
      <c r="CW84" s="27" t="n">
        <v>0</v>
      </c>
      <c r="CX84" s="27" t="n">
        <v>0</v>
      </c>
      <c r="CY84" s="27" t="n">
        <v>0</v>
      </c>
      <c r="CZ84" s="27" t="n">
        <v>0</v>
      </c>
      <c r="DA84" s="27" t="n">
        <v>0</v>
      </c>
    </row>
    <row r="85">
      <c r="A85" t="inlineStr">
        <is>
          <t>TPP-920</t>
        </is>
      </c>
      <c r="B85" s="27" t="n">
        <v>0</v>
      </c>
      <c r="C85" s="27" t="n">
        <v>0</v>
      </c>
      <c r="D85" s="27" t="n">
        <v>0</v>
      </c>
      <c r="E85" s="27" t="n">
        <v>0</v>
      </c>
      <c r="F85" s="27" t="n">
        <v>3</v>
      </c>
      <c r="G85" s="27" t="n">
        <v>0</v>
      </c>
      <c r="H85" s="27" t="n">
        <v>0</v>
      </c>
      <c r="I85" s="27" t="n">
        <v>0</v>
      </c>
      <c r="J85" s="27" t="n">
        <v>3</v>
      </c>
      <c r="K85" s="27" t="n">
        <v>0</v>
      </c>
      <c r="L85" s="27" t="n">
        <v>6</v>
      </c>
      <c r="M85" s="27" t="n">
        <v>0</v>
      </c>
      <c r="N85" s="27" t="n">
        <v>0</v>
      </c>
      <c r="O85" s="27" t="n">
        <v>0</v>
      </c>
      <c r="P85" s="27" t="n">
        <v>0</v>
      </c>
      <c r="Q85" s="27" t="n">
        <v>0</v>
      </c>
      <c r="R85" s="27" t="n">
        <v>0</v>
      </c>
      <c r="S85" s="27" t="n">
        <v>0</v>
      </c>
      <c r="T85" s="27" t="n">
        <v>0</v>
      </c>
      <c r="U85" s="27" t="n">
        <v>0</v>
      </c>
      <c r="V85" s="27" t="n">
        <v>0</v>
      </c>
      <c r="W85" s="27" t="n">
        <v>3</v>
      </c>
      <c r="X85" s="27" t="n">
        <v>0</v>
      </c>
      <c r="Y85" s="27" t="n">
        <v>0</v>
      </c>
      <c r="Z85" s="27" t="n">
        <v>0</v>
      </c>
      <c r="AA85" s="27" t="n">
        <v>0</v>
      </c>
      <c r="AB85" s="27" t="n">
        <v>0</v>
      </c>
      <c r="AC85" s="27" t="n">
        <v>0</v>
      </c>
      <c r="AD85" s="27" t="n">
        <v>0</v>
      </c>
      <c r="AE85" s="27" t="n">
        <v>0</v>
      </c>
      <c r="AF85" s="27" t="n">
        <v>0</v>
      </c>
      <c r="AG85" s="27" t="n">
        <v>0</v>
      </c>
      <c r="AH85" s="27" t="n">
        <v>0</v>
      </c>
      <c r="AI85" s="27" t="n">
        <v>4</v>
      </c>
      <c r="AJ85" s="27" t="n">
        <v>0</v>
      </c>
      <c r="AK85" s="27" t="n">
        <v>0</v>
      </c>
      <c r="AL85" s="27" t="n">
        <v>0</v>
      </c>
      <c r="AM85" s="27" t="n">
        <v>0</v>
      </c>
      <c r="AN85" s="27" t="n">
        <v>4</v>
      </c>
      <c r="AO85" s="27" t="n">
        <v>0</v>
      </c>
      <c r="AP85" s="27" t="n">
        <v>0</v>
      </c>
      <c r="AQ85" s="27" t="n">
        <v>0</v>
      </c>
      <c r="AR85" s="27" t="n">
        <v>0</v>
      </c>
      <c r="AS85" s="27" t="n">
        <v>0</v>
      </c>
      <c r="AT85" s="27" t="n">
        <v>0</v>
      </c>
      <c r="AU85" s="27" t="n">
        <v>0</v>
      </c>
      <c r="AV85" s="27" t="n">
        <v>0</v>
      </c>
      <c r="AW85" s="27" t="n">
        <v>2</v>
      </c>
      <c r="AX85" s="27" t="n">
        <v>0</v>
      </c>
      <c r="AY85" s="27" t="n">
        <v>0</v>
      </c>
      <c r="AZ85" s="27" t="n">
        <v>0</v>
      </c>
      <c r="BA85" s="27" t="n">
        <v>0</v>
      </c>
      <c r="BB85" s="27" t="n">
        <v>0</v>
      </c>
      <c r="BC85" s="27" t="n">
        <v>0</v>
      </c>
      <c r="BD85" s="27" t="n">
        <v>0</v>
      </c>
      <c r="BE85" s="27" t="n">
        <v>0</v>
      </c>
      <c r="BF85" s="27" t="n">
        <v>0</v>
      </c>
      <c r="BG85" s="27" t="n">
        <v>0</v>
      </c>
      <c r="BH85" s="27" t="n">
        <v>0</v>
      </c>
      <c r="BI85" s="27" t="n">
        <v>0</v>
      </c>
      <c r="BJ85" s="27" t="n">
        <v>0</v>
      </c>
      <c r="BK85" s="27" t="n">
        <v>0</v>
      </c>
      <c r="BL85" s="27" t="n">
        <v>0</v>
      </c>
      <c r="BM85" s="27" t="n">
        <v>0</v>
      </c>
      <c r="BN85" s="27" t="n">
        <v>0</v>
      </c>
      <c r="BO85" s="27" t="n">
        <v>0</v>
      </c>
      <c r="BP85" s="27" t="n">
        <v>0</v>
      </c>
      <c r="BQ85" s="27" t="n">
        <v>0</v>
      </c>
      <c r="BR85" s="27" t="n">
        <v>0</v>
      </c>
      <c r="BS85" s="27" t="n">
        <v>0</v>
      </c>
      <c r="BT85" s="27" t="n">
        <v>0</v>
      </c>
      <c r="BU85" s="27" t="n">
        <v>0</v>
      </c>
      <c r="BV85" s="27" t="n">
        <v>0</v>
      </c>
      <c r="BW85" s="27" t="n">
        <v>0</v>
      </c>
      <c r="BX85" s="27" t="n">
        <v>0</v>
      </c>
      <c r="BY85" s="27" t="n">
        <v>0</v>
      </c>
      <c r="BZ85" s="27" t="n">
        <v>0</v>
      </c>
      <c r="CA85" s="27" t="n">
        <v>0</v>
      </c>
      <c r="CB85" s="27" t="n">
        <v>0</v>
      </c>
      <c r="CC85" s="27" t="n">
        <v>0</v>
      </c>
      <c r="CD85" s="27" t="n">
        <v>0</v>
      </c>
      <c r="CE85" s="27" t="n">
        <v>0</v>
      </c>
      <c r="CF85" s="27" t="n">
        <v>0</v>
      </c>
      <c r="CG85" s="27" t="n">
        <v>0</v>
      </c>
      <c r="CH85" s="27" t="n">
        <v>0</v>
      </c>
      <c r="CI85" s="27" t="n">
        <v>0</v>
      </c>
      <c r="CJ85" s="27" t="n">
        <v>0</v>
      </c>
      <c r="CK85" s="27" t="n">
        <v>0</v>
      </c>
      <c r="CL85" s="27" t="n">
        <v>0</v>
      </c>
      <c r="CM85" s="27" t="n">
        <v>0</v>
      </c>
      <c r="CN85" s="27" t="n">
        <v>0</v>
      </c>
      <c r="CO85" s="27" t="n">
        <v>0</v>
      </c>
      <c r="CP85" s="27" t="n">
        <v>0</v>
      </c>
      <c r="CQ85" s="27" t="n">
        <v>0</v>
      </c>
      <c r="CR85" s="27" t="n">
        <v>0</v>
      </c>
      <c r="CS85" s="27" t="n">
        <v>0</v>
      </c>
      <c r="CT85" s="27" t="n">
        <v>0</v>
      </c>
      <c r="CU85" s="27" t="n">
        <v>0</v>
      </c>
      <c r="CV85" s="27" t="n">
        <v>0</v>
      </c>
      <c r="CW85" s="27" t="n">
        <v>0</v>
      </c>
      <c r="CX85" s="27" t="n">
        <v>0</v>
      </c>
      <c r="CY85" s="27" t="n">
        <v>0</v>
      </c>
      <c r="CZ85" s="27" t="n">
        <v>0</v>
      </c>
      <c r="DA85" s="27" t="n">
        <v>0</v>
      </c>
    </row>
    <row r="86">
      <c r="A86" t="inlineStr">
        <is>
          <t>TPP-922</t>
        </is>
      </c>
      <c r="B86" s="27" t="n">
        <v>0</v>
      </c>
      <c r="C86" s="27" t="n">
        <v>0</v>
      </c>
      <c r="D86" s="27" t="n">
        <v>0</v>
      </c>
      <c r="E86" s="27" t="n">
        <v>0</v>
      </c>
      <c r="F86" s="27" t="n">
        <v>0</v>
      </c>
      <c r="G86" s="27" t="n">
        <v>0</v>
      </c>
      <c r="H86" s="27" t="n">
        <v>0</v>
      </c>
      <c r="I86" s="27" t="n">
        <v>0</v>
      </c>
      <c r="J86" s="27" t="n">
        <v>0</v>
      </c>
      <c r="K86" s="27" t="n">
        <v>0</v>
      </c>
      <c r="L86" s="27" t="n">
        <v>0</v>
      </c>
      <c r="M86" s="27" t="n">
        <v>0</v>
      </c>
      <c r="N86" s="27" t="n">
        <v>0</v>
      </c>
      <c r="O86" s="27" t="n">
        <v>0</v>
      </c>
      <c r="P86" s="27" t="n">
        <v>0</v>
      </c>
      <c r="Q86" s="27" t="n">
        <v>0</v>
      </c>
      <c r="R86" s="27" t="n">
        <v>0</v>
      </c>
      <c r="S86" s="27" t="n">
        <v>0</v>
      </c>
      <c r="T86" s="27" t="n">
        <v>0</v>
      </c>
      <c r="U86" s="27" t="n">
        <v>0</v>
      </c>
      <c r="V86" s="27" t="n">
        <v>0</v>
      </c>
      <c r="W86" s="27" t="n">
        <v>0</v>
      </c>
      <c r="X86" s="27" t="n">
        <v>0</v>
      </c>
      <c r="Y86" s="27" t="n">
        <v>0</v>
      </c>
      <c r="Z86" s="27" t="n">
        <v>0</v>
      </c>
      <c r="AA86" s="27" t="n">
        <v>0</v>
      </c>
      <c r="AB86" s="27" t="n">
        <v>0</v>
      </c>
      <c r="AC86" s="27" t="n">
        <v>0</v>
      </c>
      <c r="AD86" s="27" t="n">
        <v>0</v>
      </c>
      <c r="AE86" s="27" t="n">
        <v>0</v>
      </c>
      <c r="AF86" s="27" t="n">
        <v>0</v>
      </c>
      <c r="AG86" s="27" t="n">
        <v>0</v>
      </c>
      <c r="AH86" s="27" t="n">
        <v>0</v>
      </c>
      <c r="AI86" s="27" t="n">
        <v>0</v>
      </c>
      <c r="AJ86" s="27" t="n">
        <v>0</v>
      </c>
      <c r="AK86" s="27" t="n">
        <v>0</v>
      </c>
      <c r="AL86" s="27" t="n">
        <v>0</v>
      </c>
      <c r="AM86" s="27" t="n">
        <v>0</v>
      </c>
      <c r="AN86" s="27" t="n">
        <v>0</v>
      </c>
      <c r="AO86" s="27" t="n">
        <v>0</v>
      </c>
      <c r="AP86" s="27" t="n">
        <v>0</v>
      </c>
      <c r="AQ86" s="27" t="n">
        <v>0</v>
      </c>
      <c r="AR86" s="27" t="n">
        <v>0</v>
      </c>
      <c r="AS86" s="27" t="n">
        <v>0</v>
      </c>
      <c r="AT86" s="27" t="n">
        <v>0</v>
      </c>
      <c r="AU86" s="27" t="n">
        <v>0</v>
      </c>
      <c r="AV86" s="27" t="n">
        <v>0</v>
      </c>
      <c r="AW86" s="27" t="n">
        <v>0</v>
      </c>
      <c r="AX86" s="27" t="n">
        <v>0</v>
      </c>
      <c r="AY86" s="27" t="n">
        <v>0</v>
      </c>
      <c r="AZ86" s="27" t="n">
        <v>0</v>
      </c>
      <c r="BA86" s="27" t="n">
        <v>0</v>
      </c>
      <c r="BB86" s="27" t="n">
        <v>0</v>
      </c>
      <c r="BC86" s="27" t="n">
        <v>0</v>
      </c>
      <c r="BD86" s="27" t="n">
        <v>0</v>
      </c>
      <c r="BE86" s="27" t="n">
        <v>0</v>
      </c>
      <c r="BF86" s="27" t="n">
        <v>0</v>
      </c>
      <c r="BG86" s="27" t="n">
        <v>0</v>
      </c>
      <c r="BH86" s="27" t="n">
        <v>0</v>
      </c>
      <c r="BI86" s="27" t="n">
        <v>0</v>
      </c>
      <c r="BJ86" s="27" t="n">
        <v>0</v>
      </c>
      <c r="BK86" s="27" t="n">
        <v>0</v>
      </c>
      <c r="BL86" s="27" t="n">
        <v>0</v>
      </c>
      <c r="BM86" s="27" t="n">
        <v>0</v>
      </c>
      <c r="BN86" s="27" t="n">
        <v>0</v>
      </c>
      <c r="BO86" s="27" t="n">
        <v>0</v>
      </c>
      <c r="BP86" s="27" t="n">
        <v>0</v>
      </c>
      <c r="BQ86" s="27" t="n">
        <v>0</v>
      </c>
      <c r="BR86" s="27" t="n">
        <v>0</v>
      </c>
      <c r="BS86" s="27" t="n">
        <v>0</v>
      </c>
      <c r="BT86" s="27" t="n">
        <v>0</v>
      </c>
      <c r="BU86" s="27" t="n">
        <v>0</v>
      </c>
      <c r="BV86" s="27" t="n">
        <v>0</v>
      </c>
      <c r="BW86" s="27" t="n">
        <v>0</v>
      </c>
      <c r="BX86" s="27" t="n">
        <v>0</v>
      </c>
      <c r="BY86" s="27" t="n">
        <v>0</v>
      </c>
      <c r="BZ86" s="27" t="n">
        <v>0</v>
      </c>
      <c r="CA86" s="27" t="n">
        <v>0</v>
      </c>
      <c r="CB86" s="27" t="n">
        <v>0</v>
      </c>
      <c r="CC86" s="27" t="n">
        <v>0</v>
      </c>
      <c r="CD86" s="27" t="n">
        <v>0</v>
      </c>
      <c r="CE86" s="27" t="n">
        <v>0</v>
      </c>
      <c r="CF86" s="27" t="n">
        <v>0</v>
      </c>
      <c r="CG86" s="27" t="n">
        <v>0</v>
      </c>
      <c r="CH86" s="27" t="n">
        <v>0</v>
      </c>
      <c r="CI86" s="27" t="n">
        <v>0</v>
      </c>
      <c r="CJ86" s="27" t="n">
        <v>0</v>
      </c>
      <c r="CK86" s="27" t="n">
        <v>0</v>
      </c>
      <c r="CL86" s="27" t="n">
        <v>0</v>
      </c>
      <c r="CM86" s="27" t="n">
        <v>0</v>
      </c>
      <c r="CN86" s="27" t="n">
        <v>0</v>
      </c>
      <c r="CO86" s="27" t="n">
        <v>0</v>
      </c>
      <c r="CP86" s="27" t="n">
        <v>0</v>
      </c>
      <c r="CQ86" s="27" t="n">
        <v>0</v>
      </c>
      <c r="CR86" s="27" t="n">
        <v>0</v>
      </c>
      <c r="CS86" s="27" t="n">
        <v>0</v>
      </c>
      <c r="CT86" s="27" t="n">
        <v>0</v>
      </c>
      <c r="CU86" s="27" t="n">
        <v>0</v>
      </c>
      <c r="CV86" s="27" t="n">
        <v>0</v>
      </c>
      <c r="CW86" s="27" t="n">
        <v>0</v>
      </c>
      <c r="CX86" s="27" t="n">
        <v>0</v>
      </c>
      <c r="CY86" s="27" t="n">
        <v>0</v>
      </c>
      <c r="CZ86" s="27" t="n">
        <v>0</v>
      </c>
      <c r="DA86" s="27" t="n">
        <v>0</v>
      </c>
    </row>
    <row r="87">
      <c r="A87" t="inlineStr">
        <is>
          <t>TPP-923</t>
        </is>
      </c>
      <c r="B87" s="27" t="n">
        <v>0</v>
      </c>
      <c r="C87" s="27" t="n">
        <v>0</v>
      </c>
      <c r="D87" s="27" t="n">
        <v>0</v>
      </c>
      <c r="E87" s="27" t="n">
        <v>0</v>
      </c>
      <c r="F87" s="27" t="n">
        <v>3</v>
      </c>
      <c r="G87" s="27" t="n">
        <v>0</v>
      </c>
      <c r="H87" s="27" t="n">
        <v>0</v>
      </c>
      <c r="I87" s="27" t="n">
        <v>0</v>
      </c>
      <c r="J87" s="27" t="n">
        <v>0</v>
      </c>
      <c r="K87" s="27" t="n">
        <v>0</v>
      </c>
      <c r="L87" s="27" t="n">
        <v>3</v>
      </c>
      <c r="M87" s="27" t="n">
        <v>0</v>
      </c>
      <c r="N87" s="27" t="n">
        <v>0</v>
      </c>
      <c r="O87" s="27" t="n">
        <v>0</v>
      </c>
      <c r="P87" s="27" t="n">
        <v>0</v>
      </c>
      <c r="Q87" s="27" t="n">
        <v>0</v>
      </c>
      <c r="R87" s="27" t="n">
        <v>0</v>
      </c>
      <c r="S87" s="27" t="n">
        <v>0</v>
      </c>
      <c r="T87" s="27" t="n">
        <v>0</v>
      </c>
      <c r="U87" s="27" t="n">
        <v>0</v>
      </c>
      <c r="V87" s="27" t="n">
        <v>0</v>
      </c>
      <c r="W87" s="27" t="n">
        <v>4</v>
      </c>
      <c r="X87" s="27" t="n">
        <v>0</v>
      </c>
      <c r="Y87" s="27" t="n">
        <v>0</v>
      </c>
      <c r="Z87" s="27" t="n">
        <v>0</v>
      </c>
      <c r="AA87" s="27" t="n">
        <v>0</v>
      </c>
      <c r="AB87" s="27" t="n">
        <v>0</v>
      </c>
      <c r="AC87" s="27" t="n">
        <v>0</v>
      </c>
      <c r="AD87" s="27" t="n">
        <v>0</v>
      </c>
      <c r="AE87" s="27" t="n">
        <v>0</v>
      </c>
      <c r="AF87" s="27" t="n">
        <v>0</v>
      </c>
      <c r="AG87" s="27" t="n">
        <v>0</v>
      </c>
      <c r="AH87" s="27" t="n">
        <v>0</v>
      </c>
      <c r="AI87" s="27" t="n">
        <v>0</v>
      </c>
      <c r="AJ87" s="27" t="n">
        <v>0</v>
      </c>
      <c r="AK87" s="27" t="n">
        <v>2</v>
      </c>
      <c r="AL87" s="27" t="n">
        <v>0</v>
      </c>
      <c r="AM87" s="27" t="n">
        <v>0</v>
      </c>
      <c r="AN87" s="27" t="n">
        <v>0</v>
      </c>
      <c r="AO87" s="27" t="n">
        <v>0</v>
      </c>
      <c r="AP87" s="27" t="n">
        <v>0</v>
      </c>
      <c r="AQ87" s="27" t="n">
        <v>0</v>
      </c>
      <c r="AR87" s="27" t="n">
        <v>0</v>
      </c>
      <c r="AS87" s="27" t="n">
        <v>0</v>
      </c>
      <c r="AT87" s="27" t="n">
        <v>0</v>
      </c>
      <c r="AU87" s="27" t="n">
        <v>0</v>
      </c>
      <c r="AV87" s="27" t="n">
        <v>0</v>
      </c>
      <c r="AW87" s="27" t="n">
        <v>0</v>
      </c>
      <c r="AX87" s="27" t="n">
        <v>0</v>
      </c>
      <c r="AY87" s="27" t="n">
        <v>0</v>
      </c>
      <c r="AZ87" s="27" t="n">
        <v>0</v>
      </c>
      <c r="BA87" s="27" t="n">
        <v>0</v>
      </c>
      <c r="BB87" s="27" t="n">
        <v>0</v>
      </c>
      <c r="BC87" s="27" t="n">
        <v>0</v>
      </c>
      <c r="BD87" s="27" t="n">
        <v>0</v>
      </c>
      <c r="BE87" s="27" t="n">
        <v>0</v>
      </c>
      <c r="BF87" s="27" t="n">
        <v>0</v>
      </c>
      <c r="BG87" s="27" t="n">
        <v>0</v>
      </c>
      <c r="BH87" s="27" t="n">
        <v>0</v>
      </c>
      <c r="BI87" s="27" t="n">
        <v>0</v>
      </c>
      <c r="BJ87" s="27" t="n">
        <v>0</v>
      </c>
      <c r="BK87" s="27" t="n">
        <v>0</v>
      </c>
      <c r="BL87" s="27" t="n">
        <v>0</v>
      </c>
      <c r="BM87" s="27" t="n">
        <v>0</v>
      </c>
      <c r="BN87" s="27" t="n">
        <v>0</v>
      </c>
      <c r="BO87" s="27" t="n">
        <v>0</v>
      </c>
      <c r="BP87" s="27" t="n">
        <v>0</v>
      </c>
      <c r="BQ87" s="27" t="n">
        <v>0</v>
      </c>
      <c r="BR87" s="27" t="n">
        <v>0</v>
      </c>
      <c r="BS87" s="27" t="n">
        <v>0</v>
      </c>
      <c r="BT87" s="27" t="n">
        <v>0</v>
      </c>
      <c r="BU87" s="27" t="n">
        <v>0</v>
      </c>
      <c r="BV87" s="27" t="n">
        <v>0</v>
      </c>
      <c r="BW87" s="27" t="n">
        <v>0</v>
      </c>
      <c r="BX87" s="27" t="n">
        <v>0</v>
      </c>
      <c r="BY87" s="27" t="n">
        <v>0</v>
      </c>
      <c r="BZ87" s="27" t="n">
        <v>0</v>
      </c>
      <c r="CA87" s="27" t="n">
        <v>0</v>
      </c>
      <c r="CB87" s="27" t="n">
        <v>0</v>
      </c>
      <c r="CC87" s="27" t="n">
        <v>0</v>
      </c>
      <c r="CD87" s="27" t="n">
        <v>0</v>
      </c>
      <c r="CE87" s="27" t="n">
        <v>0</v>
      </c>
      <c r="CF87" s="27" t="n">
        <v>0</v>
      </c>
      <c r="CG87" s="27" t="n">
        <v>0</v>
      </c>
      <c r="CH87" s="27" t="n">
        <v>0</v>
      </c>
      <c r="CI87" s="27" t="n">
        <v>0</v>
      </c>
      <c r="CJ87" s="27" t="n">
        <v>0</v>
      </c>
      <c r="CK87" s="27" t="n">
        <v>0</v>
      </c>
      <c r="CL87" s="27" t="n">
        <v>0</v>
      </c>
      <c r="CM87" s="27" t="n">
        <v>0</v>
      </c>
      <c r="CN87" s="27" t="n">
        <v>0</v>
      </c>
      <c r="CO87" s="27" t="n">
        <v>0</v>
      </c>
      <c r="CP87" s="27" t="n">
        <v>0</v>
      </c>
      <c r="CQ87" s="27" t="n">
        <v>0</v>
      </c>
      <c r="CR87" s="27" t="n">
        <v>0</v>
      </c>
      <c r="CS87" s="27" t="n">
        <v>0</v>
      </c>
      <c r="CT87" s="27" t="n">
        <v>0</v>
      </c>
      <c r="CU87" s="27" t="n">
        <v>0</v>
      </c>
      <c r="CV87" s="27" t="n">
        <v>0</v>
      </c>
      <c r="CW87" s="27" t="n">
        <v>0</v>
      </c>
      <c r="CX87" s="27" t="n">
        <v>0</v>
      </c>
      <c r="CY87" s="27" t="n">
        <v>0</v>
      </c>
      <c r="CZ87" s="27" t="n">
        <v>0</v>
      </c>
      <c r="DA87" s="27" t="n">
        <v>0</v>
      </c>
    </row>
    <row r="88">
      <c r="A88" t="inlineStr">
        <is>
          <t>SOL-20P</t>
        </is>
      </c>
      <c r="B88" s="27" t="n">
        <v>0</v>
      </c>
      <c r="C88" s="27" t="n">
        <v>0</v>
      </c>
      <c r="D88" s="27" t="n">
        <v>0</v>
      </c>
      <c r="E88" s="27" t="n">
        <v>0</v>
      </c>
      <c r="F88" s="27" t="n">
        <v>0</v>
      </c>
      <c r="G88" s="27" t="n">
        <v>0</v>
      </c>
      <c r="H88" s="27" t="n">
        <v>0</v>
      </c>
      <c r="I88" s="27" t="n">
        <v>0</v>
      </c>
      <c r="J88" s="27" t="n">
        <v>0</v>
      </c>
      <c r="K88" s="27" t="n">
        <v>0</v>
      </c>
      <c r="L88" s="27" t="n">
        <v>0</v>
      </c>
      <c r="M88" s="27" t="n">
        <v>0</v>
      </c>
      <c r="N88" s="27" t="n">
        <v>0</v>
      </c>
      <c r="O88" s="27" t="n">
        <v>0</v>
      </c>
      <c r="P88" s="27" t="n">
        <v>0</v>
      </c>
      <c r="Q88" s="27" t="n">
        <v>0</v>
      </c>
      <c r="R88" s="27" t="n">
        <v>0</v>
      </c>
      <c r="S88" s="27" t="n">
        <v>0</v>
      </c>
      <c r="T88" s="27" t="n">
        <v>0</v>
      </c>
      <c r="U88" s="27" t="n">
        <v>0</v>
      </c>
      <c r="V88" s="27" t="n">
        <v>0</v>
      </c>
      <c r="W88" s="27" t="n">
        <v>0</v>
      </c>
      <c r="X88" s="27" t="n">
        <v>0</v>
      </c>
      <c r="Y88" s="27" t="n">
        <v>0</v>
      </c>
      <c r="Z88" s="27" t="n">
        <v>0</v>
      </c>
      <c r="AA88" s="27" t="n">
        <v>0</v>
      </c>
      <c r="AB88" s="27" t="n">
        <v>0</v>
      </c>
      <c r="AC88" s="27" t="n">
        <v>0</v>
      </c>
      <c r="AD88" s="27" t="n">
        <v>0</v>
      </c>
      <c r="AE88" s="27" t="n">
        <v>0</v>
      </c>
      <c r="AF88" s="27" t="n">
        <v>0</v>
      </c>
      <c r="AG88" s="27" t="n">
        <v>0</v>
      </c>
      <c r="AH88" s="27" t="n">
        <v>0</v>
      </c>
      <c r="AI88" s="27" t="n">
        <v>0</v>
      </c>
      <c r="AJ88" s="27" t="n">
        <v>0</v>
      </c>
      <c r="AK88" s="27" t="n">
        <v>0</v>
      </c>
      <c r="AL88" s="27" t="n">
        <v>0</v>
      </c>
      <c r="AM88" s="27" t="n">
        <v>0</v>
      </c>
      <c r="AN88" s="27" t="n">
        <v>0</v>
      </c>
      <c r="AO88" s="27" t="n">
        <v>0</v>
      </c>
      <c r="AP88" s="27" t="n">
        <v>0</v>
      </c>
      <c r="AQ88" s="27" t="n">
        <v>0</v>
      </c>
      <c r="AR88" s="27" t="n">
        <v>0</v>
      </c>
      <c r="AS88" s="27" t="n">
        <v>0</v>
      </c>
      <c r="AT88" s="27" t="n">
        <v>0</v>
      </c>
      <c r="AU88" s="27" t="n">
        <v>0</v>
      </c>
      <c r="AV88" s="27" t="n">
        <v>0</v>
      </c>
      <c r="AW88" s="27" t="n">
        <v>0</v>
      </c>
      <c r="AX88" s="27" t="n">
        <v>0</v>
      </c>
      <c r="AY88" s="27" t="n">
        <v>0</v>
      </c>
      <c r="AZ88" s="27" t="n">
        <v>0</v>
      </c>
      <c r="BA88" s="27" t="n">
        <v>0</v>
      </c>
      <c r="BB88" s="27" t="n">
        <v>0</v>
      </c>
      <c r="BC88" s="27" t="n">
        <v>0</v>
      </c>
      <c r="BD88" s="27" t="n">
        <v>0</v>
      </c>
      <c r="BE88" s="27" t="n">
        <v>0</v>
      </c>
      <c r="BF88" s="27" t="n">
        <v>0</v>
      </c>
      <c r="BG88" s="27" t="n">
        <v>0</v>
      </c>
      <c r="BH88" s="27" t="n">
        <v>0</v>
      </c>
      <c r="BI88" s="27" t="n">
        <v>0</v>
      </c>
      <c r="BJ88" s="27" t="n">
        <v>0</v>
      </c>
      <c r="BK88" s="27" t="n">
        <v>0</v>
      </c>
      <c r="BL88" s="27" t="n">
        <v>0</v>
      </c>
      <c r="BM88" s="27" t="n">
        <v>0</v>
      </c>
      <c r="BN88" s="27" t="n">
        <v>0</v>
      </c>
      <c r="BO88" s="27" t="n">
        <v>0</v>
      </c>
      <c r="BP88" s="27" t="n">
        <v>0</v>
      </c>
      <c r="BQ88" s="27" t="n">
        <v>0</v>
      </c>
      <c r="BR88" s="27" t="n">
        <v>0</v>
      </c>
      <c r="BS88" s="27" t="n">
        <v>0</v>
      </c>
      <c r="BT88" s="27" t="n">
        <v>0</v>
      </c>
      <c r="BU88" s="27" t="n">
        <v>0</v>
      </c>
      <c r="BV88" s="27" t="n">
        <v>0</v>
      </c>
      <c r="BW88" s="27" t="n">
        <v>0</v>
      </c>
      <c r="BX88" s="27" t="n">
        <v>0</v>
      </c>
      <c r="BY88" s="27" t="n">
        <v>0</v>
      </c>
      <c r="BZ88" s="27" t="n">
        <v>0</v>
      </c>
      <c r="CA88" s="27" t="n">
        <v>0</v>
      </c>
      <c r="CB88" s="27" t="n">
        <v>0</v>
      </c>
      <c r="CC88" s="27" t="n">
        <v>0</v>
      </c>
      <c r="CD88" s="27" t="n">
        <v>0</v>
      </c>
      <c r="CE88" s="27" t="n">
        <v>0</v>
      </c>
      <c r="CF88" s="27" t="n">
        <v>0</v>
      </c>
      <c r="CG88" s="27" t="n">
        <v>0</v>
      </c>
      <c r="CH88" s="27" t="n">
        <v>0</v>
      </c>
      <c r="CI88" s="27" t="n">
        <v>0</v>
      </c>
      <c r="CJ88" s="27" t="n">
        <v>0</v>
      </c>
      <c r="CK88" s="27" t="n">
        <v>0</v>
      </c>
      <c r="CL88" s="27" t="n">
        <v>0</v>
      </c>
      <c r="CM88" s="27" t="n">
        <v>0</v>
      </c>
      <c r="CN88" s="27" t="n">
        <v>0</v>
      </c>
      <c r="CO88" s="27" t="n">
        <v>0</v>
      </c>
      <c r="CP88" s="27" t="n">
        <v>0</v>
      </c>
      <c r="CQ88" s="27" t="n">
        <v>0</v>
      </c>
      <c r="CR88" s="27" t="n">
        <v>0</v>
      </c>
      <c r="CS88" s="27" t="n">
        <v>0</v>
      </c>
      <c r="CT88" s="27" t="n">
        <v>0</v>
      </c>
      <c r="CU88" s="27" t="n">
        <v>0</v>
      </c>
      <c r="CV88" s="27" t="n">
        <v>0</v>
      </c>
      <c r="CW88" s="27" t="n">
        <v>0</v>
      </c>
      <c r="CX88" s="27" t="n">
        <v>0</v>
      </c>
      <c r="CY88" s="27" t="n">
        <v>0</v>
      </c>
      <c r="CZ88" s="27" t="n">
        <v>0</v>
      </c>
      <c r="DA88" s="27" t="n">
        <v>0</v>
      </c>
    </row>
    <row r="89">
      <c r="A89" t="inlineStr">
        <is>
          <t>SOL-250D</t>
        </is>
      </c>
      <c r="B89" s="27" t="n">
        <v>0</v>
      </c>
      <c r="C89" s="27" t="n">
        <v>0</v>
      </c>
      <c r="D89" s="27" t="n">
        <v>0</v>
      </c>
      <c r="E89" s="27" t="n">
        <v>0</v>
      </c>
      <c r="F89" s="27" t="n">
        <v>0</v>
      </c>
      <c r="G89" s="27" t="n">
        <v>0</v>
      </c>
      <c r="H89" s="27" t="n">
        <v>0</v>
      </c>
      <c r="I89" s="27" t="n">
        <v>0</v>
      </c>
      <c r="J89" s="27" t="n">
        <v>0</v>
      </c>
      <c r="K89" s="27" t="n">
        <v>0</v>
      </c>
      <c r="L89" s="27" t="n">
        <v>0</v>
      </c>
      <c r="M89" s="27" t="n">
        <v>0</v>
      </c>
      <c r="N89" s="27" t="n">
        <v>0</v>
      </c>
      <c r="O89" s="27" t="n">
        <v>0</v>
      </c>
      <c r="P89" s="27" t="n">
        <v>0</v>
      </c>
      <c r="Q89" s="27" t="n">
        <v>0</v>
      </c>
      <c r="R89" s="27" t="n">
        <v>0</v>
      </c>
      <c r="S89" s="27" t="n">
        <v>0</v>
      </c>
      <c r="T89" s="27" t="n">
        <v>0</v>
      </c>
      <c r="U89" s="27" t="n">
        <v>0</v>
      </c>
      <c r="V89" s="27" t="n">
        <v>0</v>
      </c>
      <c r="W89" s="27" t="n">
        <v>0</v>
      </c>
      <c r="X89" s="27" t="n">
        <v>0</v>
      </c>
      <c r="Y89" s="27" t="n">
        <v>0</v>
      </c>
      <c r="Z89" s="27" t="n">
        <v>0</v>
      </c>
      <c r="AA89" s="27" t="n">
        <v>0</v>
      </c>
      <c r="AB89" s="27" t="n">
        <v>0</v>
      </c>
      <c r="AC89" s="27" t="n">
        <v>0</v>
      </c>
      <c r="AD89" s="27" t="n">
        <v>0</v>
      </c>
      <c r="AE89" s="27" t="n">
        <v>0</v>
      </c>
      <c r="AF89" s="27" t="n">
        <v>0</v>
      </c>
      <c r="AG89" s="27" t="n">
        <v>0</v>
      </c>
      <c r="AH89" s="27" t="n">
        <v>0</v>
      </c>
      <c r="AI89" s="27" t="n">
        <v>0</v>
      </c>
      <c r="AJ89" s="27" t="n">
        <v>0</v>
      </c>
      <c r="AK89" s="27" t="n">
        <v>0</v>
      </c>
      <c r="AL89" s="27" t="n">
        <v>0</v>
      </c>
      <c r="AM89" s="27" t="n">
        <v>0</v>
      </c>
      <c r="AN89" s="27" t="n">
        <v>0</v>
      </c>
      <c r="AO89" s="27" t="n">
        <v>0</v>
      </c>
      <c r="AP89" s="27" t="n">
        <v>0</v>
      </c>
      <c r="AQ89" s="27" t="n">
        <v>0</v>
      </c>
      <c r="AR89" s="27" t="n">
        <v>0</v>
      </c>
      <c r="AS89" s="27" t="n">
        <v>0</v>
      </c>
      <c r="AT89" s="27" t="n">
        <v>0</v>
      </c>
      <c r="AU89" s="27" t="n">
        <v>0</v>
      </c>
      <c r="AV89" s="27" t="n">
        <v>0</v>
      </c>
      <c r="AW89" s="27" t="n">
        <v>0</v>
      </c>
      <c r="AX89" s="27" t="n">
        <v>0</v>
      </c>
      <c r="AY89" s="27" t="n">
        <v>0</v>
      </c>
      <c r="AZ89" s="27" t="n">
        <v>0</v>
      </c>
      <c r="BA89" s="27" t="n">
        <v>0</v>
      </c>
      <c r="BB89" s="27" t="n">
        <v>0</v>
      </c>
      <c r="BC89" s="27" t="n">
        <v>0</v>
      </c>
      <c r="BD89" s="27" t="n">
        <v>0</v>
      </c>
      <c r="BE89" s="27" t="n">
        <v>0</v>
      </c>
      <c r="BF89" s="27" t="n">
        <v>0</v>
      </c>
      <c r="BG89" s="27" t="n">
        <v>0</v>
      </c>
      <c r="BH89" s="27" t="n">
        <v>0</v>
      </c>
      <c r="BI89" s="27" t="n">
        <v>0</v>
      </c>
      <c r="BJ89" s="27" t="n">
        <v>0</v>
      </c>
      <c r="BK89" s="27" t="n">
        <v>0</v>
      </c>
      <c r="BL89" s="27" t="n">
        <v>0</v>
      </c>
      <c r="BM89" s="27" t="n">
        <v>0</v>
      </c>
      <c r="BN89" s="27" t="n">
        <v>0</v>
      </c>
      <c r="BO89" s="27" t="n">
        <v>0</v>
      </c>
      <c r="BP89" s="27" t="n">
        <v>0</v>
      </c>
      <c r="BQ89" s="27" t="n">
        <v>0</v>
      </c>
      <c r="BR89" s="27" t="n">
        <v>0</v>
      </c>
      <c r="BS89" s="27" t="n">
        <v>0</v>
      </c>
      <c r="BT89" s="27" t="n">
        <v>0</v>
      </c>
      <c r="BU89" s="27" t="n">
        <v>0</v>
      </c>
      <c r="BV89" s="27" t="n">
        <v>0</v>
      </c>
      <c r="BW89" s="27" t="n">
        <v>0</v>
      </c>
      <c r="BX89" s="27" t="n">
        <v>0</v>
      </c>
      <c r="BY89" s="27" t="n">
        <v>0</v>
      </c>
      <c r="BZ89" s="27" t="n">
        <v>0</v>
      </c>
      <c r="CA89" s="27" t="n">
        <v>0</v>
      </c>
      <c r="CB89" s="27" t="n">
        <v>0</v>
      </c>
      <c r="CC89" s="27" t="n">
        <v>0</v>
      </c>
      <c r="CD89" s="27" t="n">
        <v>0</v>
      </c>
      <c r="CE89" s="27" t="n">
        <v>0</v>
      </c>
      <c r="CF89" s="27" t="n">
        <v>0</v>
      </c>
      <c r="CG89" s="27" t="n">
        <v>0</v>
      </c>
      <c r="CH89" s="27" t="n">
        <v>0</v>
      </c>
      <c r="CI89" s="27" t="n">
        <v>0</v>
      </c>
      <c r="CJ89" s="27" t="n">
        <v>0</v>
      </c>
      <c r="CK89" s="27" t="n">
        <v>0</v>
      </c>
      <c r="CL89" s="27" t="n">
        <v>0</v>
      </c>
      <c r="CM89" s="27" t="n">
        <v>0</v>
      </c>
      <c r="CN89" s="27" t="n">
        <v>0</v>
      </c>
      <c r="CO89" s="27" t="n">
        <v>0</v>
      </c>
      <c r="CP89" s="27" t="n">
        <v>0</v>
      </c>
      <c r="CQ89" s="27" t="n">
        <v>0</v>
      </c>
      <c r="CR89" s="27" t="n">
        <v>0</v>
      </c>
      <c r="CS89" s="27" t="n">
        <v>0</v>
      </c>
      <c r="CT89" s="27" t="n">
        <v>0</v>
      </c>
      <c r="CU89" s="27" t="n">
        <v>0</v>
      </c>
      <c r="CV89" s="27" t="n">
        <v>0</v>
      </c>
      <c r="CW89" s="27" t="n">
        <v>0</v>
      </c>
      <c r="CX89" s="27" t="n">
        <v>0</v>
      </c>
      <c r="CY89" s="27" t="n">
        <v>0</v>
      </c>
      <c r="CZ89" s="27" t="n">
        <v>0</v>
      </c>
      <c r="DA89" s="27" t="n">
        <v>0</v>
      </c>
    </row>
    <row r="90">
      <c r="A90" t="inlineStr">
        <is>
          <t>SOL-85D</t>
        </is>
      </c>
      <c r="B90" s="27" t="n">
        <v>0</v>
      </c>
      <c r="C90" s="27" t="n">
        <v>0</v>
      </c>
      <c r="D90" s="27" t="n">
        <v>0</v>
      </c>
      <c r="E90" s="27" t="n">
        <v>0</v>
      </c>
      <c r="F90" s="27" t="n">
        <v>0</v>
      </c>
      <c r="G90" s="27" t="n">
        <v>0</v>
      </c>
      <c r="H90" s="27" t="n">
        <v>0</v>
      </c>
      <c r="I90" s="27" t="n">
        <v>0</v>
      </c>
      <c r="J90" s="27" t="n">
        <v>0</v>
      </c>
      <c r="K90" s="27" t="n">
        <v>0</v>
      </c>
      <c r="L90" s="27" t="n">
        <v>0</v>
      </c>
      <c r="M90" s="27" t="n">
        <v>0</v>
      </c>
      <c r="N90" s="27" t="n">
        <v>0</v>
      </c>
      <c r="O90" s="27" t="n">
        <v>0</v>
      </c>
      <c r="P90" s="27" t="n">
        <v>0</v>
      </c>
      <c r="Q90" s="27" t="n">
        <v>0</v>
      </c>
      <c r="R90" s="27" t="n">
        <v>0</v>
      </c>
      <c r="S90" s="27" t="n">
        <v>0</v>
      </c>
      <c r="T90" s="27" t="n">
        <v>0</v>
      </c>
      <c r="U90" s="27" t="n">
        <v>0</v>
      </c>
      <c r="V90" s="27" t="n">
        <v>0</v>
      </c>
      <c r="W90" s="27" t="n">
        <v>0</v>
      </c>
      <c r="X90" s="27" t="n">
        <v>0</v>
      </c>
      <c r="Y90" s="27" t="n">
        <v>0</v>
      </c>
      <c r="Z90" s="27" t="n">
        <v>0</v>
      </c>
      <c r="AA90" s="27" t="n">
        <v>0</v>
      </c>
      <c r="AB90" s="27" t="n">
        <v>0</v>
      </c>
      <c r="AC90" s="27" t="n">
        <v>1</v>
      </c>
      <c r="AD90" s="27" t="n">
        <v>1</v>
      </c>
      <c r="AE90" s="27" t="n">
        <v>0</v>
      </c>
      <c r="AF90" s="27" t="n">
        <v>1</v>
      </c>
      <c r="AG90" s="27" t="n">
        <v>2</v>
      </c>
      <c r="AH90" s="27" t="n">
        <v>0</v>
      </c>
      <c r="AI90" s="27" t="n">
        <v>1</v>
      </c>
      <c r="AJ90" s="27" t="n">
        <v>1</v>
      </c>
      <c r="AK90" s="27" t="n">
        <v>1</v>
      </c>
      <c r="AL90" s="27" t="n">
        <v>0</v>
      </c>
      <c r="AM90" s="27" t="n">
        <v>1</v>
      </c>
      <c r="AN90" s="27" t="n">
        <v>0</v>
      </c>
      <c r="AO90" s="27" t="n">
        <v>1</v>
      </c>
      <c r="AP90" s="27" t="n">
        <v>1</v>
      </c>
      <c r="AQ90" s="27" t="n">
        <v>0</v>
      </c>
      <c r="AR90" s="27" t="n">
        <v>1</v>
      </c>
      <c r="AS90" s="27" t="n">
        <v>2</v>
      </c>
      <c r="AT90" s="27" t="n">
        <v>1</v>
      </c>
      <c r="AU90" s="27" t="n">
        <v>1</v>
      </c>
      <c r="AV90" s="27" t="n">
        <v>1</v>
      </c>
      <c r="AW90" s="27" t="n">
        <v>1</v>
      </c>
      <c r="AX90" s="27" t="n">
        <v>0</v>
      </c>
      <c r="AY90" s="27" t="n">
        <v>1</v>
      </c>
      <c r="AZ90" s="27" t="n">
        <v>0</v>
      </c>
      <c r="BA90" s="27" t="n">
        <v>0</v>
      </c>
      <c r="BB90" s="27" t="n">
        <v>0</v>
      </c>
      <c r="BC90" s="27" t="n">
        <v>1</v>
      </c>
      <c r="BD90" s="27" t="n">
        <v>1</v>
      </c>
      <c r="BE90" s="27" t="n">
        <v>0</v>
      </c>
      <c r="BF90" s="27" t="n">
        <v>1</v>
      </c>
      <c r="BG90" s="27" t="n">
        <v>0</v>
      </c>
      <c r="BH90" s="27" t="n">
        <v>1</v>
      </c>
      <c r="BI90" s="27" t="n">
        <v>0</v>
      </c>
      <c r="BJ90" s="27" t="n">
        <v>1</v>
      </c>
      <c r="BK90" s="27" t="n">
        <v>0</v>
      </c>
      <c r="BL90" s="27" t="n">
        <v>1</v>
      </c>
      <c r="BM90" s="27" t="n">
        <v>0</v>
      </c>
      <c r="BN90" s="27" t="n">
        <v>0</v>
      </c>
      <c r="BO90" s="27" t="n">
        <v>0</v>
      </c>
      <c r="BP90" s="27" t="n">
        <v>1</v>
      </c>
      <c r="BQ90" s="27" t="n">
        <v>0</v>
      </c>
      <c r="BR90" s="27" t="n">
        <v>0</v>
      </c>
      <c r="BS90" s="27" t="n">
        <v>0</v>
      </c>
      <c r="BT90" s="27" t="n">
        <v>1</v>
      </c>
      <c r="BU90" s="27" t="n">
        <v>0</v>
      </c>
      <c r="BV90" s="27" t="n">
        <v>0</v>
      </c>
      <c r="BW90" s="27" t="n">
        <v>0</v>
      </c>
      <c r="BX90" s="27" t="n">
        <v>0</v>
      </c>
      <c r="BY90" s="27" t="n">
        <v>0</v>
      </c>
      <c r="BZ90" s="27" t="n">
        <v>0</v>
      </c>
      <c r="CA90" s="27" t="n">
        <v>0</v>
      </c>
      <c r="CB90" s="27" t="n">
        <v>0</v>
      </c>
      <c r="CC90" s="27" t="n">
        <v>0</v>
      </c>
      <c r="CD90" s="27" t="n">
        <v>0</v>
      </c>
      <c r="CE90" s="27" t="n">
        <v>0</v>
      </c>
      <c r="CF90" s="27" t="n">
        <v>0</v>
      </c>
      <c r="CG90" s="27" t="n">
        <v>0</v>
      </c>
      <c r="CH90" s="27" t="n">
        <v>0</v>
      </c>
      <c r="CI90" s="27" t="n">
        <v>0</v>
      </c>
      <c r="CJ90" s="27" t="n">
        <v>0</v>
      </c>
      <c r="CK90" s="27" t="n">
        <v>0</v>
      </c>
      <c r="CL90" s="27" t="n">
        <v>0</v>
      </c>
      <c r="CM90" s="27" t="n">
        <v>0</v>
      </c>
      <c r="CN90" s="27" t="n">
        <v>0</v>
      </c>
      <c r="CO90" s="27" t="n">
        <v>0</v>
      </c>
      <c r="CP90" s="27" t="n">
        <v>0</v>
      </c>
      <c r="CQ90" s="27" t="n">
        <v>0</v>
      </c>
      <c r="CR90" s="27" t="n">
        <v>0</v>
      </c>
      <c r="CS90" s="27" t="n">
        <v>0</v>
      </c>
      <c r="CT90" s="27" t="n">
        <v>0</v>
      </c>
      <c r="CU90" s="27" t="n">
        <v>0</v>
      </c>
      <c r="CV90" s="27" t="n">
        <v>0</v>
      </c>
      <c r="CW90" s="27" t="n">
        <v>0</v>
      </c>
      <c r="CX90" s="27" t="n">
        <v>0</v>
      </c>
      <c r="CY90" s="27" t="n">
        <v>0</v>
      </c>
      <c r="CZ90" s="27" t="n">
        <v>0</v>
      </c>
      <c r="DA90" s="27" t="n">
        <v>0</v>
      </c>
    </row>
    <row r="91">
      <c r="A91" t="inlineStr">
        <is>
          <t>TSP-1499</t>
        </is>
      </c>
      <c r="B91" s="27" t="n">
        <v>0</v>
      </c>
      <c r="C91" s="27" t="n">
        <v>0</v>
      </c>
      <c r="D91" s="27" t="n">
        <v>0</v>
      </c>
      <c r="E91" s="27" t="n">
        <v>0</v>
      </c>
      <c r="F91" s="27" t="n">
        <v>0</v>
      </c>
      <c r="G91" s="27" t="n">
        <v>0</v>
      </c>
      <c r="H91" s="27" t="n">
        <v>0</v>
      </c>
      <c r="I91" s="27" t="n">
        <v>0</v>
      </c>
      <c r="J91" s="27" t="n">
        <v>0</v>
      </c>
      <c r="K91" s="27" t="n">
        <v>0</v>
      </c>
      <c r="L91" s="27" t="n">
        <v>0</v>
      </c>
      <c r="M91" s="27" t="n">
        <v>0</v>
      </c>
      <c r="N91" s="27" t="n">
        <v>0</v>
      </c>
      <c r="O91" s="27" t="n">
        <v>0</v>
      </c>
      <c r="P91" s="27" t="n">
        <v>3</v>
      </c>
      <c r="Q91" s="27" t="n">
        <v>0</v>
      </c>
      <c r="R91" s="27" t="n">
        <v>0</v>
      </c>
      <c r="S91" s="27" t="n">
        <v>0</v>
      </c>
      <c r="T91" s="27" t="n">
        <v>0</v>
      </c>
      <c r="U91" s="27" t="n">
        <v>0</v>
      </c>
      <c r="V91" s="27" t="n">
        <v>4.790816326530612</v>
      </c>
      <c r="W91" s="27" t="n">
        <v>0</v>
      </c>
      <c r="X91" s="27" t="n">
        <v>0</v>
      </c>
      <c r="Y91" s="27" t="n">
        <v>0</v>
      </c>
      <c r="Z91" s="27" t="n">
        <v>0</v>
      </c>
      <c r="AA91" s="27" t="n">
        <v>0</v>
      </c>
      <c r="AB91" s="27" t="n">
        <v>0</v>
      </c>
      <c r="AC91" s="27" t="n">
        <v>0</v>
      </c>
      <c r="AD91" s="27" t="n">
        <v>0</v>
      </c>
      <c r="AE91" s="27" t="n">
        <v>2.936224489795918</v>
      </c>
      <c r="AF91" s="27" t="n">
        <v>0</v>
      </c>
      <c r="AG91" s="27" t="n">
        <v>0</v>
      </c>
      <c r="AH91" s="27" t="n">
        <v>0</v>
      </c>
      <c r="AI91" s="27" t="n">
        <v>0</v>
      </c>
      <c r="AJ91" s="27" t="n">
        <v>0</v>
      </c>
      <c r="AK91" s="27" t="n">
        <v>3</v>
      </c>
      <c r="AL91" s="27" t="n">
        <v>0</v>
      </c>
      <c r="AM91" s="27" t="n">
        <v>0</v>
      </c>
      <c r="AN91" s="27" t="n">
        <v>0</v>
      </c>
      <c r="AO91" s="27" t="n">
        <v>0</v>
      </c>
      <c r="AP91" s="27" t="n">
        <v>0</v>
      </c>
      <c r="AQ91" s="27" t="n">
        <v>0</v>
      </c>
      <c r="AR91" s="27" t="n">
        <v>0</v>
      </c>
      <c r="AS91" s="27" t="n">
        <v>0</v>
      </c>
      <c r="AT91" s="27" t="n">
        <v>0</v>
      </c>
      <c r="AU91" s="27" t="n">
        <v>0</v>
      </c>
      <c r="AV91" s="27" t="n">
        <v>3</v>
      </c>
      <c r="AW91" s="27" t="n">
        <v>0</v>
      </c>
      <c r="AX91" s="27" t="n">
        <v>0</v>
      </c>
      <c r="AY91" s="27" t="n">
        <v>0</v>
      </c>
      <c r="AZ91" s="27" t="n">
        <v>0</v>
      </c>
      <c r="BA91" s="27" t="n">
        <v>0</v>
      </c>
      <c r="BB91" s="27" t="n">
        <v>0</v>
      </c>
      <c r="BC91" s="27" t="n">
        <v>0</v>
      </c>
      <c r="BD91" s="27" t="n">
        <v>0</v>
      </c>
      <c r="BE91" s="27" t="n">
        <v>0</v>
      </c>
      <c r="BF91" s="27" t="n">
        <v>3</v>
      </c>
      <c r="BG91" s="27" t="n">
        <v>0</v>
      </c>
      <c r="BH91" s="27" t="n">
        <v>0</v>
      </c>
      <c r="BI91" s="27" t="n">
        <v>0</v>
      </c>
      <c r="BJ91" s="27" t="n">
        <v>3</v>
      </c>
      <c r="BK91" s="27" t="n">
        <v>0</v>
      </c>
      <c r="BL91" s="27" t="n">
        <v>0</v>
      </c>
      <c r="BM91" s="27" t="n">
        <v>0</v>
      </c>
      <c r="BN91" s="27" t="n">
        <v>3</v>
      </c>
      <c r="BO91" s="27" t="n">
        <v>0</v>
      </c>
      <c r="BP91" s="27" t="n">
        <v>0</v>
      </c>
      <c r="BQ91" s="27" t="n">
        <v>0</v>
      </c>
      <c r="BR91" s="27" t="n">
        <v>3</v>
      </c>
      <c r="BS91" s="27" t="n">
        <v>3</v>
      </c>
      <c r="BT91" s="27" t="n">
        <v>3</v>
      </c>
      <c r="BU91" s="27" t="n">
        <v>3</v>
      </c>
      <c r="BV91" s="27" t="n">
        <v>0</v>
      </c>
      <c r="BW91" s="27" t="n">
        <v>3</v>
      </c>
      <c r="BX91" s="27" t="n">
        <v>0</v>
      </c>
      <c r="BY91" s="27" t="n">
        <v>3</v>
      </c>
      <c r="BZ91" s="27" t="n">
        <v>0</v>
      </c>
      <c r="CA91" s="27" t="n">
        <v>3</v>
      </c>
      <c r="CB91" s="27" t="n">
        <v>3</v>
      </c>
      <c r="CC91" s="27" t="n">
        <v>0</v>
      </c>
      <c r="CD91" s="27" t="n">
        <v>3</v>
      </c>
      <c r="CE91" s="27" t="n">
        <v>3</v>
      </c>
      <c r="CF91" s="27" t="n">
        <v>3</v>
      </c>
      <c r="CG91" s="27" t="n">
        <v>3</v>
      </c>
      <c r="CH91" s="27" t="n">
        <v>3</v>
      </c>
      <c r="CI91" s="27" t="n">
        <v>0</v>
      </c>
      <c r="CJ91" s="27" t="n">
        <v>3</v>
      </c>
      <c r="CK91" s="27" t="n">
        <v>3</v>
      </c>
      <c r="CL91" s="27" t="n">
        <v>0</v>
      </c>
      <c r="CM91" s="27" t="n">
        <v>3</v>
      </c>
      <c r="CN91" s="27" t="n">
        <v>3</v>
      </c>
      <c r="CO91" s="27" t="n">
        <v>0</v>
      </c>
      <c r="CP91" s="27" t="n">
        <v>3</v>
      </c>
      <c r="CQ91" s="27" t="n">
        <v>3</v>
      </c>
      <c r="CR91" s="27" t="n">
        <v>3</v>
      </c>
      <c r="CS91" s="27" t="n">
        <v>3</v>
      </c>
      <c r="CT91" s="27" t="n">
        <v>3</v>
      </c>
      <c r="CU91" s="27" t="n">
        <v>3</v>
      </c>
      <c r="CV91" s="27" t="n">
        <v>3</v>
      </c>
      <c r="CW91" s="27" t="n">
        <v>3</v>
      </c>
      <c r="CX91" s="27" t="n">
        <v>3</v>
      </c>
      <c r="CY91" s="27" t="n">
        <v>3</v>
      </c>
      <c r="CZ91" s="27" t="n">
        <v>3</v>
      </c>
      <c r="DA91" s="27" t="n">
        <v>0</v>
      </c>
    </row>
    <row r="92">
      <c r="A92" t="inlineStr">
        <is>
          <t>TSP-1558</t>
        </is>
      </c>
      <c r="B92" s="27" t="n">
        <v>0</v>
      </c>
      <c r="C92" s="27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0</v>
      </c>
      <c r="J92" s="27" t="n">
        <v>0</v>
      </c>
      <c r="K92" s="27" t="n">
        <v>0</v>
      </c>
      <c r="L92" s="27" t="n">
        <v>0</v>
      </c>
      <c r="M92" s="27" t="n">
        <v>0</v>
      </c>
      <c r="N92" s="27" t="n">
        <v>0</v>
      </c>
      <c r="O92" s="27" t="n">
        <v>0</v>
      </c>
      <c r="P92" s="27" t="n">
        <v>2</v>
      </c>
      <c r="Q92" s="27" t="n">
        <v>0</v>
      </c>
      <c r="R92" s="27" t="n">
        <v>0</v>
      </c>
      <c r="S92" s="27" t="n">
        <v>0</v>
      </c>
      <c r="T92" s="27" t="n">
        <v>0</v>
      </c>
      <c r="U92" s="27" t="n">
        <v>0</v>
      </c>
      <c r="V92" s="27" t="n">
        <v>3.193877551020408</v>
      </c>
      <c r="W92" s="27" t="n">
        <v>0</v>
      </c>
      <c r="X92" s="27" t="n">
        <v>0</v>
      </c>
      <c r="Y92" s="27" t="n">
        <v>0</v>
      </c>
      <c r="Z92" s="27" t="n">
        <v>0</v>
      </c>
      <c r="AA92" s="27" t="n">
        <v>0</v>
      </c>
      <c r="AB92" s="27" t="n">
        <v>0</v>
      </c>
      <c r="AC92" s="27" t="n">
        <v>0</v>
      </c>
      <c r="AD92" s="27" t="n">
        <v>0</v>
      </c>
      <c r="AE92" s="27" t="n">
        <v>1.957482993197279</v>
      </c>
      <c r="AF92" s="27" t="n">
        <v>0</v>
      </c>
      <c r="AG92" s="27" t="n">
        <v>0</v>
      </c>
      <c r="AH92" s="27" t="n">
        <v>0</v>
      </c>
      <c r="AI92" s="27" t="n">
        <v>0</v>
      </c>
      <c r="AJ92" s="27" t="n">
        <v>0</v>
      </c>
      <c r="AK92" s="27" t="n">
        <v>2</v>
      </c>
      <c r="AL92" s="27" t="n">
        <v>0</v>
      </c>
      <c r="AM92" s="27" t="n">
        <v>0</v>
      </c>
      <c r="AN92" s="27" t="n">
        <v>0</v>
      </c>
      <c r="AO92" s="27" t="n">
        <v>0</v>
      </c>
      <c r="AP92" s="27" t="n">
        <v>0</v>
      </c>
      <c r="AQ92" s="27" t="n">
        <v>0</v>
      </c>
      <c r="AR92" s="27" t="n">
        <v>0</v>
      </c>
      <c r="AS92" s="27" t="n">
        <v>0</v>
      </c>
      <c r="AT92" s="27" t="n">
        <v>0</v>
      </c>
      <c r="AU92" s="27" t="n">
        <v>0</v>
      </c>
      <c r="AV92" s="27" t="n">
        <v>2</v>
      </c>
      <c r="AW92" s="27" t="n">
        <v>0</v>
      </c>
      <c r="AX92" s="27" t="n">
        <v>0</v>
      </c>
      <c r="AY92" s="27" t="n">
        <v>0</v>
      </c>
      <c r="AZ92" s="27" t="n">
        <v>0</v>
      </c>
      <c r="BA92" s="27" t="n">
        <v>0</v>
      </c>
      <c r="BB92" s="27" t="n">
        <v>0</v>
      </c>
      <c r="BC92" s="27" t="n">
        <v>0</v>
      </c>
      <c r="BD92" s="27" t="n">
        <v>0</v>
      </c>
      <c r="BE92" s="27" t="n">
        <v>0</v>
      </c>
      <c r="BF92" s="27" t="n">
        <v>2</v>
      </c>
      <c r="BG92" s="27" t="n">
        <v>0</v>
      </c>
      <c r="BH92" s="27" t="n">
        <v>0</v>
      </c>
      <c r="BI92" s="27" t="n">
        <v>0</v>
      </c>
      <c r="BJ92" s="27" t="n">
        <v>2</v>
      </c>
      <c r="BK92" s="27" t="n">
        <v>0</v>
      </c>
      <c r="BL92" s="27" t="n">
        <v>0</v>
      </c>
      <c r="BM92" s="27" t="n">
        <v>0</v>
      </c>
      <c r="BN92" s="27" t="n">
        <v>2</v>
      </c>
      <c r="BO92" s="27" t="n">
        <v>0</v>
      </c>
      <c r="BP92" s="27" t="n">
        <v>0</v>
      </c>
      <c r="BQ92" s="27" t="n">
        <v>0</v>
      </c>
      <c r="BR92" s="27" t="n">
        <v>2</v>
      </c>
      <c r="BS92" s="27" t="n">
        <v>2</v>
      </c>
      <c r="BT92" s="27" t="n">
        <v>2</v>
      </c>
      <c r="BU92" s="27" t="n">
        <v>2</v>
      </c>
      <c r="BV92" s="27" t="n">
        <v>0</v>
      </c>
      <c r="BW92" s="27" t="n">
        <v>2</v>
      </c>
      <c r="BX92" s="27" t="n">
        <v>0</v>
      </c>
      <c r="BY92" s="27" t="n">
        <v>2</v>
      </c>
      <c r="BZ92" s="27" t="n">
        <v>0</v>
      </c>
      <c r="CA92" s="27" t="n">
        <v>2</v>
      </c>
      <c r="CB92" s="27" t="n">
        <v>2</v>
      </c>
      <c r="CC92" s="27" t="n">
        <v>0</v>
      </c>
      <c r="CD92" s="27" t="n">
        <v>2</v>
      </c>
      <c r="CE92" s="27" t="n">
        <v>2</v>
      </c>
      <c r="CF92" s="27" t="n">
        <v>2</v>
      </c>
      <c r="CG92" s="27" t="n">
        <v>2</v>
      </c>
      <c r="CH92" s="27" t="n">
        <v>2</v>
      </c>
      <c r="CI92" s="27" t="n">
        <v>0</v>
      </c>
      <c r="CJ92" s="27" t="n">
        <v>2</v>
      </c>
      <c r="CK92" s="27" t="n">
        <v>2</v>
      </c>
      <c r="CL92" s="27" t="n">
        <v>0</v>
      </c>
      <c r="CM92" s="27" t="n">
        <v>2</v>
      </c>
      <c r="CN92" s="27" t="n">
        <v>2</v>
      </c>
      <c r="CO92" s="27" t="n">
        <v>0</v>
      </c>
      <c r="CP92" s="27" t="n">
        <v>2</v>
      </c>
      <c r="CQ92" s="27" t="n">
        <v>2</v>
      </c>
      <c r="CR92" s="27" t="n">
        <v>2</v>
      </c>
      <c r="CS92" s="27" t="n">
        <v>2</v>
      </c>
      <c r="CT92" s="27" t="n">
        <v>2</v>
      </c>
      <c r="CU92" s="27" t="n">
        <v>2</v>
      </c>
      <c r="CV92" s="27" t="n">
        <v>2</v>
      </c>
      <c r="CW92" s="27" t="n">
        <v>2</v>
      </c>
      <c r="CX92" s="27" t="n">
        <v>2</v>
      </c>
      <c r="CY92" s="27" t="n">
        <v>2</v>
      </c>
      <c r="CZ92" s="27" t="n">
        <v>2</v>
      </c>
      <c r="DA92" s="27" t="n">
        <v>0</v>
      </c>
    </row>
    <row r="93">
      <c r="A93" t="inlineStr">
        <is>
          <t>TSP-1559</t>
        </is>
      </c>
      <c r="B93" s="27" t="n">
        <v>0</v>
      </c>
      <c r="C93" s="27" t="n">
        <v>0</v>
      </c>
      <c r="D93" s="27" t="n">
        <v>0</v>
      </c>
      <c r="E93" s="27" t="n">
        <v>0</v>
      </c>
      <c r="F93" s="27" t="n">
        <v>0</v>
      </c>
      <c r="G93" s="27" t="n">
        <v>0</v>
      </c>
      <c r="H93" s="27" t="n">
        <v>0</v>
      </c>
      <c r="I93" s="27" t="n">
        <v>0</v>
      </c>
      <c r="J93" s="27" t="n">
        <v>0</v>
      </c>
      <c r="K93" s="27" t="n">
        <v>0</v>
      </c>
      <c r="L93" s="27" t="n">
        <v>0</v>
      </c>
      <c r="M93" s="27" t="n">
        <v>0</v>
      </c>
      <c r="N93" s="27" t="n">
        <v>0</v>
      </c>
      <c r="O93" s="27" t="n">
        <v>0</v>
      </c>
      <c r="P93" s="27" t="n">
        <v>0</v>
      </c>
      <c r="Q93" s="27" t="n">
        <v>0</v>
      </c>
      <c r="R93" s="27" t="n">
        <v>0</v>
      </c>
      <c r="S93" s="27" t="n">
        <v>0</v>
      </c>
      <c r="T93" s="27" t="n">
        <v>0</v>
      </c>
      <c r="U93" s="27" t="n">
        <v>0</v>
      </c>
      <c r="V93" s="27" t="n">
        <v>0</v>
      </c>
      <c r="W93" s="27" t="n">
        <v>0</v>
      </c>
      <c r="X93" s="27" t="n">
        <v>0</v>
      </c>
      <c r="Y93" s="27" t="n">
        <v>0</v>
      </c>
      <c r="Z93" s="27" t="n">
        <v>0</v>
      </c>
      <c r="AA93" s="27" t="n">
        <v>0</v>
      </c>
      <c r="AB93" s="27" t="n">
        <v>0</v>
      </c>
      <c r="AC93" s="27" t="n">
        <v>0</v>
      </c>
      <c r="AD93" s="27" t="n">
        <v>0</v>
      </c>
      <c r="AE93" s="27" t="n">
        <v>0</v>
      </c>
      <c r="AF93" s="27" t="n">
        <v>0</v>
      </c>
      <c r="AG93" s="27" t="n">
        <v>0</v>
      </c>
      <c r="AH93" s="27" t="n">
        <v>0</v>
      </c>
      <c r="AI93" s="27" t="n">
        <v>0</v>
      </c>
      <c r="AJ93" s="27" t="n">
        <v>0</v>
      </c>
      <c r="AK93" s="27" t="n">
        <v>0</v>
      </c>
      <c r="AL93" s="27" t="n">
        <v>0</v>
      </c>
      <c r="AM93" s="27" t="n">
        <v>0</v>
      </c>
      <c r="AN93" s="27" t="n">
        <v>0</v>
      </c>
      <c r="AO93" s="27" t="n">
        <v>0</v>
      </c>
      <c r="AP93" s="27" t="n">
        <v>0</v>
      </c>
      <c r="AQ93" s="27" t="n">
        <v>0</v>
      </c>
      <c r="AR93" s="27" t="n">
        <v>0</v>
      </c>
      <c r="AS93" s="27" t="n">
        <v>0</v>
      </c>
      <c r="AT93" s="27" t="n">
        <v>0</v>
      </c>
      <c r="AU93" s="27" t="n">
        <v>0</v>
      </c>
      <c r="AV93" s="27" t="n">
        <v>0</v>
      </c>
      <c r="AW93" s="27" t="n">
        <v>0</v>
      </c>
      <c r="AX93" s="27" t="n">
        <v>0</v>
      </c>
      <c r="AY93" s="27" t="n">
        <v>0</v>
      </c>
      <c r="AZ93" s="27" t="n">
        <v>0</v>
      </c>
      <c r="BA93" s="27" t="n">
        <v>0</v>
      </c>
      <c r="BB93" s="27" t="n">
        <v>0</v>
      </c>
      <c r="BC93" s="27" t="n">
        <v>0</v>
      </c>
      <c r="BD93" s="27" t="n">
        <v>0</v>
      </c>
      <c r="BE93" s="27" t="n">
        <v>0</v>
      </c>
      <c r="BF93" s="27" t="n">
        <v>0</v>
      </c>
      <c r="BG93" s="27" t="n">
        <v>0</v>
      </c>
      <c r="BH93" s="27" t="n">
        <v>0</v>
      </c>
      <c r="BI93" s="27" t="n">
        <v>0</v>
      </c>
      <c r="BJ93" s="27" t="n">
        <v>0</v>
      </c>
      <c r="BK93" s="27" t="n">
        <v>0</v>
      </c>
      <c r="BL93" s="27" t="n">
        <v>0</v>
      </c>
      <c r="BM93" s="27" t="n">
        <v>0</v>
      </c>
      <c r="BN93" s="27" t="n">
        <v>0</v>
      </c>
      <c r="BO93" s="27" t="n">
        <v>0</v>
      </c>
      <c r="BP93" s="27" t="n">
        <v>0</v>
      </c>
      <c r="BQ93" s="27" t="n">
        <v>0</v>
      </c>
      <c r="BR93" s="27" t="n">
        <v>0</v>
      </c>
      <c r="BS93" s="27" t="n">
        <v>0</v>
      </c>
      <c r="BT93" s="27" t="n">
        <v>0</v>
      </c>
      <c r="BU93" s="27" t="n">
        <v>0</v>
      </c>
      <c r="BV93" s="27" t="n">
        <v>0</v>
      </c>
      <c r="BW93" s="27" t="n">
        <v>0</v>
      </c>
      <c r="BX93" s="27" t="n">
        <v>0</v>
      </c>
      <c r="BY93" s="27" t="n">
        <v>0</v>
      </c>
      <c r="BZ93" s="27" t="n">
        <v>0</v>
      </c>
      <c r="CA93" s="27" t="n">
        <v>0</v>
      </c>
      <c r="CB93" s="27" t="n">
        <v>0</v>
      </c>
      <c r="CC93" s="27" t="n">
        <v>0</v>
      </c>
      <c r="CD93" s="27" t="n">
        <v>0</v>
      </c>
      <c r="CE93" s="27" t="n">
        <v>0</v>
      </c>
      <c r="CF93" s="27" t="n">
        <v>0</v>
      </c>
      <c r="CG93" s="27" t="n">
        <v>0</v>
      </c>
      <c r="CH93" s="27" t="n">
        <v>0</v>
      </c>
      <c r="CI93" s="27" t="n">
        <v>0</v>
      </c>
      <c r="CJ93" s="27" t="n">
        <v>0</v>
      </c>
      <c r="CK93" s="27" t="n">
        <v>0</v>
      </c>
      <c r="CL93" s="27" t="n">
        <v>0</v>
      </c>
      <c r="CM93" s="27" t="n">
        <v>0</v>
      </c>
      <c r="CN93" s="27" t="n">
        <v>0</v>
      </c>
      <c r="CO93" s="27" t="n">
        <v>0</v>
      </c>
      <c r="CP93" s="27" t="n">
        <v>0</v>
      </c>
      <c r="CQ93" s="27" t="n">
        <v>0</v>
      </c>
      <c r="CR93" s="27" t="n">
        <v>0</v>
      </c>
      <c r="CS93" s="27" t="n">
        <v>0</v>
      </c>
      <c r="CT93" s="27" t="n">
        <v>0</v>
      </c>
      <c r="CU93" s="27" t="n">
        <v>0</v>
      </c>
      <c r="CV93" s="27" t="n">
        <v>0</v>
      </c>
      <c r="CW93" s="27" t="n">
        <v>0</v>
      </c>
      <c r="CX93" s="27" t="n">
        <v>0</v>
      </c>
      <c r="CY93" s="27" t="n">
        <v>0</v>
      </c>
      <c r="CZ93" s="27" t="n">
        <v>0</v>
      </c>
      <c r="DA93" s="27" t="n">
        <v>0</v>
      </c>
    </row>
    <row r="94">
      <c r="A94" t="inlineStr">
        <is>
          <t>Ester Film</t>
        </is>
      </c>
      <c r="B94" s="27" t="n">
        <v>0</v>
      </c>
      <c r="C94" s="27" t="n">
        <v>0</v>
      </c>
      <c r="D94" s="27" t="n">
        <v>0</v>
      </c>
      <c r="E94" s="27" t="n">
        <v>0</v>
      </c>
      <c r="F94" s="27" t="n">
        <v>0</v>
      </c>
      <c r="G94" s="27" t="n">
        <v>0</v>
      </c>
      <c r="H94" s="27" t="n">
        <v>0</v>
      </c>
      <c r="I94" s="27" t="n">
        <v>0</v>
      </c>
      <c r="J94" s="27" t="n">
        <v>0</v>
      </c>
      <c r="K94" s="27" t="n">
        <v>0</v>
      </c>
      <c r="L94" s="27" t="n">
        <v>0</v>
      </c>
      <c r="M94" s="27" t="n">
        <v>0</v>
      </c>
      <c r="N94" s="27" t="n">
        <v>0</v>
      </c>
      <c r="O94" s="27" t="n">
        <v>0</v>
      </c>
      <c r="P94" s="27" t="n">
        <v>0</v>
      </c>
      <c r="Q94" s="27" t="n">
        <v>0</v>
      </c>
      <c r="R94" s="27" t="n">
        <v>0</v>
      </c>
      <c r="S94" s="27" t="n">
        <v>0</v>
      </c>
      <c r="T94" s="27" t="n">
        <v>0</v>
      </c>
      <c r="U94" s="27" t="n">
        <v>0</v>
      </c>
      <c r="V94" s="27" t="n">
        <v>0</v>
      </c>
      <c r="W94" s="27" t="n">
        <v>0</v>
      </c>
      <c r="X94" s="27" t="n">
        <v>5</v>
      </c>
      <c r="Y94" s="27" t="n">
        <v>5</v>
      </c>
      <c r="Z94" s="27" t="n">
        <v>5</v>
      </c>
      <c r="AA94" s="27" t="n">
        <v>5</v>
      </c>
      <c r="AB94" s="27" t="n">
        <v>5</v>
      </c>
      <c r="AC94" s="27" t="n">
        <v>5</v>
      </c>
      <c r="AD94" s="27" t="n">
        <v>5</v>
      </c>
      <c r="AE94" s="27" t="n">
        <v>5</v>
      </c>
      <c r="AF94" s="27" t="n">
        <v>5</v>
      </c>
      <c r="AG94" s="27" t="n">
        <v>5</v>
      </c>
      <c r="AH94" s="27" t="n">
        <v>5</v>
      </c>
      <c r="AI94" s="27" t="n">
        <v>5</v>
      </c>
      <c r="AJ94" s="27" t="n">
        <v>5</v>
      </c>
      <c r="AK94" s="27" t="n">
        <v>5</v>
      </c>
      <c r="AL94" s="27" t="n">
        <v>5</v>
      </c>
      <c r="AM94" s="27" t="n">
        <v>5</v>
      </c>
      <c r="AN94" s="27" t="n">
        <v>5</v>
      </c>
      <c r="AO94" s="27" t="n">
        <v>5</v>
      </c>
      <c r="AP94" s="27" t="n">
        <v>5</v>
      </c>
      <c r="AQ94" s="27" t="n">
        <v>5</v>
      </c>
      <c r="AR94" s="27" t="n">
        <v>5</v>
      </c>
      <c r="AS94" s="27" t="n">
        <v>5</v>
      </c>
      <c r="AT94" s="27" t="n">
        <v>5</v>
      </c>
      <c r="AU94" s="27" t="n">
        <v>5</v>
      </c>
      <c r="AV94" s="27" t="n">
        <v>5</v>
      </c>
      <c r="AW94" s="27" t="n">
        <v>5</v>
      </c>
      <c r="AX94" s="27" t="n">
        <v>5</v>
      </c>
      <c r="AY94" s="27" t="n">
        <v>5</v>
      </c>
      <c r="AZ94" s="27" t="n">
        <v>5</v>
      </c>
      <c r="BA94" s="27" t="n">
        <v>5</v>
      </c>
      <c r="BB94" s="27" t="n">
        <v>5</v>
      </c>
      <c r="BC94" s="27" t="n">
        <v>5</v>
      </c>
      <c r="BD94" s="27" t="n">
        <v>5</v>
      </c>
      <c r="BE94" s="27" t="n">
        <v>5</v>
      </c>
      <c r="BF94" s="27" t="n">
        <v>5</v>
      </c>
      <c r="BG94" s="27" t="n">
        <v>5</v>
      </c>
      <c r="BH94" s="27" t="n">
        <v>5</v>
      </c>
      <c r="BI94" s="27" t="n">
        <v>5</v>
      </c>
      <c r="BJ94" s="27" t="n">
        <v>5</v>
      </c>
      <c r="BK94" s="27" t="n">
        <v>5</v>
      </c>
      <c r="BL94" s="27" t="n">
        <v>5</v>
      </c>
      <c r="BM94" s="27" t="n">
        <v>5</v>
      </c>
      <c r="BN94" s="27" t="n">
        <v>5</v>
      </c>
      <c r="BO94" s="27" t="n">
        <v>5</v>
      </c>
      <c r="BP94" s="27" t="n">
        <v>5</v>
      </c>
      <c r="BQ94" s="27" t="n">
        <v>5</v>
      </c>
      <c r="BR94" s="27" t="n">
        <v>5</v>
      </c>
      <c r="BS94" s="27" t="n">
        <v>5</v>
      </c>
      <c r="BT94" s="27" t="n">
        <v>5</v>
      </c>
      <c r="BU94" s="27" t="n">
        <v>5</v>
      </c>
      <c r="BV94" s="27" t="n">
        <v>5</v>
      </c>
      <c r="BW94" s="27" t="n">
        <v>5</v>
      </c>
      <c r="BX94" s="27" t="n">
        <v>0</v>
      </c>
      <c r="BY94" s="27" t="n">
        <v>0</v>
      </c>
      <c r="BZ94" s="27" t="n">
        <v>0</v>
      </c>
      <c r="CA94" s="27" t="n">
        <v>0</v>
      </c>
      <c r="CB94" s="27" t="n">
        <v>0</v>
      </c>
      <c r="CC94" s="27" t="n">
        <v>0</v>
      </c>
      <c r="CD94" s="27" t="n">
        <v>0</v>
      </c>
      <c r="CE94" s="27" t="n">
        <v>0</v>
      </c>
      <c r="CF94" s="27" t="n">
        <v>0</v>
      </c>
      <c r="CG94" s="27" t="n">
        <v>0</v>
      </c>
      <c r="CH94" s="27" t="n">
        <v>0</v>
      </c>
      <c r="CI94" s="27" t="n">
        <v>0</v>
      </c>
      <c r="CJ94" s="27" t="n">
        <v>0</v>
      </c>
      <c r="CK94" s="27" t="n">
        <v>0</v>
      </c>
      <c r="CL94" s="27" t="n">
        <v>0</v>
      </c>
      <c r="CM94" s="27" t="n">
        <v>0</v>
      </c>
      <c r="CN94" s="27" t="n">
        <v>0</v>
      </c>
      <c r="CO94" s="27" t="n">
        <v>0</v>
      </c>
      <c r="CP94" s="27" t="n">
        <v>0</v>
      </c>
      <c r="CQ94" s="27" t="n">
        <v>0</v>
      </c>
      <c r="CR94" s="27" t="n">
        <v>0</v>
      </c>
      <c r="CS94" s="27" t="n">
        <v>0</v>
      </c>
      <c r="CT94" s="27" t="n">
        <v>0</v>
      </c>
      <c r="CU94" s="27" t="n">
        <v>0</v>
      </c>
      <c r="CV94" s="27" t="n">
        <v>0</v>
      </c>
      <c r="CW94" s="27" t="n">
        <v>0</v>
      </c>
      <c r="CX94" s="27" t="n">
        <v>0</v>
      </c>
      <c r="CY94" s="27" t="n">
        <v>0</v>
      </c>
      <c r="CZ94" s="27" t="n">
        <v>0</v>
      </c>
      <c r="DA94" s="27" t="n">
        <v>0</v>
      </c>
    </row>
    <row r="95">
      <c r="A95" t="inlineStr">
        <is>
          <t>PP Film</t>
        </is>
      </c>
      <c r="B95" s="27" t="n">
        <v>0</v>
      </c>
      <c r="C95" s="27" t="n">
        <v>0</v>
      </c>
      <c r="D95" s="27" t="n">
        <v>0</v>
      </c>
      <c r="E95" s="27" t="n">
        <v>0</v>
      </c>
      <c r="F95" s="27" t="n">
        <v>0</v>
      </c>
      <c r="G95" s="27" t="n">
        <v>0</v>
      </c>
      <c r="H95" s="27" t="n">
        <v>0</v>
      </c>
      <c r="I95" s="27" t="n">
        <v>0</v>
      </c>
      <c r="J95" s="27" t="n">
        <v>0</v>
      </c>
      <c r="K95" s="27" t="n">
        <v>0</v>
      </c>
      <c r="L95" s="27" t="n">
        <v>0</v>
      </c>
      <c r="M95" s="27" t="n">
        <v>0</v>
      </c>
      <c r="N95" s="27" t="n">
        <v>0</v>
      </c>
      <c r="O95" s="27" t="n">
        <v>0</v>
      </c>
      <c r="P95" s="27" t="n">
        <v>0</v>
      </c>
      <c r="Q95" s="27" t="n">
        <v>0</v>
      </c>
      <c r="R95" s="27" t="n">
        <v>0</v>
      </c>
      <c r="S95" s="27" t="n">
        <v>0</v>
      </c>
      <c r="T95" s="27" t="n">
        <v>0</v>
      </c>
      <c r="U95" s="27" t="n">
        <v>0</v>
      </c>
      <c r="V95" s="27" t="n">
        <v>0</v>
      </c>
      <c r="W95" s="27" t="n">
        <v>0</v>
      </c>
      <c r="X95" s="27" t="n">
        <v>21</v>
      </c>
      <c r="Y95" s="27" t="n">
        <v>18</v>
      </c>
      <c r="Z95" s="27" t="n">
        <v>0</v>
      </c>
      <c r="AA95" s="27" t="n">
        <v>4</v>
      </c>
      <c r="AB95" s="27" t="n">
        <v>15</v>
      </c>
      <c r="AC95" s="27" t="n">
        <v>9</v>
      </c>
      <c r="AD95" s="27" t="n">
        <v>12</v>
      </c>
      <c r="AE95" s="27" t="n">
        <v>16</v>
      </c>
      <c r="AF95" s="27" t="n">
        <v>16</v>
      </c>
      <c r="AG95" s="27" t="n">
        <v>20</v>
      </c>
      <c r="AH95" s="27" t="n">
        <v>17</v>
      </c>
      <c r="AI95" s="27" t="n">
        <v>6</v>
      </c>
      <c r="AJ95" s="27" t="n">
        <v>12</v>
      </c>
      <c r="AK95" s="27" t="n">
        <v>7</v>
      </c>
      <c r="AL95" s="27" t="n">
        <v>13</v>
      </c>
      <c r="AM95" s="27" t="n">
        <v>19</v>
      </c>
      <c r="AN95" s="27" t="n">
        <v>16</v>
      </c>
      <c r="AO95" s="27" t="n">
        <v>16</v>
      </c>
      <c r="AP95" s="27" t="n">
        <v>18</v>
      </c>
      <c r="AQ95" s="27" t="n">
        <v>19</v>
      </c>
      <c r="AR95" s="27" t="n">
        <v>18</v>
      </c>
      <c r="AS95" s="27" t="n">
        <v>23</v>
      </c>
      <c r="AT95" s="27" t="n">
        <v>26</v>
      </c>
      <c r="AU95" s="27" t="n">
        <v>26</v>
      </c>
      <c r="AV95" s="27" t="n">
        <v>26</v>
      </c>
      <c r="AW95" s="27" t="n">
        <v>19</v>
      </c>
      <c r="AX95" s="27" t="n">
        <v>23</v>
      </c>
      <c r="AY95" s="27" t="n">
        <v>10</v>
      </c>
      <c r="AZ95" s="27" t="n">
        <v>10</v>
      </c>
      <c r="BA95" s="27" t="n">
        <v>0</v>
      </c>
      <c r="BB95" s="27" t="n">
        <v>0</v>
      </c>
      <c r="BC95" s="27" t="n">
        <v>13</v>
      </c>
      <c r="BD95" s="27" t="n">
        <v>16</v>
      </c>
      <c r="BE95" s="27" t="n">
        <v>24</v>
      </c>
      <c r="BF95" s="27" t="n">
        <v>16</v>
      </c>
      <c r="BG95" s="27" t="n">
        <v>19</v>
      </c>
      <c r="BH95" s="27" t="n">
        <v>15</v>
      </c>
      <c r="BI95" s="27" t="n">
        <v>10</v>
      </c>
      <c r="BJ95" s="27" t="n">
        <v>16</v>
      </c>
      <c r="BK95" s="27" t="n">
        <v>16</v>
      </c>
      <c r="BL95" s="27" t="n">
        <v>6</v>
      </c>
      <c r="BM95" s="27" t="n">
        <v>9</v>
      </c>
      <c r="BN95" s="27" t="n">
        <v>13</v>
      </c>
      <c r="BO95" s="27" t="n">
        <v>3</v>
      </c>
      <c r="BP95" s="27" t="n">
        <v>6</v>
      </c>
      <c r="BQ95" s="27" t="n">
        <v>9</v>
      </c>
      <c r="BR95" s="27" t="n">
        <v>11</v>
      </c>
      <c r="BS95" s="27" t="n">
        <v>0</v>
      </c>
      <c r="BT95" s="27" t="n">
        <v>5</v>
      </c>
      <c r="BU95" s="27" t="n">
        <v>0</v>
      </c>
      <c r="BV95" s="27" t="n">
        <v>0</v>
      </c>
      <c r="BW95" s="27" t="n">
        <v>0</v>
      </c>
      <c r="BX95" s="27" t="n">
        <v>0</v>
      </c>
      <c r="BY95" s="27" t="n">
        <v>0</v>
      </c>
      <c r="BZ95" s="27" t="n">
        <v>0</v>
      </c>
      <c r="CA95" s="27" t="n">
        <v>0</v>
      </c>
      <c r="CB95" s="27" t="n">
        <v>0</v>
      </c>
      <c r="CC95" s="27" t="n">
        <v>0</v>
      </c>
      <c r="CD95" s="27" t="n">
        <v>0</v>
      </c>
      <c r="CE95" s="27" t="n">
        <v>0</v>
      </c>
      <c r="CF95" s="27" t="n">
        <v>0</v>
      </c>
      <c r="CG95" s="27" t="n">
        <v>0</v>
      </c>
      <c r="CH95" s="27" t="n">
        <v>0</v>
      </c>
      <c r="CI95" s="27" t="n">
        <v>0</v>
      </c>
      <c r="CJ95" s="27" t="n">
        <v>0</v>
      </c>
      <c r="CK95" s="27" t="n">
        <v>0</v>
      </c>
      <c r="CL95" s="27" t="n">
        <v>0</v>
      </c>
      <c r="CM95" s="27" t="n">
        <v>0</v>
      </c>
      <c r="CN95" s="27" t="n">
        <v>0</v>
      </c>
      <c r="CO95" s="27" t="n">
        <v>0</v>
      </c>
      <c r="CP95" s="27" t="n">
        <v>0</v>
      </c>
      <c r="CQ95" s="27" t="n">
        <v>0</v>
      </c>
      <c r="CR95" s="27" t="n">
        <v>0</v>
      </c>
      <c r="CS95" s="27" t="n">
        <v>0</v>
      </c>
      <c r="CT95" s="27" t="n">
        <v>0</v>
      </c>
      <c r="CU95" s="27" t="n">
        <v>0</v>
      </c>
      <c r="CV95" s="27" t="n">
        <v>0</v>
      </c>
      <c r="CW95" s="27" t="n">
        <v>0</v>
      </c>
      <c r="CX95" s="27" t="n">
        <v>0</v>
      </c>
      <c r="CY95" s="27" t="n">
        <v>0</v>
      </c>
      <c r="CZ95" s="27" t="n">
        <v>0</v>
      </c>
      <c r="DA95" s="27" t="n">
        <v>0</v>
      </c>
    </row>
    <row r="96">
      <c r="A96" t="inlineStr">
        <is>
          <t>TSP-1555</t>
        </is>
      </c>
      <c r="B96" s="27" t="n">
        <v>0</v>
      </c>
      <c r="C96" s="27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0</v>
      </c>
      <c r="J96" s="27" t="n">
        <v>0</v>
      </c>
      <c r="K96" s="27" t="n">
        <v>0</v>
      </c>
      <c r="L96" s="27" t="n">
        <v>0</v>
      </c>
      <c r="M96" s="27" t="n">
        <v>0</v>
      </c>
      <c r="N96" s="27" t="n">
        <v>0</v>
      </c>
      <c r="O96" s="27" t="n">
        <v>0</v>
      </c>
      <c r="P96" s="27" t="n">
        <v>0</v>
      </c>
      <c r="Q96" s="27" t="n">
        <v>0</v>
      </c>
      <c r="R96" s="27" t="n">
        <v>0</v>
      </c>
      <c r="S96" s="27" t="n">
        <v>0</v>
      </c>
      <c r="T96" s="27" t="n">
        <v>0</v>
      </c>
      <c r="U96" s="27" t="n">
        <v>0</v>
      </c>
      <c r="V96" s="27" t="n">
        <v>0</v>
      </c>
      <c r="W96" s="27" t="n">
        <v>0</v>
      </c>
      <c r="X96" s="27" t="n">
        <v>0</v>
      </c>
      <c r="Y96" s="27" t="n">
        <v>0</v>
      </c>
      <c r="Z96" s="27" t="n">
        <v>0</v>
      </c>
      <c r="AA96" s="27" t="n">
        <v>0</v>
      </c>
      <c r="AB96" s="27" t="n">
        <v>0</v>
      </c>
      <c r="AC96" s="27" t="n">
        <v>0</v>
      </c>
      <c r="AD96" s="27" t="n">
        <v>0</v>
      </c>
      <c r="AE96" s="27" t="n">
        <v>0</v>
      </c>
      <c r="AF96" s="27" t="n">
        <v>0</v>
      </c>
      <c r="AG96" s="27" t="n">
        <v>0</v>
      </c>
      <c r="AH96" s="27" t="n">
        <v>0</v>
      </c>
      <c r="AI96" s="27" t="n">
        <v>0</v>
      </c>
      <c r="AJ96" s="27" t="n">
        <v>0</v>
      </c>
      <c r="AK96" s="27" t="n">
        <v>0</v>
      </c>
      <c r="AL96" s="27" t="n">
        <v>0</v>
      </c>
      <c r="AM96" s="27" t="n">
        <v>0</v>
      </c>
      <c r="AN96" s="27" t="n">
        <v>0</v>
      </c>
      <c r="AO96" s="27" t="n">
        <v>0</v>
      </c>
      <c r="AP96" s="27" t="n">
        <v>0</v>
      </c>
      <c r="AQ96" s="27" t="n">
        <v>0</v>
      </c>
      <c r="AR96" s="27" t="n">
        <v>0</v>
      </c>
      <c r="AS96" s="27" t="n">
        <v>0</v>
      </c>
      <c r="AT96" s="27" t="n">
        <v>0</v>
      </c>
      <c r="AU96" s="27" t="n">
        <v>0</v>
      </c>
      <c r="AV96" s="27" t="n">
        <v>0</v>
      </c>
      <c r="AW96" s="27" t="n">
        <v>0</v>
      </c>
      <c r="AX96" s="27" t="n">
        <v>0</v>
      </c>
      <c r="AY96" s="27" t="n">
        <v>0</v>
      </c>
      <c r="AZ96" s="27" t="n">
        <v>0</v>
      </c>
      <c r="BA96" s="27" t="n">
        <v>0</v>
      </c>
      <c r="BB96" s="27" t="n">
        <v>0</v>
      </c>
      <c r="BC96" s="27" t="n">
        <v>0</v>
      </c>
      <c r="BD96" s="27" t="n">
        <v>0</v>
      </c>
      <c r="BE96" s="27" t="n">
        <v>0</v>
      </c>
      <c r="BF96" s="27" t="n">
        <v>0</v>
      </c>
      <c r="BG96" s="27" t="n">
        <v>0</v>
      </c>
      <c r="BH96" s="27" t="n">
        <v>0</v>
      </c>
      <c r="BI96" s="27" t="n">
        <v>0</v>
      </c>
      <c r="BJ96" s="27" t="n">
        <v>0</v>
      </c>
      <c r="BK96" s="27" t="n">
        <v>0</v>
      </c>
      <c r="BL96" s="27" t="n">
        <v>0</v>
      </c>
      <c r="BM96" s="27" t="n">
        <v>0</v>
      </c>
      <c r="BN96" s="27" t="n">
        <v>0</v>
      </c>
      <c r="BO96" s="27" t="n">
        <v>0</v>
      </c>
      <c r="BP96" s="27" t="n">
        <v>0</v>
      </c>
      <c r="BQ96" s="27" t="n">
        <v>0</v>
      </c>
      <c r="BR96" s="27" t="n">
        <v>0</v>
      </c>
      <c r="BS96" s="27" t="n">
        <v>0</v>
      </c>
      <c r="BT96" s="27" t="n">
        <v>0</v>
      </c>
      <c r="BU96" s="27" t="n">
        <v>0</v>
      </c>
      <c r="BV96" s="27" t="n">
        <v>0</v>
      </c>
      <c r="BW96" s="27" t="n">
        <v>0</v>
      </c>
      <c r="BX96" s="27" t="n">
        <v>0</v>
      </c>
      <c r="BY96" s="27" t="n">
        <v>0</v>
      </c>
      <c r="BZ96" s="27" t="n">
        <v>0</v>
      </c>
      <c r="CA96" s="27" t="n">
        <v>0</v>
      </c>
      <c r="CB96" s="27" t="n">
        <v>0</v>
      </c>
      <c r="CC96" s="27" t="n">
        <v>0</v>
      </c>
      <c r="CD96" s="27" t="n">
        <v>0</v>
      </c>
      <c r="CE96" s="27" t="n">
        <v>0</v>
      </c>
      <c r="CF96" s="27" t="n">
        <v>0</v>
      </c>
      <c r="CG96" s="27" t="n">
        <v>0</v>
      </c>
      <c r="CH96" s="27" t="n">
        <v>0</v>
      </c>
      <c r="CI96" s="27" t="n">
        <v>0</v>
      </c>
      <c r="CJ96" s="27" t="n">
        <v>0</v>
      </c>
      <c r="CK96" s="27" t="n">
        <v>0</v>
      </c>
      <c r="CL96" s="27" t="n">
        <v>0</v>
      </c>
      <c r="CM96" s="27" t="n">
        <v>0</v>
      </c>
      <c r="CN96" s="27" t="n">
        <v>0</v>
      </c>
      <c r="CO96" s="27" t="n">
        <v>0</v>
      </c>
      <c r="CP96" s="27" t="n">
        <v>0</v>
      </c>
      <c r="CQ96" s="27" t="n">
        <v>0</v>
      </c>
      <c r="CR96" s="27" t="n">
        <v>0</v>
      </c>
      <c r="CS96" s="27" t="n">
        <v>0</v>
      </c>
      <c r="CT96" s="27" t="n">
        <v>0</v>
      </c>
      <c r="CU96" s="27" t="n">
        <v>0</v>
      </c>
      <c r="CV96" s="27" t="n">
        <v>0</v>
      </c>
      <c r="CW96" s="27" t="n">
        <v>0</v>
      </c>
      <c r="CX96" s="27" t="n">
        <v>0</v>
      </c>
      <c r="CY96" s="27" t="n">
        <v>0</v>
      </c>
      <c r="CZ96" s="27" t="n">
        <v>0</v>
      </c>
      <c r="DA96" s="2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7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4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4">
        <f>B4+6</f>
        <v/>
      </c>
      <c r="G4">
        <f>TEXT(B4,"mmm-yy")</f>
        <v/>
      </c>
    </row>
    <row r="5">
      <c r="A5" t="n">
        <v>2</v>
      </c>
      <c r="B5" s="24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4">
        <f>B5+6</f>
        <v/>
      </c>
      <c r="G5">
        <f>TEXT(B5,"mmm-yy")</f>
        <v/>
      </c>
    </row>
    <row r="6">
      <c r="A6" t="n">
        <v>3</v>
      </c>
      <c r="B6" s="24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4">
        <f>B6+6</f>
        <v/>
      </c>
      <c r="G6">
        <f>TEXT(B6,"mmm-yy")</f>
        <v/>
      </c>
    </row>
    <row r="7">
      <c r="A7" t="n">
        <v>4</v>
      </c>
      <c r="B7" s="24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4">
        <f>B7+6</f>
        <v/>
      </c>
      <c r="G7">
        <f>TEXT(B7,"mmm-yy")</f>
        <v/>
      </c>
    </row>
    <row r="8">
      <c r="A8" t="n">
        <v>5</v>
      </c>
      <c r="B8" s="24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4">
        <f>B8+6</f>
        <v/>
      </c>
      <c r="G8">
        <f>TEXT(B8,"mmm-yy")</f>
        <v/>
      </c>
    </row>
    <row r="9">
      <c r="A9" t="n">
        <v>6</v>
      </c>
      <c r="B9" s="24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4">
        <f>B9+6</f>
        <v/>
      </c>
      <c r="G9">
        <f>TEXT(B9,"mmm-yy")</f>
        <v/>
      </c>
    </row>
    <row r="10">
      <c r="A10" t="n">
        <v>7</v>
      </c>
      <c r="B10" s="24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4">
        <f>B10+6</f>
        <v/>
      </c>
      <c r="G10">
        <f>TEXT(B10,"mmm-yy")</f>
        <v/>
      </c>
    </row>
    <row r="11">
      <c r="A11" t="n">
        <v>8</v>
      </c>
      <c r="B11" s="24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4">
        <f>B11+6</f>
        <v/>
      </c>
      <c r="G11">
        <f>TEXT(B11,"mmm-yy")</f>
        <v/>
      </c>
    </row>
    <row r="12">
      <c r="A12" t="n">
        <v>9</v>
      </c>
      <c r="B12" s="24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4">
        <f>B12+6</f>
        <v/>
      </c>
      <c r="G12">
        <f>TEXT(B12,"mmm-yy")</f>
        <v/>
      </c>
    </row>
    <row r="13">
      <c r="A13" t="n">
        <v>10</v>
      </c>
      <c r="B13" s="24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4">
        <f>B13+6</f>
        <v/>
      </c>
      <c r="G13">
        <f>TEXT(B13,"mmm-yy")</f>
        <v/>
      </c>
    </row>
    <row r="14">
      <c r="A14" t="n">
        <v>11</v>
      </c>
      <c r="B14" s="24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4">
        <f>B14+6</f>
        <v/>
      </c>
      <c r="G14">
        <f>TEXT(B14,"mmm-yy")</f>
        <v/>
      </c>
    </row>
    <row r="15">
      <c r="A15" t="n">
        <v>12</v>
      </c>
      <c r="B15" s="24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4">
        <f>B15+6</f>
        <v/>
      </c>
      <c r="G15">
        <f>TEXT(B15,"mmm-yy")</f>
        <v/>
      </c>
    </row>
    <row r="16">
      <c r="A16" t="n">
        <v>13</v>
      </c>
      <c r="B16" s="24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4">
        <f>B16+6</f>
        <v/>
      </c>
      <c r="G16">
        <f>TEXT(B16,"mmm-yy")</f>
        <v/>
      </c>
    </row>
    <row r="17">
      <c r="A17" t="n">
        <v>14</v>
      </c>
      <c r="B17" s="24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4">
        <f>B17+6</f>
        <v/>
      </c>
      <c r="G17">
        <f>TEXT(B17,"mmm-yy")</f>
        <v/>
      </c>
    </row>
    <row r="18">
      <c r="A18" t="n">
        <v>15</v>
      </c>
      <c r="B18" s="24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4">
        <f>B18+6</f>
        <v/>
      </c>
      <c r="G18">
        <f>TEXT(B18,"mmm-yy")</f>
        <v/>
      </c>
    </row>
    <row r="19">
      <c r="A19" t="n">
        <v>16</v>
      </c>
      <c r="B19" s="24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4">
        <f>B19+6</f>
        <v/>
      </c>
      <c r="G19">
        <f>TEXT(B19,"mmm-yy")</f>
        <v/>
      </c>
    </row>
    <row r="20">
      <c r="A20" t="n">
        <v>17</v>
      </c>
      <c r="B20" s="24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4">
        <f>B20+6</f>
        <v/>
      </c>
      <c r="G20">
        <f>TEXT(B20,"mmm-yy")</f>
        <v/>
      </c>
    </row>
    <row r="21">
      <c r="A21" t="n">
        <v>18</v>
      </c>
      <c r="B21" s="24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4">
        <f>B21+6</f>
        <v/>
      </c>
      <c r="G21">
        <f>TEXT(B21,"mmm-yy")</f>
        <v/>
      </c>
    </row>
    <row r="22">
      <c r="A22" t="n">
        <v>19</v>
      </c>
      <c r="B22" s="24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4">
        <f>B22+6</f>
        <v/>
      </c>
      <c r="G22">
        <f>TEXT(B22,"mmm-yy")</f>
        <v/>
      </c>
    </row>
    <row r="23">
      <c r="A23" t="n">
        <v>20</v>
      </c>
      <c r="B23" s="24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4">
        <f>B23+6</f>
        <v/>
      </c>
      <c r="G23">
        <f>TEXT(B23,"mmm-yy")</f>
        <v/>
      </c>
    </row>
    <row r="24">
      <c r="A24" t="n">
        <v>21</v>
      </c>
      <c r="B24" s="24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4">
        <f>B24+6</f>
        <v/>
      </c>
      <c r="G24">
        <f>TEXT(B24,"mmm-yy")</f>
        <v/>
      </c>
    </row>
    <row r="25">
      <c r="A25" t="n">
        <v>22</v>
      </c>
      <c r="B25" s="24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4">
        <f>B25+6</f>
        <v/>
      </c>
      <c r="G25">
        <f>TEXT(B25,"mmm-yy")</f>
        <v/>
      </c>
    </row>
    <row r="26">
      <c r="A26" t="n">
        <v>23</v>
      </c>
      <c r="B26" s="24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4">
        <f>B26+6</f>
        <v/>
      </c>
      <c r="G26">
        <f>TEXT(B26,"mmm-yy")</f>
        <v/>
      </c>
    </row>
    <row r="27">
      <c r="A27" t="n">
        <v>24</v>
      </c>
      <c r="B27" s="24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4">
        <f>B27+6</f>
        <v/>
      </c>
      <c r="G27">
        <f>TEXT(B27,"mmm-yy")</f>
        <v/>
      </c>
    </row>
    <row r="28">
      <c r="A28" t="n">
        <v>25</v>
      </c>
      <c r="B28" s="24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4">
        <f>B28+6</f>
        <v/>
      </c>
      <c r="G28">
        <f>TEXT(B28,"mmm-yy")</f>
        <v/>
      </c>
    </row>
    <row r="29">
      <c r="A29" t="n">
        <v>26</v>
      </c>
      <c r="B29" s="24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4">
        <f>B29+6</f>
        <v/>
      </c>
      <c r="G29">
        <f>TEXT(B29,"mmm-yy")</f>
        <v/>
      </c>
    </row>
    <row r="30">
      <c r="A30" t="n">
        <v>27</v>
      </c>
      <c r="B30" s="24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4">
        <f>B30+6</f>
        <v/>
      </c>
      <c r="G30">
        <f>TEXT(B30,"mmm-yy")</f>
        <v/>
      </c>
    </row>
    <row r="31">
      <c r="A31" t="n">
        <v>28</v>
      </c>
      <c r="B31" s="24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4">
        <f>B31+6</f>
        <v/>
      </c>
      <c r="G31">
        <f>TEXT(B31,"mmm-yy")</f>
        <v/>
      </c>
    </row>
    <row r="32">
      <c r="A32" t="n">
        <v>29</v>
      </c>
      <c r="B32" s="24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4">
        <f>B32+6</f>
        <v/>
      </c>
      <c r="G32">
        <f>TEXT(B32,"mmm-yy")</f>
        <v/>
      </c>
    </row>
    <row r="33">
      <c r="A33" t="n">
        <v>30</v>
      </c>
      <c r="B33" s="24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4">
        <f>B33+6</f>
        <v/>
      </c>
      <c r="G33">
        <f>TEXT(B33,"mmm-yy")</f>
        <v/>
      </c>
    </row>
    <row r="34">
      <c r="A34" t="n">
        <v>31</v>
      </c>
      <c r="B34" s="24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4">
        <f>B34+6</f>
        <v/>
      </c>
      <c r="G34">
        <f>TEXT(B34,"mmm-yy")</f>
        <v/>
      </c>
    </row>
    <row r="35">
      <c r="A35" t="n">
        <v>32</v>
      </c>
      <c r="B35" s="24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4">
        <f>B35+6</f>
        <v/>
      </c>
      <c r="G35">
        <f>TEXT(B35,"mmm-yy")</f>
        <v/>
      </c>
    </row>
    <row r="36">
      <c r="A36" t="n">
        <v>33</v>
      </c>
      <c r="B36" s="24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4">
        <f>B36+6</f>
        <v/>
      </c>
      <c r="G36">
        <f>TEXT(B36,"mmm-yy")</f>
        <v/>
      </c>
    </row>
    <row r="37">
      <c r="A37" t="n">
        <v>34</v>
      </c>
      <c r="B37" s="24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4">
        <f>B37+6</f>
        <v/>
      </c>
      <c r="G37">
        <f>TEXT(B37,"mmm-yy")</f>
        <v/>
      </c>
    </row>
    <row r="38">
      <c r="A38" t="n">
        <v>35</v>
      </c>
      <c r="B38" s="24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4">
        <f>B38+6</f>
        <v/>
      </c>
      <c r="G38">
        <f>TEXT(B38,"mmm-yy")</f>
        <v/>
      </c>
    </row>
    <row r="39">
      <c r="A39" t="n">
        <v>36</v>
      </c>
      <c r="B39" s="24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4">
        <f>B39+6</f>
        <v/>
      </c>
      <c r="G39">
        <f>TEXT(B39,"mmm-yy")</f>
        <v/>
      </c>
    </row>
    <row r="40">
      <c r="A40" t="n">
        <v>37</v>
      </c>
      <c r="B40" s="24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4">
        <f>B40+6</f>
        <v/>
      </c>
      <c r="G40">
        <f>TEXT(B40,"mmm-yy")</f>
        <v/>
      </c>
    </row>
    <row r="41">
      <c r="A41" t="n">
        <v>38</v>
      </c>
      <c r="B41" s="24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4">
        <f>B41+6</f>
        <v/>
      </c>
      <c r="G41">
        <f>TEXT(B41,"mmm-yy")</f>
        <v/>
      </c>
    </row>
    <row r="42">
      <c r="A42" t="n">
        <v>39</v>
      </c>
      <c r="B42" s="24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4">
        <f>B42+6</f>
        <v/>
      </c>
      <c r="G42">
        <f>TEXT(B42,"mmm-yy")</f>
        <v/>
      </c>
    </row>
    <row r="43">
      <c r="A43" t="n">
        <v>40</v>
      </c>
      <c r="B43" s="24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4">
        <f>B43+6</f>
        <v/>
      </c>
      <c r="G43">
        <f>TEXT(B43,"mmm-yy")</f>
        <v/>
      </c>
    </row>
    <row r="44">
      <c r="A44" t="n">
        <v>41</v>
      </c>
      <c r="B44" s="24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4">
        <f>B44+6</f>
        <v/>
      </c>
      <c r="G44">
        <f>TEXT(B44,"mmm-yy")</f>
        <v/>
      </c>
    </row>
    <row r="45">
      <c r="A45" t="n">
        <v>42</v>
      </c>
      <c r="B45" s="24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4">
        <f>B45+6</f>
        <v/>
      </c>
      <c r="G45">
        <f>TEXT(B45,"mmm-yy")</f>
        <v/>
      </c>
    </row>
    <row r="46">
      <c r="A46" t="n">
        <v>43</v>
      </c>
      <c r="B46" s="24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4">
        <f>B46+6</f>
        <v/>
      </c>
      <c r="G46">
        <f>TEXT(B46,"mmm-yy")</f>
        <v/>
      </c>
    </row>
    <row r="47">
      <c r="A47" t="n">
        <v>44</v>
      </c>
      <c r="B47" s="24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4">
        <f>B47+6</f>
        <v/>
      </c>
      <c r="G47">
        <f>TEXT(B47,"mmm-yy")</f>
        <v/>
      </c>
    </row>
    <row r="48">
      <c r="A48" t="n">
        <v>45</v>
      </c>
      <c r="B48" s="24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4">
        <f>B48+6</f>
        <v/>
      </c>
      <c r="G48">
        <f>TEXT(B48,"mmm-yy")</f>
        <v/>
      </c>
    </row>
    <row r="49">
      <c r="A49" t="n">
        <v>46</v>
      </c>
      <c r="B49" s="24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4">
        <f>B49+6</f>
        <v/>
      </c>
      <c r="G49">
        <f>TEXT(B49,"mmm-yy")</f>
        <v/>
      </c>
    </row>
    <row r="50">
      <c r="A50" t="n">
        <v>47</v>
      </c>
      <c r="B50" s="24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4">
        <f>B50+6</f>
        <v/>
      </c>
      <c r="G50">
        <f>TEXT(B50,"mmm-yy")</f>
        <v/>
      </c>
    </row>
    <row r="51">
      <c r="A51" t="n">
        <v>48</v>
      </c>
      <c r="B51" s="24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4">
        <f>B51+6</f>
        <v/>
      </c>
      <c r="G51">
        <f>TEXT(B51,"mmm-yy")</f>
        <v/>
      </c>
    </row>
    <row r="52">
      <c r="A52" t="n">
        <v>49</v>
      </c>
      <c r="B52" s="24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4">
        <f>B52+6</f>
        <v/>
      </c>
      <c r="G52">
        <f>TEXT(B52,"mmm-yy")</f>
        <v/>
      </c>
    </row>
    <row r="53">
      <c r="A53" t="n">
        <v>50</v>
      </c>
      <c r="B53" s="24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4">
        <f>B53+6</f>
        <v/>
      </c>
      <c r="G53">
        <f>TEXT(B53,"mmm-yy")</f>
        <v/>
      </c>
    </row>
    <row r="54">
      <c r="A54" t="n">
        <v>51</v>
      </c>
      <c r="B54" s="24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4">
        <f>B54+6</f>
        <v/>
      </c>
      <c r="G54">
        <f>TEXT(B54,"mmm-yy")</f>
        <v/>
      </c>
    </row>
    <row r="55">
      <c r="A55" t="n">
        <v>52</v>
      </c>
      <c r="B55" s="24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4">
        <f>B55+6</f>
        <v/>
      </c>
      <c r="G55">
        <f>TEXT(B55,"mmm-yy")</f>
        <v/>
      </c>
    </row>
    <row r="56">
      <c r="A56" t="n">
        <v>53</v>
      </c>
      <c r="B56" s="24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4">
        <f>B56+6</f>
        <v/>
      </c>
      <c r="G56">
        <f>TEXT(B56,"mmm-yy")</f>
        <v/>
      </c>
    </row>
    <row r="57">
      <c r="A57" t="n">
        <v>54</v>
      </c>
      <c r="B57" s="24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4">
        <f>B57+6</f>
        <v/>
      </c>
      <c r="G57">
        <f>TEXT(B57,"mmm-yy")</f>
        <v/>
      </c>
    </row>
    <row r="58">
      <c r="A58" t="n">
        <v>55</v>
      </c>
      <c r="B58" s="24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4">
        <f>B58+6</f>
        <v/>
      </c>
      <c r="G58">
        <f>TEXT(B58,"mmm-yy")</f>
        <v/>
      </c>
    </row>
    <row r="59">
      <c r="A59" t="n">
        <v>56</v>
      </c>
      <c r="B59" s="24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4">
        <f>B59+6</f>
        <v/>
      </c>
      <c r="G59">
        <f>TEXT(B59,"mmm-yy")</f>
        <v/>
      </c>
    </row>
    <row r="60">
      <c r="A60" t="n">
        <v>57</v>
      </c>
      <c r="B60" s="24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4">
        <f>B60+6</f>
        <v/>
      </c>
      <c r="G60">
        <f>TEXT(B60,"mmm-yy")</f>
        <v/>
      </c>
    </row>
    <row r="61">
      <c r="A61" t="n">
        <v>58</v>
      </c>
      <c r="B61" s="24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4">
        <f>B61+6</f>
        <v/>
      </c>
      <c r="G61">
        <f>TEXT(B61,"mmm-yy")</f>
        <v/>
      </c>
    </row>
    <row r="62">
      <c r="A62" t="n">
        <v>59</v>
      </c>
      <c r="B62" s="24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4">
        <f>B62+6</f>
        <v/>
      </c>
      <c r="G62">
        <f>TEXT(B62,"mmm-yy")</f>
        <v/>
      </c>
    </row>
    <row r="63">
      <c r="A63" t="n">
        <v>60</v>
      </c>
      <c r="B63" s="24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4">
        <f>B63+6</f>
        <v/>
      </c>
      <c r="G63">
        <f>TEXT(B63,"mmm-yy")</f>
        <v/>
      </c>
    </row>
    <row r="64">
      <c r="A64" t="n">
        <v>61</v>
      </c>
      <c r="B64" s="24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4">
        <f>B64+6</f>
        <v/>
      </c>
      <c r="G64">
        <f>TEXT(B64,"mmm-yy")</f>
        <v/>
      </c>
    </row>
    <row r="65">
      <c r="A65" t="n">
        <v>62</v>
      </c>
      <c r="B65" s="24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4">
        <f>B65+6</f>
        <v/>
      </c>
      <c r="G65">
        <f>TEXT(B65,"mmm-yy")</f>
        <v/>
      </c>
    </row>
    <row r="66">
      <c r="A66" t="n">
        <v>63</v>
      </c>
      <c r="B66" s="24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4">
        <f>B66+6</f>
        <v/>
      </c>
      <c r="G66">
        <f>TEXT(B66,"mmm-yy")</f>
        <v/>
      </c>
    </row>
    <row r="67">
      <c r="A67" t="n">
        <v>64</v>
      </c>
      <c r="B67" s="24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4">
        <f>B67+6</f>
        <v/>
      </c>
      <c r="G67">
        <f>TEXT(B67,"mmm-yy")</f>
        <v/>
      </c>
    </row>
    <row r="68">
      <c r="A68" t="n">
        <v>65</v>
      </c>
      <c r="B68" s="24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4">
        <f>B68+6</f>
        <v/>
      </c>
      <c r="G68">
        <f>TEXT(B68,"mmm-yy")</f>
        <v/>
      </c>
    </row>
    <row r="69">
      <c r="A69" t="n">
        <v>66</v>
      </c>
      <c r="B69" s="24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4">
        <f>B69+6</f>
        <v/>
      </c>
      <c r="G69">
        <f>TEXT(B69,"mmm-yy")</f>
        <v/>
      </c>
    </row>
    <row r="70">
      <c r="A70" t="n">
        <v>67</v>
      </c>
      <c r="B70" s="24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4">
        <f>B70+6</f>
        <v/>
      </c>
      <c r="G70">
        <f>TEXT(B70,"mmm-yy")</f>
        <v/>
      </c>
    </row>
    <row r="71">
      <c r="A71" t="n">
        <v>68</v>
      </c>
      <c r="B71" s="24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4">
        <f>B71+6</f>
        <v/>
      </c>
      <c r="G71">
        <f>TEXT(B71,"mmm-yy")</f>
        <v/>
      </c>
    </row>
    <row r="72">
      <c r="A72" t="n">
        <v>69</v>
      </c>
      <c r="B72" s="24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4">
        <f>B72+6</f>
        <v/>
      </c>
      <c r="G72">
        <f>TEXT(B72,"mmm-yy")</f>
        <v/>
      </c>
    </row>
    <row r="73">
      <c r="A73" t="n">
        <v>70</v>
      </c>
      <c r="B73" s="24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4">
        <f>B73+6</f>
        <v/>
      </c>
      <c r="G73">
        <f>TEXT(B73,"mmm-yy")</f>
        <v/>
      </c>
    </row>
    <row r="74">
      <c r="A74" t="n">
        <v>71</v>
      </c>
      <c r="B74" s="24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4">
        <f>B74+6</f>
        <v/>
      </c>
      <c r="G74">
        <f>TEXT(B74,"mmm-yy")</f>
        <v/>
      </c>
    </row>
    <row r="75">
      <c r="A75" t="n">
        <v>72</v>
      </c>
      <c r="B75" s="24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4">
        <f>B75+6</f>
        <v/>
      </c>
      <c r="G75">
        <f>TEXT(B75,"mmm-yy")</f>
        <v/>
      </c>
    </row>
    <row r="76">
      <c r="A76" t="n">
        <v>73</v>
      </c>
      <c r="B76" s="24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4">
        <f>B76+6</f>
        <v/>
      </c>
      <c r="G76">
        <f>TEXT(B76,"mmm-yy")</f>
        <v/>
      </c>
    </row>
    <row r="77">
      <c r="A77" t="n">
        <v>74</v>
      </c>
      <c r="B77" s="24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4">
        <f>B77+6</f>
        <v/>
      </c>
      <c r="G77">
        <f>TEXT(B77,"mmm-yy")</f>
        <v/>
      </c>
    </row>
    <row r="78">
      <c r="A78" t="n">
        <v>75</v>
      </c>
      <c r="B78" s="24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4">
        <f>B78+6</f>
        <v/>
      </c>
      <c r="G78">
        <f>TEXT(B78,"mmm-yy")</f>
        <v/>
      </c>
    </row>
    <row r="79">
      <c r="A79" t="n">
        <v>76</v>
      </c>
      <c r="B79" s="24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4">
        <f>B79+6</f>
        <v/>
      </c>
      <c r="G79">
        <f>TEXT(B79,"mmm-yy")</f>
        <v/>
      </c>
    </row>
    <row r="80">
      <c r="A80" t="n">
        <v>77</v>
      </c>
      <c r="B80" s="24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4">
        <f>B80+6</f>
        <v/>
      </c>
      <c r="G80">
        <f>TEXT(B80,"mmm-yy")</f>
        <v/>
      </c>
    </row>
    <row r="81">
      <c r="A81" t="n">
        <v>78</v>
      </c>
      <c r="B81" s="24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4">
        <f>B81+6</f>
        <v/>
      </c>
      <c r="G81">
        <f>TEXT(B81,"mmm-yy")</f>
        <v/>
      </c>
    </row>
    <row r="82">
      <c r="A82" t="n">
        <v>79</v>
      </c>
      <c r="B82" s="24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4">
        <f>B82+6</f>
        <v/>
      </c>
      <c r="G82">
        <f>TEXT(B82,"mmm-yy")</f>
        <v/>
      </c>
    </row>
    <row r="83">
      <c r="A83" t="n">
        <v>80</v>
      </c>
      <c r="B83" s="24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4">
        <f>B83+6</f>
        <v/>
      </c>
      <c r="G83">
        <f>TEXT(B83,"mmm-yy")</f>
        <v/>
      </c>
    </row>
    <row r="84">
      <c r="A84" t="n">
        <v>81</v>
      </c>
      <c r="B84" s="24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4">
        <f>B84+6</f>
        <v/>
      </c>
      <c r="G84">
        <f>TEXT(B84,"mmm-yy")</f>
        <v/>
      </c>
    </row>
    <row r="85">
      <c r="A85" t="n">
        <v>82</v>
      </c>
      <c r="B85" s="24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4">
        <f>B85+6</f>
        <v/>
      </c>
      <c r="G85">
        <f>TEXT(B85,"mmm-yy")</f>
        <v/>
      </c>
    </row>
    <row r="86">
      <c r="A86" t="n">
        <v>83</v>
      </c>
      <c r="B86" s="24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4">
        <f>B86+6</f>
        <v/>
      </c>
      <c r="G86">
        <f>TEXT(B86,"mmm-yy")</f>
        <v/>
      </c>
    </row>
    <row r="87">
      <c r="A87" t="n">
        <v>84</v>
      </c>
      <c r="B87" s="24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4">
        <f>B87+6</f>
        <v/>
      </c>
      <c r="G87">
        <f>TEXT(B87,"mmm-yy")</f>
        <v/>
      </c>
    </row>
    <row r="88">
      <c r="A88" t="n">
        <v>85</v>
      </c>
      <c r="B88" s="24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4">
        <f>B88+6</f>
        <v/>
      </c>
      <c r="G88">
        <f>TEXT(B88,"mmm-yy")</f>
        <v/>
      </c>
    </row>
    <row r="89">
      <c r="A89" t="n">
        <v>86</v>
      </c>
      <c r="B89" s="24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4">
        <f>B89+6</f>
        <v/>
      </c>
      <c r="G89">
        <f>TEXT(B89,"mmm-yy")</f>
        <v/>
      </c>
    </row>
    <row r="90">
      <c r="A90" t="n">
        <v>87</v>
      </c>
      <c r="B90" s="24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4">
        <f>B90+6</f>
        <v/>
      </c>
      <c r="G90">
        <f>TEXT(B90,"mmm-yy")</f>
        <v/>
      </c>
    </row>
    <row r="91">
      <c r="A91" t="n">
        <v>88</v>
      </c>
      <c r="B91" s="24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4">
        <f>B91+6</f>
        <v/>
      </c>
      <c r="G91">
        <f>TEXT(B91,"mmm-yy")</f>
        <v/>
      </c>
    </row>
    <row r="92">
      <c r="A92" t="n">
        <v>89</v>
      </c>
      <c r="B92" s="24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4">
        <f>B92+6</f>
        <v/>
      </c>
      <c r="G92">
        <f>TEXT(B92,"mmm-yy")</f>
        <v/>
      </c>
    </row>
    <row r="93">
      <c r="A93" t="n">
        <v>90</v>
      </c>
      <c r="B93" s="24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4">
        <f>B93+6</f>
        <v/>
      </c>
      <c r="G93">
        <f>TEXT(B93,"mmm-yy")</f>
        <v/>
      </c>
    </row>
    <row r="94">
      <c r="A94" t="n">
        <v>91</v>
      </c>
      <c r="B94" s="24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4">
        <f>B94+6</f>
        <v/>
      </c>
      <c r="G94">
        <f>TEXT(B94,"mmm-yy")</f>
        <v/>
      </c>
    </row>
    <row r="95">
      <c r="A95" t="n">
        <v>92</v>
      </c>
      <c r="B95" s="24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4">
        <f>B95+6</f>
        <v/>
      </c>
      <c r="G95">
        <f>TEXT(B95,"mmm-yy")</f>
        <v/>
      </c>
    </row>
    <row r="96">
      <c r="A96" t="n">
        <v>93</v>
      </c>
      <c r="B96" s="24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4">
        <f>B96+6</f>
        <v/>
      </c>
      <c r="G96">
        <f>TEXT(B96,"mmm-yy")</f>
        <v/>
      </c>
    </row>
    <row r="97">
      <c r="A97" t="n">
        <v>94</v>
      </c>
      <c r="B97" s="24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4">
        <f>B97+6</f>
        <v/>
      </c>
      <c r="G97">
        <f>TEXT(B97,"mmm-yy")</f>
        <v/>
      </c>
    </row>
    <row r="98">
      <c r="A98" t="n">
        <v>95</v>
      </c>
      <c r="B98" s="24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4">
        <f>B98+6</f>
        <v/>
      </c>
      <c r="G98">
        <f>TEXT(B98,"mmm-yy")</f>
        <v/>
      </c>
    </row>
    <row r="99">
      <c r="A99" t="n">
        <v>96</v>
      </c>
      <c r="B99" s="24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4">
        <f>B99+6</f>
        <v/>
      </c>
      <c r="G99">
        <f>TEXT(B99,"mmm-yy")</f>
        <v/>
      </c>
    </row>
    <row r="100">
      <c r="A100" t="n">
        <v>97</v>
      </c>
      <c r="B100" s="24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4">
        <f>B100+6</f>
        <v/>
      </c>
      <c r="G100">
        <f>TEXT(B100,"mmm-yy")</f>
        <v/>
      </c>
    </row>
    <row r="101">
      <c r="A101" t="n">
        <v>98</v>
      </c>
      <c r="B101" s="24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4">
        <f>B101+6</f>
        <v/>
      </c>
      <c r="G101">
        <f>TEXT(B101,"mmm-yy")</f>
        <v/>
      </c>
    </row>
    <row r="102">
      <c r="A102" t="n">
        <v>99</v>
      </c>
      <c r="B102" s="24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4">
        <f>B102+6</f>
        <v/>
      </c>
      <c r="G102">
        <f>TEXT(B102,"mmm-yy")</f>
        <v/>
      </c>
    </row>
    <row r="103">
      <c r="A103" t="n">
        <v>100</v>
      </c>
      <c r="B103" s="24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4">
        <f>B103+6</f>
        <v/>
      </c>
      <c r="G103">
        <f>TEXT(B103,"mmm-yy")</f>
        <v/>
      </c>
    </row>
    <row r="104">
      <c r="A104" t="n">
        <v>101</v>
      </c>
      <c r="B104" s="24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4">
        <f>B104+6</f>
        <v/>
      </c>
      <c r="G104">
        <f>TEXT(B104,"mmm-yy")</f>
        <v/>
      </c>
    </row>
    <row r="105">
      <c r="A105" t="n">
        <v>102</v>
      </c>
      <c r="B105" s="24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4">
        <f>B105+6</f>
        <v/>
      </c>
      <c r="G105">
        <f>TEXT(B105,"mmm-yy")</f>
        <v/>
      </c>
    </row>
    <row r="106">
      <c r="A106" t="n">
        <v>103</v>
      </c>
      <c r="B106" s="24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4">
        <f>B106+6</f>
        <v/>
      </c>
      <c r="G106">
        <f>TEXT(B106,"mmm-yy")</f>
        <v/>
      </c>
    </row>
    <row r="107">
      <c r="A107" t="n">
        <v>104</v>
      </c>
      <c r="B107" s="24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4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TPP-358</t>
        </is>
      </c>
      <c r="B68" t="inlineStr">
        <is>
          <t>Powder</t>
        </is>
      </c>
      <c r="C68" t="inlineStr">
        <is>
          <t>Rh</t>
        </is>
      </c>
      <c r="D68" t="n">
        <v>64.40000000000001</v>
      </c>
    </row>
    <row r="69">
      <c r="A69" t="inlineStr">
        <is>
          <t>TPP-533</t>
        </is>
      </c>
      <c r="B69" t="inlineStr">
        <is>
          <t>Powder</t>
        </is>
      </c>
      <c r="C69" t="inlineStr">
        <is>
          <t>Rh</t>
        </is>
      </c>
      <c r="D69" t="n">
        <v>58.6938775510204</v>
      </c>
    </row>
    <row r="70">
      <c r="A70" t="inlineStr">
        <is>
          <t>TPP-611</t>
        </is>
      </c>
      <c r="B70" t="inlineStr">
        <is>
          <t>Powder</t>
        </is>
      </c>
      <c r="C70" t="inlineStr">
        <is>
          <t>Rh</t>
        </is>
      </c>
      <c r="D70" t="n">
        <v>17.88</v>
      </c>
    </row>
    <row r="71">
      <c r="A71" t="inlineStr">
        <is>
          <t>TPP-613</t>
        </is>
      </c>
      <c r="B71" t="inlineStr">
        <is>
          <t>Powder</t>
        </is>
      </c>
      <c r="C71" t="inlineStr">
        <is>
          <t>Rh</t>
        </is>
      </c>
      <c r="D71" t="n">
        <v>17.82</v>
      </c>
    </row>
    <row r="72">
      <c r="A72" t="inlineStr">
        <is>
          <t>TPP-635</t>
        </is>
      </c>
      <c r="B72" t="inlineStr">
        <is>
          <t>Powder</t>
        </is>
      </c>
      <c r="C72" t="inlineStr">
        <is>
          <t>Rh</t>
        </is>
      </c>
      <c r="D72" t="n">
        <v>44.26</v>
      </c>
    </row>
    <row r="73">
      <c r="A73" t="inlineStr">
        <is>
          <t>TPP-650</t>
        </is>
      </c>
      <c r="B73" t="inlineStr">
        <is>
          <t>Powder</t>
        </is>
      </c>
      <c r="C73" t="inlineStr">
        <is>
          <t>Pd</t>
        </is>
      </c>
      <c r="D73" t="n">
        <v>58.21</v>
      </c>
    </row>
    <row r="74">
      <c r="A74" t="inlineStr">
        <is>
          <t>TPP-699</t>
        </is>
      </c>
      <c r="B74" t="inlineStr">
        <is>
          <t>Powder</t>
        </is>
      </c>
      <c r="C74" t="inlineStr">
        <is>
          <t>Pt</t>
        </is>
      </c>
      <c r="D74" t="n">
        <v>38.85</v>
      </c>
    </row>
    <row r="75">
      <c r="A75" t="inlineStr">
        <is>
          <t>TPP-700</t>
        </is>
      </c>
      <c r="B75" t="inlineStr">
        <is>
          <t>Powder</t>
        </is>
      </c>
      <c r="C75" t="inlineStr">
        <is>
          <t>Pt</t>
        </is>
      </c>
      <c r="D75" t="n">
        <v>36.03</v>
      </c>
    </row>
    <row r="76">
      <c r="A76" t="inlineStr">
        <is>
          <t>TPP-701</t>
        </is>
      </c>
      <c r="B76" t="inlineStr">
        <is>
          <t>Powder</t>
        </is>
      </c>
      <c r="C76" t="inlineStr">
        <is>
          <t>Pt</t>
        </is>
      </c>
      <c r="D76" t="n">
        <v>36.61</v>
      </c>
    </row>
    <row r="77">
      <c r="A77" t="inlineStr">
        <is>
          <t>TPP-825</t>
        </is>
      </c>
      <c r="B77" t="inlineStr">
        <is>
          <t>Powder</t>
        </is>
      </c>
      <c r="C77" t="inlineStr">
        <is>
          <t>Pt</t>
        </is>
      </c>
      <c r="D77" t="n">
        <v>29.82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SOL-20P</t>
        </is>
      </c>
      <c r="B88" t="inlineStr">
        <is>
          <t>Solution</t>
        </is>
      </c>
      <c r="C88" t="inlineStr">
        <is>
          <t>Pt</t>
        </is>
      </c>
      <c r="D88" t="n">
        <v>200</v>
      </c>
    </row>
    <row r="89">
      <c r="A89" t="inlineStr">
        <is>
          <t>SOL-250D</t>
        </is>
      </c>
      <c r="B89" t="inlineStr">
        <is>
          <t>Solution</t>
        </is>
      </c>
      <c r="C89" t="inlineStr">
        <is>
          <t>Pd</t>
        </is>
      </c>
      <c r="D89" t="n">
        <v>69.2300023753583</v>
      </c>
    </row>
    <row r="90">
      <c r="A90" t="inlineStr">
        <is>
          <t>SOL-85D</t>
        </is>
      </c>
      <c r="B90" t="inlineStr">
        <is>
          <t>Solution</t>
        </is>
      </c>
      <c r="C90" t="inlineStr">
        <is>
          <t>Pd</t>
        </is>
      </c>
      <c r="D90" t="n">
        <v>115.380000184608</v>
      </c>
    </row>
    <row r="91">
      <c r="A91" t="inlineStr">
        <is>
          <t>TSP-1499</t>
        </is>
      </c>
      <c r="B91" t="inlineStr">
        <is>
          <t>Slurry</t>
        </is>
      </c>
      <c r="C91" t="inlineStr"/>
      <c r="D91" t="n">
        <v>1</v>
      </c>
    </row>
    <row r="92">
      <c r="A92" t="inlineStr">
        <is>
          <t>TSP-1558</t>
        </is>
      </c>
      <c r="B92" t="inlineStr">
        <is>
          <t>Slurry</t>
        </is>
      </c>
      <c r="C92" t="inlineStr"/>
      <c r="D92" t="n">
        <v>1</v>
      </c>
    </row>
    <row r="93">
      <c r="A93" t="inlineStr">
        <is>
          <t>TSP-1559</t>
        </is>
      </c>
      <c r="B93" t="inlineStr">
        <is>
          <t>Slurry</t>
        </is>
      </c>
      <c r="C93" t="inlineStr"/>
      <c r="D93" t="n">
        <v>1</v>
      </c>
    </row>
    <row r="94">
      <c r="A94" t="inlineStr">
        <is>
          <t>Ester Film</t>
        </is>
      </c>
      <c r="B94" t="inlineStr">
        <is>
          <t>Cat</t>
        </is>
      </c>
      <c r="C94" t="inlineStr"/>
      <c r="D94" t="n">
        <v>1</v>
      </c>
    </row>
    <row r="95">
      <c r="A95" t="inlineStr">
        <is>
          <t>PP Film</t>
        </is>
      </c>
      <c r="B95" t="inlineStr">
        <is>
          <t>Cat</t>
        </is>
      </c>
      <c r="C95" t="inlineStr"/>
      <c r="D95" t="n">
        <v>1</v>
      </c>
    </row>
    <row r="96">
      <c r="A96" t="inlineStr">
        <is>
          <t>TSP-1555</t>
        </is>
      </c>
      <c r="B96" t="inlineStr">
        <is>
          <t>Slurry</t>
        </is>
      </c>
      <c r="C96" t="inlineStr"/>
      <c r="D96" t="n">
        <v>121.5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TPP-650</t>
        </is>
      </c>
      <c r="B11" t="inlineStr">
        <is>
          <t>0Q110</t>
        </is>
      </c>
    </row>
    <row r="12">
      <c r="A12" t="inlineStr">
        <is>
          <t>TPP-650</t>
        </is>
      </c>
      <c r="B12" t="inlineStr">
        <is>
          <t>0Y460</t>
        </is>
      </c>
    </row>
    <row r="13">
      <c r="A13" t="inlineStr">
        <is>
          <t>TPP-650</t>
        </is>
      </c>
      <c r="B13" t="inlineStr">
        <is>
          <t>F2090</t>
        </is>
      </c>
    </row>
    <row r="14">
      <c r="A14" t="inlineStr">
        <is>
          <t>TPP-699</t>
        </is>
      </c>
      <c r="B14" t="inlineStr">
        <is>
          <t>0T510</t>
        </is>
      </c>
    </row>
    <row r="15">
      <c r="A15" t="inlineStr">
        <is>
          <t>TPP-699</t>
        </is>
      </c>
      <c r="B15" t="inlineStr">
        <is>
          <t>0T520</t>
        </is>
      </c>
    </row>
    <row r="16">
      <c r="A16" t="inlineStr">
        <is>
          <t>TPP-700</t>
        </is>
      </c>
      <c r="B16" t="inlineStr">
        <is>
          <t>0T430</t>
        </is>
      </c>
    </row>
    <row r="17">
      <c r="A17" t="inlineStr">
        <is>
          <t>TPP-701</t>
        </is>
      </c>
      <c r="B17" t="inlineStr">
        <is>
          <t>0Y230</t>
        </is>
      </c>
    </row>
    <row r="18">
      <c r="A18" t="inlineStr">
        <is>
          <t>TPP-825</t>
        </is>
      </c>
      <c r="B18" t="inlineStr">
        <is>
          <t>0T730</t>
        </is>
      </c>
    </row>
    <row r="19">
      <c r="A19" t="inlineStr">
        <is>
          <t>TPP-911</t>
        </is>
      </c>
      <c r="B19" t="inlineStr">
        <is>
          <t>K0030</t>
        </is>
      </c>
    </row>
    <row r="20">
      <c r="A20" t="inlineStr">
        <is>
          <t>TPP-911</t>
        </is>
      </c>
      <c r="B20" t="inlineStr">
        <is>
          <t>0T690</t>
        </is>
      </c>
    </row>
    <row r="21">
      <c r="A21" t="inlineStr">
        <is>
          <t>TPP-911</t>
        </is>
      </c>
      <c r="B21" t="inlineStr">
        <is>
          <t>0T720</t>
        </is>
      </c>
    </row>
    <row r="22">
      <c r="A22" t="inlineStr">
        <is>
          <t>TPP-911</t>
        </is>
      </c>
      <c r="B22" t="inlineStr">
        <is>
          <t>0T740</t>
        </is>
      </c>
    </row>
    <row r="23">
      <c r="A23" t="inlineStr">
        <is>
          <t>TPP-911</t>
        </is>
      </c>
      <c r="B23" t="inlineStr">
        <is>
          <t>F2180</t>
        </is>
      </c>
    </row>
    <row r="24">
      <c r="A24" t="inlineStr">
        <is>
          <t>TPP-911</t>
        </is>
      </c>
      <c r="B24" t="inlineStr">
        <is>
          <t>F2210</t>
        </is>
      </c>
    </row>
    <row r="25">
      <c r="A25" t="inlineStr">
        <is>
          <t>TPP-912</t>
        </is>
      </c>
      <c r="B25" t="inlineStr">
        <is>
          <t>0T750</t>
        </is>
      </c>
    </row>
    <row r="26">
      <c r="A26" t="inlineStr">
        <is>
          <t>TPP-914</t>
        </is>
      </c>
      <c r="B26" t="inlineStr">
        <is>
          <t>F2180</t>
        </is>
      </c>
    </row>
    <row r="27">
      <c r="A27" t="inlineStr">
        <is>
          <t>TPP-914</t>
        </is>
      </c>
      <c r="B27" t="inlineStr">
        <is>
          <t>F2210</t>
        </is>
      </c>
    </row>
    <row r="28">
      <c r="A28" t="inlineStr">
        <is>
          <t>TPP-915</t>
        </is>
      </c>
      <c r="B28" t="inlineStr">
        <is>
          <t>K0030</t>
        </is>
      </c>
    </row>
    <row r="29">
      <c r="A29" t="inlineStr">
        <is>
          <t>TPP-915</t>
        </is>
      </c>
      <c r="B29" t="inlineStr">
        <is>
          <t>0T690</t>
        </is>
      </c>
    </row>
    <row r="30">
      <c r="A30" t="inlineStr">
        <is>
          <t>TPP-915</t>
        </is>
      </c>
      <c r="B30" t="inlineStr">
        <is>
          <t>0T720</t>
        </is>
      </c>
    </row>
    <row r="31">
      <c r="A31" t="inlineStr">
        <is>
          <t>TPP-916</t>
        </is>
      </c>
      <c r="B31" t="inlineStr">
        <is>
          <t>0T740</t>
        </is>
      </c>
    </row>
    <row r="32">
      <c r="A32" t="inlineStr">
        <is>
          <t>TPP-917</t>
        </is>
      </c>
      <c r="B32" t="inlineStr">
        <is>
          <t>0T750</t>
        </is>
      </c>
    </row>
    <row r="33">
      <c r="A33" t="inlineStr">
        <is>
          <t>TPP-919</t>
        </is>
      </c>
      <c r="B33" t="inlineStr">
        <is>
          <t>F2180</t>
        </is>
      </c>
    </row>
    <row r="34">
      <c r="A34" t="inlineStr">
        <is>
          <t>TPP-919</t>
        </is>
      </c>
      <c r="B34" t="inlineStr">
        <is>
          <t>F2210</t>
        </is>
      </c>
    </row>
    <row r="35">
      <c r="A35" t="inlineStr">
        <is>
          <t>TPP-920</t>
        </is>
      </c>
      <c r="B35" t="inlineStr">
        <is>
          <t>K0030</t>
        </is>
      </c>
    </row>
    <row r="36">
      <c r="A36" t="inlineStr">
        <is>
          <t>TPP-920</t>
        </is>
      </c>
      <c r="B36" t="inlineStr">
        <is>
          <t>0T690</t>
        </is>
      </c>
    </row>
    <row r="37">
      <c r="A37" t="inlineStr">
        <is>
          <t>TPP-920</t>
        </is>
      </c>
      <c r="B37" t="inlineStr">
        <is>
          <t>0T720</t>
        </is>
      </c>
    </row>
    <row r="38">
      <c r="A38" t="inlineStr">
        <is>
          <t>TPP-922</t>
        </is>
      </c>
      <c r="B38" t="inlineStr">
        <is>
          <t>0T740</t>
        </is>
      </c>
    </row>
    <row r="39">
      <c r="A39" t="inlineStr">
        <is>
          <t>TPP-923</t>
        </is>
      </c>
      <c r="B39" t="inlineStr">
        <is>
          <t>0T750</t>
        </is>
      </c>
    </row>
    <row r="40">
      <c r="A40" t="inlineStr">
        <is>
          <t>TSP-049</t>
        </is>
      </c>
      <c r="B40" t="inlineStr">
        <is>
          <t>0T180</t>
        </is>
      </c>
    </row>
    <row r="41">
      <c r="A41" t="inlineStr">
        <is>
          <t>TSP-049</t>
        </is>
      </c>
      <c r="B41" t="inlineStr">
        <is>
          <t>0T410</t>
        </is>
      </c>
    </row>
    <row r="42">
      <c r="A42" t="inlineStr">
        <is>
          <t>TSP-049</t>
        </is>
      </c>
      <c r="B42" t="inlineStr">
        <is>
          <t>0W750</t>
        </is>
      </c>
    </row>
    <row r="43">
      <c r="A43" t="inlineStr">
        <is>
          <t>TSP-050</t>
        </is>
      </c>
      <c r="B43" t="inlineStr">
        <is>
          <t>0T180</t>
        </is>
      </c>
    </row>
    <row r="44">
      <c r="A44" t="inlineStr">
        <is>
          <t>TSP-050</t>
        </is>
      </c>
      <c r="B44" t="inlineStr">
        <is>
          <t>0T410</t>
        </is>
      </c>
    </row>
    <row r="45">
      <c r="A45" t="inlineStr">
        <is>
          <t>TSP-050</t>
        </is>
      </c>
      <c r="B45" t="inlineStr">
        <is>
          <t>0W750</t>
        </is>
      </c>
    </row>
    <row r="46">
      <c r="A46" t="inlineStr">
        <is>
          <t>TSP-067</t>
        </is>
      </c>
      <c r="B46" t="inlineStr">
        <is>
          <t>0T160</t>
        </is>
      </c>
    </row>
    <row r="47">
      <c r="A47" t="inlineStr">
        <is>
          <t>TSP-069</t>
        </is>
      </c>
      <c r="B47" t="inlineStr">
        <is>
          <t>0W770</t>
        </is>
      </c>
    </row>
    <row r="48">
      <c r="A48" t="inlineStr">
        <is>
          <t>TSP-078</t>
        </is>
      </c>
      <c r="B48" t="inlineStr">
        <is>
          <t>0T160</t>
        </is>
      </c>
    </row>
    <row r="49">
      <c r="A49" t="inlineStr">
        <is>
          <t>TSP-080</t>
        </is>
      </c>
      <c r="B49" t="inlineStr">
        <is>
          <t>0W770</t>
        </is>
      </c>
    </row>
    <row r="50">
      <c r="A50" t="inlineStr">
        <is>
          <t>TSP-104</t>
        </is>
      </c>
      <c r="B50" t="inlineStr">
        <is>
          <t>0T150</t>
        </is>
      </c>
    </row>
    <row r="51">
      <c r="A51" t="inlineStr">
        <is>
          <t>TSP-105</t>
        </is>
      </c>
      <c r="B51" t="inlineStr">
        <is>
          <t>0T150</t>
        </is>
      </c>
    </row>
    <row r="52">
      <c r="A52" t="inlineStr">
        <is>
          <t>TSP-199</t>
        </is>
      </c>
      <c r="B52" t="inlineStr">
        <is>
          <t>0W780</t>
        </is>
      </c>
    </row>
    <row r="53">
      <c r="A53" t="inlineStr">
        <is>
          <t>TSP-205</t>
        </is>
      </c>
      <c r="B53" t="inlineStr">
        <is>
          <t>0W780</t>
        </is>
      </c>
    </row>
    <row r="54">
      <c r="A54" t="inlineStr">
        <is>
          <t>TSP-206</t>
        </is>
      </c>
      <c r="B54" t="inlineStr">
        <is>
          <t>0W780</t>
        </is>
      </c>
    </row>
    <row r="55">
      <c r="A55" t="inlineStr">
        <is>
          <t>TSP-224</t>
        </is>
      </c>
      <c r="B55" t="inlineStr">
        <is>
          <t>0M060</t>
        </is>
      </c>
    </row>
    <row r="56">
      <c r="A56" t="inlineStr">
        <is>
          <t>TSP-224</t>
        </is>
      </c>
      <c r="B56" t="inlineStr">
        <is>
          <t>0P340</t>
        </is>
      </c>
    </row>
    <row r="57">
      <c r="A57" t="inlineStr">
        <is>
          <t>TSP-224</t>
        </is>
      </c>
      <c r="B57" t="inlineStr">
        <is>
          <t>0V250</t>
        </is>
      </c>
    </row>
    <row r="58">
      <c r="A58" t="inlineStr">
        <is>
          <t>TSP-225</t>
        </is>
      </c>
      <c r="B58" t="inlineStr">
        <is>
          <t>0M060</t>
        </is>
      </c>
    </row>
    <row r="59">
      <c r="A59" t="inlineStr">
        <is>
          <t>TSP-225</t>
        </is>
      </c>
      <c r="B59" t="inlineStr">
        <is>
          <t>0P340</t>
        </is>
      </c>
    </row>
    <row r="60">
      <c r="A60" t="inlineStr">
        <is>
          <t>TSP-225</t>
        </is>
      </c>
      <c r="B60" t="inlineStr">
        <is>
          <t>0V250</t>
        </is>
      </c>
    </row>
    <row r="61">
      <c r="A61" t="inlineStr">
        <is>
          <t>TSP-360</t>
        </is>
      </c>
      <c r="B61" t="inlineStr">
        <is>
          <t>0T490</t>
        </is>
      </c>
    </row>
    <row r="62">
      <c r="A62" t="inlineStr">
        <is>
          <t>TSP-360</t>
        </is>
      </c>
      <c r="B62" t="inlineStr">
        <is>
          <t>0T500</t>
        </is>
      </c>
    </row>
    <row r="63">
      <c r="A63" t="inlineStr">
        <is>
          <t>TSP-367</t>
        </is>
      </c>
      <c r="B63" t="inlineStr">
        <is>
          <t>0T420</t>
        </is>
      </c>
    </row>
    <row r="64">
      <c r="A64" t="inlineStr">
        <is>
          <t>TSP-367</t>
        </is>
      </c>
      <c r="B64" t="inlineStr">
        <is>
          <t>0T470</t>
        </is>
      </c>
    </row>
    <row r="65">
      <c r="A65" t="inlineStr">
        <is>
          <t>TSP-367</t>
        </is>
      </c>
      <c r="B65" t="inlineStr">
        <is>
          <t>0T480</t>
        </is>
      </c>
    </row>
    <row r="66">
      <c r="A66" t="inlineStr">
        <is>
          <t>TSP-367</t>
        </is>
      </c>
      <c r="B66" t="inlineStr">
        <is>
          <t>0T490</t>
        </is>
      </c>
    </row>
    <row r="67">
      <c r="A67" t="inlineStr">
        <is>
          <t>TSP-367</t>
        </is>
      </c>
      <c r="B67" t="inlineStr">
        <is>
          <t>0T500</t>
        </is>
      </c>
    </row>
    <row r="68">
      <c r="A68" t="inlineStr">
        <is>
          <t>TSP-369</t>
        </is>
      </c>
      <c r="B68" t="inlineStr">
        <is>
          <t>0T420</t>
        </is>
      </c>
    </row>
    <row r="69">
      <c r="A69" t="inlineStr">
        <is>
          <t>TSP-369</t>
        </is>
      </c>
      <c r="B69" t="inlineStr">
        <is>
          <t>0T470</t>
        </is>
      </c>
    </row>
    <row r="70">
      <c r="A70" t="inlineStr">
        <is>
          <t>TSP-369</t>
        </is>
      </c>
      <c r="B70" t="inlineStr">
        <is>
          <t>0T490</t>
        </is>
      </c>
    </row>
    <row r="71">
      <c r="A71" t="inlineStr">
        <is>
          <t>TSP-369</t>
        </is>
      </c>
      <c r="B71" t="inlineStr">
        <is>
          <t>0T500</t>
        </is>
      </c>
    </row>
    <row r="72">
      <c r="A72" t="inlineStr">
        <is>
          <t>TSP-402</t>
        </is>
      </c>
      <c r="B72" t="inlineStr">
        <is>
          <t>0T520</t>
        </is>
      </c>
    </row>
    <row r="73">
      <c r="A73" t="inlineStr">
        <is>
          <t>TSP-403</t>
        </is>
      </c>
      <c r="B73" t="inlineStr">
        <is>
          <t>0T510</t>
        </is>
      </c>
    </row>
    <row r="74">
      <c r="A74" t="inlineStr">
        <is>
          <t>TSP-404</t>
        </is>
      </c>
      <c r="B74" t="inlineStr">
        <is>
          <t>0T430</t>
        </is>
      </c>
    </row>
    <row r="75">
      <c r="A75" t="inlineStr">
        <is>
          <t>TSP-405</t>
        </is>
      </c>
      <c r="B75" t="inlineStr">
        <is>
          <t>0P390</t>
        </is>
      </c>
    </row>
    <row r="76">
      <c r="A76" t="inlineStr">
        <is>
          <t>TSP-405</t>
        </is>
      </c>
      <c r="B76" t="inlineStr">
        <is>
          <t>0Y230</t>
        </is>
      </c>
    </row>
    <row r="77">
      <c r="A77" t="inlineStr">
        <is>
          <t>TSP-544</t>
        </is>
      </c>
      <c r="B77" t="inlineStr">
        <is>
          <t>0T480</t>
        </is>
      </c>
    </row>
    <row r="78">
      <c r="A78" t="inlineStr">
        <is>
          <t>TSP-558</t>
        </is>
      </c>
      <c r="B78" t="inlineStr">
        <is>
          <t>0T480</t>
        </is>
      </c>
    </row>
    <row r="79">
      <c r="A79" t="inlineStr">
        <is>
          <t>TSP-618</t>
        </is>
      </c>
      <c r="B79" t="inlineStr">
        <is>
          <t>F0220</t>
        </is>
      </c>
    </row>
    <row r="80">
      <c r="A80" t="inlineStr">
        <is>
          <t>TSP-618</t>
        </is>
      </c>
      <c r="B80" t="inlineStr">
        <is>
          <t>F2100</t>
        </is>
      </c>
    </row>
    <row r="81">
      <c r="A81" t="inlineStr">
        <is>
          <t>TSP-620</t>
        </is>
      </c>
      <c r="B81" t="inlineStr">
        <is>
          <t>F2100</t>
        </is>
      </c>
    </row>
    <row r="82">
      <c r="A82" t="inlineStr">
        <is>
          <t>TSP-623</t>
        </is>
      </c>
      <c r="B82" t="inlineStr">
        <is>
          <t>F0220</t>
        </is>
      </c>
    </row>
    <row r="83">
      <c r="A83" t="inlineStr">
        <is>
          <t>TSP-655</t>
        </is>
      </c>
      <c r="B83" t="inlineStr">
        <is>
          <t>0Q110</t>
        </is>
      </c>
    </row>
    <row r="84">
      <c r="A84" t="inlineStr">
        <is>
          <t>TSP-655</t>
        </is>
      </c>
      <c r="B84" t="inlineStr">
        <is>
          <t>0Y460</t>
        </is>
      </c>
    </row>
    <row r="85">
      <c r="A85" t="inlineStr">
        <is>
          <t>TSP-655</t>
        </is>
      </c>
      <c r="B85" t="inlineStr">
        <is>
          <t>F2090</t>
        </is>
      </c>
    </row>
    <row r="86">
      <c r="A86" t="inlineStr">
        <is>
          <t>TSP-656</t>
        </is>
      </c>
      <c r="B86" t="inlineStr">
        <is>
          <t>0Q110</t>
        </is>
      </c>
    </row>
    <row r="87">
      <c r="A87" t="inlineStr">
        <is>
          <t>TSP-656</t>
        </is>
      </c>
      <c r="B87" t="inlineStr">
        <is>
          <t>0Y460</t>
        </is>
      </c>
    </row>
    <row r="88">
      <c r="A88" t="inlineStr">
        <is>
          <t>TSP-656</t>
        </is>
      </c>
      <c r="B88" t="inlineStr">
        <is>
          <t>F2090</t>
        </is>
      </c>
    </row>
    <row r="89">
      <c r="A89" t="inlineStr">
        <is>
          <t>TSP-668</t>
        </is>
      </c>
      <c r="B89" t="inlineStr">
        <is>
          <t>0T510</t>
        </is>
      </c>
    </row>
    <row r="90">
      <c r="A90" t="inlineStr">
        <is>
          <t>TSP-668</t>
        </is>
      </c>
      <c r="B90" t="inlineStr">
        <is>
          <t>0T520</t>
        </is>
      </c>
    </row>
    <row r="91">
      <c r="A91" t="inlineStr">
        <is>
          <t>TSP-669</t>
        </is>
      </c>
      <c r="B91" t="inlineStr">
        <is>
          <t>0T430</t>
        </is>
      </c>
    </row>
    <row r="92">
      <c r="A92" t="inlineStr">
        <is>
          <t>TSP-670</t>
        </is>
      </c>
      <c r="B92" t="inlineStr">
        <is>
          <t>0Y230</t>
        </is>
      </c>
    </row>
    <row r="93">
      <c r="A93" t="inlineStr">
        <is>
          <t>TSP-710</t>
        </is>
      </c>
      <c r="B93" t="inlineStr">
        <is>
          <t>0T420</t>
        </is>
      </c>
    </row>
    <row r="94">
      <c r="A94" t="inlineStr">
        <is>
          <t>TSP-710</t>
        </is>
      </c>
      <c r="B94" t="inlineStr">
        <is>
          <t>0T470</t>
        </is>
      </c>
    </row>
    <row r="95">
      <c r="A95" t="inlineStr">
        <is>
          <t>TSP-828</t>
        </is>
      </c>
      <c r="B95" t="inlineStr">
        <is>
          <t>0T730</t>
        </is>
      </c>
    </row>
    <row r="96">
      <c r="A96" t="inlineStr">
        <is>
          <t>TSP-903</t>
        </is>
      </c>
      <c r="B96" t="inlineStr">
        <is>
          <t>0T730</t>
        </is>
      </c>
    </row>
    <row r="97">
      <c r="A97" t="inlineStr">
        <is>
          <t>TSP-924</t>
        </is>
      </c>
      <c r="B97" t="inlineStr">
        <is>
          <t>0T720</t>
        </is>
      </c>
    </row>
    <row r="98">
      <c r="A98" t="inlineStr">
        <is>
          <t>TSP-924</t>
        </is>
      </c>
      <c r="B98" t="inlineStr">
        <is>
          <t>0T740</t>
        </is>
      </c>
    </row>
    <row r="99">
      <c r="A99" t="inlineStr">
        <is>
          <t>TSP-924</t>
        </is>
      </c>
      <c r="B99" t="inlineStr">
        <is>
          <t>F2180</t>
        </is>
      </c>
    </row>
    <row r="100">
      <c r="A100" t="inlineStr">
        <is>
          <t>TSP-924</t>
        </is>
      </c>
      <c r="B100" t="inlineStr">
        <is>
          <t>F2210</t>
        </is>
      </c>
    </row>
    <row r="101">
      <c r="A101" t="inlineStr">
        <is>
          <t>TSP-924</t>
        </is>
      </c>
      <c r="B101" t="inlineStr">
        <is>
          <t>K0030</t>
        </is>
      </c>
    </row>
    <row r="102">
      <c r="A102" t="inlineStr">
        <is>
          <t>TSP-925</t>
        </is>
      </c>
      <c r="B102" t="inlineStr">
        <is>
          <t>0T750</t>
        </is>
      </c>
    </row>
    <row r="103">
      <c r="A103" t="inlineStr">
        <is>
          <t>TSP-927</t>
        </is>
      </c>
      <c r="B103" t="inlineStr">
        <is>
          <t>F2180</t>
        </is>
      </c>
    </row>
    <row r="104">
      <c r="A104" t="inlineStr">
        <is>
          <t>TSP-927</t>
        </is>
      </c>
      <c r="B104" t="inlineStr">
        <is>
          <t>F2210</t>
        </is>
      </c>
    </row>
    <row r="105">
      <c r="A105" t="inlineStr">
        <is>
          <t>TSP-928</t>
        </is>
      </c>
      <c r="B105" t="inlineStr">
        <is>
          <t>K0030</t>
        </is>
      </c>
    </row>
    <row r="106">
      <c r="A106" t="inlineStr">
        <is>
          <t>TSP-928</t>
        </is>
      </c>
      <c r="B106" t="inlineStr">
        <is>
          <t>0T720</t>
        </is>
      </c>
    </row>
    <row r="107">
      <c r="A107" t="inlineStr">
        <is>
          <t>TSP-928</t>
        </is>
      </c>
      <c r="B107" t="inlineStr">
        <is>
          <t>OT690</t>
        </is>
      </c>
    </row>
    <row r="108">
      <c r="A108" t="inlineStr">
        <is>
          <t>TSP-929</t>
        </is>
      </c>
      <c r="B108" t="inlineStr">
        <is>
          <t>0T740</t>
        </is>
      </c>
    </row>
    <row r="109">
      <c r="A109" t="inlineStr">
        <is>
          <t>TSP-930</t>
        </is>
      </c>
      <c r="B109" t="inlineStr">
        <is>
          <t>0T750</t>
        </is>
      </c>
    </row>
    <row r="110">
      <c r="A110" t="inlineStr">
        <is>
          <t>TSP-934</t>
        </is>
      </c>
      <c r="B110" t="inlineStr">
        <is>
          <t>F2180</t>
        </is>
      </c>
    </row>
    <row r="111">
      <c r="A111" t="inlineStr">
        <is>
          <t>TSP-934</t>
        </is>
      </c>
      <c r="B111" t="inlineStr">
        <is>
          <t>F2210</t>
        </is>
      </c>
    </row>
    <row r="112">
      <c r="A112" t="inlineStr">
        <is>
          <t>TSP-934</t>
        </is>
      </c>
      <c r="B112" t="inlineStr">
        <is>
          <t>OT690</t>
        </is>
      </c>
    </row>
    <row r="113">
      <c r="A113" t="inlineStr">
        <is>
          <t>TSP-935</t>
        </is>
      </c>
      <c r="B113" t="inlineStr">
        <is>
          <t>0T720</t>
        </is>
      </c>
    </row>
    <row r="114">
      <c r="A114" t="inlineStr">
        <is>
          <t>TSP-935</t>
        </is>
      </c>
      <c r="B114" t="inlineStr">
        <is>
          <t>K0030</t>
        </is>
      </c>
    </row>
    <row r="115">
      <c r="A115" t="inlineStr">
        <is>
          <t>TSP-936</t>
        </is>
      </c>
      <c r="B115" t="inlineStr">
        <is>
          <t>0T740</t>
        </is>
      </c>
    </row>
    <row r="116">
      <c r="A116" t="inlineStr">
        <is>
          <t>TSP-937</t>
        </is>
      </c>
      <c r="B116" t="inlineStr">
        <is>
          <t>0T750</t>
        </is>
      </c>
    </row>
    <row r="117">
      <c r="A117" t="inlineStr">
        <is>
          <t>TSP-959</t>
        </is>
      </c>
      <c r="B117" t="inlineStr">
        <is>
          <t>0Q120</t>
        </is>
      </c>
    </row>
    <row r="118">
      <c r="A118" t="inlineStr">
        <is>
          <t>TSP-959</t>
        </is>
      </c>
      <c r="B118" t="inlineStr">
        <is>
          <t>K0050</t>
        </is>
      </c>
    </row>
    <row r="119">
      <c r="A119" t="inlineStr">
        <is>
          <t>TSP-966</t>
        </is>
      </c>
      <c r="B119" t="inlineStr">
        <is>
          <t>0Q120</t>
        </is>
      </c>
    </row>
    <row r="120">
      <c r="A120" t="inlineStr">
        <is>
          <t>TSP-966</t>
        </is>
      </c>
      <c r="B120" t="inlineStr">
        <is>
          <t>K0050</t>
        </is>
      </c>
    </row>
    <row r="121">
      <c r="A121" t="inlineStr">
        <is>
          <t>TSP-1388</t>
        </is>
      </c>
      <c r="B121" t="inlineStr">
        <is>
          <t>0T860</t>
        </is>
      </c>
    </row>
    <row r="122">
      <c r="A122" t="inlineStr">
        <is>
          <t>TSP-1388</t>
        </is>
      </c>
      <c r="B122" t="inlineStr">
        <is>
          <t>F2350</t>
        </is>
      </c>
    </row>
    <row r="123">
      <c r="A123" t="inlineStr">
        <is>
          <t>TSP-1388</t>
        </is>
      </c>
      <c r="B123" t="inlineStr">
        <is>
          <t>F3060</t>
        </is>
      </c>
    </row>
    <row r="124">
      <c r="A124" t="inlineStr">
        <is>
          <t>TSP-1444</t>
        </is>
      </c>
      <c r="B124" t="inlineStr">
        <is>
          <t>F2350</t>
        </is>
      </c>
    </row>
    <row r="125">
      <c r="A125" t="inlineStr">
        <is>
          <t>TSP-1444</t>
        </is>
      </c>
      <c r="B125" t="inlineStr">
        <is>
          <t>F3060</t>
        </is>
      </c>
    </row>
    <row r="126">
      <c r="A126" t="inlineStr">
        <is>
          <t>TSP-1448</t>
        </is>
      </c>
      <c r="B126" t="inlineStr">
        <is>
          <t>F2350</t>
        </is>
      </c>
    </row>
    <row r="127">
      <c r="A127" t="inlineStr">
        <is>
          <t>TSP-1448</t>
        </is>
      </c>
      <c r="B127" t="inlineStr">
        <is>
          <t>F3060</t>
        </is>
      </c>
    </row>
    <row r="128">
      <c r="A128" t="inlineStr">
        <is>
          <t>TSP-1445</t>
        </is>
      </c>
      <c r="B128" t="inlineStr">
        <is>
          <t>0T860</t>
        </is>
      </c>
    </row>
    <row r="129">
      <c r="A129" t="inlineStr">
        <is>
          <t>TSP-1446</t>
        </is>
      </c>
      <c r="B129" t="inlineStr">
        <is>
          <t>0T880</t>
        </is>
      </c>
    </row>
    <row r="130">
      <c r="A130" t="inlineStr">
        <is>
          <t>TSP-1449</t>
        </is>
      </c>
      <c r="B130" t="inlineStr">
        <is>
          <t>0T880</t>
        </is>
      </c>
    </row>
    <row r="131">
      <c r="A131" t="inlineStr">
        <is>
          <t>TSP-1449</t>
        </is>
      </c>
      <c r="B131" t="inlineStr">
        <is>
          <t>0T860</t>
        </is>
      </c>
    </row>
    <row r="132">
      <c r="A132" t="inlineStr">
        <is>
          <t>TVS-267</t>
        </is>
      </c>
      <c r="B132" t="inlineStr">
        <is>
          <t>0T750</t>
        </is>
      </c>
    </row>
    <row r="133">
      <c r="A133" t="inlineStr">
        <is>
          <t>TVS-500</t>
        </is>
      </c>
      <c r="B133" t="inlineStr">
        <is>
          <t>0T740</t>
        </is>
      </c>
    </row>
    <row r="134">
      <c r="A134" t="inlineStr">
        <is>
          <t>TVS-664</t>
        </is>
      </c>
      <c r="B134" t="inlineStr">
        <is>
          <t>F2180</t>
        </is>
      </c>
    </row>
    <row r="135">
      <c r="A135" t="inlineStr">
        <is>
          <t>TVS-664</t>
        </is>
      </c>
      <c r="B135" t="inlineStr">
        <is>
          <t>F2210</t>
        </is>
      </c>
    </row>
    <row r="136">
      <c r="A136" t="inlineStr">
        <is>
          <t>TVS-664</t>
        </is>
      </c>
      <c r="B136" t="inlineStr">
        <is>
          <t>K0030</t>
        </is>
      </c>
    </row>
    <row r="137">
      <c r="A137" t="inlineStr">
        <is>
          <t>TVS-833</t>
        </is>
      </c>
      <c r="B137" t="inlineStr">
        <is>
          <t>0T720</t>
        </is>
      </c>
    </row>
    <row r="138">
      <c r="A138" t="inlineStr">
        <is>
          <t>VSP-600</t>
        </is>
      </c>
      <c r="B138" t="inlineStr">
        <is>
          <t>V02</t>
        </is>
      </c>
    </row>
    <row r="139">
      <c r="A139" t="inlineStr">
        <is>
          <t>VSP-601</t>
        </is>
      </c>
      <c r="B139" t="inlineStr">
        <is>
          <t>V02</t>
        </is>
      </c>
    </row>
    <row r="140">
      <c r="A140" t="inlineStr">
        <is>
          <t>VSP-602</t>
        </is>
      </c>
      <c r="B140" t="inlineStr">
        <is>
          <t>V02</t>
        </is>
      </c>
    </row>
    <row r="141">
      <c r="A141" t="inlineStr">
        <is>
          <t>VSP-820</t>
        </is>
      </c>
      <c r="B141" t="inlineStr">
        <is>
          <t>V14</t>
        </is>
      </c>
    </row>
    <row r="142">
      <c r="A142" t="inlineStr">
        <is>
          <t>VSP-820</t>
        </is>
      </c>
      <c r="B142" t="inlineStr">
        <is>
          <t>V17</t>
        </is>
      </c>
    </row>
    <row r="143">
      <c r="A143" t="inlineStr">
        <is>
          <t>VSP-822</t>
        </is>
      </c>
      <c r="B143" t="inlineStr">
        <is>
          <t>V14</t>
        </is>
      </c>
    </row>
    <row r="144">
      <c r="A144" t="inlineStr">
        <is>
          <t>VSP-910</t>
        </is>
      </c>
      <c r="B144" t="inlineStr">
        <is>
          <t>V17</t>
        </is>
      </c>
    </row>
    <row r="145">
      <c r="A145" t="inlineStr">
        <is>
          <t>VSP-989</t>
        </is>
      </c>
      <c r="B145" t="inlineStr">
        <is>
          <t>V18</t>
        </is>
      </c>
    </row>
    <row r="146">
      <c r="A146" t="inlineStr">
        <is>
          <t>VSP-990</t>
        </is>
      </c>
      <c r="B14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CHEM-1670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CHEM-1110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CHEM-1240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CHEM-1510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CHEM-1580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CHEM-1250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CHEM-1600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CHEM-1120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CHEM-1550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CHEM-1440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CHEM-1780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CHEM-1400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CHEM-1650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CHEM-1660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CHEM-1420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CHEM-1530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CHEM-1480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CHEM-1540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CHEM-1680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CHEM-1730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CHEM-1280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CHEM-1570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CHEM-1450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CHEM-1770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CHEM-1430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CHEM-1470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CHEM-1010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CHEM-1760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CHEM-1700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CHEM-1850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CHEM-1560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CHEM-1690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CHEM-1720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Ester Film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Original Towel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PP Film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CHEM-1670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CHEM-1110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CHEM-1240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CHEM-1510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CHEM-1580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CHEM-1250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CHEM-1600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CHEM-1120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CHEM-1550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CHEM-1440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CHEM-1780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CHEM-1400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CHEM-1650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CHEM-1660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CHEM-1420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CHEM-1530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CHEM-1480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CHEM-1540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CHEM-1680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CHEM-1730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CHEM-1280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CHEM-1570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CHEM-1450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CHEM-1770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CHEM-1430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CHEM-1470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CHEM-1010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CHEM-1760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CHEM-1700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CHEM-1850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CHEM-1560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CHEM-1690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CHEM-1720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Ester Film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Original Towel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PP Film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CHEM-1670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CHEM-1110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CHEM-1240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CHEM-1510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CHEM-1580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CHEM-1250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CHEM-1600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CHEM-1120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CHEM-1550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CHEM-1440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CHEM-1780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CHEM-1400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CHEM-1650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CHEM-1660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CHEM-1420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CHEM-1530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CHEM-1480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CHEM-1540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CHEM-1680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CHEM-1730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CHEM-1280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CHEM-1570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CHEM-1450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CHEM-1770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CHEM-1430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CHEM-1470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CHEM-1010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CHEM-1760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CHEM-1700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CHEM-1850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CHEM-1560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CHEM-1690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CHEM-1720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Ester Film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Original Towel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PP Film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A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CHEM-1670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CHEM-1110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CHEM-1240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CHEM-1510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CHEM-1580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CHEM-1250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CHEM-1600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CHEM-1120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CHEM-1550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CHEM-1440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CHEM-1780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CHEM-1400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CHEM-1650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CHEM-1660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CHEM-1420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CHEM-1530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CHEM-1480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CHEM-1540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CHEM-1680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CHEM-1730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CHEM-1280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CHEM-1570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CHEM-1450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CHEM-1770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CHEM-1430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CHEM-1470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CHEM-1010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CHEM-1760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CHEM-1700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CHEM-1850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CHEM-1560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CHEM-1690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CHEM-1720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Ester Film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Original Towel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PP Film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4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4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2026-08-05T10:44:33Z</dcterms:created>
  <dcterms:modified xsi:type="dcterms:W3CDTF">2026-08-05T10:44:36Z</dcterms:modified>
</cp:coreProperties>
</file>