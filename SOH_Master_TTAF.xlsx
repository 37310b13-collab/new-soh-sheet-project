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実データがT_Shipments(RefreshShipmentsで毎週更新)に現れたら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RefreshShipments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INDEX(Grid_Stock[#Data],MATCH($D17,Grid_Stock[Part Name],0),$P$7)</f>
        <v/>
      </c>
      <c r="H17" s="12">
        <f>MAX(0,$F17-INDEX(Grid_Stock[#Data],MATCH($D17,Grid_Stock[Part Name],0),$P$7+0))</f>
        <v/>
      </c>
      <c r="I17" s="12">
        <f>MAX(0,$F17-INDEX(Grid_Stock[#Data],MATCH($D17,Grid_Stock[Part Name],0),$P$7+1))</f>
        <v/>
      </c>
      <c r="J17" s="12">
        <f>MAX(0,$F17-INDEX(Grid_Stock[#Data],MATCH($D17,Grid_Stock[Part Name],0),$P$7+2))</f>
        <v/>
      </c>
      <c r="K17" s="12">
        <f>MAX(0,$F17-INDEX(Grid_Stock[#Data],MATCH($D17,Grid_Stock[Part Name],0),$P$7+3))</f>
        <v/>
      </c>
      <c r="L17" s="12">
        <f>MAX(0,$F17-INDEX(Grid_Stock[#Data],MATCH($D17,Grid_Stock[Part Name],0),$P$7+4))</f>
        <v/>
      </c>
      <c r="M17" s="12">
        <f>MAX(0,$F17-INDEX(Grid_Stock[#Data],MATCH($D17,Grid_Stock[Part Name],0),$P$7+5))</f>
        <v/>
      </c>
      <c r="N17" s="12">
        <f>MAX(0,$F17-INDEX(Grid_Stock[#Data],MATCH($D17,Grid_Stock[Part Name],0),$P$7+6))</f>
        <v/>
      </c>
      <c r="O17" s="12">
        <f>MAX(0,$F17-INDEX(Grid_Stock[#Data],MATCH($D17,Grid_Stock[Part Name],0),$P$7+7))</f>
        <v/>
      </c>
      <c r="P17" s="12">
        <f>MAX(0,$F17-INDEX(Grid_Stock[#Data],MATCH($D17,Grid_Stock[Part Name],0),$P$7+8))</f>
        <v/>
      </c>
      <c r="Q17" s="12">
        <f>MAX(0,$F17-INDEX(Grid_Stock[#Data],MATCH($D17,Grid_Stock[Part Name],0),$P$7+9))</f>
        <v/>
      </c>
      <c r="R17" s="12">
        <f>MAX(0,$F17-INDEX(Grid_Stock[#Data],MATCH($D17,Grid_Stock[Part Name],0),$P$7+10))</f>
        <v/>
      </c>
      <c r="S17" s="12">
        <f>MAX(0,$F17-INDEX(Grid_Stock[#Data],MATCH($D17,Grid_Stock[Part Name],0),$P$7+11))</f>
        <v/>
      </c>
      <c r="T17" s="12">
        <f>MAX(0,$F17-INDEX(Grid_Stock[#Data],MATCH($D17,Grid_Stock[Part Name],0),$P$7+12))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INDEX(Grid_Stock[#Data],MATCH($D18,Grid_Stock[Part Name],0),$P$7)</f>
        <v/>
      </c>
      <c r="H18" s="13">
        <f>MAX(0,$F18-INDEX(Grid_Stock[#Data],MATCH($D18,Grid_Stock[Part Name],0),$P$7+0))</f>
        <v/>
      </c>
      <c r="I18" s="13">
        <f>MAX(0,$F18-INDEX(Grid_Stock[#Data],MATCH($D18,Grid_Stock[Part Name],0),$P$7+1))</f>
        <v/>
      </c>
      <c r="J18" s="13">
        <f>MAX(0,$F18-INDEX(Grid_Stock[#Data],MATCH($D18,Grid_Stock[Part Name],0),$P$7+2))</f>
        <v/>
      </c>
      <c r="K18" s="13">
        <f>MAX(0,$F18-INDEX(Grid_Stock[#Data],MATCH($D18,Grid_Stock[Part Name],0),$P$7+3))</f>
        <v/>
      </c>
      <c r="L18" s="13">
        <f>MAX(0,$F18-INDEX(Grid_Stock[#Data],MATCH($D18,Grid_Stock[Part Name],0),$P$7+4))</f>
        <v/>
      </c>
      <c r="M18" s="13">
        <f>MAX(0,$F18-INDEX(Grid_Stock[#Data],MATCH($D18,Grid_Stock[Part Name],0),$P$7+5))</f>
        <v/>
      </c>
      <c r="N18" s="13">
        <f>MAX(0,$F18-INDEX(Grid_Stock[#Data],MATCH($D18,Grid_Stock[Part Name],0),$P$7+6))</f>
        <v/>
      </c>
      <c r="O18" s="13">
        <f>MAX(0,$F18-INDEX(Grid_Stock[#Data],MATCH($D18,Grid_Stock[Part Name],0),$P$7+7))</f>
        <v/>
      </c>
      <c r="P18" s="13">
        <f>MAX(0,$F18-INDEX(Grid_Stock[#Data],MATCH($D18,Grid_Stock[Part Name],0),$P$7+8))</f>
        <v/>
      </c>
      <c r="Q18" s="13">
        <f>MAX(0,$F18-INDEX(Grid_Stock[#Data],MATCH($D18,Grid_Stock[Part Name],0),$P$7+9))</f>
        <v/>
      </c>
      <c r="R18" s="13">
        <f>MAX(0,$F18-INDEX(Grid_Stock[#Data],MATCH($D18,Grid_Stock[Part Name],0),$P$7+10))</f>
        <v/>
      </c>
      <c r="S18" s="13">
        <f>MAX(0,$F18-INDEX(Grid_Stock[#Data],MATCH($D18,Grid_Stock[Part Name],0),$P$7+11))</f>
        <v/>
      </c>
      <c r="T18" s="13">
        <f>MAX(0,$F18-INDEX(Grid_Stock[#Data],MATCH($D18,Grid_Stock[Part Name],0),$P$7+12))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INDEX(Grid_Stock[#Data],MATCH($D19,Grid_Stock[Part Name],0),$P$7)</f>
        <v/>
      </c>
      <c r="H19" s="12">
        <f>MAX(0,$F19-INDEX(Grid_Stock[#Data],MATCH($D19,Grid_Stock[Part Name],0),$P$7+0))</f>
        <v/>
      </c>
      <c r="I19" s="12">
        <f>MAX(0,$F19-INDEX(Grid_Stock[#Data],MATCH($D19,Grid_Stock[Part Name],0),$P$7+1))</f>
        <v/>
      </c>
      <c r="J19" s="12">
        <f>MAX(0,$F19-INDEX(Grid_Stock[#Data],MATCH($D19,Grid_Stock[Part Name],0),$P$7+2))</f>
        <v/>
      </c>
      <c r="K19" s="12">
        <f>MAX(0,$F19-INDEX(Grid_Stock[#Data],MATCH($D19,Grid_Stock[Part Name],0),$P$7+3))</f>
        <v/>
      </c>
      <c r="L19" s="12">
        <f>MAX(0,$F19-INDEX(Grid_Stock[#Data],MATCH($D19,Grid_Stock[Part Name],0),$P$7+4))</f>
        <v/>
      </c>
      <c r="M19" s="12">
        <f>MAX(0,$F19-INDEX(Grid_Stock[#Data],MATCH($D19,Grid_Stock[Part Name],0),$P$7+5))</f>
        <v/>
      </c>
      <c r="N19" s="12">
        <f>MAX(0,$F19-INDEX(Grid_Stock[#Data],MATCH($D19,Grid_Stock[Part Name],0),$P$7+6))</f>
        <v/>
      </c>
      <c r="O19" s="12">
        <f>MAX(0,$F19-INDEX(Grid_Stock[#Data],MATCH($D19,Grid_Stock[Part Name],0),$P$7+7))</f>
        <v/>
      </c>
      <c r="P19" s="12">
        <f>MAX(0,$F19-INDEX(Grid_Stock[#Data],MATCH($D19,Grid_Stock[Part Name],0),$P$7+8))</f>
        <v/>
      </c>
      <c r="Q19" s="12">
        <f>MAX(0,$F19-INDEX(Grid_Stock[#Data],MATCH($D19,Grid_Stock[Part Name],0),$P$7+9))</f>
        <v/>
      </c>
      <c r="R19" s="12">
        <f>MAX(0,$F19-INDEX(Grid_Stock[#Data],MATCH($D19,Grid_Stock[Part Name],0),$P$7+10))</f>
        <v/>
      </c>
      <c r="S19" s="12">
        <f>MAX(0,$F19-INDEX(Grid_Stock[#Data],MATCH($D19,Grid_Stock[Part Name],0),$P$7+11))</f>
        <v/>
      </c>
      <c r="T19" s="12">
        <f>MAX(0,$F19-INDEX(Grid_Stock[#Data],MATCH($D19,Grid_Stock[Part Name],0),$P$7+12))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INDEX(Grid_Stock[#Data],MATCH($D20,Grid_Stock[Part Name],0),$P$7)</f>
        <v/>
      </c>
      <c r="H20" s="13">
        <f>MAX(0,$F20-INDEX(Grid_Stock[#Data],MATCH($D20,Grid_Stock[Part Name],0),$P$7+0))</f>
        <v/>
      </c>
      <c r="I20" s="13">
        <f>MAX(0,$F20-INDEX(Grid_Stock[#Data],MATCH($D20,Grid_Stock[Part Name],0),$P$7+1))</f>
        <v/>
      </c>
      <c r="J20" s="13">
        <f>MAX(0,$F20-INDEX(Grid_Stock[#Data],MATCH($D20,Grid_Stock[Part Name],0),$P$7+2))</f>
        <v/>
      </c>
      <c r="K20" s="13">
        <f>MAX(0,$F20-INDEX(Grid_Stock[#Data],MATCH($D20,Grid_Stock[Part Name],0),$P$7+3))</f>
        <v/>
      </c>
      <c r="L20" s="13">
        <f>MAX(0,$F20-INDEX(Grid_Stock[#Data],MATCH($D20,Grid_Stock[Part Name],0),$P$7+4))</f>
        <v/>
      </c>
      <c r="M20" s="13">
        <f>MAX(0,$F20-INDEX(Grid_Stock[#Data],MATCH($D20,Grid_Stock[Part Name],0),$P$7+5))</f>
        <v/>
      </c>
      <c r="N20" s="13">
        <f>MAX(0,$F20-INDEX(Grid_Stock[#Data],MATCH($D20,Grid_Stock[Part Name],0),$P$7+6))</f>
        <v/>
      </c>
      <c r="O20" s="13">
        <f>MAX(0,$F20-INDEX(Grid_Stock[#Data],MATCH($D20,Grid_Stock[Part Name],0),$P$7+7))</f>
        <v/>
      </c>
      <c r="P20" s="13">
        <f>MAX(0,$F20-INDEX(Grid_Stock[#Data],MATCH($D20,Grid_Stock[Part Name],0),$P$7+8))</f>
        <v/>
      </c>
      <c r="Q20" s="13">
        <f>MAX(0,$F20-INDEX(Grid_Stock[#Data],MATCH($D20,Grid_Stock[Part Name],0),$P$7+9))</f>
        <v/>
      </c>
      <c r="R20" s="13">
        <f>MAX(0,$F20-INDEX(Grid_Stock[#Data],MATCH($D20,Grid_Stock[Part Name],0),$P$7+10))</f>
        <v/>
      </c>
      <c r="S20" s="13">
        <f>MAX(0,$F20-INDEX(Grid_Stock[#Data],MATCH($D20,Grid_Stock[Part Name],0),$P$7+11))</f>
        <v/>
      </c>
      <c r="T20" s="13">
        <f>MAX(0,$F20-INDEX(Grid_Stock[#Data],MATCH($D20,Grid_Stock[Part Name],0),$P$7+12))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INDEX(Grid_Stock[#Data],MATCH($D21,Grid_Stock[Part Name],0),$P$7)</f>
        <v/>
      </c>
      <c r="H21" s="12">
        <f>MAX(0,$F21-INDEX(Grid_Stock[#Data],MATCH($D21,Grid_Stock[Part Name],0),$P$7+0))</f>
        <v/>
      </c>
      <c r="I21" s="12">
        <f>MAX(0,$F21-INDEX(Grid_Stock[#Data],MATCH($D21,Grid_Stock[Part Name],0),$P$7+1))</f>
        <v/>
      </c>
      <c r="J21" s="12">
        <f>MAX(0,$F21-INDEX(Grid_Stock[#Data],MATCH($D21,Grid_Stock[Part Name],0),$P$7+2))</f>
        <v/>
      </c>
      <c r="K21" s="12">
        <f>MAX(0,$F21-INDEX(Grid_Stock[#Data],MATCH($D21,Grid_Stock[Part Name],0),$P$7+3))</f>
        <v/>
      </c>
      <c r="L21" s="12">
        <f>MAX(0,$F21-INDEX(Grid_Stock[#Data],MATCH($D21,Grid_Stock[Part Name],0),$P$7+4))</f>
        <v/>
      </c>
      <c r="M21" s="12">
        <f>MAX(0,$F21-INDEX(Grid_Stock[#Data],MATCH($D21,Grid_Stock[Part Name],0),$P$7+5))</f>
        <v/>
      </c>
      <c r="N21" s="12">
        <f>MAX(0,$F21-INDEX(Grid_Stock[#Data],MATCH($D21,Grid_Stock[Part Name],0),$P$7+6))</f>
        <v/>
      </c>
      <c r="O21" s="12">
        <f>MAX(0,$F21-INDEX(Grid_Stock[#Data],MATCH($D21,Grid_Stock[Part Name],0),$P$7+7))</f>
        <v/>
      </c>
      <c r="P21" s="12">
        <f>MAX(0,$F21-INDEX(Grid_Stock[#Data],MATCH($D21,Grid_Stock[Part Name],0),$P$7+8))</f>
        <v/>
      </c>
      <c r="Q21" s="12">
        <f>MAX(0,$F21-INDEX(Grid_Stock[#Data],MATCH($D21,Grid_Stock[Part Name],0),$P$7+9))</f>
        <v/>
      </c>
      <c r="R21" s="12">
        <f>MAX(0,$F21-INDEX(Grid_Stock[#Data],MATCH($D21,Grid_Stock[Part Name],0),$P$7+10))</f>
        <v/>
      </c>
      <c r="S21" s="12">
        <f>MAX(0,$F21-INDEX(Grid_Stock[#Data],MATCH($D21,Grid_Stock[Part Name],0),$P$7+11))</f>
        <v/>
      </c>
      <c r="T21" s="12">
        <f>MAX(0,$F21-INDEX(Grid_Stock[#Data],MATCH($D21,Grid_Stock[Part Name],0),$P$7+12))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INDEX(Grid_Stock[#Data],MATCH($D22,Grid_Stock[Part Name],0),$P$7)</f>
        <v/>
      </c>
      <c r="H22" s="13">
        <f>MAX(0,$F22-INDEX(Grid_Stock[#Data],MATCH($D22,Grid_Stock[Part Name],0),$P$7+0))</f>
        <v/>
      </c>
      <c r="I22" s="13">
        <f>MAX(0,$F22-INDEX(Grid_Stock[#Data],MATCH($D22,Grid_Stock[Part Name],0),$P$7+1))</f>
        <v/>
      </c>
      <c r="J22" s="13">
        <f>MAX(0,$F22-INDEX(Grid_Stock[#Data],MATCH($D22,Grid_Stock[Part Name],0),$P$7+2))</f>
        <v/>
      </c>
      <c r="K22" s="13">
        <f>MAX(0,$F22-INDEX(Grid_Stock[#Data],MATCH($D22,Grid_Stock[Part Name],0),$P$7+3))</f>
        <v/>
      </c>
      <c r="L22" s="13">
        <f>MAX(0,$F22-INDEX(Grid_Stock[#Data],MATCH($D22,Grid_Stock[Part Name],0),$P$7+4))</f>
        <v/>
      </c>
      <c r="M22" s="13">
        <f>MAX(0,$F22-INDEX(Grid_Stock[#Data],MATCH($D22,Grid_Stock[Part Name],0),$P$7+5))</f>
        <v/>
      </c>
      <c r="N22" s="13">
        <f>MAX(0,$F22-INDEX(Grid_Stock[#Data],MATCH($D22,Grid_Stock[Part Name],0),$P$7+6))</f>
        <v/>
      </c>
      <c r="O22" s="13">
        <f>MAX(0,$F22-INDEX(Grid_Stock[#Data],MATCH($D22,Grid_Stock[Part Name],0),$P$7+7))</f>
        <v/>
      </c>
      <c r="P22" s="13">
        <f>MAX(0,$F22-INDEX(Grid_Stock[#Data],MATCH($D22,Grid_Stock[Part Name],0),$P$7+8))</f>
        <v/>
      </c>
      <c r="Q22" s="13">
        <f>MAX(0,$F22-INDEX(Grid_Stock[#Data],MATCH($D22,Grid_Stock[Part Name],0),$P$7+9))</f>
        <v/>
      </c>
      <c r="R22" s="13">
        <f>MAX(0,$F22-INDEX(Grid_Stock[#Data],MATCH($D22,Grid_Stock[Part Name],0),$P$7+10))</f>
        <v/>
      </c>
      <c r="S22" s="13">
        <f>MAX(0,$F22-INDEX(Grid_Stock[#Data],MATCH($D22,Grid_Stock[Part Name],0),$P$7+11))</f>
        <v/>
      </c>
      <c r="T22" s="13">
        <f>MAX(0,$F22-INDEX(Grid_Stock[#Data],MATCH($D22,Grid_Stock[Part Name],0),$P$7+12))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INDEX(Grid_Stock[#Data],MATCH($D23,Grid_Stock[Part Name],0),$P$7)</f>
        <v/>
      </c>
      <c r="H23" s="12">
        <f>MAX(0,$F23-INDEX(Grid_Stock[#Data],MATCH($D23,Grid_Stock[Part Name],0),$P$7+0))</f>
        <v/>
      </c>
      <c r="I23" s="12">
        <f>MAX(0,$F23-INDEX(Grid_Stock[#Data],MATCH($D23,Grid_Stock[Part Name],0),$P$7+1))</f>
        <v/>
      </c>
      <c r="J23" s="12">
        <f>MAX(0,$F23-INDEX(Grid_Stock[#Data],MATCH($D23,Grid_Stock[Part Name],0),$P$7+2))</f>
        <v/>
      </c>
      <c r="K23" s="12">
        <f>MAX(0,$F23-INDEX(Grid_Stock[#Data],MATCH($D23,Grid_Stock[Part Name],0),$P$7+3))</f>
        <v/>
      </c>
      <c r="L23" s="12">
        <f>MAX(0,$F23-INDEX(Grid_Stock[#Data],MATCH($D23,Grid_Stock[Part Name],0),$P$7+4))</f>
        <v/>
      </c>
      <c r="M23" s="12">
        <f>MAX(0,$F23-INDEX(Grid_Stock[#Data],MATCH($D23,Grid_Stock[Part Name],0),$P$7+5))</f>
        <v/>
      </c>
      <c r="N23" s="12">
        <f>MAX(0,$F23-INDEX(Grid_Stock[#Data],MATCH($D23,Grid_Stock[Part Name],0),$P$7+6))</f>
        <v/>
      </c>
      <c r="O23" s="12">
        <f>MAX(0,$F23-INDEX(Grid_Stock[#Data],MATCH($D23,Grid_Stock[Part Name],0),$P$7+7))</f>
        <v/>
      </c>
      <c r="P23" s="12">
        <f>MAX(0,$F23-INDEX(Grid_Stock[#Data],MATCH($D23,Grid_Stock[Part Name],0),$P$7+8))</f>
        <v/>
      </c>
      <c r="Q23" s="12">
        <f>MAX(0,$F23-INDEX(Grid_Stock[#Data],MATCH($D23,Grid_Stock[Part Name],0),$P$7+9))</f>
        <v/>
      </c>
      <c r="R23" s="12">
        <f>MAX(0,$F23-INDEX(Grid_Stock[#Data],MATCH($D23,Grid_Stock[Part Name],0),$P$7+10))</f>
        <v/>
      </c>
      <c r="S23" s="12">
        <f>MAX(0,$F23-INDEX(Grid_Stock[#Data],MATCH($D23,Grid_Stock[Part Name],0),$P$7+11))</f>
        <v/>
      </c>
      <c r="T23" s="12">
        <f>MAX(0,$F23-INDEX(Grid_Stock[#Data],MATCH($D23,Grid_Stock[Part Name],0),$P$7+12))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INDEX(Grid_Stock[#Data],MATCH($D24,Grid_Stock[Part Name],0),$P$7)</f>
        <v/>
      </c>
      <c r="H24" s="13">
        <f>MAX(0,$F24-INDEX(Grid_Stock[#Data],MATCH($D24,Grid_Stock[Part Name],0),$P$7+0))</f>
        <v/>
      </c>
      <c r="I24" s="13">
        <f>MAX(0,$F24-INDEX(Grid_Stock[#Data],MATCH($D24,Grid_Stock[Part Name],0),$P$7+1))</f>
        <v/>
      </c>
      <c r="J24" s="13">
        <f>MAX(0,$F24-INDEX(Grid_Stock[#Data],MATCH($D24,Grid_Stock[Part Name],0),$P$7+2))</f>
        <v/>
      </c>
      <c r="K24" s="13">
        <f>MAX(0,$F24-INDEX(Grid_Stock[#Data],MATCH($D24,Grid_Stock[Part Name],0),$P$7+3))</f>
        <v/>
      </c>
      <c r="L24" s="13">
        <f>MAX(0,$F24-INDEX(Grid_Stock[#Data],MATCH($D24,Grid_Stock[Part Name],0),$P$7+4))</f>
        <v/>
      </c>
      <c r="M24" s="13">
        <f>MAX(0,$F24-INDEX(Grid_Stock[#Data],MATCH($D24,Grid_Stock[Part Name],0),$P$7+5))</f>
        <v/>
      </c>
      <c r="N24" s="13">
        <f>MAX(0,$F24-INDEX(Grid_Stock[#Data],MATCH($D24,Grid_Stock[Part Name],0),$P$7+6))</f>
        <v/>
      </c>
      <c r="O24" s="13">
        <f>MAX(0,$F24-INDEX(Grid_Stock[#Data],MATCH($D24,Grid_Stock[Part Name],0),$P$7+7))</f>
        <v/>
      </c>
      <c r="P24" s="13">
        <f>MAX(0,$F24-INDEX(Grid_Stock[#Data],MATCH($D24,Grid_Stock[Part Name],0),$P$7+8))</f>
        <v/>
      </c>
      <c r="Q24" s="13">
        <f>MAX(0,$F24-INDEX(Grid_Stock[#Data],MATCH($D24,Grid_Stock[Part Name],0),$P$7+9))</f>
        <v/>
      </c>
      <c r="R24" s="13">
        <f>MAX(0,$F24-INDEX(Grid_Stock[#Data],MATCH($D24,Grid_Stock[Part Name],0),$P$7+10))</f>
        <v/>
      </c>
      <c r="S24" s="13">
        <f>MAX(0,$F24-INDEX(Grid_Stock[#Data],MATCH($D24,Grid_Stock[Part Name],0),$P$7+11))</f>
        <v/>
      </c>
      <c r="T24" s="13">
        <f>MAX(0,$F24-INDEX(Grid_Stock[#Data],MATCH($D24,Grid_Stock[Part Name],0),$P$7+12))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INDEX(Grid_Stock[#Data],MATCH($D25,Grid_Stock[Part Name],0),$P$7)</f>
        <v/>
      </c>
      <c r="H25" s="12">
        <f>MAX(0,$F25-INDEX(Grid_Stock[#Data],MATCH($D25,Grid_Stock[Part Name],0),$P$7+0))</f>
        <v/>
      </c>
      <c r="I25" s="12">
        <f>MAX(0,$F25-INDEX(Grid_Stock[#Data],MATCH($D25,Grid_Stock[Part Name],0),$P$7+1))</f>
        <v/>
      </c>
      <c r="J25" s="12">
        <f>MAX(0,$F25-INDEX(Grid_Stock[#Data],MATCH($D25,Grid_Stock[Part Name],0),$P$7+2))</f>
        <v/>
      </c>
      <c r="K25" s="12">
        <f>MAX(0,$F25-INDEX(Grid_Stock[#Data],MATCH($D25,Grid_Stock[Part Name],0),$P$7+3))</f>
        <v/>
      </c>
      <c r="L25" s="12">
        <f>MAX(0,$F25-INDEX(Grid_Stock[#Data],MATCH($D25,Grid_Stock[Part Name],0),$P$7+4))</f>
        <v/>
      </c>
      <c r="M25" s="12">
        <f>MAX(0,$F25-INDEX(Grid_Stock[#Data],MATCH($D25,Grid_Stock[Part Name],0),$P$7+5))</f>
        <v/>
      </c>
      <c r="N25" s="12">
        <f>MAX(0,$F25-INDEX(Grid_Stock[#Data],MATCH($D25,Grid_Stock[Part Name],0),$P$7+6))</f>
        <v/>
      </c>
      <c r="O25" s="12">
        <f>MAX(0,$F25-INDEX(Grid_Stock[#Data],MATCH($D25,Grid_Stock[Part Name],0),$P$7+7))</f>
        <v/>
      </c>
      <c r="P25" s="12">
        <f>MAX(0,$F25-INDEX(Grid_Stock[#Data],MATCH($D25,Grid_Stock[Part Name],0),$P$7+8))</f>
        <v/>
      </c>
      <c r="Q25" s="12">
        <f>MAX(0,$F25-INDEX(Grid_Stock[#Data],MATCH($D25,Grid_Stock[Part Name],0),$P$7+9))</f>
        <v/>
      </c>
      <c r="R25" s="12">
        <f>MAX(0,$F25-INDEX(Grid_Stock[#Data],MATCH($D25,Grid_Stock[Part Name],0),$P$7+10))</f>
        <v/>
      </c>
      <c r="S25" s="12">
        <f>MAX(0,$F25-INDEX(Grid_Stock[#Data],MATCH($D25,Grid_Stock[Part Name],0),$P$7+11))</f>
        <v/>
      </c>
      <c r="T25" s="12">
        <f>MAX(0,$F25-INDEX(Grid_Stock[#Data],MATCH($D25,Grid_Stock[Part Name],0),$P$7+12))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INDEX(Grid_Stock[#Data],MATCH($D26,Grid_Stock[Part Name],0),$P$7)</f>
        <v/>
      </c>
      <c r="H26" s="13">
        <f>MAX(0,$F26-INDEX(Grid_Stock[#Data],MATCH($D26,Grid_Stock[Part Name],0),$P$7+0))</f>
        <v/>
      </c>
      <c r="I26" s="13">
        <f>MAX(0,$F26-INDEX(Grid_Stock[#Data],MATCH($D26,Grid_Stock[Part Name],0),$P$7+1))</f>
        <v/>
      </c>
      <c r="J26" s="13">
        <f>MAX(0,$F26-INDEX(Grid_Stock[#Data],MATCH($D26,Grid_Stock[Part Name],0),$P$7+2))</f>
        <v/>
      </c>
      <c r="K26" s="13">
        <f>MAX(0,$F26-INDEX(Grid_Stock[#Data],MATCH($D26,Grid_Stock[Part Name],0),$P$7+3))</f>
        <v/>
      </c>
      <c r="L26" s="13">
        <f>MAX(0,$F26-INDEX(Grid_Stock[#Data],MATCH($D26,Grid_Stock[Part Name],0),$P$7+4))</f>
        <v/>
      </c>
      <c r="M26" s="13">
        <f>MAX(0,$F26-INDEX(Grid_Stock[#Data],MATCH($D26,Grid_Stock[Part Name],0),$P$7+5))</f>
        <v/>
      </c>
      <c r="N26" s="13">
        <f>MAX(0,$F26-INDEX(Grid_Stock[#Data],MATCH($D26,Grid_Stock[Part Name],0),$P$7+6))</f>
        <v/>
      </c>
      <c r="O26" s="13">
        <f>MAX(0,$F26-INDEX(Grid_Stock[#Data],MATCH($D26,Grid_Stock[Part Name],0),$P$7+7))</f>
        <v/>
      </c>
      <c r="P26" s="13">
        <f>MAX(0,$F26-INDEX(Grid_Stock[#Data],MATCH($D26,Grid_Stock[Part Name],0),$P$7+8))</f>
        <v/>
      </c>
      <c r="Q26" s="13">
        <f>MAX(0,$F26-INDEX(Grid_Stock[#Data],MATCH($D26,Grid_Stock[Part Name],0),$P$7+9))</f>
        <v/>
      </c>
      <c r="R26" s="13">
        <f>MAX(0,$F26-INDEX(Grid_Stock[#Data],MATCH($D26,Grid_Stock[Part Name],0),$P$7+10))</f>
        <v/>
      </c>
      <c r="S26" s="13">
        <f>MAX(0,$F26-INDEX(Grid_Stock[#Data],MATCH($D26,Grid_Stock[Part Name],0),$P$7+11))</f>
        <v/>
      </c>
      <c r="T26" s="13">
        <f>MAX(0,$F26-INDEX(Grid_Stock[#Data],MATCH($D26,Grid_Stock[Part Name],0),$P$7+12))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INDEX(Grid_Stock[#Data],MATCH($D27,Grid_Stock[Part Name],0),$P$7)</f>
        <v/>
      </c>
      <c r="H27" s="12">
        <f>MAX(0,$F27-INDEX(Grid_Stock[#Data],MATCH($D27,Grid_Stock[Part Name],0),$P$7+0))</f>
        <v/>
      </c>
      <c r="I27" s="12">
        <f>MAX(0,$F27-INDEX(Grid_Stock[#Data],MATCH($D27,Grid_Stock[Part Name],0),$P$7+1))</f>
        <v/>
      </c>
      <c r="J27" s="12">
        <f>MAX(0,$F27-INDEX(Grid_Stock[#Data],MATCH($D27,Grid_Stock[Part Name],0),$P$7+2))</f>
        <v/>
      </c>
      <c r="K27" s="12">
        <f>MAX(0,$F27-INDEX(Grid_Stock[#Data],MATCH($D27,Grid_Stock[Part Name],0),$P$7+3))</f>
        <v/>
      </c>
      <c r="L27" s="12">
        <f>MAX(0,$F27-INDEX(Grid_Stock[#Data],MATCH($D27,Grid_Stock[Part Name],0),$P$7+4))</f>
        <v/>
      </c>
      <c r="M27" s="12">
        <f>MAX(0,$F27-INDEX(Grid_Stock[#Data],MATCH($D27,Grid_Stock[Part Name],0),$P$7+5))</f>
        <v/>
      </c>
      <c r="N27" s="12">
        <f>MAX(0,$F27-INDEX(Grid_Stock[#Data],MATCH($D27,Grid_Stock[Part Name],0),$P$7+6))</f>
        <v/>
      </c>
      <c r="O27" s="12">
        <f>MAX(0,$F27-INDEX(Grid_Stock[#Data],MATCH($D27,Grid_Stock[Part Name],0),$P$7+7))</f>
        <v/>
      </c>
      <c r="P27" s="12">
        <f>MAX(0,$F27-INDEX(Grid_Stock[#Data],MATCH($D27,Grid_Stock[Part Name],0),$P$7+8))</f>
        <v/>
      </c>
      <c r="Q27" s="12">
        <f>MAX(0,$F27-INDEX(Grid_Stock[#Data],MATCH($D27,Grid_Stock[Part Name],0),$P$7+9))</f>
        <v/>
      </c>
      <c r="R27" s="12">
        <f>MAX(0,$F27-INDEX(Grid_Stock[#Data],MATCH($D27,Grid_Stock[Part Name],0),$P$7+10))</f>
        <v/>
      </c>
      <c r="S27" s="12">
        <f>MAX(0,$F27-INDEX(Grid_Stock[#Data],MATCH($D27,Grid_Stock[Part Name],0),$P$7+11))</f>
        <v/>
      </c>
      <c r="T27" s="12">
        <f>MAX(0,$F27-INDEX(Grid_Stock[#Data],MATCH($D27,Grid_Stock[Part Name],0),$P$7+12))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INDEX(Grid_Stock[#Data],MATCH($D28,Grid_Stock[Part Name],0),$P$7)</f>
        <v/>
      </c>
      <c r="H28" s="13">
        <f>MAX(0,$F28-INDEX(Grid_Stock[#Data],MATCH($D28,Grid_Stock[Part Name],0),$P$7+0))</f>
        <v/>
      </c>
      <c r="I28" s="13">
        <f>MAX(0,$F28-INDEX(Grid_Stock[#Data],MATCH($D28,Grid_Stock[Part Name],0),$P$7+1))</f>
        <v/>
      </c>
      <c r="J28" s="13">
        <f>MAX(0,$F28-INDEX(Grid_Stock[#Data],MATCH($D28,Grid_Stock[Part Name],0),$P$7+2))</f>
        <v/>
      </c>
      <c r="K28" s="13">
        <f>MAX(0,$F28-INDEX(Grid_Stock[#Data],MATCH($D28,Grid_Stock[Part Name],0),$P$7+3))</f>
        <v/>
      </c>
      <c r="L28" s="13">
        <f>MAX(0,$F28-INDEX(Grid_Stock[#Data],MATCH($D28,Grid_Stock[Part Name],0),$P$7+4))</f>
        <v/>
      </c>
      <c r="M28" s="13">
        <f>MAX(0,$F28-INDEX(Grid_Stock[#Data],MATCH($D28,Grid_Stock[Part Name],0),$P$7+5))</f>
        <v/>
      </c>
      <c r="N28" s="13">
        <f>MAX(0,$F28-INDEX(Grid_Stock[#Data],MATCH($D28,Grid_Stock[Part Name],0),$P$7+6))</f>
        <v/>
      </c>
      <c r="O28" s="13">
        <f>MAX(0,$F28-INDEX(Grid_Stock[#Data],MATCH($D28,Grid_Stock[Part Name],0),$P$7+7))</f>
        <v/>
      </c>
      <c r="P28" s="13">
        <f>MAX(0,$F28-INDEX(Grid_Stock[#Data],MATCH($D28,Grid_Stock[Part Name],0),$P$7+8))</f>
        <v/>
      </c>
      <c r="Q28" s="13">
        <f>MAX(0,$F28-INDEX(Grid_Stock[#Data],MATCH($D28,Grid_Stock[Part Name],0),$P$7+9))</f>
        <v/>
      </c>
      <c r="R28" s="13">
        <f>MAX(0,$F28-INDEX(Grid_Stock[#Data],MATCH($D28,Grid_Stock[Part Name],0),$P$7+10))</f>
        <v/>
      </c>
      <c r="S28" s="13">
        <f>MAX(0,$F28-INDEX(Grid_Stock[#Data],MATCH($D28,Grid_Stock[Part Name],0),$P$7+11))</f>
        <v/>
      </c>
      <c r="T28" s="13">
        <f>MAX(0,$F28-INDEX(Grid_Stock[#Data],MATCH($D28,Grid_Stock[Part Name],0),$P$7+12))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INDEX(Grid_Stock[#Data],MATCH($D29,Grid_Stock[Part Name],0),$P$7)</f>
        <v/>
      </c>
      <c r="H29" s="12">
        <f>MAX(0,$F29-INDEX(Grid_Stock[#Data],MATCH($D29,Grid_Stock[Part Name],0),$P$7+0))</f>
        <v/>
      </c>
      <c r="I29" s="12">
        <f>MAX(0,$F29-INDEX(Grid_Stock[#Data],MATCH($D29,Grid_Stock[Part Name],0),$P$7+1))</f>
        <v/>
      </c>
      <c r="J29" s="12">
        <f>MAX(0,$F29-INDEX(Grid_Stock[#Data],MATCH($D29,Grid_Stock[Part Name],0),$P$7+2))</f>
        <v/>
      </c>
      <c r="K29" s="12">
        <f>MAX(0,$F29-INDEX(Grid_Stock[#Data],MATCH($D29,Grid_Stock[Part Name],0),$P$7+3))</f>
        <v/>
      </c>
      <c r="L29" s="12">
        <f>MAX(0,$F29-INDEX(Grid_Stock[#Data],MATCH($D29,Grid_Stock[Part Name],0),$P$7+4))</f>
        <v/>
      </c>
      <c r="M29" s="12">
        <f>MAX(0,$F29-INDEX(Grid_Stock[#Data],MATCH($D29,Grid_Stock[Part Name],0),$P$7+5))</f>
        <v/>
      </c>
      <c r="N29" s="12">
        <f>MAX(0,$F29-INDEX(Grid_Stock[#Data],MATCH($D29,Grid_Stock[Part Name],0),$P$7+6))</f>
        <v/>
      </c>
      <c r="O29" s="12">
        <f>MAX(0,$F29-INDEX(Grid_Stock[#Data],MATCH($D29,Grid_Stock[Part Name],0),$P$7+7))</f>
        <v/>
      </c>
      <c r="P29" s="12">
        <f>MAX(0,$F29-INDEX(Grid_Stock[#Data],MATCH($D29,Grid_Stock[Part Name],0),$P$7+8))</f>
        <v/>
      </c>
      <c r="Q29" s="12">
        <f>MAX(0,$F29-INDEX(Grid_Stock[#Data],MATCH($D29,Grid_Stock[Part Name],0),$P$7+9))</f>
        <v/>
      </c>
      <c r="R29" s="12">
        <f>MAX(0,$F29-INDEX(Grid_Stock[#Data],MATCH($D29,Grid_Stock[Part Name],0),$P$7+10))</f>
        <v/>
      </c>
      <c r="S29" s="12">
        <f>MAX(0,$F29-INDEX(Grid_Stock[#Data],MATCH($D29,Grid_Stock[Part Name],0),$P$7+11))</f>
        <v/>
      </c>
      <c r="T29" s="12">
        <f>MAX(0,$F29-INDEX(Grid_Stock[#Data],MATCH($D29,Grid_Stock[Part Name],0),$P$7+12))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INDEX(Grid_Stock[#Data],MATCH($D30,Grid_Stock[Part Name],0),$P$7)</f>
        <v/>
      </c>
      <c r="H30" s="13">
        <f>MAX(0,$F30-INDEX(Grid_Stock[#Data],MATCH($D30,Grid_Stock[Part Name],0),$P$7+0))</f>
        <v/>
      </c>
      <c r="I30" s="13">
        <f>MAX(0,$F30-INDEX(Grid_Stock[#Data],MATCH($D30,Grid_Stock[Part Name],0),$P$7+1))</f>
        <v/>
      </c>
      <c r="J30" s="13">
        <f>MAX(0,$F30-INDEX(Grid_Stock[#Data],MATCH($D30,Grid_Stock[Part Name],0),$P$7+2))</f>
        <v/>
      </c>
      <c r="K30" s="13">
        <f>MAX(0,$F30-INDEX(Grid_Stock[#Data],MATCH($D30,Grid_Stock[Part Name],0),$P$7+3))</f>
        <v/>
      </c>
      <c r="L30" s="13">
        <f>MAX(0,$F30-INDEX(Grid_Stock[#Data],MATCH($D30,Grid_Stock[Part Name],0),$P$7+4))</f>
        <v/>
      </c>
      <c r="M30" s="13">
        <f>MAX(0,$F30-INDEX(Grid_Stock[#Data],MATCH($D30,Grid_Stock[Part Name],0),$P$7+5))</f>
        <v/>
      </c>
      <c r="N30" s="13">
        <f>MAX(0,$F30-INDEX(Grid_Stock[#Data],MATCH($D30,Grid_Stock[Part Name],0),$P$7+6))</f>
        <v/>
      </c>
      <c r="O30" s="13">
        <f>MAX(0,$F30-INDEX(Grid_Stock[#Data],MATCH($D30,Grid_Stock[Part Name],0),$P$7+7))</f>
        <v/>
      </c>
      <c r="P30" s="13">
        <f>MAX(0,$F30-INDEX(Grid_Stock[#Data],MATCH($D30,Grid_Stock[Part Name],0),$P$7+8))</f>
        <v/>
      </c>
      <c r="Q30" s="13">
        <f>MAX(0,$F30-INDEX(Grid_Stock[#Data],MATCH($D30,Grid_Stock[Part Name],0),$P$7+9))</f>
        <v/>
      </c>
      <c r="R30" s="13">
        <f>MAX(0,$F30-INDEX(Grid_Stock[#Data],MATCH($D30,Grid_Stock[Part Name],0),$P$7+10))</f>
        <v/>
      </c>
      <c r="S30" s="13">
        <f>MAX(0,$F30-INDEX(Grid_Stock[#Data],MATCH($D30,Grid_Stock[Part Name],0),$P$7+11))</f>
        <v/>
      </c>
      <c r="T30" s="13">
        <f>MAX(0,$F30-INDEX(Grid_Stock[#Data],MATCH($D30,Grid_Stock[Part Name],0),$P$7+12))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INDEX(Grid_Stock[#Data],MATCH($D31,Grid_Stock[Part Name],0),$P$7)</f>
        <v/>
      </c>
      <c r="H31" s="12">
        <f>MAX(0,$F31-INDEX(Grid_Stock[#Data],MATCH($D31,Grid_Stock[Part Name],0),$P$7+0))</f>
        <v/>
      </c>
      <c r="I31" s="12">
        <f>MAX(0,$F31-INDEX(Grid_Stock[#Data],MATCH($D31,Grid_Stock[Part Name],0),$P$7+1))</f>
        <v/>
      </c>
      <c r="J31" s="12">
        <f>MAX(0,$F31-INDEX(Grid_Stock[#Data],MATCH($D31,Grid_Stock[Part Name],0),$P$7+2))</f>
        <v/>
      </c>
      <c r="K31" s="12">
        <f>MAX(0,$F31-INDEX(Grid_Stock[#Data],MATCH($D31,Grid_Stock[Part Name],0),$P$7+3))</f>
        <v/>
      </c>
      <c r="L31" s="12">
        <f>MAX(0,$F31-INDEX(Grid_Stock[#Data],MATCH($D31,Grid_Stock[Part Name],0),$P$7+4))</f>
        <v/>
      </c>
      <c r="M31" s="12">
        <f>MAX(0,$F31-INDEX(Grid_Stock[#Data],MATCH($D31,Grid_Stock[Part Name],0),$P$7+5))</f>
        <v/>
      </c>
      <c r="N31" s="12">
        <f>MAX(0,$F31-INDEX(Grid_Stock[#Data],MATCH($D31,Grid_Stock[Part Name],0),$P$7+6))</f>
        <v/>
      </c>
      <c r="O31" s="12">
        <f>MAX(0,$F31-INDEX(Grid_Stock[#Data],MATCH($D31,Grid_Stock[Part Name],0),$P$7+7))</f>
        <v/>
      </c>
      <c r="P31" s="12">
        <f>MAX(0,$F31-INDEX(Grid_Stock[#Data],MATCH($D31,Grid_Stock[Part Name],0),$P$7+8))</f>
        <v/>
      </c>
      <c r="Q31" s="12">
        <f>MAX(0,$F31-INDEX(Grid_Stock[#Data],MATCH($D31,Grid_Stock[Part Name],0),$P$7+9))</f>
        <v/>
      </c>
      <c r="R31" s="12">
        <f>MAX(0,$F31-INDEX(Grid_Stock[#Data],MATCH($D31,Grid_Stock[Part Name],0),$P$7+10))</f>
        <v/>
      </c>
      <c r="S31" s="12">
        <f>MAX(0,$F31-INDEX(Grid_Stock[#Data],MATCH($D31,Grid_Stock[Part Name],0),$P$7+11))</f>
        <v/>
      </c>
      <c r="T31" s="12">
        <f>MAX(0,$F31-INDEX(Grid_Stock[#Data],MATCH($D31,Grid_Stock[Part Name],0),$P$7+12))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INDEX(Grid_Stock[#Data],MATCH($D32,Grid_Stock[Part Name],0),$P$7)</f>
        <v/>
      </c>
      <c r="H32" s="13">
        <f>MAX(0,$F32-INDEX(Grid_Stock[#Data],MATCH($D32,Grid_Stock[Part Name],0),$P$7+0))</f>
        <v/>
      </c>
      <c r="I32" s="13">
        <f>MAX(0,$F32-INDEX(Grid_Stock[#Data],MATCH($D32,Grid_Stock[Part Name],0),$P$7+1))</f>
        <v/>
      </c>
      <c r="J32" s="13">
        <f>MAX(0,$F32-INDEX(Grid_Stock[#Data],MATCH($D32,Grid_Stock[Part Name],0),$P$7+2))</f>
        <v/>
      </c>
      <c r="K32" s="13">
        <f>MAX(0,$F32-INDEX(Grid_Stock[#Data],MATCH($D32,Grid_Stock[Part Name],0),$P$7+3))</f>
        <v/>
      </c>
      <c r="L32" s="13">
        <f>MAX(0,$F32-INDEX(Grid_Stock[#Data],MATCH($D32,Grid_Stock[Part Name],0),$P$7+4))</f>
        <v/>
      </c>
      <c r="M32" s="13">
        <f>MAX(0,$F32-INDEX(Grid_Stock[#Data],MATCH($D32,Grid_Stock[Part Name],0),$P$7+5))</f>
        <v/>
      </c>
      <c r="N32" s="13">
        <f>MAX(0,$F32-INDEX(Grid_Stock[#Data],MATCH($D32,Grid_Stock[Part Name],0),$P$7+6))</f>
        <v/>
      </c>
      <c r="O32" s="13">
        <f>MAX(0,$F32-INDEX(Grid_Stock[#Data],MATCH($D32,Grid_Stock[Part Name],0),$P$7+7))</f>
        <v/>
      </c>
      <c r="P32" s="13">
        <f>MAX(0,$F32-INDEX(Grid_Stock[#Data],MATCH($D32,Grid_Stock[Part Name],0),$P$7+8))</f>
        <v/>
      </c>
      <c r="Q32" s="13">
        <f>MAX(0,$F32-INDEX(Grid_Stock[#Data],MATCH($D32,Grid_Stock[Part Name],0),$P$7+9))</f>
        <v/>
      </c>
      <c r="R32" s="13">
        <f>MAX(0,$F32-INDEX(Grid_Stock[#Data],MATCH($D32,Grid_Stock[Part Name],0),$P$7+10))</f>
        <v/>
      </c>
      <c r="S32" s="13">
        <f>MAX(0,$F32-INDEX(Grid_Stock[#Data],MATCH($D32,Grid_Stock[Part Name],0),$P$7+11))</f>
        <v/>
      </c>
      <c r="T32" s="13">
        <f>MAX(0,$F32-INDEX(Grid_Stock[#Data],MATCH($D32,Grid_Stock[Part Name],0),$P$7+12))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INDEX(Grid_Stock[#Data],MATCH($D33,Grid_Stock[Part Name],0),$P$7)</f>
        <v/>
      </c>
      <c r="H33" s="12">
        <f>MAX(0,$F33-INDEX(Grid_Stock[#Data],MATCH($D33,Grid_Stock[Part Name],0),$P$7+0))</f>
        <v/>
      </c>
      <c r="I33" s="12">
        <f>MAX(0,$F33-INDEX(Grid_Stock[#Data],MATCH($D33,Grid_Stock[Part Name],0),$P$7+1))</f>
        <v/>
      </c>
      <c r="J33" s="12">
        <f>MAX(0,$F33-INDEX(Grid_Stock[#Data],MATCH($D33,Grid_Stock[Part Name],0),$P$7+2))</f>
        <v/>
      </c>
      <c r="K33" s="12">
        <f>MAX(0,$F33-INDEX(Grid_Stock[#Data],MATCH($D33,Grid_Stock[Part Name],0),$P$7+3))</f>
        <v/>
      </c>
      <c r="L33" s="12">
        <f>MAX(0,$F33-INDEX(Grid_Stock[#Data],MATCH($D33,Grid_Stock[Part Name],0),$P$7+4))</f>
        <v/>
      </c>
      <c r="M33" s="12">
        <f>MAX(0,$F33-INDEX(Grid_Stock[#Data],MATCH($D33,Grid_Stock[Part Name],0),$P$7+5))</f>
        <v/>
      </c>
      <c r="N33" s="12">
        <f>MAX(0,$F33-INDEX(Grid_Stock[#Data],MATCH($D33,Grid_Stock[Part Name],0),$P$7+6))</f>
        <v/>
      </c>
      <c r="O33" s="12">
        <f>MAX(0,$F33-INDEX(Grid_Stock[#Data],MATCH($D33,Grid_Stock[Part Name],0),$P$7+7))</f>
        <v/>
      </c>
      <c r="P33" s="12">
        <f>MAX(0,$F33-INDEX(Grid_Stock[#Data],MATCH($D33,Grid_Stock[Part Name],0),$P$7+8))</f>
        <v/>
      </c>
      <c r="Q33" s="12">
        <f>MAX(0,$F33-INDEX(Grid_Stock[#Data],MATCH($D33,Grid_Stock[Part Name],0),$P$7+9))</f>
        <v/>
      </c>
      <c r="R33" s="12">
        <f>MAX(0,$F33-INDEX(Grid_Stock[#Data],MATCH($D33,Grid_Stock[Part Name],0),$P$7+10))</f>
        <v/>
      </c>
      <c r="S33" s="12">
        <f>MAX(0,$F33-INDEX(Grid_Stock[#Data],MATCH($D33,Grid_Stock[Part Name],0),$P$7+11))</f>
        <v/>
      </c>
      <c r="T33" s="12">
        <f>MAX(0,$F33-INDEX(Grid_Stock[#Data],MATCH($D33,Grid_Stock[Part Name],0),$P$7+12))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INDEX(Grid_Stock[#Data],MATCH($D34,Grid_Stock[Part Name],0),$P$7)</f>
        <v/>
      </c>
      <c r="H34" s="13">
        <f>MAX(0,$F34-INDEX(Grid_Stock[#Data],MATCH($D34,Grid_Stock[Part Name],0),$P$7+0))</f>
        <v/>
      </c>
      <c r="I34" s="13">
        <f>MAX(0,$F34-INDEX(Grid_Stock[#Data],MATCH($D34,Grid_Stock[Part Name],0),$P$7+1))</f>
        <v/>
      </c>
      <c r="J34" s="13">
        <f>MAX(0,$F34-INDEX(Grid_Stock[#Data],MATCH($D34,Grid_Stock[Part Name],0),$P$7+2))</f>
        <v/>
      </c>
      <c r="K34" s="13">
        <f>MAX(0,$F34-INDEX(Grid_Stock[#Data],MATCH($D34,Grid_Stock[Part Name],0),$P$7+3))</f>
        <v/>
      </c>
      <c r="L34" s="13">
        <f>MAX(0,$F34-INDEX(Grid_Stock[#Data],MATCH($D34,Grid_Stock[Part Name],0),$P$7+4))</f>
        <v/>
      </c>
      <c r="M34" s="13">
        <f>MAX(0,$F34-INDEX(Grid_Stock[#Data],MATCH($D34,Grid_Stock[Part Name],0),$P$7+5))</f>
        <v/>
      </c>
      <c r="N34" s="13">
        <f>MAX(0,$F34-INDEX(Grid_Stock[#Data],MATCH($D34,Grid_Stock[Part Name],0),$P$7+6))</f>
        <v/>
      </c>
      <c r="O34" s="13">
        <f>MAX(0,$F34-INDEX(Grid_Stock[#Data],MATCH($D34,Grid_Stock[Part Name],0),$P$7+7))</f>
        <v/>
      </c>
      <c r="P34" s="13">
        <f>MAX(0,$F34-INDEX(Grid_Stock[#Data],MATCH($D34,Grid_Stock[Part Name],0),$P$7+8))</f>
        <v/>
      </c>
      <c r="Q34" s="13">
        <f>MAX(0,$F34-INDEX(Grid_Stock[#Data],MATCH($D34,Grid_Stock[Part Name],0),$P$7+9))</f>
        <v/>
      </c>
      <c r="R34" s="13">
        <f>MAX(0,$F34-INDEX(Grid_Stock[#Data],MATCH($D34,Grid_Stock[Part Name],0),$P$7+10))</f>
        <v/>
      </c>
      <c r="S34" s="13">
        <f>MAX(0,$F34-INDEX(Grid_Stock[#Data],MATCH($D34,Grid_Stock[Part Name],0),$P$7+11))</f>
        <v/>
      </c>
      <c r="T34" s="13">
        <f>MAX(0,$F34-INDEX(Grid_Stock[#Data],MATCH($D34,Grid_Stock[Part Name],0),$P$7+12))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INDEX(Grid_Stock[#Data],MATCH($D35,Grid_Stock[Part Name],0),$P$7)</f>
        <v/>
      </c>
      <c r="H35" s="12">
        <f>MAX(0,$F35-INDEX(Grid_Stock[#Data],MATCH($D35,Grid_Stock[Part Name],0),$P$7+0))</f>
        <v/>
      </c>
      <c r="I35" s="12">
        <f>MAX(0,$F35-INDEX(Grid_Stock[#Data],MATCH($D35,Grid_Stock[Part Name],0),$P$7+1))</f>
        <v/>
      </c>
      <c r="J35" s="12">
        <f>MAX(0,$F35-INDEX(Grid_Stock[#Data],MATCH($D35,Grid_Stock[Part Name],0),$P$7+2))</f>
        <v/>
      </c>
      <c r="K35" s="12">
        <f>MAX(0,$F35-INDEX(Grid_Stock[#Data],MATCH($D35,Grid_Stock[Part Name],0),$P$7+3))</f>
        <v/>
      </c>
      <c r="L35" s="12">
        <f>MAX(0,$F35-INDEX(Grid_Stock[#Data],MATCH($D35,Grid_Stock[Part Name],0),$P$7+4))</f>
        <v/>
      </c>
      <c r="M35" s="12">
        <f>MAX(0,$F35-INDEX(Grid_Stock[#Data],MATCH($D35,Grid_Stock[Part Name],0),$P$7+5))</f>
        <v/>
      </c>
      <c r="N35" s="12">
        <f>MAX(0,$F35-INDEX(Grid_Stock[#Data],MATCH($D35,Grid_Stock[Part Name],0),$P$7+6))</f>
        <v/>
      </c>
      <c r="O35" s="12">
        <f>MAX(0,$F35-INDEX(Grid_Stock[#Data],MATCH($D35,Grid_Stock[Part Name],0),$P$7+7))</f>
        <v/>
      </c>
      <c r="P35" s="12">
        <f>MAX(0,$F35-INDEX(Grid_Stock[#Data],MATCH($D35,Grid_Stock[Part Name],0),$P$7+8))</f>
        <v/>
      </c>
      <c r="Q35" s="12">
        <f>MAX(0,$F35-INDEX(Grid_Stock[#Data],MATCH($D35,Grid_Stock[Part Name],0),$P$7+9))</f>
        <v/>
      </c>
      <c r="R35" s="12">
        <f>MAX(0,$F35-INDEX(Grid_Stock[#Data],MATCH($D35,Grid_Stock[Part Name],0),$P$7+10))</f>
        <v/>
      </c>
      <c r="S35" s="12">
        <f>MAX(0,$F35-INDEX(Grid_Stock[#Data],MATCH($D35,Grid_Stock[Part Name],0),$P$7+11))</f>
        <v/>
      </c>
      <c r="T35" s="12">
        <f>MAX(0,$F35-INDEX(Grid_Stock[#Data],MATCH($D35,Grid_Stock[Part Name],0),$P$7+12))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INDEX(Grid_Stock[#Data],MATCH($D36,Grid_Stock[Part Name],0),$P$7)</f>
        <v/>
      </c>
      <c r="H36" s="13">
        <f>MAX(0,$F36-INDEX(Grid_Stock[#Data],MATCH($D36,Grid_Stock[Part Name],0),$P$7+0))</f>
        <v/>
      </c>
      <c r="I36" s="13">
        <f>MAX(0,$F36-INDEX(Grid_Stock[#Data],MATCH($D36,Grid_Stock[Part Name],0),$P$7+1))</f>
        <v/>
      </c>
      <c r="J36" s="13">
        <f>MAX(0,$F36-INDEX(Grid_Stock[#Data],MATCH($D36,Grid_Stock[Part Name],0),$P$7+2))</f>
        <v/>
      </c>
      <c r="K36" s="13">
        <f>MAX(0,$F36-INDEX(Grid_Stock[#Data],MATCH($D36,Grid_Stock[Part Name],0),$P$7+3))</f>
        <v/>
      </c>
      <c r="L36" s="13">
        <f>MAX(0,$F36-INDEX(Grid_Stock[#Data],MATCH($D36,Grid_Stock[Part Name],0),$P$7+4))</f>
        <v/>
      </c>
      <c r="M36" s="13">
        <f>MAX(0,$F36-INDEX(Grid_Stock[#Data],MATCH($D36,Grid_Stock[Part Name],0),$P$7+5))</f>
        <v/>
      </c>
      <c r="N36" s="13">
        <f>MAX(0,$F36-INDEX(Grid_Stock[#Data],MATCH($D36,Grid_Stock[Part Name],0),$P$7+6))</f>
        <v/>
      </c>
      <c r="O36" s="13">
        <f>MAX(0,$F36-INDEX(Grid_Stock[#Data],MATCH($D36,Grid_Stock[Part Name],0),$P$7+7))</f>
        <v/>
      </c>
      <c r="P36" s="13">
        <f>MAX(0,$F36-INDEX(Grid_Stock[#Data],MATCH($D36,Grid_Stock[Part Name],0),$P$7+8))</f>
        <v/>
      </c>
      <c r="Q36" s="13">
        <f>MAX(0,$F36-INDEX(Grid_Stock[#Data],MATCH($D36,Grid_Stock[Part Name],0),$P$7+9))</f>
        <v/>
      </c>
      <c r="R36" s="13">
        <f>MAX(0,$F36-INDEX(Grid_Stock[#Data],MATCH($D36,Grid_Stock[Part Name],0),$P$7+10))</f>
        <v/>
      </c>
      <c r="S36" s="13">
        <f>MAX(0,$F36-INDEX(Grid_Stock[#Data],MATCH($D36,Grid_Stock[Part Name],0),$P$7+11))</f>
        <v/>
      </c>
      <c r="T36" s="13">
        <f>MAX(0,$F36-INDEX(Grid_Stock[#Data],MATCH($D36,Grid_Stock[Part Name],0),$P$7+12))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INDEX(Grid_Stock[#Data],MATCH($D37,Grid_Stock[Part Name],0),$P$7)</f>
        <v/>
      </c>
      <c r="H37" s="12">
        <f>MAX(0,$F37-INDEX(Grid_Stock[#Data],MATCH($D37,Grid_Stock[Part Name],0),$P$7+0))</f>
        <v/>
      </c>
      <c r="I37" s="12">
        <f>MAX(0,$F37-INDEX(Grid_Stock[#Data],MATCH($D37,Grid_Stock[Part Name],0),$P$7+1))</f>
        <v/>
      </c>
      <c r="J37" s="12">
        <f>MAX(0,$F37-INDEX(Grid_Stock[#Data],MATCH($D37,Grid_Stock[Part Name],0),$P$7+2))</f>
        <v/>
      </c>
      <c r="K37" s="12">
        <f>MAX(0,$F37-INDEX(Grid_Stock[#Data],MATCH($D37,Grid_Stock[Part Name],0),$P$7+3))</f>
        <v/>
      </c>
      <c r="L37" s="12">
        <f>MAX(0,$F37-INDEX(Grid_Stock[#Data],MATCH($D37,Grid_Stock[Part Name],0),$P$7+4))</f>
        <v/>
      </c>
      <c r="M37" s="12">
        <f>MAX(0,$F37-INDEX(Grid_Stock[#Data],MATCH($D37,Grid_Stock[Part Name],0),$P$7+5))</f>
        <v/>
      </c>
      <c r="N37" s="12">
        <f>MAX(0,$F37-INDEX(Grid_Stock[#Data],MATCH($D37,Grid_Stock[Part Name],0),$P$7+6))</f>
        <v/>
      </c>
      <c r="O37" s="12">
        <f>MAX(0,$F37-INDEX(Grid_Stock[#Data],MATCH($D37,Grid_Stock[Part Name],0),$P$7+7))</f>
        <v/>
      </c>
      <c r="P37" s="12">
        <f>MAX(0,$F37-INDEX(Grid_Stock[#Data],MATCH($D37,Grid_Stock[Part Name],0),$P$7+8))</f>
        <v/>
      </c>
      <c r="Q37" s="12">
        <f>MAX(0,$F37-INDEX(Grid_Stock[#Data],MATCH($D37,Grid_Stock[Part Name],0),$P$7+9))</f>
        <v/>
      </c>
      <c r="R37" s="12">
        <f>MAX(0,$F37-INDEX(Grid_Stock[#Data],MATCH($D37,Grid_Stock[Part Name],0),$P$7+10))</f>
        <v/>
      </c>
      <c r="S37" s="12">
        <f>MAX(0,$F37-INDEX(Grid_Stock[#Data],MATCH($D37,Grid_Stock[Part Name],0),$P$7+11))</f>
        <v/>
      </c>
      <c r="T37" s="12">
        <f>MAX(0,$F37-INDEX(Grid_Stock[#Data],MATCH($D37,Grid_Stock[Part Name],0),$P$7+12))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INDEX(Grid_Stock[#Data],MATCH($D38,Grid_Stock[Part Name],0),$P$7)</f>
        <v/>
      </c>
      <c r="H38" s="13">
        <f>MAX(0,$F38-INDEX(Grid_Stock[#Data],MATCH($D38,Grid_Stock[Part Name],0),$P$7+0))</f>
        <v/>
      </c>
      <c r="I38" s="13">
        <f>MAX(0,$F38-INDEX(Grid_Stock[#Data],MATCH($D38,Grid_Stock[Part Name],0),$P$7+1))</f>
        <v/>
      </c>
      <c r="J38" s="13">
        <f>MAX(0,$F38-INDEX(Grid_Stock[#Data],MATCH($D38,Grid_Stock[Part Name],0),$P$7+2))</f>
        <v/>
      </c>
      <c r="K38" s="13">
        <f>MAX(0,$F38-INDEX(Grid_Stock[#Data],MATCH($D38,Grid_Stock[Part Name],0),$P$7+3))</f>
        <v/>
      </c>
      <c r="L38" s="13">
        <f>MAX(0,$F38-INDEX(Grid_Stock[#Data],MATCH($D38,Grid_Stock[Part Name],0),$P$7+4))</f>
        <v/>
      </c>
      <c r="M38" s="13">
        <f>MAX(0,$F38-INDEX(Grid_Stock[#Data],MATCH($D38,Grid_Stock[Part Name],0),$P$7+5))</f>
        <v/>
      </c>
      <c r="N38" s="13">
        <f>MAX(0,$F38-INDEX(Grid_Stock[#Data],MATCH($D38,Grid_Stock[Part Name],0),$P$7+6))</f>
        <v/>
      </c>
      <c r="O38" s="13">
        <f>MAX(0,$F38-INDEX(Grid_Stock[#Data],MATCH($D38,Grid_Stock[Part Name],0),$P$7+7))</f>
        <v/>
      </c>
      <c r="P38" s="13">
        <f>MAX(0,$F38-INDEX(Grid_Stock[#Data],MATCH($D38,Grid_Stock[Part Name],0),$P$7+8))</f>
        <v/>
      </c>
      <c r="Q38" s="13">
        <f>MAX(0,$F38-INDEX(Grid_Stock[#Data],MATCH($D38,Grid_Stock[Part Name],0),$P$7+9))</f>
        <v/>
      </c>
      <c r="R38" s="13">
        <f>MAX(0,$F38-INDEX(Grid_Stock[#Data],MATCH($D38,Grid_Stock[Part Name],0),$P$7+10))</f>
        <v/>
      </c>
      <c r="S38" s="13">
        <f>MAX(0,$F38-INDEX(Grid_Stock[#Data],MATCH($D38,Grid_Stock[Part Name],0),$P$7+11))</f>
        <v/>
      </c>
      <c r="T38" s="13">
        <f>MAX(0,$F38-INDEX(Grid_Stock[#Data],MATCH($D38,Grid_Stock[Part Name],0),$P$7+12))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INDEX(Grid_Stock[#Data],MATCH($D39,Grid_Stock[Part Name],0),$P$7)</f>
        <v/>
      </c>
      <c r="H39" s="12">
        <f>MAX(0,$F39-INDEX(Grid_Stock[#Data],MATCH($D39,Grid_Stock[Part Name],0),$P$7+0))</f>
        <v/>
      </c>
      <c r="I39" s="12">
        <f>MAX(0,$F39-INDEX(Grid_Stock[#Data],MATCH($D39,Grid_Stock[Part Name],0),$P$7+1))</f>
        <v/>
      </c>
      <c r="J39" s="12">
        <f>MAX(0,$F39-INDEX(Grid_Stock[#Data],MATCH($D39,Grid_Stock[Part Name],0),$P$7+2))</f>
        <v/>
      </c>
      <c r="K39" s="12">
        <f>MAX(0,$F39-INDEX(Grid_Stock[#Data],MATCH($D39,Grid_Stock[Part Name],0),$P$7+3))</f>
        <v/>
      </c>
      <c r="L39" s="12">
        <f>MAX(0,$F39-INDEX(Grid_Stock[#Data],MATCH($D39,Grid_Stock[Part Name],0),$P$7+4))</f>
        <v/>
      </c>
      <c r="M39" s="12">
        <f>MAX(0,$F39-INDEX(Grid_Stock[#Data],MATCH($D39,Grid_Stock[Part Name],0),$P$7+5))</f>
        <v/>
      </c>
      <c r="N39" s="12">
        <f>MAX(0,$F39-INDEX(Grid_Stock[#Data],MATCH($D39,Grid_Stock[Part Name],0),$P$7+6))</f>
        <v/>
      </c>
      <c r="O39" s="12">
        <f>MAX(0,$F39-INDEX(Grid_Stock[#Data],MATCH($D39,Grid_Stock[Part Name],0),$P$7+7))</f>
        <v/>
      </c>
      <c r="P39" s="12">
        <f>MAX(0,$F39-INDEX(Grid_Stock[#Data],MATCH($D39,Grid_Stock[Part Name],0),$P$7+8))</f>
        <v/>
      </c>
      <c r="Q39" s="12">
        <f>MAX(0,$F39-INDEX(Grid_Stock[#Data],MATCH($D39,Grid_Stock[Part Name],0),$P$7+9))</f>
        <v/>
      </c>
      <c r="R39" s="12">
        <f>MAX(0,$F39-INDEX(Grid_Stock[#Data],MATCH($D39,Grid_Stock[Part Name],0),$P$7+10))</f>
        <v/>
      </c>
      <c r="S39" s="12">
        <f>MAX(0,$F39-INDEX(Grid_Stock[#Data],MATCH($D39,Grid_Stock[Part Name],0),$P$7+11))</f>
        <v/>
      </c>
      <c r="T39" s="12">
        <f>MAX(0,$F39-INDEX(Grid_Stock[#Data],MATCH($D39,Grid_Stock[Part Name],0),$P$7+12))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INDEX(Grid_Stock[#Data],MATCH($D40,Grid_Stock[Part Name],0),$P$7)</f>
        <v/>
      </c>
      <c r="H40" s="13">
        <f>MAX(0,$F40-INDEX(Grid_Stock[#Data],MATCH($D40,Grid_Stock[Part Name],0),$P$7+0))</f>
        <v/>
      </c>
      <c r="I40" s="13">
        <f>MAX(0,$F40-INDEX(Grid_Stock[#Data],MATCH($D40,Grid_Stock[Part Name],0),$P$7+1))</f>
        <v/>
      </c>
      <c r="J40" s="13">
        <f>MAX(0,$F40-INDEX(Grid_Stock[#Data],MATCH($D40,Grid_Stock[Part Name],0),$P$7+2))</f>
        <v/>
      </c>
      <c r="K40" s="13">
        <f>MAX(0,$F40-INDEX(Grid_Stock[#Data],MATCH($D40,Grid_Stock[Part Name],0),$P$7+3))</f>
        <v/>
      </c>
      <c r="L40" s="13">
        <f>MAX(0,$F40-INDEX(Grid_Stock[#Data],MATCH($D40,Grid_Stock[Part Name],0),$P$7+4))</f>
        <v/>
      </c>
      <c r="M40" s="13">
        <f>MAX(0,$F40-INDEX(Grid_Stock[#Data],MATCH($D40,Grid_Stock[Part Name],0),$P$7+5))</f>
        <v/>
      </c>
      <c r="N40" s="13">
        <f>MAX(0,$F40-INDEX(Grid_Stock[#Data],MATCH($D40,Grid_Stock[Part Name],0),$P$7+6))</f>
        <v/>
      </c>
      <c r="O40" s="13">
        <f>MAX(0,$F40-INDEX(Grid_Stock[#Data],MATCH($D40,Grid_Stock[Part Name],0),$P$7+7))</f>
        <v/>
      </c>
      <c r="P40" s="13">
        <f>MAX(0,$F40-INDEX(Grid_Stock[#Data],MATCH($D40,Grid_Stock[Part Name],0),$P$7+8))</f>
        <v/>
      </c>
      <c r="Q40" s="13">
        <f>MAX(0,$F40-INDEX(Grid_Stock[#Data],MATCH($D40,Grid_Stock[Part Name],0),$P$7+9))</f>
        <v/>
      </c>
      <c r="R40" s="13">
        <f>MAX(0,$F40-INDEX(Grid_Stock[#Data],MATCH($D40,Grid_Stock[Part Name],0),$P$7+10))</f>
        <v/>
      </c>
      <c r="S40" s="13">
        <f>MAX(0,$F40-INDEX(Grid_Stock[#Data],MATCH($D40,Grid_Stock[Part Name],0),$P$7+11))</f>
        <v/>
      </c>
      <c r="T40" s="13">
        <f>MAX(0,$F40-INDEX(Grid_Stock[#Data],MATCH($D40,Grid_Stock[Part Name],0),$P$7+12))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INDEX(Grid_Stock[#Data],MATCH($D41,Grid_Stock[Part Name],0),$P$7)</f>
        <v/>
      </c>
      <c r="H41" s="12">
        <f>MAX(0,$F41-INDEX(Grid_Stock[#Data],MATCH($D41,Grid_Stock[Part Name],0),$P$7+0))</f>
        <v/>
      </c>
      <c r="I41" s="12">
        <f>MAX(0,$F41-INDEX(Grid_Stock[#Data],MATCH($D41,Grid_Stock[Part Name],0),$P$7+1))</f>
        <v/>
      </c>
      <c r="J41" s="12">
        <f>MAX(0,$F41-INDEX(Grid_Stock[#Data],MATCH($D41,Grid_Stock[Part Name],0),$P$7+2))</f>
        <v/>
      </c>
      <c r="K41" s="12">
        <f>MAX(0,$F41-INDEX(Grid_Stock[#Data],MATCH($D41,Grid_Stock[Part Name],0),$P$7+3))</f>
        <v/>
      </c>
      <c r="L41" s="12">
        <f>MAX(0,$F41-INDEX(Grid_Stock[#Data],MATCH($D41,Grid_Stock[Part Name],0),$P$7+4))</f>
        <v/>
      </c>
      <c r="M41" s="12">
        <f>MAX(0,$F41-INDEX(Grid_Stock[#Data],MATCH($D41,Grid_Stock[Part Name],0),$P$7+5))</f>
        <v/>
      </c>
      <c r="N41" s="12">
        <f>MAX(0,$F41-INDEX(Grid_Stock[#Data],MATCH($D41,Grid_Stock[Part Name],0),$P$7+6))</f>
        <v/>
      </c>
      <c r="O41" s="12">
        <f>MAX(0,$F41-INDEX(Grid_Stock[#Data],MATCH($D41,Grid_Stock[Part Name],0),$P$7+7))</f>
        <v/>
      </c>
      <c r="P41" s="12">
        <f>MAX(0,$F41-INDEX(Grid_Stock[#Data],MATCH($D41,Grid_Stock[Part Name],0),$P$7+8))</f>
        <v/>
      </c>
      <c r="Q41" s="12">
        <f>MAX(0,$F41-INDEX(Grid_Stock[#Data],MATCH($D41,Grid_Stock[Part Name],0),$P$7+9))</f>
        <v/>
      </c>
      <c r="R41" s="12">
        <f>MAX(0,$F41-INDEX(Grid_Stock[#Data],MATCH($D41,Grid_Stock[Part Name],0),$P$7+10))</f>
        <v/>
      </c>
      <c r="S41" s="12">
        <f>MAX(0,$F41-INDEX(Grid_Stock[#Data],MATCH($D41,Grid_Stock[Part Name],0),$P$7+11))</f>
        <v/>
      </c>
      <c r="T41" s="12">
        <f>MAX(0,$F41-INDEX(Grid_Stock[#Data],MATCH($D41,Grid_Stock[Part Name],0),$P$7+12))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INDEX(Grid_Stock[#Data],MATCH($D42,Grid_Stock[Part Name],0),$P$7)</f>
        <v/>
      </c>
      <c r="H42" s="13">
        <f>MAX(0,$F42-INDEX(Grid_Stock[#Data],MATCH($D42,Grid_Stock[Part Name],0),$P$7+0))</f>
        <v/>
      </c>
      <c r="I42" s="13">
        <f>MAX(0,$F42-INDEX(Grid_Stock[#Data],MATCH($D42,Grid_Stock[Part Name],0),$P$7+1))</f>
        <v/>
      </c>
      <c r="J42" s="13">
        <f>MAX(0,$F42-INDEX(Grid_Stock[#Data],MATCH($D42,Grid_Stock[Part Name],0),$P$7+2))</f>
        <v/>
      </c>
      <c r="K42" s="13">
        <f>MAX(0,$F42-INDEX(Grid_Stock[#Data],MATCH($D42,Grid_Stock[Part Name],0),$P$7+3))</f>
        <v/>
      </c>
      <c r="L42" s="13">
        <f>MAX(0,$F42-INDEX(Grid_Stock[#Data],MATCH($D42,Grid_Stock[Part Name],0),$P$7+4))</f>
        <v/>
      </c>
      <c r="M42" s="13">
        <f>MAX(0,$F42-INDEX(Grid_Stock[#Data],MATCH($D42,Grid_Stock[Part Name],0),$P$7+5))</f>
        <v/>
      </c>
      <c r="N42" s="13">
        <f>MAX(0,$F42-INDEX(Grid_Stock[#Data],MATCH($D42,Grid_Stock[Part Name],0),$P$7+6))</f>
        <v/>
      </c>
      <c r="O42" s="13">
        <f>MAX(0,$F42-INDEX(Grid_Stock[#Data],MATCH($D42,Grid_Stock[Part Name],0),$P$7+7))</f>
        <v/>
      </c>
      <c r="P42" s="13">
        <f>MAX(0,$F42-INDEX(Grid_Stock[#Data],MATCH($D42,Grid_Stock[Part Name],0),$P$7+8))</f>
        <v/>
      </c>
      <c r="Q42" s="13">
        <f>MAX(0,$F42-INDEX(Grid_Stock[#Data],MATCH($D42,Grid_Stock[Part Name],0),$P$7+9))</f>
        <v/>
      </c>
      <c r="R42" s="13">
        <f>MAX(0,$F42-INDEX(Grid_Stock[#Data],MATCH($D42,Grid_Stock[Part Name],0),$P$7+10))</f>
        <v/>
      </c>
      <c r="S42" s="13">
        <f>MAX(0,$F42-INDEX(Grid_Stock[#Data],MATCH($D42,Grid_Stock[Part Name],0),$P$7+11))</f>
        <v/>
      </c>
      <c r="T42" s="13">
        <f>MAX(0,$F42-INDEX(Grid_Stock[#Data],MATCH($D42,Grid_Stock[Part Name],0),$P$7+12))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INDEX(Grid_Stock[#Data],MATCH($D43,Grid_Stock[Part Name],0),$P$7)</f>
        <v/>
      </c>
      <c r="H43" s="12">
        <f>MAX(0,$F43-INDEX(Grid_Stock[#Data],MATCH($D43,Grid_Stock[Part Name],0),$P$7+0))</f>
        <v/>
      </c>
      <c r="I43" s="12">
        <f>MAX(0,$F43-INDEX(Grid_Stock[#Data],MATCH($D43,Grid_Stock[Part Name],0),$P$7+1))</f>
        <v/>
      </c>
      <c r="J43" s="12">
        <f>MAX(0,$F43-INDEX(Grid_Stock[#Data],MATCH($D43,Grid_Stock[Part Name],0),$P$7+2))</f>
        <v/>
      </c>
      <c r="K43" s="12">
        <f>MAX(0,$F43-INDEX(Grid_Stock[#Data],MATCH($D43,Grid_Stock[Part Name],0),$P$7+3))</f>
        <v/>
      </c>
      <c r="L43" s="12">
        <f>MAX(0,$F43-INDEX(Grid_Stock[#Data],MATCH($D43,Grid_Stock[Part Name],0),$P$7+4))</f>
        <v/>
      </c>
      <c r="M43" s="12">
        <f>MAX(0,$F43-INDEX(Grid_Stock[#Data],MATCH($D43,Grid_Stock[Part Name],0),$P$7+5))</f>
        <v/>
      </c>
      <c r="N43" s="12">
        <f>MAX(0,$F43-INDEX(Grid_Stock[#Data],MATCH($D43,Grid_Stock[Part Name],0),$P$7+6))</f>
        <v/>
      </c>
      <c r="O43" s="12">
        <f>MAX(0,$F43-INDEX(Grid_Stock[#Data],MATCH($D43,Grid_Stock[Part Name],0),$P$7+7))</f>
        <v/>
      </c>
      <c r="P43" s="12">
        <f>MAX(0,$F43-INDEX(Grid_Stock[#Data],MATCH($D43,Grid_Stock[Part Name],0),$P$7+8))</f>
        <v/>
      </c>
      <c r="Q43" s="12">
        <f>MAX(0,$F43-INDEX(Grid_Stock[#Data],MATCH($D43,Grid_Stock[Part Name],0),$P$7+9))</f>
        <v/>
      </c>
      <c r="R43" s="12">
        <f>MAX(0,$F43-INDEX(Grid_Stock[#Data],MATCH($D43,Grid_Stock[Part Name],0),$P$7+10))</f>
        <v/>
      </c>
      <c r="S43" s="12">
        <f>MAX(0,$F43-INDEX(Grid_Stock[#Data],MATCH($D43,Grid_Stock[Part Name],0),$P$7+11))</f>
        <v/>
      </c>
      <c r="T43" s="12">
        <f>MAX(0,$F43-INDEX(Grid_Stock[#Data],MATCH($D43,Grid_Stock[Part Name],0),$P$7+12))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INDEX(Grid_Stock[#Data],MATCH($D44,Grid_Stock[Part Name],0),$P$7)</f>
        <v/>
      </c>
      <c r="H44" s="13">
        <f>MAX(0,$F44-INDEX(Grid_Stock[#Data],MATCH($D44,Grid_Stock[Part Name],0),$P$7+0))</f>
        <v/>
      </c>
      <c r="I44" s="13">
        <f>MAX(0,$F44-INDEX(Grid_Stock[#Data],MATCH($D44,Grid_Stock[Part Name],0),$P$7+1))</f>
        <v/>
      </c>
      <c r="J44" s="13">
        <f>MAX(0,$F44-INDEX(Grid_Stock[#Data],MATCH($D44,Grid_Stock[Part Name],0),$P$7+2))</f>
        <v/>
      </c>
      <c r="K44" s="13">
        <f>MAX(0,$F44-INDEX(Grid_Stock[#Data],MATCH($D44,Grid_Stock[Part Name],0),$P$7+3))</f>
        <v/>
      </c>
      <c r="L44" s="13">
        <f>MAX(0,$F44-INDEX(Grid_Stock[#Data],MATCH($D44,Grid_Stock[Part Name],0),$P$7+4))</f>
        <v/>
      </c>
      <c r="M44" s="13">
        <f>MAX(0,$F44-INDEX(Grid_Stock[#Data],MATCH($D44,Grid_Stock[Part Name],0),$P$7+5))</f>
        <v/>
      </c>
      <c r="N44" s="13">
        <f>MAX(0,$F44-INDEX(Grid_Stock[#Data],MATCH($D44,Grid_Stock[Part Name],0),$P$7+6))</f>
        <v/>
      </c>
      <c r="O44" s="13">
        <f>MAX(0,$F44-INDEX(Grid_Stock[#Data],MATCH($D44,Grid_Stock[Part Name],0),$P$7+7))</f>
        <v/>
      </c>
      <c r="P44" s="13">
        <f>MAX(0,$F44-INDEX(Grid_Stock[#Data],MATCH($D44,Grid_Stock[Part Name],0),$P$7+8))</f>
        <v/>
      </c>
      <c r="Q44" s="13">
        <f>MAX(0,$F44-INDEX(Grid_Stock[#Data],MATCH($D44,Grid_Stock[Part Name],0),$P$7+9))</f>
        <v/>
      </c>
      <c r="R44" s="13">
        <f>MAX(0,$F44-INDEX(Grid_Stock[#Data],MATCH($D44,Grid_Stock[Part Name],0),$P$7+10))</f>
        <v/>
      </c>
      <c r="S44" s="13">
        <f>MAX(0,$F44-INDEX(Grid_Stock[#Data],MATCH($D44,Grid_Stock[Part Name],0),$P$7+11))</f>
        <v/>
      </c>
      <c r="T44" s="13">
        <f>MAX(0,$F44-INDEX(Grid_Stock[#Data],MATCH($D44,Grid_Stock[Part Name],0),$P$7+12))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INDEX(Grid_Stock[#Data],MATCH($D45,Grid_Stock[Part Name],0),$P$7)</f>
        <v/>
      </c>
      <c r="H45" s="12">
        <f>MAX(0,$F45-INDEX(Grid_Stock[#Data],MATCH($D45,Grid_Stock[Part Name],0),$P$7+0))</f>
        <v/>
      </c>
      <c r="I45" s="12">
        <f>MAX(0,$F45-INDEX(Grid_Stock[#Data],MATCH($D45,Grid_Stock[Part Name],0),$P$7+1))</f>
        <v/>
      </c>
      <c r="J45" s="12">
        <f>MAX(0,$F45-INDEX(Grid_Stock[#Data],MATCH($D45,Grid_Stock[Part Name],0),$P$7+2))</f>
        <v/>
      </c>
      <c r="K45" s="12">
        <f>MAX(0,$F45-INDEX(Grid_Stock[#Data],MATCH($D45,Grid_Stock[Part Name],0),$P$7+3))</f>
        <v/>
      </c>
      <c r="L45" s="12">
        <f>MAX(0,$F45-INDEX(Grid_Stock[#Data],MATCH($D45,Grid_Stock[Part Name],0),$P$7+4))</f>
        <v/>
      </c>
      <c r="M45" s="12">
        <f>MAX(0,$F45-INDEX(Grid_Stock[#Data],MATCH($D45,Grid_Stock[Part Name],0),$P$7+5))</f>
        <v/>
      </c>
      <c r="N45" s="12">
        <f>MAX(0,$F45-INDEX(Grid_Stock[#Data],MATCH($D45,Grid_Stock[Part Name],0),$P$7+6))</f>
        <v/>
      </c>
      <c r="O45" s="12">
        <f>MAX(0,$F45-INDEX(Grid_Stock[#Data],MATCH($D45,Grid_Stock[Part Name],0),$P$7+7))</f>
        <v/>
      </c>
      <c r="P45" s="12">
        <f>MAX(0,$F45-INDEX(Grid_Stock[#Data],MATCH($D45,Grid_Stock[Part Name],0),$P$7+8))</f>
        <v/>
      </c>
      <c r="Q45" s="12">
        <f>MAX(0,$F45-INDEX(Grid_Stock[#Data],MATCH($D45,Grid_Stock[Part Name],0),$P$7+9))</f>
        <v/>
      </c>
      <c r="R45" s="12">
        <f>MAX(0,$F45-INDEX(Grid_Stock[#Data],MATCH($D45,Grid_Stock[Part Name],0),$P$7+10))</f>
        <v/>
      </c>
      <c r="S45" s="12">
        <f>MAX(0,$F45-INDEX(Grid_Stock[#Data],MATCH($D45,Grid_Stock[Part Name],0),$P$7+11))</f>
        <v/>
      </c>
      <c r="T45" s="12">
        <f>MAX(0,$F45-INDEX(Grid_Stock[#Data],MATCH($D45,Grid_Stock[Part Name],0),$P$7+12))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INDEX(Grid_Stock[#Data],MATCH($D46,Grid_Stock[Part Name],0),$P$7)</f>
        <v/>
      </c>
      <c r="H46" s="13">
        <f>MAX(0,$F46-INDEX(Grid_Stock[#Data],MATCH($D46,Grid_Stock[Part Name],0),$P$7+0))</f>
        <v/>
      </c>
      <c r="I46" s="13">
        <f>MAX(0,$F46-INDEX(Grid_Stock[#Data],MATCH($D46,Grid_Stock[Part Name],0),$P$7+1))</f>
        <v/>
      </c>
      <c r="J46" s="13">
        <f>MAX(0,$F46-INDEX(Grid_Stock[#Data],MATCH($D46,Grid_Stock[Part Name],0),$P$7+2))</f>
        <v/>
      </c>
      <c r="K46" s="13">
        <f>MAX(0,$F46-INDEX(Grid_Stock[#Data],MATCH($D46,Grid_Stock[Part Name],0),$P$7+3))</f>
        <v/>
      </c>
      <c r="L46" s="13">
        <f>MAX(0,$F46-INDEX(Grid_Stock[#Data],MATCH($D46,Grid_Stock[Part Name],0),$P$7+4))</f>
        <v/>
      </c>
      <c r="M46" s="13">
        <f>MAX(0,$F46-INDEX(Grid_Stock[#Data],MATCH($D46,Grid_Stock[Part Name],0),$P$7+5))</f>
        <v/>
      </c>
      <c r="N46" s="13">
        <f>MAX(0,$F46-INDEX(Grid_Stock[#Data],MATCH($D46,Grid_Stock[Part Name],0),$P$7+6))</f>
        <v/>
      </c>
      <c r="O46" s="13">
        <f>MAX(0,$F46-INDEX(Grid_Stock[#Data],MATCH($D46,Grid_Stock[Part Name],0),$P$7+7))</f>
        <v/>
      </c>
      <c r="P46" s="13">
        <f>MAX(0,$F46-INDEX(Grid_Stock[#Data],MATCH($D46,Grid_Stock[Part Name],0),$P$7+8))</f>
        <v/>
      </c>
      <c r="Q46" s="13">
        <f>MAX(0,$F46-INDEX(Grid_Stock[#Data],MATCH($D46,Grid_Stock[Part Name],0),$P$7+9))</f>
        <v/>
      </c>
      <c r="R46" s="13">
        <f>MAX(0,$F46-INDEX(Grid_Stock[#Data],MATCH($D46,Grid_Stock[Part Name],0),$P$7+10))</f>
        <v/>
      </c>
      <c r="S46" s="13">
        <f>MAX(0,$F46-INDEX(Grid_Stock[#Data],MATCH($D46,Grid_Stock[Part Name],0),$P$7+11))</f>
        <v/>
      </c>
      <c r="T46" s="13">
        <f>MAX(0,$F46-INDEX(Grid_Stock[#Data],MATCH($D46,Grid_Stock[Part Name],0),$P$7+12))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INDEX(Grid_Stock[#Data],MATCH($D47,Grid_Stock[Part Name],0),$P$7)</f>
        <v/>
      </c>
      <c r="H47" s="12">
        <f>MAX(0,$F47-INDEX(Grid_Stock[#Data],MATCH($D47,Grid_Stock[Part Name],0),$P$7+0))</f>
        <v/>
      </c>
      <c r="I47" s="12">
        <f>MAX(0,$F47-INDEX(Grid_Stock[#Data],MATCH($D47,Grid_Stock[Part Name],0),$P$7+1))</f>
        <v/>
      </c>
      <c r="J47" s="12">
        <f>MAX(0,$F47-INDEX(Grid_Stock[#Data],MATCH($D47,Grid_Stock[Part Name],0),$P$7+2))</f>
        <v/>
      </c>
      <c r="K47" s="12">
        <f>MAX(0,$F47-INDEX(Grid_Stock[#Data],MATCH($D47,Grid_Stock[Part Name],0),$P$7+3))</f>
        <v/>
      </c>
      <c r="L47" s="12">
        <f>MAX(0,$F47-INDEX(Grid_Stock[#Data],MATCH($D47,Grid_Stock[Part Name],0),$P$7+4))</f>
        <v/>
      </c>
      <c r="M47" s="12">
        <f>MAX(0,$F47-INDEX(Grid_Stock[#Data],MATCH($D47,Grid_Stock[Part Name],0),$P$7+5))</f>
        <v/>
      </c>
      <c r="N47" s="12">
        <f>MAX(0,$F47-INDEX(Grid_Stock[#Data],MATCH($D47,Grid_Stock[Part Name],0),$P$7+6))</f>
        <v/>
      </c>
      <c r="O47" s="12">
        <f>MAX(0,$F47-INDEX(Grid_Stock[#Data],MATCH($D47,Grid_Stock[Part Name],0),$P$7+7))</f>
        <v/>
      </c>
      <c r="P47" s="12">
        <f>MAX(0,$F47-INDEX(Grid_Stock[#Data],MATCH($D47,Grid_Stock[Part Name],0),$P$7+8))</f>
        <v/>
      </c>
      <c r="Q47" s="12">
        <f>MAX(0,$F47-INDEX(Grid_Stock[#Data],MATCH($D47,Grid_Stock[Part Name],0),$P$7+9))</f>
        <v/>
      </c>
      <c r="R47" s="12">
        <f>MAX(0,$F47-INDEX(Grid_Stock[#Data],MATCH($D47,Grid_Stock[Part Name],0),$P$7+10))</f>
        <v/>
      </c>
      <c r="S47" s="12">
        <f>MAX(0,$F47-INDEX(Grid_Stock[#Data],MATCH($D47,Grid_Stock[Part Name],0),$P$7+11))</f>
        <v/>
      </c>
      <c r="T47" s="12">
        <f>MAX(0,$F47-INDEX(Grid_Stock[#Data],MATCH($D47,Grid_Stock[Part Name],0),$P$7+12))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INDEX(Grid_Stock[#Data],MATCH($D48,Grid_Stock[Part Name],0),$P$7)</f>
        <v/>
      </c>
      <c r="H48" s="13">
        <f>MAX(0,$F48-INDEX(Grid_Stock[#Data],MATCH($D48,Grid_Stock[Part Name],0),$P$7+0))</f>
        <v/>
      </c>
      <c r="I48" s="13">
        <f>MAX(0,$F48-INDEX(Grid_Stock[#Data],MATCH($D48,Grid_Stock[Part Name],0),$P$7+1))</f>
        <v/>
      </c>
      <c r="J48" s="13">
        <f>MAX(0,$F48-INDEX(Grid_Stock[#Data],MATCH($D48,Grid_Stock[Part Name],0),$P$7+2))</f>
        <v/>
      </c>
      <c r="K48" s="13">
        <f>MAX(0,$F48-INDEX(Grid_Stock[#Data],MATCH($D48,Grid_Stock[Part Name],0),$P$7+3))</f>
        <v/>
      </c>
      <c r="L48" s="13">
        <f>MAX(0,$F48-INDEX(Grid_Stock[#Data],MATCH($D48,Grid_Stock[Part Name],0),$P$7+4))</f>
        <v/>
      </c>
      <c r="M48" s="13">
        <f>MAX(0,$F48-INDEX(Grid_Stock[#Data],MATCH($D48,Grid_Stock[Part Name],0),$P$7+5))</f>
        <v/>
      </c>
      <c r="N48" s="13">
        <f>MAX(0,$F48-INDEX(Grid_Stock[#Data],MATCH($D48,Grid_Stock[Part Name],0),$P$7+6))</f>
        <v/>
      </c>
      <c r="O48" s="13">
        <f>MAX(0,$F48-INDEX(Grid_Stock[#Data],MATCH($D48,Grid_Stock[Part Name],0),$P$7+7))</f>
        <v/>
      </c>
      <c r="P48" s="13">
        <f>MAX(0,$F48-INDEX(Grid_Stock[#Data],MATCH($D48,Grid_Stock[Part Name],0),$P$7+8))</f>
        <v/>
      </c>
      <c r="Q48" s="13">
        <f>MAX(0,$F48-INDEX(Grid_Stock[#Data],MATCH($D48,Grid_Stock[Part Name],0),$P$7+9))</f>
        <v/>
      </c>
      <c r="R48" s="13">
        <f>MAX(0,$F48-INDEX(Grid_Stock[#Data],MATCH($D48,Grid_Stock[Part Name],0),$P$7+10))</f>
        <v/>
      </c>
      <c r="S48" s="13">
        <f>MAX(0,$F48-INDEX(Grid_Stock[#Data],MATCH($D48,Grid_Stock[Part Name],0),$P$7+11))</f>
        <v/>
      </c>
      <c r="T48" s="13">
        <f>MAX(0,$F48-INDEX(Grid_Stock[#Data],MATCH($D48,Grid_Stock[Part Name],0),$P$7+12))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INDEX(Grid_Stock[#Data],MATCH($D49,Grid_Stock[Part Name],0),$P$7)</f>
        <v/>
      </c>
      <c r="H49" s="12">
        <f>MAX(0,$F49-INDEX(Grid_Stock[#Data],MATCH($D49,Grid_Stock[Part Name],0),$P$7+0))</f>
        <v/>
      </c>
      <c r="I49" s="12">
        <f>MAX(0,$F49-INDEX(Grid_Stock[#Data],MATCH($D49,Grid_Stock[Part Name],0),$P$7+1))</f>
        <v/>
      </c>
      <c r="J49" s="12">
        <f>MAX(0,$F49-INDEX(Grid_Stock[#Data],MATCH($D49,Grid_Stock[Part Name],0),$P$7+2))</f>
        <v/>
      </c>
      <c r="K49" s="12">
        <f>MAX(0,$F49-INDEX(Grid_Stock[#Data],MATCH($D49,Grid_Stock[Part Name],0),$P$7+3))</f>
        <v/>
      </c>
      <c r="L49" s="12">
        <f>MAX(0,$F49-INDEX(Grid_Stock[#Data],MATCH($D49,Grid_Stock[Part Name],0),$P$7+4))</f>
        <v/>
      </c>
      <c r="M49" s="12">
        <f>MAX(0,$F49-INDEX(Grid_Stock[#Data],MATCH($D49,Grid_Stock[Part Name],0),$P$7+5))</f>
        <v/>
      </c>
      <c r="N49" s="12">
        <f>MAX(0,$F49-INDEX(Grid_Stock[#Data],MATCH($D49,Grid_Stock[Part Name],0),$P$7+6))</f>
        <v/>
      </c>
      <c r="O49" s="12">
        <f>MAX(0,$F49-INDEX(Grid_Stock[#Data],MATCH($D49,Grid_Stock[Part Name],0),$P$7+7))</f>
        <v/>
      </c>
      <c r="P49" s="12">
        <f>MAX(0,$F49-INDEX(Grid_Stock[#Data],MATCH($D49,Grid_Stock[Part Name],0),$P$7+8))</f>
        <v/>
      </c>
      <c r="Q49" s="12">
        <f>MAX(0,$F49-INDEX(Grid_Stock[#Data],MATCH($D49,Grid_Stock[Part Name],0),$P$7+9))</f>
        <v/>
      </c>
      <c r="R49" s="12">
        <f>MAX(0,$F49-INDEX(Grid_Stock[#Data],MATCH($D49,Grid_Stock[Part Name],0),$P$7+10))</f>
        <v/>
      </c>
      <c r="S49" s="12">
        <f>MAX(0,$F49-INDEX(Grid_Stock[#Data],MATCH($D49,Grid_Stock[Part Name],0),$P$7+11))</f>
        <v/>
      </c>
      <c r="T49" s="12">
        <f>MAX(0,$F49-INDEX(Grid_Stock[#Data],MATCH($D49,Grid_Stock[Part Name],0),$P$7+12))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INDEX(Grid_Stock[#Data],MATCH($D15,Grid_Stock[Part Name],0),$P$7)</f>
        <v/>
      </c>
      <c r="H15" s="12">
        <f>MAX(0,$F15-INDEX(Grid_Stock[#Data],MATCH($D15,Grid_Stock[Part Name],0),$P$7+0))</f>
        <v/>
      </c>
      <c r="I15" s="12">
        <f>MAX(0,$F15-INDEX(Grid_Stock[#Data],MATCH($D15,Grid_Stock[Part Name],0),$P$7+1))</f>
        <v/>
      </c>
      <c r="J15" s="12">
        <f>MAX(0,$F15-INDEX(Grid_Stock[#Data],MATCH($D15,Grid_Stock[Part Name],0),$P$7+2))</f>
        <v/>
      </c>
      <c r="K15" s="12">
        <f>MAX(0,$F15-INDEX(Grid_Stock[#Data],MATCH($D15,Grid_Stock[Part Name],0),$P$7+3))</f>
        <v/>
      </c>
      <c r="L15" s="12">
        <f>MAX(0,$F15-INDEX(Grid_Stock[#Data],MATCH($D15,Grid_Stock[Part Name],0),$P$7+4))</f>
        <v/>
      </c>
      <c r="M15" s="12">
        <f>MAX(0,$F15-INDEX(Grid_Stock[#Data],MATCH($D15,Grid_Stock[Part Name],0),$P$7+5))</f>
        <v/>
      </c>
      <c r="N15" s="12">
        <f>MAX(0,$F15-INDEX(Grid_Stock[#Data],MATCH($D15,Grid_Stock[Part Name],0),$P$7+6))</f>
        <v/>
      </c>
      <c r="O15" s="12">
        <f>MAX(0,$F15-INDEX(Grid_Stock[#Data],MATCH($D15,Grid_Stock[Part Name],0),$P$7+7))</f>
        <v/>
      </c>
      <c r="P15" s="12">
        <f>MAX(0,$F15-INDEX(Grid_Stock[#Data],MATCH($D15,Grid_Stock[Part Name],0),$P$7+8))</f>
        <v/>
      </c>
      <c r="Q15" s="12">
        <f>MAX(0,$F15-INDEX(Grid_Stock[#Data],MATCH($D15,Grid_Stock[Part Name],0),$P$7+9))</f>
        <v/>
      </c>
      <c r="R15" s="12">
        <f>MAX(0,$F15-INDEX(Grid_Stock[#Data],MATCH($D15,Grid_Stock[Part Name],0),$P$7+10))</f>
        <v/>
      </c>
      <c r="S15" s="12">
        <f>MAX(0,$F15-INDEX(Grid_Stock[#Data],MATCH($D15,Grid_Stock[Part Name],0),$P$7+11))</f>
        <v/>
      </c>
      <c r="T15" s="12">
        <f>MAX(0,$F15-INDEX(Grid_Stock[#Data],MATCH($D15,Grid_Stock[Part Name],0),$P$7+12))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INDEX(Grid_Stock[#Data],MATCH($D16,Grid_Stock[Part Name],0),$P$7)</f>
        <v/>
      </c>
      <c r="H16" s="13">
        <f>MAX(0,$F16-INDEX(Grid_Stock[#Data],MATCH($D16,Grid_Stock[Part Name],0),$P$7+0))</f>
        <v/>
      </c>
      <c r="I16" s="13">
        <f>MAX(0,$F16-INDEX(Grid_Stock[#Data],MATCH($D16,Grid_Stock[Part Name],0),$P$7+1))</f>
        <v/>
      </c>
      <c r="J16" s="13">
        <f>MAX(0,$F16-INDEX(Grid_Stock[#Data],MATCH($D16,Grid_Stock[Part Name],0),$P$7+2))</f>
        <v/>
      </c>
      <c r="K16" s="13">
        <f>MAX(0,$F16-INDEX(Grid_Stock[#Data],MATCH($D16,Grid_Stock[Part Name],0),$P$7+3))</f>
        <v/>
      </c>
      <c r="L16" s="13">
        <f>MAX(0,$F16-INDEX(Grid_Stock[#Data],MATCH($D16,Grid_Stock[Part Name],0),$P$7+4))</f>
        <v/>
      </c>
      <c r="M16" s="13">
        <f>MAX(0,$F16-INDEX(Grid_Stock[#Data],MATCH($D16,Grid_Stock[Part Name],0),$P$7+5))</f>
        <v/>
      </c>
      <c r="N16" s="13">
        <f>MAX(0,$F16-INDEX(Grid_Stock[#Data],MATCH($D16,Grid_Stock[Part Name],0),$P$7+6))</f>
        <v/>
      </c>
      <c r="O16" s="13">
        <f>MAX(0,$F16-INDEX(Grid_Stock[#Data],MATCH($D16,Grid_Stock[Part Name],0),$P$7+7))</f>
        <v/>
      </c>
      <c r="P16" s="13">
        <f>MAX(0,$F16-INDEX(Grid_Stock[#Data],MATCH($D16,Grid_Stock[Part Name],0),$P$7+8))</f>
        <v/>
      </c>
      <c r="Q16" s="13">
        <f>MAX(0,$F16-INDEX(Grid_Stock[#Data],MATCH($D16,Grid_Stock[Part Name],0),$P$7+9))</f>
        <v/>
      </c>
      <c r="R16" s="13">
        <f>MAX(0,$F16-INDEX(Grid_Stock[#Data],MATCH($D16,Grid_Stock[Part Name],0),$P$7+10))</f>
        <v/>
      </c>
      <c r="S16" s="13">
        <f>MAX(0,$F16-INDEX(Grid_Stock[#Data],MATCH($D16,Grid_Stock[Part Name],0),$P$7+11))</f>
        <v/>
      </c>
      <c r="T16" s="13">
        <f>MAX(0,$F16-INDEX(Grid_Stock[#Data],MATCH($D16,Grid_Stock[Part Name],0),$P$7+12))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INDEX(Grid_Stock[#Data],MATCH($D17,Grid_Stock[Part Name],0),$P$7)</f>
        <v/>
      </c>
      <c r="H17" s="12">
        <f>MAX(0,$F17-INDEX(Grid_Stock[#Data],MATCH($D17,Grid_Stock[Part Name],0),$P$7+0))</f>
        <v/>
      </c>
      <c r="I17" s="12">
        <f>MAX(0,$F17-INDEX(Grid_Stock[#Data],MATCH($D17,Grid_Stock[Part Name],0),$P$7+1))</f>
        <v/>
      </c>
      <c r="J17" s="12">
        <f>MAX(0,$F17-INDEX(Grid_Stock[#Data],MATCH($D17,Grid_Stock[Part Name],0),$P$7+2))</f>
        <v/>
      </c>
      <c r="K17" s="12">
        <f>MAX(0,$F17-INDEX(Grid_Stock[#Data],MATCH($D17,Grid_Stock[Part Name],0),$P$7+3))</f>
        <v/>
      </c>
      <c r="L17" s="12">
        <f>MAX(0,$F17-INDEX(Grid_Stock[#Data],MATCH($D17,Grid_Stock[Part Name],0),$P$7+4))</f>
        <v/>
      </c>
      <c r="M17" s="12">
        <f>MAX(0,$F17-INDEX(Grid_Stock[#Data],MATCH($D17,Grid_Stock[Part Name],0),$P$7+5))</f>
        <v/>
      </c>
      <c r="N17" s="12">
        <f>MAX(0,$F17-INDEX(Grid_Stock[#Data],MATCH($D17,Grid_Stock[Part Name],0),$P$7+6))</f>
        <v/>
      </c>
      <c r="O17" s="12">
        <f>MAX(0,$F17-INDEX(Grid_Stock[#Data],MATCH($D17,Grid_Stock[Part Name],0),$P$7+7))</f>
        <v/>
      </c>
      <c r="P17" s="12">
        <f>MAX(0,$F17-INDEX(Grid_Stock[#Data],MATCH($D17,Grid_Stock[Part Name],0),$P$7+8))</f>
        <v/>
      </c>
      <c r="Q17" s="12">
        <f>MAX(0,$F17-INDEX(Grid_Stock[#Data],MATCH($D17,Grid_Stock[Part Name],0),$P$7+9))</f>
        <v/>
      </c>
      <c r="R17" s="12">
        <f>MAX(0,$F17-INDEX(Grid_Stock[#Data],MATCH($D17,Grid_Stock[Part Name],0),$P$7+10))</f>
        <v/>
      </c>
      <c r="S17" s="12">
        <f>MAX(0,$F17-INDEX(Grid_Stock[#Data],MATCH($D17,Grid_Stock[Part Name],0),$P$7+11))</f>
        <v/>
      </c>
      <c r="T17" s="12">
        <f>MAX(0,$F17-INDEX(Grid_Stock[#Data],MATCH($D17,Grid_Stock[Part Name],0),$P$7+12))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INDEX(Grid_Stock[#Data],MATCH($D18,Grid_Stock[Part Name],0),$P$7)</f>
        <v/>
      </c>
      <c r="H18" s="13">
        <f>MAX(0,$F18-INDEX(Grid_Stock[#Data],MATCH($D18,Grid_Stock[Part Name],0),$P$7+0))</f>
        <v/>
      </c>
      <c r="I18" s="13">
        <f>MAX(0,$F18-INDEX(Grid_Stock[#Data],MATCH($D18,Grid_Stock[Part Name],0),$P$7+1))</f>
        <v/>
      </c>
      <c r="J18" s="13">
        <f>MAX(0,$F18-INDEX(Grid_Stock[#Data],MATCH($D18,Grid_Stock[Part Name],0),$P$7+2))</f>
        <v/>
      </c>
      <c r="K18" s="13">
        <f>MAX(0,$F18-INDEX(Grid_Stock[#Data],MATCH($D18,Grid_Stock[Part Name],0),$P$7+3))</f>
        <v/>
      </c>
      <c r="L18" s="13">
        <f>MAX(0,$F18-INDEX(Grid_Stock[#Data],MATCH($D18,Grid_Stock[Part Name],0),$P$7+4))</f>
        <v/>
      </c>
      <c r="M18" s="13">
        <f>MAX(0,$F18-INDEX(Grid_Stock[#Data],MATCH($D18,Grid_Stock[Part Name],0),$P$7+5))</f>
        <v/>
      </c>
      <c r="N18" s="13">
        <f>MAX(0,$F18-INDEX(Grid_Stock[#Data],MATCH($D18,Grid_Stock[Part Name],0),$P$7+6))</f>
        <v/>
      </c>
      <c r="O18" s="13">
        <f>MAX(0,$F18-INDEX(Grid_Stock[#Data],MATCH($D18,Grid_Stock[Part Name],0),$P$7+7))</f>
        <v/>
      </c>
      <c r="P18" s="13">
        <f>MAX(0,$F18-INDEX(Grid_Stock[#Data],MATCH($D18,Grid_Stock[Part Name],0),$P$7+8))</f>
        <v/>
      </c>
      <c r="Q18" s="13">
        <f>MAX(0,$F18-INDEX(Grid_Stock[#Data],MATCH($D18,Grid_Stock[Part Name],0),$P$7+9))</f>
        <v/>
      </c>
      <c r="R18" s="13">
        <f>MAX(0,$F18-INDEX(Grid_Stock[#Data],MATCH($D18,Grid_Stock[Part Name],0),$P$7+10))</f>
        <v/>
      </c>
      <c r="S18" s="13">
        <f>MAX(0,$F18-INDEX(Grid_Stock[#Data],MATCH($D18,Grid_Stock[Part Name],0),$P$7+11))</f>
        <v/>
      </c>
      <c r="T18" s="13">
        <f>MAX(0,$F18-INDEX(Grid_Stock[#Data],MATCH($D18,Grid_Stock[Part Name],0),$P$7+12))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INDEX(Grid_Stock[#Data],MATCH($D19,Grid_Stock[Part Name],0),$P$7)</f>
        <v/>
      </c>
      <c r="H19" s="12">
        <f>MAX(0,$F19-INDEX(Grid_Stock[#Data],MATCH($D19,Grid_Stock[Part Name],0),$P$7+0))</f>
        <v/>
      </c>
      <c r="I19" s="12">
        <f>MAX(0,$F19-INDEX(Grid_Stock[#Data],MATCH($D19,Grid_Stock[Part Name],0),$P$7+1))</f>
        <v/>
      </c>
      <c r="J19" s="12">
        <f>MAX(0,$F19-INDEX(Grid_Stock[#Data],MATCH($D19,Grid_Stock[Part Name],0),$P$7+2))</f>
        <v/>
      </c>
      <c r="K19" s="12">
        <f>MAX(0,$F19-INDEX(Grid_Stock[#Data],MATCH($D19,Grid_Stock[Part Name],0),$P$7+3))</f>
        <v/>
      </c>
      <c r="L19" s="12">
        <f>MAX(0,$F19-INDEX(Grid_Stock[#Data],MATCH($D19,Grid_Stock[Part Name],0),$P$7+4))</f>
        <v/>
      </c>
      <c r="M19" s="12">
        <f>MAX(0,$F19-INDEX(Grid_Stock[#Data],MATCH($D19,Grid_Stock[Part Name],0),$P$7+5))</f>
        <v/>
      </c>
      <c r="N19" s="12">
        <f>MAX(0,$F19-INDEX(Grid_Stock[#Data],MATCH($D19,Grid_Stock[Part Name],0),$P$7+6))</f>
        <v/>
      </c>
      <c r="O19" s="12">
        <f>MAX(0,$F19-INDEX(Grid_Stock[#Data],MATCH($D19,Grid_Stock[Part Name],0),$P$7+7))</f>
        <v/>
      </c>
      <c r="P19" s="12">
        <f>MAX(0,$F19-INDEX(Grid_Stock[#Data],MATCH($D19,Grid_Stock[Part Name],0),$P$7+8))</f>
        <v/>
      </c>
      <c r="Q19" s="12">
        <f>MAX(0,$F19-INDEX(Grid_Stock[#Data],MATCH($D19,Grid_Stock[Part Name],0),$P$7+9))</f>
        <v/>
      </c>
      <c r="R19" s="12">
        <f>MAX(0,$F19-INDEX(Grid_Stock[#Data],MATCH($D19,Grid_Stock[Part Name],0),$P$7+10))</f>
        <v/>
      </c>
      <c r="S19" s="12">
        <f>MAX(0,$F19-INDEX(Grid_Stock[#Data],MATCH($D19,Grid_Stock[Part Name],0),$P$7+11))</f>
        <v/>
      </c>
      <c r="T19" s="12">
        <f>MAX(0,$F19-INDEX(Grid_Stock[#Data],MATCH($D19,Grid_Stock[Part Name],0),$P$7+12))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INDEX(Grid_Stock[#Data],MATCH($D20,Grid_Stock[Part Name],0),$P$7)</f>
        <v/>
      </c>
      <c r="H20" s="13">
        <f>MAX(0,$F20-INDEX(Grid_Stock[#Data],MATCH($D20,Grid_Stock[Part Name],0),$P$7+0))</f>
        <v/>
      </c>
      <c r="I20" s="13">
        <f>MAX(0,$F20-INDEX(Grid_Stock[#Data],MATCH($D20,Grid_Stock[Part Name],0),$P$7+1))</f>
        <v/>
      </c>
      <c r="J20" s="13">
        <f>MAX(0,$F20-INDEX(Grid_Stock[#Data],MATCH($D20,Grid_Stock[Part Name],0),$P$7+2))</f>
        <v/>
      </c>
      <c r="K20" s="13">
        <f>MAX(0,$F20-INDEX(Grid_Stock[#Data],MATCH($D20,Grid_Stock[Part Name],0),$P$7+3))</f>
        <v/>
      </c>
      <c r="L20" s="13">
        <f>MAX(0,$F20-INDEX(Grid_Stock[#Data],MATCH($D20,Grid_Stock[Part Name],0),$P$7+4))</f>
        <v/>
      </c>
      <c r="M20" s="13">
        <f>MAX(0,$F20-INDEX(Grid_Stock[#Data],MATCH($D20,Grid_Stock[Part Name],0),$P$7+5))</f>
        <v/>
      </c>
      <c r="N20" s="13">
        <f>MAX(0,$F20-INDEX(Grid_Stock[#Data],MATCH($D20,Grid_Stock[Part Name],0),$P$7+6))</f>
        <v/>
      </c>
      <c r="O20" s="13">
        <f>MAX(0,$F20-INDEX(Grid_Stock[#Data],MATCH($D20,Grid_Stock[Part Name],0),$P$7+7))</f>
        <v/>
      </c>
      <c r="P20" s="13">
        <f>MAX(0,$F20-INDEX(Grid_Stock[#Data],MATCH($D20,Grid_Stock[Part Name],0),$P$7+8))</f>
        <v/>
      </c>
      <c r="Q20" s="13">
        <f>MAX(0,$F20-INDEX(Grid_Stock[#Data],MATCH($D20,Grid_Stock[Part Name],0),$P$7+9))</f>
        <v/>
      </c>
      <c r="R20" s="13">
        <f>MAX(0,$F20-INDEX(Grid_Stock[#Data],MATCH($D20,Grid_Stock[Part Name],0),$P$7+10))</f>
        <v/>
      </c>
      <c r="S20" s="13">
        <f>MAX(0,$F20-INDEX(Grid_Stock[#Data],MATCH($D20,Grid_Stock[Part Name],0),$P$7+11))</f>
        <v/>
      </c>
      <c r="T20" s="13">
        <f>MAX(0,$F20-INDEX(Grid_Stock[#Data],MATCH($D20,Grid_Stock[Part Name],0),$P$7+12))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INDEX(Grid_Stock[#Data],MATCH($D21,Grid_Stock[Part Name],0),$P$7)</f>
        <v/>
      </c>
      <c r="H21" s="12">
        <f>MAX(0,$F21-INDEX(Grid_Stock[#Data],MATCH($D21,Grid_Stock[Part Name],0),$P$7+0))</f>
        <v/>
      </c>
      <c r="I21" s="12">
        <f>MAX(0,$F21-INDEX(Grid_Stock[#Data],MATCH($D21,Grid_Stock[Part Name],0),$P$7+1))</f>
        <v/>
      </c>
      <c r="J21" s="12">
        <f>MAX(0,$F21-INDEX(Grid_Stock[#Data],MATCH($D21,Grid_Stock[Part Name],0),$P$7+2))</f>
        <v/>
      </c>
      <c r="K21" s="12">
        <f>MAX(0,$F21-INDEX(Grid_Stock[#Data],MATCH($D21,Grid_Stock[Part Name],0),$P$7+3))</f>
        <v/>
      </c>
      <c r="L21" s="12">
        <f>MAX(0,$F21-INDEX(Grid_Stock[#Data],MATCH($D21,Grid_Stock[Part Name],0),$P$7+4))</f>
        <v/>
      </c>
      <c r="M21" s="12">
        <f>MAX(0,$F21-INDEX(Grid_Stock[#Data],MATCH($D21,Grid_Stock[Part Name],0),$P$7+5))</f>
        <v/>
      </c>
      <c r="N21" s="12">
        <f>MAX(0,$F21-INDEX(Grid_Stock[#Data],MATCH($D21,Grid_Stock[Part Name],0),$P$7+6))</f>
        <v/>
      </c>
      <c r="O21" s="12">
        <f>MAX(0,$F21-INDEX(Grid_Stock[#Data],MATCH($D21,Grid_Stock[Part Name],0),$P$7+7))</f>
        <v/>
      </c>
      <c r="P21" s="12">
        <f>MAX(0,$F21-INDEX(Grid_Stock[#Data],MATCH($D21,Grid_Stock[Part Name],0),$P$7+8))</f>
        <v/>
      </c>
      <c r="Q21" s="12">
        <f>MAX(0,$F21-INDEX(Grid_Stock[#Data],MATCH($D21,Grid_Stock[Part Name],0),$P$7+9))</f>
        <v/>
      </c>
      <c r="R21" s="12">
        <f>MAX(0,$F21-INDEX(Grid_Stock[#Data],MATCH($D21,Grid_Stock[Part Name],0),$P$7+10))</f>
        <v/>
      </c>
      <c r="S21" s="12">
        <f>MAX(0,$F21-INDEX(Grid_Stock[#Data],MATCH($D21,Grid_Stock[Part Name],0),$P$7+11))</f>
        <v/>
      </c>
      <c r="T21" s="12">
        <f>MAX(0,$F21-INDEX(Grid_Stock[#Data],MATCH($D21,Grid_Stock[Part Name],0),$P$7+12))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2026-07-27T12:10:57Z</dcterms:created>
  <dcterms:modified xsi:type="dcterms:W3CDTF">2026-07-27T12:10:59Z</dcterms:modified>
</cp:coreProperties>
</file>